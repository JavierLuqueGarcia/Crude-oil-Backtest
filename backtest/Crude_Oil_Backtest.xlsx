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racking" sheetId="1" state="visible" r:id="rId3"/>
    <sheet name="Data" sheetId="2" state="visible" r:id="rId4"/>
    <sheet name="Strategy" sheetId="3" state="visible" r:id="rId5"/>
    <sheet name="Result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<sst xmlns="http://schemas.openxmlformats.org/spreadsheetml/2006/main" count="51" uniqueCount="49">
  <si>
    <t xml:space="preserve">DAILY MARKET TRACKING — CRUDE OIL</t>
  </si>
  <si>
    <t xml:space="preserve">Prices: Yahoo Finance (CL=F, BZ=F). Inventory &amp; refinery utilization: EIA Weekly Petroleum Status Report (week-ending Friday values, released the following week).</t>
  </si>
  <si>
    <t xml:space="preserve">LEGEND: Blue = data inputs already filled from real sources. Yellow cells (Event / Notes) = you fill in daily. Spread is a formula — do not overwrite.</t>
  </si>
  <si>
    <t xml:space="preserve">Date</t>
  </si>
  <si>
    <t xml:space="preserve">WTI ($/bbl)</t>
  </si>
  <si>
    <t xml:space="preserve">Brent ($/bbl)</t>
  </si>
  <si>
    <t xml:space="preserve">WTI-Brent Spread ($)</t>
  </si>
  <si>
    <t xml:space="preserve">US Crude Inventory (M bbl)</t>
  </si>
  <si>
    <t xml:space="preserve">Refinery Util (%)</t>
  </si>
  <si>
    <t xml:space="preserve">Event</t>
  </si>
  <si>
    <t xml:space="preserve">Notes</t>
  </si>
  <si>
    <t xml:space="preserve">Example: OPEC meeting</t>
  </si>
  <si>
    <t xml:space="preserve">Example: prices firmed ahead of decision — replace with your own note</t>
  </si>
  <si>
    <t xml:space="preserve">WTI_Close</t>
  </si>
  <si>
    <t xml:space="preserve">Brent_Close</t>
  </si>
  <si>
    <t xml:space="preserve">WTI_20MA</t>
  </si>
  <si>
    <t xml:space="preserve">Deviation_%</t>
  </si>
  <si>
    <t xml:space="preserve">Price</t>
  </si>
  <si>
    <t xml:space="preserve">Signal</t>
  </si>
  <si>
    <t xml:space="preserve">Entry_Price</t>
  </si>
  <si>
    <t xml:space="preserve">Exit_Price</t>
  </si>
  <si>
    <t xml:space="preserve">Trade_P&amp;L_%</t>
  </si>
  <si>
    <t xml:space="preserve">Position</t>
  </si>
  <si>
    <t xml:space="preserve">Cumulative_P&amp;L_%</t>
  </si>
  <si>
    <t xml:space="preserve">Running_Peak</t>
  </si>
  <si>
    <t xml:space="preserve">Drawdown</t>
  </si>
  <si>
    <t xml:space="preserve">CRUDE OIL MEAN REVERSION — BACKTEST RESULTS</t>
  </si>
  <si>
    <t xml:space="preserve">Strategy: BUY WTI when price closes 5% below its 20-day moving average; SELL when price recovers above the average.</t>
  </si>
  <si>
    <t xml:space="preserve">Data: WTI front-month futures (CL=F), 2015-01-02 to 2026-07-10, 2896 trading days. Source: Yahoo Finance.</t>
  </si>
  <si>
    <t xml:space="preserve">PERFORMANCE METRICS</t>
  </si>
  <si>
    <t xml:space="preserve">Total Trades</t>
  </si>
  <si>
    <t xml:space="preserve">Winning Trades</t>
  </si>
  <si>
    <t xml:space="preserve">Losing Trades</t>
  </si>
  <si>
    <t xml:space="preserve">Win Rate (%)</t>
  </si>
  <si>
    <t xml:space="preserve">Average Win (%)</t>
  </si>
  <si>
    <t xml:space="preserve">Average Loss (%)</t>
  </si>
  <si>
    <t xml:space="preserve">Profit Factor</t>
  </si>
  <si>
    <t xml:space="preserve">Total Strategy P&amp;L (sum of trade %, unleveraged)</t>
  </si>
  <si>
    <t xml:space="preserve">Max Drawdown of cumulative P&amp;L (pct-pts)</t>
  </si>
  <si>
    <t xml:space="preserve">BENCHMARK COMPARISON</t>
  </si>
  <si>
    <t xml:space="preserve">Buy &amp; Hold Return (%)</t>
  </si>
  <si>
    <t xml:space="preserve">Strategy Total P&amp;L (%)</t>
  </si>
  <si>
    <t xml:space="preserve">Outperformance (pct-pts)</t>
  </si>
  <si>
    <t xml:space="preserve">HONEST LIMITATIONS (mention these in interviews — they add credibility):</t>
  </si>
  <si>
    <t xml:space="preserve">• Transaction costs and slippage are NOT modeled (real cost roughly $0.05–0.10/bbl per side).</t>
  </si>
  <si>
    <t xml:space="preserve">• Uses front-month continuous futures — roll costs in contango are not captured.</t>
  </si>
  <si>
    <t xml:space="preserve">• No stop-loss: the strategy rides losses until recovery, so single trades can lose heavily (see 2020).</t>
  </si>
  <si>
    <t xml:space="preserve">• Trade P&amp;L is per-trade % with full notional each time; no compounding or position sizing applied.</t>
  </si>
  <si>
    <t xml:space="preserve">IMPROVEMENT IDEAS: add a -4% stop-loss, test -3%/-7% thresholds, test on Brent (column C in Data), add volatility filter.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</si>
</sst>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yyyy\-mm\-dd"/>
    <numFmt numFmtId="166" formatCode="0.00"/>
    <numFmt numFmtId="167" formatCode="0.0"/>
    <numFmt numFmtId="168" formatCode="0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name val="Arial"/>
      <family val="0"/>
      <charset val="1"/>
    </font>
    <font>
      <i val="true"/>
      <sz val="9"/>
      <color rgb="FF7F6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10"/>
      <color rgb="FF808080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9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1F4E5F"/>
        <bgColor rgb="FF333333"/>
      </patternFill>
    </fill>
    <fill>
      <patternFill patternType="solid">
        <fgColor rgb="FFFFFF00"/>
        <bgColor rgb="FFFFFF00"/>
      </patternFill>
    </fill>
    <fill>
      <patternFill patternType="solid">
        <fgColor rgb="FFF2F2F2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F6000"/>
      <rgbColor rgb="FF800080"/>
      <rgbColor rgb="FF008080"/>
      <rgbColor rgb="FFC0C0C0"/>
      <rgbColor rgb="FF808080"/>
      <rgbColor rgb="FF9999FF"/>
      <rgbColor rgb="FFBE4B48"/>
      <rgbColor rgb="FFF2F2F2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878787"/>
      <rgbColor rgb="FF1F4E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Strategy Equity Curve (Cumulative P&amp;L, %)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Strategy!H1</c:f>
              <c:strCache>
                <c:ptCount val="1"/>
                <c:pt idx="0">
                  <c:v>Cumulative_P&amp;L_%</c:v>
                </c:pt>
              </c:strCache>
            </c:strRef>
          </c:tx>
          <c:spPr>
            <a:solidFill>
              <a:srgbClr val="be4b48"/>
            </a:solidFill>
            <a:ln w="4752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Strategy!$H$2:$H$2897</c:f>
              <c:numCache>
                <c:formatCode>0.00</c:formatCode>
                <c:ptCount val="289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4.59086078639746</c:v>
                </c:pt>
                <c:pt idx="57">
                  <c:v>4.59086078639746</c:v>
                </c:pt>
                <c:pt idx="58">
                  <c:v>4.59086078639746</c:v>
                </c:pt>
                <c:pt idx="59">
                  <c:v>4.59086078639746</c:v>
                </c:pt>
                <c:pt idx="60">
                  <c:v>4.59086078639746</c:v>
                </c:pt>
                <c:pt idx="61">
                  <c:v>4.59086078639746</c:v>
                </c:pt>
                <c:pt idx="62">
                  <c:v>4.59086078639746</c:v>
                </c:pt>
                <c:pt idx="63">
                  <c:v>4.59086078639746</c:v>
                </c:pt>
                <c:pt idx="64">
                  <c:v>4.59086078639746</c:v>
                </c:pt>
                <c:pt idx="65">
                  <c:v>4.59086078639746</c:v>
                </c:pt>
                <c:pt idx="66">
                  <c:v>4.59086078639746</c:v>
                </c:pt>
                <c:pt idx="67">
                  <c:v>4.59086078639746</c:v>
                </c:pt>
                <c:pt idx="68">
                  <c:v>4.59086078639746</c:v>
                </c:pt>
                <c:pt idx="69">
                  <c:v>4.59086078639746</c:v>
                </c:pt>
                <c:pt idx="70">
                  <c:v>4.59086078639746</c:v>
                </c:pt>
                <c:pt idx="71">
                  <c:v>4.59086078639746</c:v>
                </c:pt>
                <c:pt idx="72">
                  <c:v>4.59086078639746</c:v>
                </c:pt>
                <c:pt idx="73">
                  <c:v>4.59086078639746</c:v>
                </c:pt>
                <c:pt idx="74">
                  <c:v>4.59086078639746</c:v>
                </c:pt>
                <c:pt idx="75">
                  <c:v>4.59086078639746</c:v>
                </c:pt>
                <c:pt idx="76">
                  <c:v>4.59086078639746</c:v>
                </c:pt>
                <c:pt idx="77">
                  <c:v>4.59086078639746</c:v>
                </c:pt>
                <c:pt idx="78">
                  <c:v>4.59086078639746</c:v>
                </c:pt>
                <c:pt idx="79">
                  <c:v>4.59086078639746</c:v>
                </c:pt>
                <c:pt idx="80">
                  <c:v>4.59086078639746</c:v>
                </c:pt>
                <c:pt idx="81">
                  <c:v>4.59086078639746</c:v>
                </c:pt>
                <c:pt idx="82">
                  <c:v>4.59086078639746</c:v>
                </c:pt>
                <c:pt idx="83">
                  <c:v>4.59086078639746</c:v>
                </c:pt>
                <c:pt idx="84">
                  <c:v>4.59086078639746</c:v>
                </c:pt>
                <c:pt idx="85">
                  <c:v>4.59086078639746</c:v>
                </c:pt>
                <c:pt idx="86">
                  <c:v>4.59086078639746</c:v>
                </c:pt>
                <c:pt idx="87">
                  <c:v>4.59086078639746</c:v>
                </c:pt>
                <c:pt idx="88">
                  <c:v>4.59086078639746</c:v>
                </c:pt>
                <c:pt idx="89">
                  <c:v>4.59086078639746</c:v>
                </c:pt>
                <c:pt idx="90">
                  <c:v>4.59086078639746</c:v>
                </c:pt>
                <c:pt idx="91">
                  <c:v>4.59086078639746</c:v>
                </c:pt>
                <c:pt idx="92">
                  <c:v>4.59086078639746</c:v>
                </c:pt>
                <c:pt idx="93">
                  <c:v>4.59086078639746</c:v>
                </c:pt>
                <c:pt idx="94">
                  <c:v>4.59086078639746</c:v>
                </c:pt>
                <c:pt idx="95">
                  <c:v>4.59086078639746</c:v>
                </c:pt>
                <c:pt idx="96">
                  <c:v>4.59086078639746</c:v>
                </c:pt>
                <c:pt idx="97">
                  <c:v>4.59086078639746</c:v>
                </c:pt>
                <c:pt idx="98">
                  <c:v>4.59086078639746</c:v>
                </c:pt>
                <c:pt idx="99">
                  <c:v>4.59086078639746</c:v>
                </c:pt>
                <c:pt idx="100">
                  <c:v>4.59086078639746</c:v>
                </c:pt>
                <c:pt idx="101">
                  <c:v>4.59086078639746</c:v>
                </c:pt>
                <c:pt idx="102">
                  <c:v>4.59086078639746</c:v>
                </c:pt>
                <c:pt idx="103">
                  <c:v>4.59086078639746</c:v>
                </c:pt>
                <c:pt idx="104">
                  <c:v>4.59086078639746</c:v>
                </c:pt>
                <c:pt idx="105">
                  <c:v>4.59086078639746</c:v>
                </c:pt>
                <c:pt idx="106">
                  <c:v>4.59086078639746</c:v>
                </c:pt>
                <c:pt idx="107">
                  <c:v>4.59086078639746</c:v>
                </c:pt>
                <c:pt idx="108">
                  <c:v>4.59086078639746</c:v>
                </c:pt>
                <c:pt idx="109">
                  <c:v>4.59086078639746</c:v>
                </c:pt>
                <c:pt idx="110">
                  <c:v>4.59086078639746</c:v>
                </c:pt>
                <c:pt idx="111">
                  <c:v>4.59086078639746</c:v>
                </c:pt>
                <c:pt idx="112">
                  <c:v>4.59086078639746</c:v>
                </c:pt>
                <c:pt idx="113">
                  <c:v>4.59086078639746</c:v>
                </c:pt>
                <c:pt idx="114">
                  <c:v>4.59086078639746</c:v>
                </c:pt>
                <c:pt idx="115">
                  <c:v>4.59086078639746</c:v>
                </c:pt>
                <c:pt idx="116">
                  <c:v>4.59086078639746</c:v>
                </c:pt>
                <c:pt idx="117">
                  <c:v>4.59086078639746</c:v>
                </c:pt>
                <c:pt idx="118">
                  <c:v>4.59086078639746</c:v>
                </c:pt>
                <c:pt idx="119">
                  <c:v>4.59086078639746</c:v>
                </c:pt>
                <c:pt idx="120">
                  <c:v>4.59086078639746</c:v>
                </c:pt>
                <c:pt idx="121">
                  <c:v>4.59086078639746</c:v>
                </c:pt>
                <c:pt idx="122">
                  <c:v>4.59086078639746</c:v>
                </c:pt>
                <c:pt idx="123">
                  <c:v>4.59086078639746</c:v>
                </c:pt>
                <c:pt idx="124">
                  <c:v>4.59086078639746</c:v>
                </c:pt>
                <c:pt idx="125">
                  <c:v>4.59086078639746</c:v>
                </c:pt>
                <c:pt idx="126">
                  <c:v>4.59086078639746</c:v>
                </c:pt>
                <c:pt idx="127">
                  <c:v>4.59086078639746</c:v>
                </c:pt>
                <c:pt idx="128">
                  <c:v>4.59086078639746</c:v>
                </c:pt>
                <c:pt idx="129">
                  <c:v>4.59086078639746</c:v>
                </c:pt>
                <c:pt idx="130">
                  <c:v>4.59086078639746</c:v>
                </c:pt>
                <c:pt idx="131">
                  <c:v>4.59086078639746</c:v>
                </c:pt>
                <c:pt idx="132">
                  <c:v>4.59086078639746</c:v>
                </c:pt>
                <c:pt idx="133">
                  <c:v>4.59086078639746</c:v>
                </c:pt>
                <c:pt idx="134">
                  <c:v>4.59086078639746</c:v>
                </c:pt>
                <c:pt idx="135">
                  <c:v>4.59086078639746</c:v>
                </c:pt>
                <c:pt idx="136">
                  <c:v>4.59086078639746</c:v>
                </c:pt>
                <c:pt idx="137">
                  <c:v>4.59086078639746</c:v>
                </c:pt>
                <c:pt idx="138">
                  <c:v>4.59086078639746</c:v>
                </c:pt>
                <c:pt idx="139">
                  <c:v>4.59086078639746</c:v>
                </c:pt>
                <c:pt idx="140">
                  <c:v>4.59086078639746</c:v>
                </c:pt>
                <c:pt idx="141">
                  <c:v>4.59086078639746</c:v>
                </c:pt>
                <c:pt idx="142">
                  <c:v>4.59086078639746</c:v>
                </c:pt>
                <c:pt idx="143">
                  <c:v>4.59086078639746</c:v>
                </c:pt>
                <c:pt idx="144">
                  <c:v>4.59086078639746</c:v>
                </c:pt>
                <c:pt idx="145">
                  <c:v>4.59086078639746</c:v>
                </c:pt>
                <c:pt idx="146">
                  <c:v>4.59086078639746</c:v>
                </c:pt>
                <c:pt idx="147">
                  <c:v>4.59086078639746</c:v>
                </c:pt>
                <c:pt idx="148">
                  <c:v>4.59086078639746</c:v>
                </c:pt>
                <c:pt idx="149">
                  <c:v>4.59086078639746</c:v>
                </c:pt>
                <c:pt idx="150">
                  <c:v>4.59086078639746</c:v>
                </c:pt>
                <c:pt idx="151">
                  <c:v>4.59086078639746</c:v>
                </c:pt>
                <c:pt idx="152">
                  <c:v>4.59086078639746</c:v>
                </c:pt>
                <c:pt idx="153">
                  <c:v>4.59086078639746</c:v>
                </c:pt>
                <c:pt idx="154">
                  <c:v>4.59086078639746</c:v>
                </c:pt>
                <c:pt idx="155">
                  <c:v>4.59086078639746</c:v>
                </c:pt>
                <c:pt idx="156">
                  <c:v>4.59086078639746</c:v>
                </c:pt>
                <c:pt idx="157">
                  <c:v>4.59086078639746</c:v>
                </c:pt>
                <c:pt idx="158">
                  <c:v>4.59086078639746</c:v>
                </c:pt>
                <c:pt idx="159">
                  <c:v>4.59086078639746</c:v>
                </c:pt>
                <c:pt idx="160">
                  <c:v>4.59086078639746</c:v>
                </c:pt>
                <c:pt idx="161">
                  <c:v>4.59086078639746</c:v>
                </c:pt>
                <c:pt idx="162">
                  <c:v>4.59086078639746</c:v>
                </c:pt>
                <c:pt idx="163">
                  <c:v>4.59086078639746</c:v>
                </c:pt>
                <c:pt idx="164">
                  <c:v>4.59086078639746</c:v>
                </c:pt>
                <c:pt idx="165">
                  <c:v>-9.32499681878054</c:v>
                </c:pt>
                <c:pt idx="166">
                  <c:v>-9.32499681878054</c:v>
                </c:pt>
                <c:pt idx="167">
                  <c:v>-9.32499681878054</c:v>
                </c:pt>
                <c:pt idx="168">
                  <c:v>-9.32499681878054</c:v>
                </c:pt>
                <c:pt idx="169">
                  <c:v>-9.32499681878054</c:v>
                </c:pt>
                <c:pt idx="170">
                  <c:v>-9.32499681878054</c:v>
                </c:pt>
                <c:pt idx="171">
                  <c:v>-9.32499681878054</c:v>
                </c:pt>
                <c:pt idx="172">
                  <c:v>-9.32499681878054</c:v>
                </c:pt>
                <c:pt idx="173">
                  <c:v>-9.32499681878054</c:v>
                </c:pt>
                <c:pt idx="174">
                  <c:v>-9.32499681878054</c:v>
                </c:pt>
                <c:pt idx="175">
                  <c:v>-9.32499681878054</c:v>
                </c:pt>
                <c:pt idx="176">
                  <c:v>-9.32499681878054</c:v>
                </c:pt>
                <c:pt idx="177">
                  <c:v>-9.32499681878054</c:v>
                </c:pt>
                <c:pt idx="178">
                  <c:v>-9.32499681878054</c:v>
                </c:pt>
                <c:pt idx="179">
                  <c:v>-9.32499681878054</c:v>
                </c:pt>
                <c:pt idx="180">
                  <c:v>-9.32499681878054</c:v>
                </c:pt>
                <c:pt idx="181">
                  <c:v>-9.32499681878054</c:v>
                </c:pt>
                <c:pt idx="182">
                  <c:v>-9.32499681878054</c:v>
                </c:pt>
                <c:pt idx="183">
                  <c:v>-9.32499681878054</c:v>
                </c:pt>
                <c:pt idx="184">
                  <c:v>-9.32499681878054</c:v>
                </c:pt>
                <c:pt idx="185">
                  <c:v>-9.32499681878054</c:v>
                </c:pt>
                <c:pt idx="186">
                  <c:v>-9.32499681878054</c:v>
                </c:pt>
                <c:pt idx="187">
                  <c:v>-9.32499681878054</c:v>
                </c:pt>
                <c:pt idx="188">
                  <c:v>-9.32499681878054</c:v>
                </c:pt>
                <c:pt idx="189">
                  <c:v>-9.32499681878054</c:v>
                </c:pt>
                <c:pt idx="190">
                  <c:v>-9.32499681878054</c:v>
                </c:pt>
                <c:pt idx="191">
                  <c:v>-9.32499681878054</c:v>
                </c:pt>
                <c:pt idx="192">
                  <c:v>-9.32499681878054</c:v>
                </c:pt>
                <c:pt idx="193">
                  <c:v>-9.32499681878054</c:v>
                </c:pt>
                <c:pt idx="194">
                  <c:v>-9.32499681878054</c:v>
                </c:pt>
                <c:pt idx="195">
                  <c:v>-9.32499681878054</c:v>
                </c:pt>
                <c:pt idx="196">
                  <c:v>-9.32499681878054</c:v>
                </c:pt>
                <c:pt idx="197">
                  <c:v>-9.32499681878054</c:v>
                </c:pt>
                <c:pt idx="198">
                  <c:v>-9.32499681878054</c:v>
                </c:pt>
                <c:pt idx="199">
                  <c:v>-9.32499681878054</c:v>
                </c:pt>
                <c:pt idx="200">
                  <c:v>-9.32499681878054</c:v>
                </c:pt>
                <c:pt idx="201">
                  <c:v>-9.32499681878054</c:v>
                </c:pt>
                <c:pt idx="202">
                  <c:v>-9.32499681878054</c:v>
                </c:pt>
                <c:pt idx="203">
                  <c:v>-9.32499681878054</c:v>
                </c:pt>
                <c:pt idx="204">
                  <c:v>-9.32499681878054</c:v>
                </c:pt>
                <c:pt idx="205">
                  <c:v>-9.32499681878054</c:v>
                </c:pt>
                <c:pt idx="206">
                  <c:v>-9.32499681878054</c:v>
                </c:pt>
                <c:pt idx="207">
                  <c:v>-9.32499681878054</c:v>
                </c:pt>
                <c:pt idx="208">
                  <c:v>-9.32499681878054</c:v>
                </c:pt>
                <c:pt idx="209">
                  <c:v>-3.390481129831</c:v>
                </c:pt>
                <c:pt idx="210">
                  <c:v>-3.390481129831</c:v>
                </c:pt>
                <c:pt idx="211">
                  <c:v>-3.390481129831</c:v>
                </c:pt>
                <c:pt idx="212">
                  <c:v>-3.390481129831</c:v>
                </c:pt>
                <c:pt idx="213">
                  <c:v>-3.390481129831</c:v>
                </c:pt>
                <c:pt idx="214">
                  <c:v>-3.390481129831</c:v>
                </c:pt>
                <c:pt idx="215">
                  <c:v>-3.390481129831</c:v>
                </c:pt>
                <c:pt idx="216">
                  <c:v>-3.390481129831</c:v>
                </c:pt>
                <c:pt idx="217">
                  <c:v>-3.390481129831</c:v>
                </c:pt>
                <c:pt idx="218">
                  <c:v>-3.390481129831</c:v>
                </c:pt>
                <c:pt idx="219">
                  <c:v>-3.390481129831</c:v>
                </c:pt>
                <c:pt idx="220">
                  <c:v>-3.390481129831</c:v>
                </c:pt>
                <c:pt idx="221">
                  <c:v>-3.390481129831</c:v>
                </c:pt>
                <c:pt idx="222">
                  <c:v>-3.390481129831</c:v>
                </c:pt>
                <c:pt idx="223">
                  <c:v>-3.390481129831</c:v>
                </c:pt>
                <c:pt idx="224">
                  <c:v>-3.390481129831</c:v>
                </c:pt>
                <c:pt idx="225">
                  <c:v>-3.390481129831</c:v>
                </c:pt>
                <c:pt idx="226">
                  <c:v>-3.390481129831</c:v>
                </c:pt>
                <c:pt idx="227">
                  <c:v>-3.390481129831</c:v>
                </c:pt>
                <c:pt idx="228">
                  <c:v>-3.390481129831</c:v>
                </c:pt>
                <c:pt idx="229">
                  <c:v>-3.390481129831</c:v>
                </c:pt>
                <c:pt idx="230">
                  <c:v>-3.390481129831</c:v>
                </c:pt>
                <c:pt idx="231">
                  <c:v>-3.390481129831</c:v>
                </c:pt>
                <c:pt idx="232">
                  <c:v>-3.390481129831</c:v>
                </c:pt>
                <c:pt idx="233">
                  <c:v>-3.390481129831</c:v>
                </c:pt>
                <c:pt idx="234">
                  <c:v>-3.390481129831</c:v>
                </c:pt>
                <c:pt idx="235">
                  <c:v>-3.390481129831</c:v>
                </c:pt>
                <c:pt idx="236">
                  <c:v>-3.390481129831</c:v>
                </c:pt>
                <c:pt idx="237">
                  <c:v>-3.390481129831</c:v>
                </c:pt>
                <c:pt idx="238">
                  <c:v>-3.390481129831</c:v>
                </c:pt>
                <c:pt idx="239">
                  <c:v>-3.390481129831</c:v>
                </c:pt>
                <c:pt idx="240">
                  <c:v>-3.390481129831</c:v>
                </c:pt>
                <c:pt idx="241">
                  <c:v>-3.390481129831</c:v>
                </c:pt>
                <c:pt idx="242">
                  <c:v>-3.390481129831</c:v>
                </c:pt>
                <c:pt idx="243">
                  <c:v>-3.390481129831</c:v>
                </c:pt>
                <c:pt idx="244">
                  <c:v>-3.390481129831</c:v>
                </c:pt>
                <c:pt idx="245">
                  <c:v>-3.390481129831</c:v>
                </c:pt>
                <c:pt idx="246">
                  <c:v>-3.390481129831</c:v>
                </c:pt>
                <c:pt idx="247">
                  <c:v>-14.6413546448555</c:v>
                </c:pt>
                <c:pt idx="248">
                  <c:v>-14.6413546448555</c:v>
                </c:pt>
                <c:pt idx="249">
                  <c:v>-14.6413546448555</c:v>
                </c:pt>
                <c:pt idx="250">
                  <c:v>-14.6413546448555</c:v>
                </c:pt>
                <c:pt idx="251">
                  <c:v>-14.6413546448555</c:v>
                </c:pt>
                <c:pt idx="252">
                  <c:v>-14.6413546448555</c:v>
                </c:pt>
                <c:pt idx="253">
                  <c:v>-14.6413546448555</c:v>
                </c:pt>
                <c:pt idx="254">
                  <c:v>-14.6413546448555</c:v>
                </c:pt>
                <c:pt idx="255">
                  <c:v>-14.6413546448555</c:v>
                </c:pt>
                <c:pt idx="256">
                  <c:v>-14.6413546448555</c:v>
                </c:pt>
                <c:pt idx="257">
                  <c:v>-14.6413546448555</c:v>
                </c:pt>
                <c:pt idx="258">
                  <c:v>-14.6413546448555</c:v>
                </c:pt>
                <c:pt idx="259">
                  <c:v>-14.6413546448555</c:v>
                </c:pt>
                <c:pt idx="260">
                  <c:v>-14.6413546448555</c:v>
                </c:pt>
                <c:pt idx="261">
                  <c:v>-14.6413546448555</c:v>
                </c:pt>
                <c:pt idx="262">
                  <c:v>-14.6413546448555</c:v>
                </c:pt>
                <c:pt idx="263">
                  <c:v>-14.6413546448555</c:v>
                </c:pt>
                <c:pt idx="264">
                  <c:v>-14.6413546448555</c:v>
                </c:pt>
                <c:pt idx="265">
                  <c:v>-14.6413546448555</c:v>
                </c:pt>
                <c:pt idx="266">
                  <c:v>-14.6413546448555</c:v>
                </c:pt>
                <c:pt idx="267">
                  <c:v>-14.6413546448555</c:v>
                </c:pt>
                <c:pt idx="268">
                  <c:v>-14.6413546448555</c:v>
                </c:pt>
                <c:pt idx="269">
                  <c:v>-16.8491850834778</c:v>
                </c:pt>
                <c:pt idx="270">
                  <c:v>-16.8491850834778</c:v>
                </c:pt>
                <c:pt idx="271">
                  <c:v>-16.8491850834778</c:v>
                </c:pt>
                <c:pt idx="272">
                  <c:v>-16.8491850834778</c:v>
                </c:pt>
                <c:pt idx="273">
                  <c:v>-16.8491850834778</c:v>
                </c:pt>
                <c:pt idx="274">
                  <c:v>-16.8491850834778</c:v>
                </c:pt>
                <c:pt idx="275">
                  <c:v>-16.8491850834778</c:v>
                </c:pt>
                <c:pt idx="276">
                  <c:v>-16.8491850834778</c:v>
                </c:pt>
                <c:pt idx="277">
                  <c:v>-16.8491850834778</c:v>
                </c:pt>
                <c:pt idx="278">
                  <c:v>-16.8491850834778</c:v>
                </c:pt>
                <c:pt idx="279">
                  <c:v>-16.8491850834778</c:v>
                </c:pt>
                <c:pt idx="280">
                  <c:v>-16.8491850834778</c:v>
                </c:pt>
                <c:pt idx="281">
                  <c:v>-16.8491850834778</c:v>
                </c:pt>
                <c:pt idx="282">
                  <c:v>-7.11403834045702</c:v>
                </c:pt>
                <c:pt idx="283">
                  <c:v>-7.11403834045702</c:v>
                </c:pt>
                <c:pt idx="284">
                  <c:v>-7.11403834045702</c:v>
                </c:pt>
                <c:pt idx="285">
                  <c:v>-7.11403834045702</c:v>
                </c:pt>
                <c:pt idx="286">
                  <c:v>-7.11403834045702</c:v>
                </c:pt>
                <c:pt idx="287">
                  <c:v>-7.11403834045702</c:v>
                </c:pt>
                <c:pt idx="288">
                  <c:v>-7.11403834045702</c:v>
                </c:pt>
                <c:pt idx="289">
                  <c:v>-7.11403834045702</c:v>
                </c:pt>
                <c:pt idx="290">
                  <c:v>-7.11403834045702</c:v>
                </c:pt>
                <c:pt idx="291">
                  <c:v>-7.11403834045702</c:v>
                </c:pt>
                <c:pt idx="292">
                  <c:v>-7.11403834045702</c:v>
                </c:pt>
                <c:pt idx="293">
                  <c:v>-7.11403834045702</c:v>
                </c:pt>
                <c:pt idx="294">
                  <c:v>-7.11403834045702</c:v>
                </c:pt>
                <c:pt idx="295">
                  <c:v>-7.11403834045702</c:v>
                </c:pt>
                <c:pt idx="296">
                  <c:v>-7.11403834045702</c:v>
                </c:pt>
                <c:pt idx="297">
                  <c:v>-7.11403834045702</c:v>
                </c:pt>
                <c:pt idx="298">
                  <c:v>-7.11403834045702</c:v>
                </c:pt>
                <c:pt idx="299">
                  <c:v>-7.11403834045702</c:v>
                </c:pt>
                <c:pt idx="300">
                  <c:v>-7.11403834045702</c:v>
                </c:pt>
                <c:pt idx="301">
                  <c:v>-7.11403834045702</c:v>
                </c:pt>
                <c:pt idx="302">
                  <c:v>-7.11403834045702</c:v>
                </c:pt>
                <c:pt idx="303">
                  <c:v>-7.11403834045702</c:v>
                </c:pt>
                <c:pt idx="304">
                  <c:v>-7.11403834045702</c:v>
                </c:pt>
                <c:pt idx="305">
                  <c:v>-7.11403834045702</c:v>
                </c:pt>
                <c:pt idx="306">
                  <c:v>-7.11403834045702</c:v>
                </c:pt>
                <c:pt idx="307">
                  <c:v>-7.11403834045702</c:v>
                </c:pt>
                <c:pt idx="308">
                  <c:v>-7.11403834045702</c:v>
                </c:pt>
                <c:pt idx="309">
                  <c:v>-7.11403834045702</c:v>
                </c:pt>
                <c:pt idx="310">
                  <c:v>-7.11403834045702</c:v>
                </c:pt>
                <c:pt idx="311">
                  <c:v>-7.11403834045702</c:v>
                </c:pt>
                <c:pt idx="312">
                  <c:v>-7.11403834045702</c:v>
                </c:pt>
                <c:pt idx="313">
                  <c:v>-7.11403834045702</c:v>
                </c:pt>
                <c:pt idx="314">
                  <c:v>-7.11403834045702</c:v>
                </c:pt>
                <c:pt idx="315">
                  <c:v>-7.11403834045702</c:v>
                </c:pt>
                <c:pt idx="316">
                  <c:v>-7.11403834045702</c:v>
                </c:pt>
                <c:pt idx="317">
                  <c:v>-7.11403834045702</c:v>
                </c:pt>
                <c:pt idx="318">
                  <c:v>4.14646586122364</c:v>
                </c:pt>
                <c:pt idx="319">
                  <c:v>4.14646586122364</c:v>
                </c:pt>
                <c:pt idx="320">
                  <c:v>4.14646586122364</c:v>
                </c:pt>
                <c:pt idx="321">
                  <c:v>4.14646586122364</c:v>
                </c:pt>
                <c:pt idx="322">
                  <c:v>4.14646586122364</c:v>
                </c:pt>
                <c:pt idx="323">
                  <c:v>4.14646586122364</c:v>
                </c:pt>
                <c:pt idx="324">
                  <c:v>4.14646586122364</c:v>
                </c:pt>
                <c:pt idx="325">
                  <c:v>4.14646586122364</c:v>
                </c:pt>
                <c:pt idx="326">
                  <c:v>4.14646586122364</c:v>
                </c:pt>
                <c:pt idx="327">
                  <c:v>4.14646586122364</c:v>
                </c:pt>
                <c:pt idx="328">
                  <c:v>4.14646586122364</c:v>
                </c:pt>
                <c:pt idx="329">
                  <c:v>4.14646586122364</c:v>
                </c:pt>
                <c:pt idx="330">
                  <c:v>4.14646586122364</c:v>
                </c:pt>
                <c:pt idx="331">
                  <c:v>4.14646586122364</c:v>
                </c:pt>
                <c:pt idx="332">
                  <c:v>4.14646586122364</c:v>
                </c:pt>
                <c:pt idx="333">
                  <c:v>4.14646586122364</c:v>
                </c:pt>
                <c:pt idx="334">
                  <c:v>4.14646586122364</c:v>
                </c:pt>
                <c:pt idx="335">
                  <c:v>4.14646586122364</c:v>
                </c:pt>
                <c:pt idx="336">
                  <c:v>4.14646586122364</c:v>
                </c:pt>
                <c:pt idx="337">
                  <c:v>4.14646586122364</c:v>
                </c:pt>
                <c:pt idx="338">
                  <c:v>4.14646586122364</c:v>
                </c:pt>
                <c:pt idx="339">
                  <c:v>4.14646586122364</c:v>
                </c:pt>
                <c:pt idx="340">
                  <c:v>4.14646586122364</c:v>
                </c:pt>
                <c:pt idx="341">
                  <c:v>4.14646586122364</c:v>
                </c:pt>
                <c:pt idx="342">
                  <c:v>4.14646586122364</c:v>
                </c:pt>
                <c:pt idx="343">
                  <c:v>4.14646586122364</c:v>
                </c:pt>
                <c:pt idx="344">
                  <c:v>4.14646586122364</c:v>
                </c:pt>
                <c:pt idx="345">
                  <c:v>4.14646586122364</c:v>
                </c:pt>
                <c:pt idx="346">
                  <c:v>4.14646586122364</c:v>
                </c:pt>
                <c:pt idx="347">
                  <c:v>4.14646586122364</c:v>
                </c:pt>
                <c:pt idx="348">
                  <c:v>4.14646586122364</c:v>
                </c:pt>
                <c:pt idx="349">
                  <c:v>4.14646586122364</c:v>
                </c:pt>
                <c:pt idx="350">
                  <c:v>4.14646586122364</c:v>
                </c:pt>
                <c:pt idx="351">
                  <c:v>4.14646586122364</c:v>
                </c:pt>
                <c:pt idx="352">
                  <c:v>4.14646586122364</c:v>
                </c:pt>
                <c:pt idx="353">
                  <c:v>4.14646586122364</c:v>
                </c:pt>
                <c:pt idx="354">
                  <c:v>4.14646586122364</c:v>
                </c:pt>
                <c:pt idx="355">
                  <c:v>4.14646586122364</c:v>
                </c:pt>
                <c:pt idx="356">
                  <c:v>4.14646586122364</c:v>
                </c:pt>
                <c:pt idx="357">
                  <c:v>4.14646586122364</c:v>
                </c:pt>
                <c:pt idx="358">
                  <c:v>4.14646586122364</c:v>
                </c:pt>
                <c:pt idx="359">
                  <c:v>4.14646586122364</c:v>
                </c:pt>
                <c:pt idx="360">
                  <c:v>4.14646586122364</c:v>
                </c:pt>
                <c:pt idx="361">
                  <c:v>4.14646586122364</c:v>
                </c:pt>
                <c:pt idx="362">
                  <c:v>4.14646586122364</c:v>
                </c:pt>
                <c:pt idx="363">
                  <c:v>4.14646586122364</c:v>
                </c:pt>
                <c:pt idx="364">
                  <c:v>4.14646586122364</c:v>
                </c:pt>
                <c:pt idx="365">
                  <c:v>4.14646586122364</c:v>
                </c:pt>
                <c:pt idx="366">
                  <c:v>4.14646586122364</c:v>
                </c:pt>
                <c:pt idx="367">
                  <c:v>4.14646586122364</c:v>
                </c:pt>
                <c:pt idx="368">
                  <c:v>10.9848125394318</c:v>
                </c:pt>
                <c:pt idx="369">
                  <c:v>10.9848125394318</c:v>
                </c:pt>
                <c:pt idx="370">
                  <c:v>10.9848125394318</c:v>
                </c:pt>
                <c:pt idx="371">
                  <c:v>10.9848125394318</c:v>
                </c:pt>
                <c:pt idx="372">
                  <c:v>10.9848125394318</c:v>
                </c:pt>
                <c:pt idx="373">
                  <c:v>10.9848125394318</c:v>
                </c:pt>
                <c:pt idx="374">
                  <c:v>10.9848125394318</c:v>
                </c:pt>
                <c:pt idx="375">
                  <c:v>18.6472342963928</c:v>
                </c:pt>
                <c:pt idx="376">
                  <c:v>18.6472342963928</c:v>
                </c:pt>
                <c:pt idx="377">
                  <c:v>18.6472342963928</c:v>
                </c:pt>
                <c:pt idx="378">
                  <c:v>18.6472342963928</c:v>
                </c:pt>
                <c:pt idx="379">
                  <c:v>18.6472342963928</c:v>
                </c:pt>
                <c:pt idx="380">
                  <c:v>18.6472342963928</c:v>
                </c:pt>
                <c:pt idx="381">
                  <c:v>18.6472342963928</c:v>
                </c:pt>
                <c:pt idx="382">
                  <c:v>18.6472342963928</c:v>
                </c:pt>
                <c:pt idx="383">
                  <c:v>18.6472342963928</c:v>
                </c:pt>
                <c:pt idx="384">
                  <c:v>18.6472342963928</c:v>
                </c:pt>
                <c:pt idx="385">
                  <c:v>18.6472342963928</c:v>
                </c:pt>
                <c:pt idx="386">
                  <c:v>18.6472342963928</c:v>
                </c:pt>
                <c:pt idx="387">
                  <c:v>18.6472342963928</c:v>
                </c:pt>
                <c:pt idx="388">
                  <c:v>18.6472342963928</c:v>
                </c:pt>
                <c:pt idx="389">
                  <c:v>18.6472342963928</c:v>
                </c:pt>
                <c:pt idx="390">
                  <c:v>18.6472342963928</c:v>
                </c:pt>
                <c:pt idx="391">
                  <c:v>18.6472342963928</c:v>
                </c:pt>
                <c:pt idx="392">
                  <c:v>18.6472342963928</c:v>
                </c:pt>
                <c:pt idx="393">
                  <c:v>18.6472342963928</c:v>
                </c:pt>
                <c:pt idx="394">
                  <c:v>18.6472342963928</c:v>
                </c:pt>
                <c:pt idx="395">
                  <c:v>18.6472342963928</c:v>
                </c:pt>
                <c:pt idx="396">
                  <c:v>18.6472342963928</c:v>
                </c:pt>
                <c:pt idx="397">
                  <c:v>18.6472342963928</c:v>
                </c:pt>
                <c:pt idx="398">
                  <c:v>18.6472342963928</c:v>
                </c:pt>
                <c:pt idx="399">
                  <c:v>18.6472342963928</c:v>
                </c:pt>
                <c:pt idx="400">
                  <c:v>18.6472342963928</c:v>
                </c:pt>
                <c:pt idx="401">
                  <c:v>18.6472342963928</c:v>
                </c:pt>
                <c:pt idx="402">
                  <c:v>18.6472342963928</c:v>
                </c:pt>
                <c:pt idx="403">
                  <c:v>18.6472342963928</c:v>
                </c:pt>
                <c:pt idx="404">
                  <c:v>18.6472342963928</c:v>
                </c:pt>
                <c:pt idx="405">
                  <c:v>14.9919396574916</c:v>
                </c:pt>
                <c:pt idx="406">
                  <c:v>14.9919396574916</c:v>
                </c:pt>
                <c:pt idx="407">
                  <c:v>14.9919396574916</c:v>
                </c:pt>
                <c:pt idx="408">
                  <c:v>14.9919396574916</c:v>
                </c:pt>
                <c:pt idx="409">
                  <c:v>14.9919396574916</c:v>
                </c:pt>
                <c:pt idx="410">
                  <c:v>14.9919396574916</c:v>
                </c:pt>
                <c:pt idx="411">
                  <c:v>14.9919396574916</c:v>
                </c:pt>
                <c:pt idx="412">
                  <c:v>14.9919396574916</c:v>
                </c:pt>
                <c:pt idx="413">
                  <c:v>14.9919396574916</c:v>
                </c:pt>
                <c:pt idx="414">
                  <c:v>14.9919396574916</c:v>
                </c:pt>
                <c:pt idx="415">
                  <c:v>14.9919396574916</c:v>
                </c:pt>
                <c:pt idx="416">
                  <c:v>14.9919396574916</c:v>
                </c:pt>
                <c:pt idx="417">
                  <c:v>14.9919396574916</c:v>
                </c:pt>
                <c:pt idx="418">
                  <c:v>14.9919396574916</c:v>
                </c:pt>
                <c:pt idx="419">
                  <c:v>14.9919396574916</c:v>
                </c:pt>
                <c:pt idx="420">
                  <c:v>14.9919396574916</c:v>
                </c:pt>
                <c:pt idx="421">
                  <c:v>14.9919396574916</c:v>
                </c:pt>
                <c:pt idx="422">
                  <c:v>14.9919396574916</c:v>
                </c:pt>
                <c:pt idx="423">
                  <c:v>14.9919396574916</c:v>
                </c:pt>
                <c:pt idx="424">
                  <c:v>25.3255819188447</c:v>
                </c:pt>
                <c:pt idx="425">
                  <c:v>25.3255819188447</c:v>
                </c:pt>
                <c:pt idx="426">
                  <c:v>25.3255819188447</c:v>
                </c:pt>
                <c:pt idx="427">
                  <c:v>25.3255819188447</c:v>
                </c:pt>
                <c:pt idx="428">
                  <c:v>25.3255819188447</c:v>
                </c:pt>
                <c:pt idx="429">
                  <c:v>25.3255819188447</c:v>
                </c:pt>
                <c:pt idx="430">
                  <c:v>25.3255819188447</c:v>
                </c:pt>
                <c:pt idx="431">
                  <c:v>25.3255819188447</c:v>
                </c:pt>
                <c:pt idx="432">
                  <c:v>25.3255819188447</c:v>
                </c:pt>
                <c:pt idx="433">
                  <c:v>29.3641317123279</c:v>
                </c:pt>
                <c:pt idx="434">
                  <c:v>29.3641317123279</c:v>
                </c:pt>
                <c:pt idx="435">
                  <c:v>29.3641317123279</c:v>
                </c:pt>
                <c:pt idx="436">
                  <c:v>29.3641317123279</c:v>
                </c:pt>
                <c:pt idx="437">
                  <c:v>29.3641317123279</c:v>
                </c:pt>
                <c:pt idx="438">
                  <c:v>29.3641317123279</c:v>
                </c:pt>
                <c:pt idx="439">
                  <c:v>29.3641317123279</c:v>
                </c:pt>
                <c:pt idx="440">
                  <c:v>29.3641317123279</c:v>
                </c:pt>
                <c:pt idx="441">
                  <c:v>29.3641317123279</c:v>
                </c:pt>
                <c:pt idx="442">
                  <c:v>29.3641317123279</c:v>
                </c:pt>
                <c:pt idx="443">
                  <c:v>29.3641317123279</c:v>
                </c:pt>
                <c:pt idx="444">
                  <c:v>29.3641317123279</c:v>
                </c:pt>
                <c:pt idx="445">
                  <c:v>29.3641317123279</c:v>
                </c:pt>
                <c:pt idx="446">
                  <c:v>29.3641317123279</c:v>
                </c:pt>
                <c:pt idx="447">
                  <c:v>29.3641317123279</c:v>
                </c:pt>
                <c:pt idx="448">
                  <c:v>29.3641317123279</c:v>
                </c:pt>
                <c:pt idx="449">
                  <c:v>29.3641317123279</c:v>
                </c:pt>
                <c:pt idx="450">
                  <c:v>29.3641317123279</c:v>
                </c:pt>
                <c:pt idx="451">
                  <c:v>29.3641317123279</c:v>
                </c:pt>
                <c:pt idx="452">
                  <c:v>29.3641317123279</c:v>
                </c:pt>
                <c:pt idx="453">
                  <c:v>29.3641317123279</c:v>
                </c:pt>
                <c:pt idx="454">
                  <c:v>29.3641317123279</c:v>
                </c:pt>
                <c:pt idx="455">
                  <c:v>29.3641317123279</c:v>
                </c:pt>
                <c:pt idx="456">
                  <c:v>29.3641317123279</c:v>
                </c:pt>
                <c:pt idx="457">
                  <c:v>29.3641317123279</c:v>
                </c:pt>
                <c:pt idx="458">
                  <c:v>29.3641317123279</c:v>
                </c:pt>
                <c:pt idx="459">
                  <c:v>29.3641317123279</c:v>
                </c:pt>
                <c:pt idx="460">
                  <c:v>29.3641317123279</c:v>
                </c:pt>
                <c:pt idx="461">
                  <c:v>29.3641317123279</c:v>
                </c:pt>
                <c:pt idx="462">
                  <c:v>29.3641317123279</c:v>
                </c:pt>
                <c:pt idx="463">
                  <c:v>29.3641317123279</c:v>
                </c:pt>
                <c:pt idx="464">
                  <c:v>29.3641317123279</c:v>
                </c:pt>
                <c:pt idx="465">
                  <c:v>29.3641317123279</c:v>
                </c:pt>
                <c:pt idx="466">
                  <c:v>29.3641317123279</c:v>
                </c:pt>
                <c:pt idx="467">
                  <c:v>29.3641317123279</c:v>
                </c:pt>
                <c:pt idx="468">
                  <c:v>29.3641317123279</c:v>
                </c:pt>
                <c:pt idx="469">
                  <c:v>29.3641317123279</c:v>
                </c:pt>
                <c:pt idx="470">
                  <c:v>29.3641317123279</c:v>
                </c:pt>
                <c:pt idx="471">
                  <c:v>29.3641317123279</c:v>
                </c:pt>
                <c:pt idx="472">
                  <c:v>29.3641317123279</c:v>
                </c:pt>
                <c:pt idx="473">
                  <c:v>29.3641317123279</c:v>
                </c:pt>
                <c:pt idx="474">
                  <c:v>30.7085619299976</c:v>
                </c:pt>
                <c:pt idx="475">
                  <c:v>30.7085619299976</c:v>
                </c:pt>
                <c:pt idx="476">
                  <c:v>30.7085619299976</c:v>
                </c:pt>
                <c:pt idx="477">
                  <c:v>30.7085619299976</c:v>
                </c:pt>
                <c:pt idx="478">
                  <c:v>30.7085619299976</c:v>
                </c:pt>
                <c:pt idx="479">
                  <c:v>30.7085619299976</c:v>
                </c:pt>
                <c:pt idx="480">
                  <c:v>30.7085619299976</c:v>
                </c:pt>
                <c:pt idx="481">
                  <c:v>30.7085619299976</c:v>
                </c:pt>
                <c:pt idx="482">
                  <c:v>30.7085619299976</c:v>
                </c:pt>
                <c:pt idx="483">
                  <c:v>30.7085619299976</c:v>
                </c:pt>
                <c:pt idx="484">
                  <c:v>30.7085619299976</c:v>
                </c:pt>
                <c:pt idx="485">
                  <c:v>30.7085619299976</c:v>
                </c:pt>
                <c:pt idx="486">
                  <c:v>30.7085619299976</c:v>
                </c:pt>
                <c:pt idx="487">
                  <c:v>30.7085619299976</c:v>
                </c:pt>
                <c:pt idx="488">
                  <c:v>30.7085619299976</c:v>
                </c:pt>
                <c:pt idx="489">
                  <c:v>30.7085619299976</c:v>
                </c:pt>
                <c:pt idx="490">
                  <c:v>30.7085619299976</c:v>
                </c:pt>
                <c:pt idx="491">
                  <c:v>30.7085619299976</c:v>
                </c:pt>
                <c:pt idx="492">
                  <c:v>30.7085619299976</c:v>
                </c:pt>
                <c:pt idx="493">
                  <c:v>30.7085619299976</c:v>
                </c:pt>
                <c:pt idx="494">
                  <c:v>30.7085619299976</c:v>
                </c:pt>
                <c:pt idx="495">
                  <c:v>30.7085619299976</c:v>
                </c:pt>
                <c:pt idx="496">
                  <c:v>30.7085619299976</c:v>
                </c:pt>
                <c:pt idx="497">
                  <c:v>30.7085619299976</c:v>
                </c:pt>
                <c:pt idx="498">
                  <c:v>30.7085619299976</c:v>
                </c:pt>
                <c:pt idx="499">
                  <c:v>30.7085619299976</c:v>
                </c:pt>
                <c:pt idx="500">
                  <c:v>30.7085619299976</c:v>
                </c:pt>
                <c:pt idx="501">
                  <c:v>30.7085619299976</c:v>
                </c:pt>
                <c:pt idx="502">
                  <c:v>30.7085619299976</c:v>
                </c:pt>
                <c:pt idx="503">
                  <c:v>30.7085619299976</c:v>
                </c:pt>
                <c:pt idx="504">
                  <c:v>30.7085619299976</c:v>
                </c:pt>
                <c:pt idx="505">
                  <c:v>30.7085619299976</c:v>
                </c:pt>
                <c:pt idx="506">
                  <c:v>30.7085619299976</c:v>
                </c:pt>
                <c:pt idx="507">
                  <c:v>30.7085619299976</c:v>
                </c:pt>
                <c:pt idx="508">
                  <c:v>30.7085619299976</c:v>
                </c:pt>
                <c:pt idx="509">
                  <c:v>30.7085619299976</c:v>
                </c:pt>
                <c:pt idx="510">
                  <c:v>30.7085619299976</c:v>
                </c:pt>
                <c:pt idx="511">
                  <c:v>30.7085619299976</c:v>
                </c:pt>
                <c:pt idx="512">
                  <c:v>30.7085619299976</c:v>
                </c:pt>
                <c:pt idx="513">
                  <c:v>30.7085619299976</c:v>
                </c:pt>
                <c:pt idx="514">
                  <c:v>30.7085619299976</c:v>
                </c:pt>
                <c:pt idx="515">
                  <c:v>30.7085619299976</c:v>
                </c:pt>
                <c:pt idx="516">
                  <c:v>30.7085619299976</c:v>
                </c:pt>
                <c:pt idx="517">
                  <c:v>30.7085619299976</c:v>
                </c:pt>
                <c:pt idx="518">
                  <c:v>30.7085619299976</c:v>
                </c:pt>
                <c:pt idx="519">
                  <c:v>30.7085619299976</c:v>
                </c:pt>
                <c:pt idx="520">
                  <c:v>30.7085619299976</c:v>
                </c:pt>
                <c:pt idx="521">
                  <c:v>30.7085619299976</c:v>
                </c:pt>
                <c:pt idx="522">
                  <c:v>30.7085619299976</c:v>
                </c:pt>
                <c:pt idx="523">
                  <c:v>30.7085619299976</c:v>
                </c:pt>
                <c:pt idx="524">
                  <c:v>30.7085619299976</c:v>
                </c:pt>
                <c:pt idx="525">
                  <c:v>30.7085619299976</c:v>
                </c:pt>
                <c:pt idx="526">
                  <c:v>30.7085619299976</c:v>
                </c:pt>
                <c:pt idx="527">
                  <c:v>30.7085619299976</c:v>
                </c:pt>
                <c:pt idx="528">
                  <c:v>30.7085619299976</c:v>
                </c:pt>
                <c:pt idx="529">
                  <c:v>30.7085619299976</c:v>
                </c:pt>
                <c:pt idx="530">
                  <c:v>30.7085619299976</c:v>
                </c:pt>
                <c:pt idx="531">
                  <c:v>30.7085619299976</c:v>
                </c:pt>
                <c:pt idx="532">
                  <c:v>30.7085619299976</c:v>
                </c:pt>
                <c:pt idx="533">
                  <c:v>30.7085619299976</c:v>
                </c:pt>
                <c:pt idx="534">
                  <c:v>30.7085619299976</c:v>
                </c:pt>
                <c:pt idx="535">
                  <c:v>30.7085619299976</c:v>
                </c:pt>
                <c:pt idx="536">
                  <c:v>30.7085619299976</c:v>
                </c:pt>
                <c:pt idx="537">
                  <c:v>30.7085619299976</c:v>
                </c:pt>
                <c:pt idx="538">
                  <c:v>30.7085619299976</c:v>
                </c:pt>
                <c:pt idx="539">
                  <c:v>30.7085619299976</c:v>
                </c:pt>
                <c:pt idx="540">
                  <c:v>30.7085619299976</c:v>
                </c:pt>
                <c:pt idx="541">
                  <c:v>30.7085619299976</c:v>
                </c:pt>
                <c:pt idx="542">
                  <c:v>30.7085619299976</c:v>
                </c:pt>
                <c:pt idx="543">
                  <c:v>30.7085619299976</c:v>
                </c:pt>
                <c:pt idx="544">
                  <c:v>30.7085619299976</c:v>
                </c:pt>
                <c:pt idx="545">
                  <c:v>30.7085619299976</c:v>
                </c:pt>
                <c:pt idx="546">
                  <c:v>30.7085619299976</c:v>
                </c:pt>
                <c:pt idx="547">
                  <c:v>30.7085619299976</c:v>
                </c:pt>
                <c:pt idx="548">
                  <c:v>30.7085619299976</c:v>
                </c:pt>
                <c:pt idx="549">
                  <c:v>30.7085619299976</c:v>
                </c:pt>
                <c:pt idx="550">
                  <c:v>30.7085619299976</c:v>
                </c:pt>
                <c:pt idx="551">
                  <c:v>30.7085619299976</c:v>
                </c:pt>
                <c:pt idx="552">
                  <c:v>30.7085619299976</c:v>
                </c:pt>
                <c:pt idx="553">
                  <c:v>30.7085619299976</c:v>
                </c:pt>
                <c:pt idx="554">
                  <c:v>30.7085619299976</c:v>
                </c:pt>
                <c:pt idx="555">
                  <c:v>30.7085619299976</c:v>
                </c:pt>
                <c:pt idx="556">
                  <c:v>30.7085619299976</c:v>
                </c:pt>
                <c:pt idx="557">
                  <c:v>30.7085619299976</c:v>
                </c:pt>
                <c:pt idx="558">
                  <c:v>30.7085619299976</c:v>
                </c:pt>
                <c:pt idx="559">
                  <c:v>30.7085619299976</c:v>
                </c:pt>
                <c:pt idx="560">
                  <c:v>30.7085619299976</c:v>
                </c:pt>
                <c:pt idx="561">
                  <c:v>29.1771379045402</c:v>
                </c:pt>
                <c:pt idx="562">
                  <c:v>29.1771379045402</c:v>
                </c:pt>
                <c:pt idx="563">
                  <c:v>29.1771379045402</c:v>
                </c:pt>
                <c:pt idx="564">
                  <c:v>29.1771379045402</c:v>
                </c:pt>
                <c:pt idx="565">
                  <c:v>29.1771379045402</c:v>
                </c:pt>
                <c:pt idx="566">
                  <c:v>29.1771379045402</c:v>
                </c:pt>
                <c:pt idx="567">
                  <c:v>29.1771379045402</c:v>
                </c:pt>
                <c:pt idx="568">
                  <c:v>29.1771379045402</c:v>
                </c:pt>
                <c:pt idx="569">
                  <c:v>29.1771379045402</c:v>
                </c:pt>
                <c:pt idx="570">
                  <c:v>29.1771379045402</c:v>
                </c:pt>
                <c:pt idx="571">
                  <c:v>29.1771379045402</c:v>
                </c:pt>
                <c:pt idx="572">
                  <c:v>29.1771379045402</c:v>
                </c:pt>
                <c:pt idx="573">
                  <c:v>29.1771379045402</c:v>
                </c:pt>
                <c:pt idx="574">
                  <c:v>29.1771379045402</c:v>
                </c:pt>
                <c:pt idx="575">
                  <c:v>29.1771379045402</c:v>
                </c:pt>
                <c:pt idx="576">
                  <c:v>29.1771379045402</c:v>
                </c:pt>
                <c:pt idx="577">
                  <c:v>29.1771379045402</c:v>
                </c:pt>
                <c:pt idx="578">
                  <c:v>29.1771379045402</c:v>
                </c:pt>
                <c:pt idx="579">
                  <c:v>29.1771379045402</c:v>
                </c:pt>
                <c:pt idx="580">
                  <c:v>29.1771379045402</c:v>
                </c:pt>
                <c:pt idx="581">
                  <c:v>29.1771379045402</c:v>
                </c:pt>
                <c:pt idx="582">
                  <c:v>29.1771379045402</c:v>
                </c:pt>
                <c:pt idx="583">
                  <c:v>29.1771379045402</c:v>
                </c:pt>
                <c:pt idx="584">
                  <c:v>29.1771379045402</c:v>
                </c:pt>
                <c:pt idx="585">
                  <c:v>29.1771379045402</c:v>
                </c:pt>
                <c:pt idx="586">
                  <c:v>29.1771379045402</c:v>
                </c:pt>
                <c:pt idx="587">
                  <c:v>29.1771379045402</c:v>
                </c:pt>
                <c:pt idx="588">
                  <c:v>29.1771379045402</c:v>
                </c:pt>
                <c:pt idx="589">
                  <c:v>29.1771379045402</c:v>
                </c:pt>
                <c:pt idx="590">
                  <c:v>29.1771379045402</c:v>
                </c:pt>
                <c:pt idx="591">
                  <c:v>29.1771379045402</c:v>
                </c:pt>
                <c:pt idx="592">
                  <c:v>29.1771379045402</c:v>
                </c:pt>
                <c:pt idx="593">
                  <c:v>31.6739906112124</c:v>
                </c:pt>
                <c:pt idx="594">
                  <c:v>31.6739906112124</c:v>
                </c:pt>
                <c:pt idx="595">
                  <c:v>31.6739906112124</c:v>
                </c:pt>
                <c:pt idx="596">
                  <c:v>31.6739906112124</c:v>
                </c:pt>
                <c:pt idx="597">
                  <c:v>31.6739906112124</c:v>
                </c:pt>
                <c:pt idx="598">
                  <c:v>31.6739906112124</c:v>
                </c:pt>
                <c:pt idx="599">
                  <c:v>31.6739906112124</c:v>
                </c:pt>
                <c:pt idx="600">
                  <c:v>31.6739906112124</c:v>
                </c:pt>
                <c:pt idx="601">
                  <c:v>31.6739906112124</c:v>
                </c:pt>
                <c:pt idx="602">
                  <c:v>31.6739906112124</c:v>
                </c:pt>
                <c:pt idx="603">
                  <c:v>31.6739906112124</c:v>
                </c:pt>
                <c:pt idx="604">
                  <c:v>31.6739906112124</c:v>
                </c:pt>
                <c:pt idx="605">
                  <c:v>31.6739906112124</c:v>
                </c:pt>
                <c:pt idx="606">
                  <c:v>31.6739906112124</c:v>
                </c:pt>
                <c:pt idx="607">
                  <c:v>31.6739906112124</c:v>
                </c:pt>
                <c:pt idx="608">
                  <c:v>31.6739906112124</c:v>
                </c:pt>
                <c:pt idx="609">
                  <c:v>31.6739906112124</c:v>
                </c:pt>
                <c:pt idx="610">
                  <c:v>31.6739906112124</c:v>
                </c:pt>
                <c:pt idx="611">
                  <c:v>31.6739906112124</c:v>
                </c:pt>
                <c:pt idx="612">
                  <c:v>31.6739906112124</c:v>
                </c:pt>
                <c:pt idx="613">
                  <c:v>31.6739906112124</c:v>
                </c:pt>
                <c:pt idx="614">
                  <c:v>31.6739906112124</c:v>
                </c:pt>
                <c:pt idx="615">
                  <c:v>31.6739906112124</c:v>
                </c:pt>
                <c:pt idx="616">
                  <c:v>31.6739906112124</c:v>
                </c:pt>
                <c:pt idx="617">
                  <c:v>31.6739906112124</c:v>
                </c:pt>
                <c:pt idx="618">
                  <c:v>31.6739906112124</c:v>
                </c:pt>
                <c:pt idx="619">
                  <c:v>31.6739906112124</c:v>
                </c:pt>
                <c:pt idx="620">
                  <c:v>31.6739906112124</c:v>
                </c:pt>
                <c:pt idx="621">
                  <c:v>31.6739906112124</c:v>
                </c:pt>
                <c:pt idx="622">
                  <c:v>31.6739906112124</c:v>
                </c:pt>
                <c:pt idx="623">
                  <c:v>31.6739906112124</c:v>
                </c:pt>
                <c:pt idx="624">
                  <c:v>31.6739906112124</c:v>
                </c:pt>
                <c:pt idx="625">
                  <c:v>31.6739906112124</c:v>
                </c:pt>
                <c:pt idx="626">
                  <c:v>32.3739031221486</c:v>
                </c:pt>
                <c:pt idx="627">
                  <c:v>32.3739031221486</c:v>
                </c:pt>
                <c:pt idx="628">
                  <c:v>32.3739031221486</c:v>
                </c:pt>
                <c:pt idx="629">
                  <c:v>32.3739031221486</c:v>
                </c:pt>
                <c:pt idx="630">
                  <c:v>32.3739031221486</c:v>
                </c:pt>
                <c:pt idx="631">
                  <c:v>32.3739031221486</c:v>
                </c:pt>
                <c:pt idx="632">
                  <c:v>32.3739031221486</c:v>
                </c:pt>
                <c:pt idx="633">
                  <c:v>32.3739031221486</c:v>
                </c:pt>
                <c:pt idx="634">
                  <c:v>32.3739031221486</c:v>
                </c:pt>
                <c:pt idx="635">
                  <c:v>32.3739031221486</c:v>
                </c:pt>
                <c:pt idx="636">
                  <c:v>32.3739031221486</c:v>
                </c:pt>
                <c:pt idx="637">
                  <c:v>32.3739031221486</c:v>
                </c:pt>
                <c:pt idx="638">
                  <c:v>32.3739031221486</c:v>
                </c:pt>
                <c:pt idx="639">
                  <c:v>32.3739031221486</c:v>
                </c:pt>
                <c:pt idx="640">
                  <c:v>32.3739031221486</c:v>
                </c:pt>
                <c:pt idx="641">
                  <c:v>32.3739031221486</c:v>
                </c:pt>
                <c:pt idx="642">
                  <c:v>32.3739031221486</c:v>
                </c:pt>
                <c:pt idx="643">
                  <c:v>32.3739031221486</c:v>
                </c:pt>
                <c:pt idx="644">
                  <c:v>32.3739031221486</c:v>
                </c:pt>
                <c:pt idx="645">
                  <c:v>32.3739031221486</c:v>
                </c:pt>
                <c:pt idx="646">
                  <c:v>32.3739031221486</c:v>
                </c:pt>
                <c:pt idx="647">
                  <c:v>32.3739031221486</c:v>
                </c:pt>
                <c:pt idx="648">
                  <c:v>32.3739031221486</c:v>
                </c:pt>
                <c:pt idx="649">
                  <c:v>32.3739031221486</c:v>
                </c:pt>
                <c:pt idx="650">
                  <c:v>32.3739031221486</c:v>
                </c:pt>
                <c:pt idx="651">
                  <c:v>32.3739031221486</c:v>
                </c:pt>
                <c:pt idx="652">
                  <c:v>32.3739031221486</c:v>
                </c:pt>
                <c:pt idx="653">
                  <c:v>32.3739031221486</c:v>
                </c:pt>
                <c:pt idx="654">
                  <c:v>32.3739031221486</c:v>
                </c:pt>
                <c:pt idx="655">
                  <c:v>32.3739031221486</c:v>
                </c:pt>
                <c:pt idx="656">
                  <c:v>32.3739031221486</c:v>
                </c:pt>
                <c:pt idx="657">
                  <c:v>32.3739031221486</c:v>
                </c:pt>
                <c:pt idx="658">
                  <c:v>32.3739031221486</c:v>
                </c:pt>
                <c:pt idx="659">
                  <c:v>32.3739031221486</c:v>
                </c:pt>
                <c:pt idx="660">
                  <c:v>32.3739031221486</c:v>
                </c:pt>
                <c:pt idx="661">
                  <c:v>32.3739031221486</c:v>
                </c:pt>
                <c:pt idx="662">
                  <c:v>32.3739031221486</c:v>
                </c:pt>
                <c:pt idx="663">
                  <c:v>32.3739031221486</c:v>
                </c:pt>
                <c:pt idx="664">
                  <c:v>32.3739031221486</c:v>
                </c:pt>
                <c:pt idx="665">
                  <c:v>32.3739031221486</c:v>
                </c:pt>
                <c:pt idx="666">
                  <c:v>32.3739031221486</c:v>
                </c:pt>
                <c:pt idx="667">
                  <c:v>32.3739031221486</c:v>
                </c:pt>
                <c:pt idx="668">
                  <c:v>32.3739031221486</c:v>
                </c:pt>
                <c:pt idx="669">
                  <c:v>32.3739031221486</c:v>
                </c:pt>
                <c:pt idx="670">
                  <c:v>32.3739031221486</c:v>
                </c:pt>
                <c:pt idx="671">
                  <c:v>32.3739031221486</c:v>
                </c:pt>
                <c:pt idx="672">
                  <c:v>32.3739031221486</c:v>
                </c:pt>
                <c:pt idx="673">
                  <c:v>32.3739031221486</c:v>
                </c:pt>
                <c:pt idx="674">
                  <c:v>32.3739031221486</c:v>
                </c:pt>
                <c:pt idx="675">
                  <c:v>32.3739031221486</c:v>
                </c:pt>
                <c:pt idx="676">
                  <c:v>32.3739031221486</c:v>
                </c:pt>
                <c:pt idx="677">
                  <c:v>32.3739031221486</c:v>
                </c:pt>
                <c:pt idx="678">
                  <c:v>32.3739031221486</c:v>
                </c:pt>
                <c:pt idx="679">
                  <c:v>32.3739031221486</c:v>
                </c:pt>
                <c:pt idx="680">
                  <c:v>32.3739031221486</c:v>
                </c:pt>
                <c:pt idx="681">
                  <c:v>32.3739031221486</c:v>
                </c:pt>
                <c:pt idx="682">
                  <c:v>32.3739031221486</c:v>
                </c:pt>
                <c:pt idx="683">
                  <c:v>32.3739031221486</c:v>
                </c:pt>
                <c:pt idx="684">
                  <c:v>32.3739031221486</c:v>
                </c:pt>
                <c:pt idx="685">
                  <c:v>32.3739031221486</c:v>
                </c:pt>
                <c:pt idx="686">
                  <c:v>32.3739031221486</c:v>
                </c:pt>
                <c:pt idx="687">
                  <c:v>32.3739031221486</c:v>
                </c:pt>
                <c:pt idx="688">
                  <c:v>32.3739031221486</c:v>
                </c:pt>
                <c:pt idx="689">
                  <c:v>32.3739031221486</c:v>
                </c:pt>
                <c:pt idx="690">
                  <c:v>32.3739031221486</c:v>
                </c:pt>
                <c:pt idx="691">
                  <c:v>32.3739031221486</c:v>
                </c:pt>
                <c:pt idx="692">
                  <c:v>32.3739031221486</c:v>
                </c:pt>
                <c:pt idx="693">
                  <c:v>32.3739031221486</c:v>
                </c:pt>
                <c:pt idx="694">
                  <c:v>32.3739031221486</c:v>
                </c:pt>
                <c:pt idx="695">
                  <c:v>32.3739031221486</c:v>
                </c:pt>
                <c:pt idx="696">
                  <c:v>32.3739031221486</c:v>
                </c:pt>
                <c:pt idx="697">
                  <c:v>32.3739031221486</c:v>
                </c:pt>
                <c:pt idx="698">
                  <c:v>32.3739031221486</c:v>
                </c:pt>
                <c:pt idx="699">
                  <c:v>32.3739031221486</c:v>
                </c:pt>
                <c:pt idx="700">
                  <c:v>32.3739031221486</c:v>
                </c:pt>
                <c:pt idx="701">
                  <c:v>32.3739031221486</c:v>
                </c:pt>
                <c:pt idx="702">
                  <c:v>32.3739031221486</c:v>
                </c:pt>
                <c:pt idx="703">
                  <c:v>32.3739031221486</c:v>
                </c:pt>
                <c:pt idx="704">
                  <c:v>32.3739031221486</c:v>
                </c:pt>
                <c:pt idx="705">
                  <c:v>32.3739031221486</c:v>
                </c:pt>
                <c:pt idx="706">
                  <c:v>32.3739031221486</c:v>
                </c:pt>
                <c:pt idx="707">
                  <c:v>32.3739031221486</c:v>
                </c:pt>
                <c:pt idx="708">
                  <c:v>32.3739031221486</c:v>
                </c:pt>
                <c:pt idx="709">
                  <c:v>32.3739031221486</c:v>
                </c:pt>
                <c:pt idx="710">
                  <c:v>32.3739031221486</c:v>
                </c:pt>
                <c:pt idx="711">
                  <c:v>32.3739031221486</c:v>
                </c:pt>
                <c:pt idx="712">
                  <c:v>32.3739031221486</c:v>
                </c:pt>
                <c:pt idx="713">
                  <c:v>32.3739031221486</c:v>
                </c:pt>
                <c:pt idx="714">
                  <c:v>32.3739031221486</c:v>
                </c:pt>
                <c:pt idx="715">
                  <c:v>32.3739031221486</c:v>
                </c:pt>
                <c:pt idx="716">
                  <c:v>32.3739031221486</c:v>
                </c:pt>
                <c:pt idx="717">
                  <c:v>32.3739031221486</c:v>
                </c:pt>
                <c:pt idx="718">
                  <c:v>32.3739031221486</c:v>
                </c:pt>
                <c:pt idx="719">
                  <c:v>32.3739031221486</c:v>
                </c:pt>
                <c:pt idx="720">
                  <c:v>32.3739031221486</c:v>
                </c:pt>
                <c:pt idx="721">
                  <c:v>32.3739031221486</c:v>
                </c:pt>
                <c:pt idx="722">
                  <c:v>32.3739031221486</c:v>
                </c:pt>
                <c:pt idx="723">
                  <c:v>32.3739031221486</c:v>
                </c:pt>
                <c:pt idx="724">
                  <c:v>32.3739031221486</c:v>
                </c:pt>
                <c:pt idx="725">
                  <c:v>32.3739031221486</c:v>
                </c:pt>
                <c:pt idx="726">
                  <c:v>32.3739031221486</c:v>
                </c:pt>
                <c:pt idx="727">
                  <c:v>32.3739031221486</c:v>
                </c:pt>
                <c:pt idx="728">
                  <c:v>32.3739031221486</c:v>
                </c:pt>
                <c:pt idx="729">
                  <c:v>32.3739031221486</c:v>
                </c:pt>
                <c:pt idx="730">
                  <c:v>32.3739031221486</c:v>
                </c:pt>
                <c:pt idx="731">
                  <c:v>32.3739031221486</c:v>
                </c:pt>
                <c:pt idx="732">
                  <c:v>32.3739031221486</c:v>
                </c:pt>
                <c:pt idx="733">
                  <c:v>32.3739031221486</c:v>
                </c:pt>
                <c:pt idx="734">
                  <c:v>32.3739031221486</c:v>
                </c:pt>
                <c:pt idx="735">
                  <c:v>32.3739031221486</c:v>
                </c:pt>
                <c:pt idx="736">
                  <c:v>32.3739031221486</c:v>
                </c:pt>
                <c:pt idx="737">
                  <c:v>32.3739031221486</c:v>
                </c:pt>
                <c:pt idx="738">
                  <c:v>32.3739031221486</c:v>
                </c:pt>
                <c:pt idx="739">
                  <c:v>32.3739031221486</c:v>
                </c:pt>
                <c:pt idx="740">
                  <c:v>32.3739031221486</c:v>
                </c:pt>
                <c:pt idx="741">
                  <c:v>32.3739031221486</c:v>
                </c:pt>
                <c:pt idx="742">
                  <c:v>32.3739031221486</c:v>
                </c:pt>
                <c:pt idx="743">
                  <c:v>32.3739031221486</c:v>
                </c:pt>
                <c:pt idx="744">
                  <c:v>32.3739031221486</c:v>
                </c:pt>
                <c:pt idx="745">
                  <c:v>32.3739031221486</c:v>
                </c:pt>
                <c:pt idx="746">
                  <c:v>32.3739031221486</c:v>
                </c:pt>
                <c:pt idx="747">
                  <c:v>32.3739031221486</c:v>
                </c:pt>
                <c:pt idx="748">
                  <c:v>32.3739031221486</c:v>
                </c:pt>
                <c:pt idx="749">
                  <c:v>32.3739031221486</c:v>
                </c:pt>
                <c:pt idx="750">
                  <c:v>32.3739031221486</c:v>
                </c:pt>
                <c:pt idx="751">
                  <c:v>32.3739031221486</c:v>
                </c:pt>
                <c:pt idx="752">
                  <c:v>32.3739031221486</c:v>
                </c:pt>
                <c:pt idx="753">
                  <c:v>32.3739031221486</c:v>
                </c:pt>
                <c:pt idx="754">
                  <c:v>32.3739031221486</c:v>
                </c:pt>
                <c:pt idx="755">
                  <c:v>32.3739031221486</c:v>
                </c:pt>
                <c:pt idx="756">
                  <c:v>32.3739031221486</c:v>
                </c:pt>
                <c:pt idx="757">
                  <c:v>32.3739031221486</c:v>
                </c:pt>
                <c:pt idx="758">
                  <c:v>32.3739031221486</c:v>
                </c:pt>
                <c:pt idx="759">
                  <c:v>32.3739031221486</c:v>
                </c:pt>
                <c:pt idx="760">
                  <c:v>32.3739031221486</c:v>
                </c:pt>
                <c:pt idx="761">
                  <c:v>32.3739031221486</c:v>
                </c:pt>
                <c:pt idx="762">
                  <c:v>32.3739031221486</c:v>
                </c:pt>
                <c:pt idx="763">
                  <c:v>32.3739031221486</c:v>
                </c:pt>
                <c:pt idx="764">
                  <c:v>32.3739031221486</c:v>
                </c:pt>
                <c:pt idx="765">
                  <c:v>32.3739031221486</c:v>
                </c:pt>
                <c:pt idx="766">
                  <c:v>32.3739031221486</c:v>
                </c:pt>
                <c:pt idx="767">
                  <c:v>32.3739031221486</c:v>
                </c:pt>
                <c:pt idx="768">
                  <c:v>32.3739031221486</c:v>
                </c:pt>
                <c:pt idx="769">
                  <c:v>32.3739031221486</c:v>
                </c:pt>
                <c:pt idx="770">
                  <c:v>32.3739031221486</c:v>
                </c:pt>
                <c:pt idx="771">
                  <c:v>32.3739031221486</c:v>
                </c:pt>
                <c:pt idx="772">
                  <c:v>32.3739031221486</c:v>
                </c:pt>
                <c:pt idx="773">
                  <c:v>32.3739031221486</c:v>
                </c:pt>
                <c:pt idx="774">
                  <c:v>32.3739031221486</c:v>
                </c:pt>
                <c:pt idx="775">
                  <c:v>32.3739031221486</c:v>
                </c:pt>
                <c:pt idx="776">
                  <c:v>32.3739031221486</c:v>
                </c:pt>
                <c:pt idx="777">
                  <c:v>32.3739031221486</c:v>
                </c:pt>
                <c:pt idx="778">
                  <c:v>32.3739031221486</c:v>
                </c:pt>
                <c:pt idx="779">
                  <c:v>32.3739031221486</c:v>
                </c:pt>
                <c:pt idx="780">
                  <c:v>32.3739031221486</c:v>
                </c:pt>
                <c:pt idx="781">
                  <c:v>32.3739031221486</c:v>
                </c:pt>
                <c:pt idx="782">
                  <c:v>32.3739031221486</c:v>
                </c:pt>
                <c:pt idx="783">
                  <c:v>32.3739031221486</c:v>
                </c:pt>
                <c:pt idx="784">
                  <c:v>32.3739031221486</c:v>
                </c:pt>
                <c:pt idx="785">
                  <c:v>32.3739031221486</c:v>
                </c:pt>
                <c:pt idx="786">
                  <c:v>32.3739031221486</c:v>
                </c:pt>
                <c:pt idx="787">
                  <c:v>32.3739031221486</c:v>
                </c:pt>
                <c:pt idx="788">
                  <c:v>32.3739031221486</c:v>
                </c:pt>
                <c:pt idx="789">
                  <c:v>39.7218760951215</c:v>
                </c:pt>
                <c:pt idx="790">
                  <c:v>39.7218760951215</c:v>
                </c:pt>
                <c:pt idx="791">
                  <c:v>39.7218760951215</c:v>
                </c:pt>
                <c:pt idx="792">
                  <c:v>39.7218760951215</c:v>
                </c:pt>
                <c:pt idx="793">
                  <c:v>39.7218760951215</c:v>
                </c:pt>
                <c:pt idx="794">
                  <c:v>39.7218760951215</c:v>
                </c:pt>
                <c:pt idx="795">
                  <c:v>39.7218760951215</c:v>
                </c:pt>
                <c:pt idx="796">
                  <c:v>39.7218760951215</c:v>
                </c:pt>
                <c:pt idx="797">
                  <c:v>39.7218760951215</c:v>
                </c:pt>
                <c:pt idx="798">
                  <c:v>39.7218760951215</c:v>
                </c:pt>
                <c:pt idx="799">
                  <c:v>39.7218760951215</c:v>
                </c:pt>
                <c:pt idx="800">
                  <c:v>39.7218760951215</c:v>
                </c:pt>
                <c:pt idx="801">
                  <c:v>39.7218760951215</c:v>
                </c:pt>
                <c:pt idx="802">
                  <c:v>39.7218760951215</c:v>
                </c:pt>
                <c:pt idx="803">
                  <c:v>39.7218760951215</c:v>
                </c:pt>
                <c:pt idx="804">
                  <c:v>39.7218760951215</c:v>
                </c:pt>
                <c:pt idx="805">
                  <c:v>39.7218760951215</c:v>
                </c:pt>
                <c:pt idx="806">
                  <c:v>39.7218760951215</c:v>
                </c:pt>
                <c:pt idx="807">
                  <c:v>39.7218760951215</c:v>
                </c:pt>
                <c:pt idx="808">
                  <c:v>39.7218760951215</c:v>
                </c:pt>
                <c:pt idx="809">
                  <c:v>39.7218760951215</c:v>
                </c:pt>
                <c:pt idx="810">
                  <c:v>39.7218760951215</c:v>
                </c:pt>
                <c:pt idx="811">
                  <c:v>39.7218760951215</c:v>
                </c:pt>
                <c:pt idx="812">
                  <c:v>39.7218760951215</c:v>
                </c:pt>
                <c:pt idx="813">
                  <c:v>39.7218760951215</c:v>
                </c:pt>
                <c:pt idx="814">
                  <c:v>39.7218760951215</c:v>
                </c:pt>
                <c:pt idx="815">
                  <c:v>39.7218760951215</c:v>
                </c:pt>
                <c:pt idx="816">
                  <c:v>39.7218760951215</c:v>
                </c:pt>
                <c:pt idx="817">
                  <c:v>39.7218760951215</c:v>
                </c:pt>
                <c:pt idx="818">
                  <c:v>39.7218760951215</c:v>
                </c:pt>
                <c:pt idx="819">
                  <c:v>39.7218760951215</c:v>
                </c:pt>
                <c:pt idx="820">
                  <c:v>39.7218760951215</c:v>
                </c:pt>
                <c:pt idx="821">
                  <c:v>39.7218760951215</c:v>
                </c:pt>
                <c:pt idx="822">
                  <c:v>39.7218760951215</c:v>
                </c:pt>
                <c:pt idx="823">
                  <c:v>39.7218760951215</c:v>
                </c:pt>
                <c:pt idx="824">
                  <c:v>39.7218760951215</c:v>
                </c:pt>
                <c:pt idx="825">
                  <c:v>39.7218760951215</c:v>
                </c:pt>
                <c:pt idx="826">
                  <c:v>39.7218760951215</c:v>
                </c:pt>
                <c:pt idx="827">
                  <c:v>39.7218760951215</c:v>
                </c:pt>
                <c:pt idx="828">
                  <c:v>39.7218760951215</c:v>
                </c:pt>
                <c:pt idx="829">
                  <c:v>39.7218760951215</c:v>
                </c:pt>
                <c:pt idx="830">
                  <c:v>39.7218760951215</c:v>
                </c:pt>
                <c:pt idx="831">
                  <c:v>39.7218760951215</c:v>
                </c:pt>
                <c:pt idx="832">
                  <c:v>39.7218760951215</c:v>
                </c:pt>
                <c:pt idx="833">
                  <c:v>39.7218760951215</c:v>
                </c:pt>
                <c:pt idx="834">
                  <c:v>39.7218760951215</c:v>
                </c:pt>
                <c:pt idx="835">
                  <c:v>39.7218760951215</c:v>
                </c:pt>
                <c:pt idx="836">
                  <c:v>39.7218760951215</c:v>
                </c:pt>
                <c:pt idx="837">
                  <c:v>39.7218760951215</c:v>
                </c:pt>
                <c:pt idx="838">
                  <c:v>39.7218760951215</c:v>
                </c:pt>
                <c:pt idx="839">
                  <c:v>39.7218760951215</c:v>
                </c:pt>
                <c:pt idx="840">
                  <c:v>39.7218760951215</c:v>
                </c:pt>
                <c:pt idx="841">
                  <c:v>39.7218760951215</c:v>
                </c:pt>
                <c:pt idx="842">
                  <c:v>39.7218760951215</c:v>
                </c:pt>
                <c:pt idx="843">
                  <c:v>39.7218760951215</c:v>
                </c:pt>
                <c:pt idx="844">
                  <c:v>39.7218760951215</c:v>
                </c:pt>
                <c:pt idx="845">
                  <c:v>39.7218760951215</c:v>
                </c:pt>
                <c:pt idx="846">
                  <c:v>39.7218760951215</c:v>
                </c:pt>
                <c:pt idx="847">
                  <c:v>39.7218760951215</c:v>
                </c:pt>
                <c:pt idx="848">
                  <c:v>39.7218760951215</c:v>
                </c:pt>
                <c:pt idx="849">
                  <c:v>39.7218760951215</c:v>
                </c:pt>
                <c:pt idx="850">
                  <c:v>39.7218760951215</c:v>
                </c:pt>
                <c:pt idx="851">
                  <c:v>39.7218760951215</c:v>
                </c:pt>
                <c:pt idx="852">
                  <c:v>39.7218760951215</c:v>
                </c:pt>
                <c:pt idx="853">
                  <c:v>39.7218760951215</c:v>
                </c:pt>
                <c:pt idx="854">
                  <c:v>39.7218760951215</c:v>
                </c:pt>
                <c:pt idx="855">
                  <c:v>39.7218760951215</c:v>
                </c:pt>
                <c:pt idx="856">
                  <c:v>39.7218760951215</c:v>
                </c:pt>
                <c:pt idx="857">
                  <c:v>39.7218760951215</c:v>
                </c:pt>
                <c:pt idx="858">
                  <c:v>39.7218760951215</c:v>
                </c:pt>
                <c:pt idx="859">
                  <c:v>39.7218760951215</c:v>
                </c:pt>
                <c:pt idx="860">
                  <c:v>39.7218760951215</c:v>
                </c:pt>
                <c:pt idx="861">
                  <c:v>39.7218760951215</c:v>
                </c:pt>
                <c:pt idx="862">
                  <c:v>39.7218760951215</c:v>
                </c:pt>
                <c:pt idx="863">
                  <c:v>39.7218760951215</c:v>
                </c:pt>
                <c:pt idx="864">
                  <c:v>39.7218760951215</c:v>
                </c:pt>
                <c:pt idx="865">
                  <c:v>39.7218760951215</c:v>
                </c:pt>
                <c:pt idx="866">
                  <c:v>39.7218760951215</c:v>
                </c:pt>
                <c:pt idx="867">
                  <c:v>39.7218760951215</c:v>
                </c:pt>
                <c:pt idx="868">
                  <c:v>39.7218760951215</c:v>
                </c:pt>
                <c:pt idx="869">
                  <c:v>39.7218760951215</c:v>
                </c:pt>
                <c:pt idx="870">
                  <c:v>39.7218760951215</c:v>
                </c:pt>
                <c:pt idx="871">
                  <c:v>39.7218760951215</c:v>
                </c:pt>
                <c:pt idx="872">
                  <c:v>43.9309628600509</c:v>
                </c:pt>
                <c:pt idx="873">
                  <c:v>43.9309628600509</c:v>
                </c:pt>
                <c:pt idx="874">
                  <c:v>43.9309628600509</c:v>
                </c:pt>
                <c:pt idx="875">
                  <c:v>43.9309628600509</c:v>
                </c:pt>
                <c:pt idx="876">
                  <c:v>43.9309628600509</c:v>
                </c:pt>
                <c:pt idx="877">
                  <c:v>43.9309628600509</c:v>
                </c:pt>
                <c:pt idx="878">
                  <c:v>43.9309628600509</c:v>
                </c:pt>
                <c:pt idx="879">
                  <c:v>43.9309628600509</c:v>
                </c:pt>
                <c:pt idx="880">
                  <c:v>43.9309628600509</c:v>
                </c:pt>
                <c:pt idx="881">
                  <c:v>43.9309628600509</c:v>
                </c:pt>
                <c:pt idx="882">
                  <c:v>43.9309628600509</c:v>
                </c:pt>
                <c:pt idx="883">
                  <c:v>43.9309628600509</c:v>
                </c:pt>
                <c:pt idx="884">
                  <c:v>43.9309628600509</c:v>
                </c:pt>
                <c:pt idx="885">
                  <c:v>43.9309628600509</c:v>
                </c:pt>
                <c:pt idx="886">
                  <c:v>43.9309628600509</c:v>
                </c:pt>
                <c:pt idx="887">
                  <c:v>43.9309628600509</c:v>
                </c:pt>
                <c:pt idx="888">
                  <c:v>43.9309628600509</c:v>
                </c:pt>
                <c:pt idx="889">
                  <c:v>43.9309628600509</c:v>
                </c:pt>
                <c:pt idx="890">
                  <c:v>43.9309628600509</c:v>
                </c:pt>
                <c:pt idx="891">
                  <c:v>43.9309628600509</c:v>
                </c:pt>
                <c:pt idx="892">
                  <c:v>43.9309628600509</c:v>
                </c:pt>
                <c:pt idx="893">
                  <c:v>43.9309628600509</c:v>
                </c:pt>
                <c:pt idx="894">
                  <c:v>43.9309628600509</c:v>
                </c:pt>
                <c:pt idx="895">
                  <c:v>43.9309628600509</c:v>
                </c:pt>
                <c:pt idx="896">
                  <c:v>43.9309628600509</c:v>
                </c:pt>
                <c:pt idx="897">
                  <c:v>43.9309628600509</c:v>
                </c:pt>
                <c:pt idx="898">
                  <c:v>43.9309628600509</c:v>
                </c:pt>
                <c:pt idx="899">
                  <c:v>43.9309628600509</c:v>
                </c:pt>
                <c:pt idx="900">
                  <c:v>43.9309628600509</c:v>
                </c:pt>
                <c:pt idx="901">
                  <c:v>43.9309628600509</c:v>
                </c:pt>
                <c:pt idx="902">
                  <c:v>43.9309628600509</c:v>
                </c:pt>
                <c:pt idx="903">
                  <c:v>43.9309628600509</c:v>
                </c:pt>
                <c:pt idx="904">
                  <c:v>43.9309628600509</c:v>
                </c:pt>
                <c:pt idx="905">
                  <c:v>43.9309628600509</c:v>
                </c:pt>
                <c:pt idx="906">
                  <c:v>43.9309628600509</c:v>
                </c:pt>
                <c:pt idx="907">
                  <c:v>43.9309628600509</c:v>
                </c:pt>
                <c:pt idx="908">
                  <c:v>43.9309628600509</c:v>
                </c:pt>
                <c:pt idx="909">
                  <c:v>43.9309628600509</c:v>
                </c:pt>
                <c:pt idx="910">
                  <c:v>43.9309628600509</c:v>
                </c:pt>
                <c:pt idx="911">
                  <c:v>43.9309628600509</c:v>
                </c:pt>
                <c:pt idx="912">
                  <c:v>43.9309628600509</c:v>
                </c:pt>
                <c:pt idx="913">
                  <c:v>43.9309628600509</c:v>
                </c:pt>
                <c:pt idx="914">
                  <c:v>43.9309628600509</c:v>
                </c:pt>
                <c:pt idx="915">
                  <c:v>43.9309628600509</c:v>
                </c:pt>
                <c:pt idx="916">
                  <c:v>43.9309628600509</c:v>
                </c:pt>
                <c:pt idx="917">
                  <c:v>43.9309628600509</c:v>
                </c:pt>
                <c:pt idx="918">
                  <c:v>43.9309628600509</c:v>
                </c:pt>
                <c:pt idx="919">
                  <c:v>43.9309628600509</c:v>
                </c:pt>
                <c:pt idx="920">
                  <c:v>43.9309628600509</c:v>
                </c:pt>
                <c:pt idx="921">
                  <c:v>43.9309628600509</c:v>
                </c:pt>
                <c:pt idx="922">
                  <c:v>43.9309628600509</c:v>
                </c:pt>
                <c:pt idx="923">
                  <c:v>43.9309628600509</c:v>
                </c:pt>
                <c:pt idx="924">
                  <c:v>43.9309628600509</c:v>
                </c:pt>
                <c:pt idx="925">
                  <c:v>43.9309628600509</c:v>
                </c:pt>
                <c:pt idx="926">
                  <c:v>43.9309628600509</c:v>
                </c:pt>
                <c:pt idx="927">
                  <c:v>43.9309628600509</c:v>
                </c:pt>
                <c:pt idx="928">
                  <c:v>43.9309628600509</c:v>
                </c:pt>
                <c:pt idx="929">
                  <c:v>43.9309628600509</c:v>
                </c:pt>
                <c:pt idx="930">
                  <c:v>43.9309628600509</c:v>
                </c:pt>
                <c:pt idx="931">
                  <c:v>43.9309628600509</c:v>
                </c:pt>
                <c:pt idx="932">
                  <c:v>43.9309628600509</c:v>
                </c:pt>
                <c:pt idx="933">
                  <c:v>43.9309628600509</c:v>
                </c:pt>
                <c:pt idx="934">
                  <c:v>43.9309628600509</c:v>
                </c:pt>
                <c:pt idx="935">
                  <c:v>43.9309628600509</c:v>
                </c:pt>
                <c:pt idx="936">
                  <c:v>43.9309628600509</c:v>
                </c:pt>
                <c:pt idx="937">
                  <c:v>43.9309628600509</c:v>
                </c:pt>
                <c:pt idx="938">
                  <c:v>43.9309628600509</c:v>
                </c:pt>
                <c:pt idx="939">
                  <c:v>43.9309628600509</c:v>
                </c:pt>
                <c:pt idx="940">
                  <c:v>43.9309628600509</c:v>
                </c:pt>
                <c:pt idx="941">
                  <c:v>43.9309628600509</c:v>
                </c:pt>
                <c:pt idx="942">
                  <c:v>43.9309628600509</c:v>
                </c:pt>
                <c:pt idx="943">
                  <c:v>43.9309628600509</c:v>
                </c:pt>
                <c:pt idx="944">
                  <c:v>43.9309628600509</c:v>
                </c:pt>
                <c:pt idx="945">
                  <c:v>43.9309628600509</c:v>
                </c:pt>
                <c:pt idx="946">
                  <c:v>43.9309628600509</c:v>
                </c:pt>
                <c:pt idx="947">
                  <c:v>43.9309628600509</c:v>
                </c:pt>
                <c:pt idx="948">
                  <c:v>43.9309628600509</c:v>
                </c:pt>
                <c:pt idx="949">
                  <c:v>43.9309628600509</c:v>
                </c:pt>
                <c:pt idx="950">
                  <c:v>43.9309628600509</c:v>
                </c:pt>
                <c:pt idx="951">
                  <c:v>43.9309628600509</c:v>
                </c:pt>
                <c:pt idx="952">
                  <c:v>43.9309628600509</c:v>
                </c:pt>
                <c:pt idx="953">
                  <c:v>43.9309628600509</c:v>
                </c:pt>
                <c:pt idx="954">
                  <c:v>43.9309628600509</c:v>
                </c:pt>
                <c:pt idx="955">
                  <c:v>43.9309628600509</c:v>
                </c:pt>
                <c:pt idx="956">
                  <c:v>43.9309628600509</c:v>
                </c:pt>
                <c:pt idx="957">
                  <c:v>43.9309628600509</c:v>
                </c:pt>
                <c:pt idx="958">
                  <c:v>43.9309628600509</c:v>
                </c:pt>
                <c:pt idx="959">
                  <c:v>43.9309628600509</c:v>
                </c:pt>
                <c:pt idx="960">
                  <c:v>43.9309628600509</c:v>
                </c:pt>
                <c:pt idx="961">
                  <c:v>43.9309628600509</c:v>
                </c:pt>
                <c:pt idx="962">
                  <c:v>43.9309628600509</c:v>
                </c:pt>
                <c:pt idx="963">
                  <c:v>43.9309628600509</c:v>
                </c:pt>
                <c:pt idx="964">
                  <c:v>43.9309628600509</c:v>
                </c:pt>
                <c:pt idx="965">
                  <c:v>43.9309628600509</c:v>
                </c:pt>
                <c:pt idx="966">
                  <c:v>43.9309628600509</c:v>
                </c:pt>
                <c:pt idx="967">
                  <c:v>43.9309628600509</c:v>
                </c:pt>
                <c:pt idx="968">
                  <c:v>43.9309628600509</c:v>
                </c:pt>
                <c:pt idx="969">
                  <c:v>43.9309628600509</c:v>
                </c:pt>
                <c:pt idx="970">
                  <c:v>43.9309628600509</c:v>
                </c:pt>
                <c:pt idx="971">
                  <c:v>43.9309628600509</c:v>
                </c:pt>
                <c:pt idx="972">
                  <c:v>43.9309628600509</c:v>
                </c:pt>
                <c:pt idx="973">
                  <c:v>43.9309628600509</c:v>
                </c:pt>
                <c:pt idx="974">
                  <c:v>43.9309628600509</c:v>
                </c:pt>
                <c:pt idx="975">
                  <c:v>43.9309628600509</c:v>
                </c:pt>
                <c:pt idx="976">
                  <c:v>43.9309628600509</c:v>
                </c:pt>
                <c:pt idx="977">
                  <c:v>43.9309628600509</c:v>
                </c:pt>
                <c:pt idx="978">
                  <c:v>43.9309628600509</c:v>
                </c:pt>
                <c:pt idx="979">
                  <c:v>43.9309628600509</c:v>
                </c:pt>
                <c:pt idx="980">
                  <c:v>43.9309628600509</c:v>
                </c:pt>
                <c:pt idx="981">
                  <c:v>43.9309628600509</c:v>
                </c:pt>
                <c:pt idx="982">
                  <c:v>43.9309628600509</c:v>
                </c:pt>
                <c:pt idx="983">
                  <c:v>43.9309628600509</c:v>
                </c:pt>
                <c:pt idx="984">
                  <c:v>43.9309628600509</c:v>
                </c:pt>
                <c:pt idx="985">
                  <c:v>43.9309628600509</c:v>
                </c:pt>
                <c:pt idx="986">
                  <c:v>43.9309628600509</c:v>
                </c:pt>
                <c:pt idx="987">
                  <c:v>43.9309628600509</c:v>
                </c:pt>
                <c:pt idx="988">
                  <c:v>43.9309628600509</c:v>
                </c:pt>
                <c:pt idx="989">
                  <c:v>43.9309628600509</c:v>
                </c:pt>
                <c:pt idx="990">
                  <c:v>43.9309628600509</c:v>
                </c:pt>
                <c:pt idx="991">
                  <c:v>43.9309628600509</c:v>
                </c:pt>
                <c:pt idx="992">
                  <c:v>43.9309628600509</c:v>
                </c:pt>
                <c:pt idx="993">
                  <c:v>43.9309628600509</c:v>
                </c:pt>
                <c:pt idx="994">
                  <c:v>43.9309628600509</c:v>
                </c:pt>
                <c:pt idx="995">
                  <c:v>43.9309628600509</c:v>
                </c:pt>
                <c:pt idx="996">
                  <c:v>43.9309628600509</c:v>
                </c:pt>
                <c:pt idx="997">
                  <c:v>43.9309628600509</c:v>
                </c:pt>
                <c:pt idx="998">
                  <c:v>43.9309628600509</c:v>
                </c:pt>
                <c:pt idx="999">
                  <c:v>43.9309628600509</c:v>
                </c:pt>
                <c:pt idx="1000">
                  <c:v>43.9309628600509</c:v>
                </c:pt>
                <c:pt idx="1001">
                  <c:v>43.9309628600509</c:v>
                </c:pt>
                <c:pt idx="1002">
                  <c:v>43.9309628600509</c:v>
                </c:pt>
                <c:pt idx="1003">
                  <c:v>43.9309628600509</c:v>
                </c:pt>
                <c:pt idx="1004">
                  <c:v>43.9309628600509</c:v>
                </c:pt>
                <c:pt idx="1005">
                  <c:v>43.9309628600509</c:v>
                </c:pt>
                <c:pt idx="1006">
                  <c:v>43.9309628600509</c:v>
                </c:pt>
                <c:pt idx="1007">
                  <c:v>14.6083117311361</c:v>
                </c:pt>
                <c:pt idx="1008">
                  <c:v>14.6083117311361</c:v>
                </c:pt>
                <c:pt idx="1009">
                  <c:v>14.6083117311361</c:v>
                </c:pt>
                <c:pt idx="1010">
                  <c:v>14.6083117311361</c:v>
                </c:pt>
                <c:pt idx="1011">
                  <c:v>14.6083117311361</c:v>
                </c:pt>
                <c:pt idx="1012">
                  <c:v>14.6083117311361</c:v>
                </c:pt>
                <c:pt idx="1013">
                  <c:v>14.6083117311361</c:v>
                </c:pt>
                <c:pt idx="1014">
                  <c:v>14.6083117311361</c:v>
                </c:pt>
                <c:pt idx="1015">
                  <c:v>14.6083117311361</c:v>
                </c:pt>
                <c:pt idx="1016">
                  <c:v>14.6083117311361</c:v>
                </c:pt>
                <c:pt idx="1017">
                  <c:v>14.6083117311361</c:v>
                </c:pt>
                <c:pt idx="1018">
                  <c:v>14.6083117311361</c:v>
                </c:pt>
                <c:pt idx="1019">
                  <c:v>14.6083117311361</c:v>
                </c:pt>
                <c:pt idx="1020">
                  <c:v>14.6083117311361</c:v>
                </c:pt>
                <c:pt idx="1021">
                  <c:v>14.6083117311361</c:v>
                </c:pt>
                <c:pt idx="1022">
                  <c:v>14.6083117311361</c:v>
                </c:pt>
                <c:pt idx="1023">
                  <c:v>14.6083117311361</c:v>
                </c:pt>
                <c:pt idx="1024">
                  <c:v>14.6083117311361</c:v>
                </c:pt>
                <c:pt idx="1025">
                  <c:v>14.6083117311361</c:v>
                </c:pt>
                <c:pt idx="1026">
                  <c:v>14.6083117311361</c:v>
                </c:pt>
                <c:pt idx="1027">
                  <c:v>14.6083117311361</c:v>
                </c:pt>
                <c:pt idx="1028">
                  <c:v>14.6083117311361</c:v>
                </c:pt>
                <c:pt idx="1029">
                  <c:v>14.6083117311361</c:v>
                </c:pt>
                <c:pt idx="1030">
                  <c:v>14.6083117311361</c:v>
                </c:pt>
                <c:pt idx="1031">
                  <c:v>14.6083117311361</c:v>
                </c:pt>
                <c:pt idx="1032">
                  <c:v>14.6083117311361</c:v>
                </c:pt>
                <c:pt idx="1033">
                  <c:v>14.6083117311361</c:v>
                </c:pt>
                <c:pt idx="1034">
                  <c:v>14.6083117311361</c:v>
                </c:pt>
                <c:pt idx="1035">
                  <c:v>14.6083117311361</c:v>
                </c:pt>
                <c:pt idx="1036">
                  <c:v>14.6083117311361</c:v>
                </c:pt>
                <c:pt idx="1037">
                  <c:v>14.6083117311361</c:v>
                </c:pt>
                <c:pt idx="1038">
                  <c:v>14.6083117311361</c:v>
                </c:pt>
                <c:pt idx="1039">
                  <c:v>14.6083117311361</c:v>
                </c:pt>
                <c:pt idx="1040">
                  <c:v>14.6083117311361</c:v>
                </c:pt>
                <c:pt idx="1041">
                  <c:v>14.6083117311361</c:v>
                </c:pt>
                <c:pt idx="1042">
                  <c:v>14.6083117311361</c:v>
                </c:pt>
                <c:pt idx="1043">
                  <c:v>14.6083117311361</c:v>
                </c:pt>
                <c:pt idx="1044">
                  <c:v>14.6083117311361</c:v>
                </c:pt>
                <c:pt idx="1045">
                  <c:v>14.6083117311361</c:v>
                </c:pt>
                <c:pt idx="1046">
                  <c:v>14.6083117311361</c:v>
                </c:pt>
                <c:pt idx="1047">
                  <c:v>14.6083117311361</c:v>
                </c:pt>
                <c:pt idx="1048">
                  <c:v>14.6083117311361</c:v>
                </c:pt>
                <c:pt idx="1049">
                  <c:v>14.6083117311361</c:v>
                </c:pt>
                <c:pt idx="1050">
                  <c:v>14.6083117311361</c:v>
                </c:pt>
                <c:pt idx="1051">
                  <c:v>14.6083117311361</c:v>
                </c:pt>
                <c:pt idx="1052">
                  <c:v>14.6083117311361</c:v>
                </c:pt>
                <c:pt idx="1053">
                  <c:v>14.6083117311361</c:v>
                </c:pt>
                <c:pt idx="1054">
                  <c:v>14.6083117311361</c:v>
                </c:pt>
                <c:pt idx="1055">
                  <c:v>14.6083117311361</c:v>
                </c:pt>
                <c:pt idx="1056">
                  <c:v>14.6083117311361</c:v>
                </c:pt>
                <c:pt idx="1057">
                  <c:v>14.6083117311361</c:v>
                </c:pt>
                <c:pt idx="1058">
                  <c:v>14.6083117311361</c:v>
                </c:pt>
                <c:pt idx="1059">
                  <c:v>14.6083117311361</c:v>
                </c:pt>
                <c:pt idx="1060">
                  <c:v>14.6083117311361</c:v>
                </c:pt>
                <c:pt idx="1061">
                  <c:v>14.6083117311361</c:v>
                </c:pt>
                <c:pt idx="1062">
                  <c:v>14.6083117311361</c:v>
                </c:pt>
                <c:pt idx="1063">
                  <c:v>14.6083117311361</c:v>
                </c:pt>
                <c:pt idx="1064">
                  <c:v>14.6083117311361</c:v>
                </c:pt>
                <c:pt idx="1065">
                  <c:v>14.6083117311361</c:v>
                </c:pt>
                <c:pt idx="1066">
                  <c:v>14.6083117311361</c:v>
                </c:pt>
                <c:pt idx="1067">
                  <c:v>14.6083117311361</c:v>
                </c:pt>
                <c:pt idx="1068">
                  <c:v>14.6083117311361</c:v>
                </c:pt>
                <c:pt idx="1069">
                  <c:v>14.6083117311361</c:v>
                </c:pt>
                <c:pt idx="1070">
                  <c:v>14.6083117311361</c:v>
                </c:pt>
                <c:pt idx="1071">
                  <c:v>14.6083117311361</c:v>
                </c:pt>
                <c:pt idx="1072">
                  <c:v>14.6083117311361</c:v>
                </c:pt>
                <c:pt idx="1073">
                  <c:v>14.6083117311361</c:v>
                </c:pt>
                <c:pt idx="1074">
                  <c:v>14.6083117311361</c:v>
                </c:pt>
                <c:pt idx="1075">
                  <c:v>14.6083117311361</c:v>
                </c:pt>
                <c:pt idx="1076">
                  <c:v>14.6083117311361</c:v>
                </c:pt>
                <c:pt idx="1077">
                  <c:v>14.6083117311361</c:v>
                </c:pt>
                <c:pt idx="1078">
                  <c:v>14.6083117311361</c:v>
                </c:pt>
                <c:pt idx="1079">
                  <c:v>14.6083117311361</c:v>
                </c:pt>
                <c:pt idx="1080">
                  <c:v>14.6083117311361</c:v>
                </c:pt>
                <c:pt idx="1081">
                  <c:v>14.6083117311361</c:v>
                </c:pt>
                <c:pt idx="1082">
                  <c:v>14.6083117311361</c:v>
                </c:pt>
                <c:pt idx="1083">
                  <c:v>14.6083117311361</c:v>
                </c:pt>
                <c:pt idx="1084">
                  <c:v>14.6083117311361</c:v>
                </c:pt>
                <c:pt idx="1085">
                  <c:v>14.6083117311361</c:v>
                </c:pt>
                <c:pt idx="1086">
                  <c:v>14.6083117311361</c:v>
                </c:pt>
                <c:pt idx="1087">
                  <c:v>14.6083117311361</c:v>
                </c:pt>
                <c:pt idx="1088">
                  <c:v>14.6083117311361</c:v>
                </c:pt>
                <c:pt idx="1089">
                  <c:v>14.6083117311361</c:v>
                </c:pt>
                <c:pt idx="1090">
                  <c:v>14.6083117311361</c:v>
                </c:pt>
                <c:pt idx="1091">
                  <c:v>14.6083117311361</c:v>
                </c:pt>
                <c:pt idx="1092">
                  <c:v>14.6083117311361</c:v>
                </c:pt>
                <c:pt idx="1093">
                  <c:v>14.6083117311361</c:v>
                </c:pt>
                <c:pt idx="1094">
                  <c:v>14.6083117311361</c:v>
                </c:pt>
                <c:pt idx="1095">
                  <c:v>14.6083117311361</c:v>
                </c:pt>
                <c:pt idx="1096">
                  <c:v>14.6083117311361</c:v>
                </c:pt>
                <c:pt idx="1097">
                  <c:v>14.6083117311361</c:v>
                </c:pt>
                <c:pt idx="1098">
                  <c:v>14.6083117311361</c:v>
                </c:pt>
                <c:pt idx="1099">
                  <c:v>14.6083117311361</c:v>
                </c:pt>
                <c:pt idx="1100">
                  <c:v>14.6083117311361</c:v>
                </c:pt>
                <c:pt idx="1101">
                  <c:v>14.6083117311361</c:v>
                </c:pt>
                <c:pt idx="1102">
                  <c:v>14.6083117311361</c:v>
                </c:pt>
                <c:pt idx="1103">
                  <c:v>14.6083117311361</c:v>
                </c:pt>
                <c:pt idx="1104">
                  <c:v>14.6083117311361</c:v>
                </c:pt>
                <c:pt idx="1105">
                  <c:v>14.6083117311361</c:v>
                </c:pt>
                <c:pt idx="1106">
                  <c:v>14.6083117311361</c:v>
                </c:pt>
                <c:pt idx="1107">
                  <c:v>14.6083117311361</c:v>
                </c:pt>
                <c:pt idx="1108">
                  <c:v>14.6083117311361</c:v>
                </c:pt>
                <c:pt idx="1109">
                  <c:v>14.6083117311361</c:v>
                </c:pt>
                <c:pt idx="1110">
                  <c:v>14.6083117311361</c:v>
                </c:pt>
                <c:pt idx="1111">
                  <c:v>14.6083117311361</c:v>
                </c:pt>
                <c:pt idx="1112">
                  <c:v>14.6083117311361</c:v>
                </c:pt>
                <c:pt idx="1113">
                  <c:v>14.6083117311361</c:v>
                </c:pt>
                <c:pt idx="1114">
                  <c:v>14.6083117311361</c:v>
                </c:pt>
                <c:pt idx="1115">
                  <c:v>14.6083117311361</c:v>
                </c:pt>
                <c:pt idx="1116">
                  <c:v>14.6083117311361</c:v>
                </c:pt>
                <c:pt idx="1117">
                  <c:v>14.6083117311361</c:v>
                </c:pt>
                <c:pt idx="1118">
                  <c:v>14.6083117311361</c:v>
                </c:pt>
                <c:pt idx="1119">
                  <c:v>14.6083117311361</c:v>
                </c:pt>
                <c:pt idx="1120">
                  <c:v>14.6083117311361</c:v>
                </c:pt>
                <c:pt idx="1121">
                  <c:v>12.4325217121411</c:v>
                </c:pt>
                <c:pt idx="1122">
                  <c:v>12.4325217121411</c:v>
                </c:pt>
                <c:pt idx="1123">
                  <c:v>12.4325217121411</c:v>
                </c:pt>
                <c:pt idx="1124">
                  <c:v>12.4325217121411</c:v>
                </c:pt>
                <c:pt idx="1125">
                  <c:v>12.4325217121411</c:v>
                </c:pt>
                <c:pt idx="1126">
                  <c:v>12.4325217121411</c:v>
                </c:pt>
                <c:pt idx="1127">
                  <c:v>12.4325217121411</c:v>
                </c:pt>
                <c:pt idx="1128">
                  <c:v>12.4325217121411</c:v>
                </c:pt>
                <c:pt idx="1129">
                  <c:v>12.4325217121411</c:v>
                </c:pt>
                <c:pt idx="1130">
                  <c:v>12.4325217121411</c:v>
                </c:pt>
                <c:pt idx="1131">
                  <c:v>12.4325217121411</c:v>
                </c:pt>
                <c:pt idx="1132">
                  <c:v>12.4325217121411</c:v>
                </c:pt>
                <c:pt idx="1133">
                  <c:v>12.4325217121411</c:v>
                </c:pt>
                <c:pt idx="1134">
                  <c:v>12.4325217121411</c:v>
                </c:pt>
                <c:pt idx="1135">
                  <c:v>12.4325217121411</c:v>
                </c:pt>
                <c:pt idx="1136">
                  <c:v>12.4325217121411</c:v>
                </c:pt>
                <c:pt idx="1137">
                  <c:v>12.4325217121411</c:v>
                </c:pt>
                <c:pt idx="1138">
                  <c:v>12.4325217121411</c:v>
                </c:pt>
                <c:pt idx="1139">
                  <c:v>12.4325217121411</c:v>
                </c:pt>
                <c:pt idx="1140">
                  <c:v>12.4325217121411</c:v>
                </c:pt>
                <c:pt idx="1141">
                  <c:v>12.4325217121411</c:v>
                </c:pt>
                <c:pt idx="1142">
                  <c:v>12.4325217121411</c:v>
                </c:pt>
                <c:pt idx="1143">
                  <c:v>12.4325217121411</c:v>
                </c:pt>
                <c:pt idx="1144">
                  <c:v>12.4325217121411</c:v>
                </c:pt>
                <c:pt idx="1145">
                  <c:v>12.4325217121411</c:v>
                </c:pt>
                <c:pt idx="1146">
                  <c:v>12.4325217121411</c:v>
                </c:pt>
                <c:pt idx="1147">
                  <c:v>12.4325217121411</c:v>
                </c:pt>
                <c:pt idx="1148">
                  <c:v>12.4325217121411</c:v>
                </c:pt>
                <c:pt idx="1149">
                  <c:v>12.4325217121411</c:v>
                </c:pt>
                <c:pt idx="1150">
                  <c:v>12.4325217121411</c:v>
                </c:pt>
                <c:pt idx="1151">
                  <c:v>12.4325217121411</c:v>
                </c:pt>
                <c:pt idx="1152">
                  <c:v>12.4325217121411</c:v>
                </c:pt>
                <c:pt idx="1153">
                  <c:v>12.4325217121411</c:v>
                </c:pt>
                <c:pt idx="1154">
                  <c:v>12.4325217121411</c:v>
                </c:pt>
                <c:pt idx="1155">
                  <c:v>12.4325217121411</c:v>
                </c:pt>
                <c:pt idx="1156">
                  <c:v>12.4325217121411</c:v>
                </c:pt>
                <c:pt idx="1157">
                  <c:v>12.4325217121411</c:v>
                </c:pt>
                <c:pt idx="1158">
                  <c:v>18.2712612858204</c:v>
                </c:pt>
                <c:pt idx="1159">
                  <c:v>18.2712612858204</c:v>
                </c:pt>
                <c:pt idx="1160">
                  <c:v>18.2712612858204</c:v>
                </c:pt>
                <c:pt idx="1161">
                  <c:v>18.2712612858204</c:v>
                </c:pt>
                <c:pt idx="1162">
                  <c:v>18.2712612858204</c:v>
                </c:pt>
                <c:pt idx="1163">
                  <c:v>18.2712612858204</c:v>
                </c:pt>
                <c:pt idx="1164">
                  <c:v>18.2712612858204</c:v>
                </c:pt>
                <c:pt idx="1165">
                  <c:v>18.2712612858204</c:v>
                </c:pt>
                <c:pt idx="1166">
                  <c:v>18.2712612858204</c:v>
                </c:pt>
                <c:pt idx="1167">
                  <c:v>18.2712612858204</c:v>
                </c:pt>
                <c:pt idx="1168">
                  <c:v>18.2712612858204</c:v>
                </c:pt>
                <c:pt idx="1169">
                  <c:v>18.2712612858204</c:v>
                </c:pt>
                <c:pt idx="1170">
                  <c:v>18.2712612858204</c:v>
                </c:pt>
                <c:pt idx="1171">
                  <c:v>18.2712612858204</c:v>
                </c:pt>
                <c:pt idx="1172">
                  <c:v>18.2712612858204</c:v>
                </c:pt>
                <c:pt idx="1173">
                  <c:v>18.2712612858204</c:v>
                </c:pt>
                <c:pt idx="1174">
                  <c:v>18.2712612858204</c:v>
                </c:pt>
                <c:pt idx="1175">
                  <c:v>18.2712612858204</c:v>
                </c:pt>
                <c:pt idx="1176">
                  <c:v>18.2712612858204</c:v>
                </c:pt>
                <c:pt idx="1177">
                  <c:v>18.2712612858204</c:v>
                </c:pt>
                <c:pt idx="1178">
                  <c:v>18.2712612858204</c:v>
                </c:pt>
                <c:pt idx="1179">
                  <c:v>18.2712612858204</c:v>
                </c:pt>
                <c:pt idx="1180">
                  <c:v>18.2712612858204</c:v>
                </c:pt>
                <c:pt idx="1181">
                  <c:v>18.2712612858204</c:v>
                </c:pt>
                <c:pt idx="1182">
                  <c:v>18.2712612858204</c:v>
                </c:pt>
                <c:pt idx="1183">
                  <c:v>18.2712612858204</c:v>
                </c:pt>
                <c:pt idx="1184">
                  <c:v>18.2712612858204</c:v>
                </c:pt>
                <c:pt idx="1185">
                  <c:v>18.2712612858204</c:v>
                </c:pt>
                <c:pt idx="1186">
                  <c:v>18.2712612858204</c:v>
                </c:pt>
                <c:pt idx="1187">
                  <c:v>18.2712612858204</c:v>
                </c:pt>
                <c:pt idx="1188">
                  <c:v>18.2712612858204</c:v>
                </c:pt>
                <c:pt idx="1189">
                  <c:v>18.2712612858204</c:v>
                </c:pt>
                <c:pt idx="1190">
                  <c:v>18.2712612858204</c:v>
                </c:pt>
                <c:pt idx="1191">
                  <c:v>18.2712612858204</c:v>
                </c:pt>
                <c:pt idx="1192">
                  <c:v>18.2712612858204</c:v>
                </c:pt>
                <c:pt idx="1193">
                  <c:v>18.2712612858204</c:v>
                </c:pt>
                <c:pt idx="1194">
                  <c:v>18.2712612858204</c:v>
                </c:pt>
                <c:pt idx="1195">
                  <c:v>18.2712612858204</c:v>
                </c:pt>
                <c:pt idx="1196">
                  <c:v>18.2712612858204</c:v>
                </c:pt>
                <c:pt idx="1197">
                  <c:v>18.2712612858204</c:v>
                </c:pt>
                <c:pt idx="1198">
                  <c:v>18.2712612858204</c:v>
                </c:pt>
                <c:pt idx="1199">
                  <c:v>18.2712612858204</c:v>
                </c:pt>
                <c:pt idx="1200">
                  <c:v>18.2712612858204</c:v>
                </c:pt>
                <c:pt idx="1201">
                  <c:v>18.2712612858204</c:v>
                </c:pt>
                <c:pt idx="1202">
                  <c:v>18.2712612858204</c:v>
                </c:pt>
                <c:pt idx="1203">
                  <c:v>18.2712612858204</c:v>
                </c:pt>
                <c:pt idx="1204">
                  <c:v>18.2712612858204</c:v>
                </c:pt>
                <c:pt idx="1205">
                  <c:v>18.2712612858204</c:v>
                </c:pt>
                <c:pt idx="1206">
                  <c:v>18.2712612858204</c:v>
                </c:pt>
                <c:pt idx="1207">
                  <c:v>18.4377121828058</c:v>
                </c:pt>
                <c:pt idx="1208">
                  <c:v>18.4377121828058</c:v>
                </c:pt>
                <c:pt idx="1209">
                  <c:v>18.4377121828058</c:v>
                </c:pt>
                <c:pt idx="1210">
                  <c:v>18.4377121828058</c:v>
                </c:pt>
                <c:pt idx="1211">
                  <c:v>18.4377121828058</c:v>
                </c:pt>
                <c:pt idx="1212">
                  <c:v>18.4377121828058</c:v>
                </c:pt>
                <c:pt idx="1213">
                  <c:v>18.4377121828058</c:v>
                </c:pt>
                <c:pt idx="1214">
                  <c:v>18.4377121828058</c:v>
                </c:pt>
                <c:pt idx="1215">
                  <c:v>18.4377121828058</c:v>
                </c:pt>
                <c:pt idx="1216">
                  <c:v>18.4377121828058</c:v>
                </c:pt>
                <c:pt idx="1217">
                  <c:v>18.4377121828058</c:v>
                </c:pt>
                <c:pt idx="1218">
                  <c:v>18.4377121828058</c:v>
                </c:pt>
                <c:pt idx="1219">
                  <c:v>18.4377121828058</c:v>
                </c:pt>
                <c:pt idx="1220">
                  <c:v>18.4377121828058</c:v>
                </c:pt>
                <c:pt idx="1221">
                  <c:v>18.4377121828058</c:v>
                </c:pt>
                <c:pt idx="1222">
                  <c:v>18.4377121828058</c:v>
                </c:pt>
                <c:pt idx="1223">
                  <c:v>18.4377121828058</c:v>
                </c:pt>
                <c:pt idx="1224">
                  <c:v>18.4377121828058</c:v>
                </c:pt>
                <c:pt idx="1225">
                  <c:v>18.4377121828058</c:v>
                </c:pt>
                <c:pt idx="1226">
                  <c:v>18.4377121828058</c:v>
                </c:pt>
                <c:pt idx="1227">
                  <c:v>18.4377121828058</c:v>
                </c:pt>
                <c:pt idx="1228">
                  <c:v>18.4377121828058</c:v>
                </c:pt>
                <c:pt idx="1229">
                  <c:v>18.4377121828058</c:v>
                </c:pt>
                <c:pt idx="1230">
                  <c:v>18.4377121828058</c:v>
                </c:pt>
                <c:pt idx="1231">
                  <c:v>18.4377121828058</c:v>
                </c:pt>
                <c:pt idx="1232">
                  <c:v>18.4377121828058</c:v>
                </c:pt>
                <c:pt idx="1233">
                  <c:v>18.4377121828058</c:v>
                </c:pt>
                <c:pt idx="1234">
                  <c:v>18.4377121828058</c:v>
                </c:pt>
                <c:pt idx="1235">
                  <c:v>18.4377121828058</c:v>
                </c:pt>
                <c:pt idx="1236">
                  <c:v>18.4377121828058</c:v>
                </c:pt>
                <c:pt idx="1237">
                  <c:v>18.4377121828058</c:v>
                </c:pt>
                <c:pt idx="1238">
                  <c:v>18.4377121828058</c:v>
                </c:pt>
                <c:pt idx="1239">
                  <c:v>18.4377121828058</c:v>
                </c:pt>
                <c:pt idx="1240">
                  <c:v>18.4377121828058</c:v>
                </c:pt>
                <c:pt idx="1241">
                  <c:v>18.4377121828058</c:v>
                </c:pt>
                <c:pt idx="1242">
                  <c:v>18.4377121828058</c:v>
                </c:pt>
                <c:pt idx="1243">
                  <c:v>18.4377121828058</c:v>
                </c:pt>
                <c:pt idx="1244">
                  <c:v>18.4377121828058</c:v>
                </c:pt>
                <c:pt idx="1245">
                  <c:v>18.4377121828058</c:v>
                </c:pt>
                <c:pt idx="1246">
                  <c:v>18.4377121828058</c:v>
                </c:pt>
                <c:pt idx="1247">
                  <c:v>18.4377121828058</c:v>
                </c:pt>
                <c:pt idx="1248">
                  <c:v>18.4377121828058</c:v>
                </c:pt>
                <c:pt idx="1249">
                  <c:v>18.4377121828058</c:v>
                </c:pt>
                <c:pt idx="1250">
                  <c:v>18.4377121828058</c:v>
                </c:pt>
                <c:pt idx="1251">
                  <c:v>18.4377121828058</c:v>
                </c:pt>
                <c:pt idx="1252">
                  <c:v>18.4377121828058</c:v>
                </c:pt>
                <c:pt idx="1253">
                  <c:v>18.4377121828058</c:v>
                </c:pt>
                <c:pt idx="1254">
                  <c:v>18.4377121828058</c:v>
                </c:pt>
                <c:pt idx="1255">
                  <c:v>18.4377121828058</c:v>
                </c:pt>
                <c:pt idx="1256">
                  <c:v>18.4377121828058</c:v>
                </c:pt>
                <c:pt idx="1257">
                  <c:v>18.4377121828058</c:v>
                </c:pt>
                <c:pt idx="1258">
                  <c:v>18.4377121828058</c:v>
                </c:pt>
                <c:pt idx="1259">
                  <c:v>18.4377121828058</c:v>
                </c:pt>
                <c:pt idx="1260">
                  <c:v>18.4377121828058</c:v>
                </c:pt>
                <c:pt idx="1261">
                  <c:v>18.4377121828058</c:v>
                </c:pt>
                <c:pt idx="1262">
                  <c:v>18.4377121828058</c:v>
                </c:pt>
                <c:pt idx="1263">
                  <c:v>18.4377121828058</c:v>
                </c:pt>
                <c:pt idx="1264">
                  <c:v>18.4377121828058</c:v>
                </c:pt>
                <c:pt idx="1265">
                  <c:v>18.4377121828058</c:v>
                </c:pt>
                <c:pt idx="1266">
                  <c:v>18.4377121828058</c:v>
                </c:pt>
                <c:pt idx="1267">
                  <c:v>18.4377121828058</c:v>
                </c:pt>
                <c:pt idx="1268">
                  <c:v>18.4377121828058</c:v>
                </c:pt>
                <c:pt idx="1269">
                  <c:v>18.4377121828058</c:v>
                </c:pt>
                <c:pt idx="1270">
                  <c:v>18.4377121828058</c:v>
                </c:pt>
                <c:pt idx="1271">
                  <c:v>18.4377121828058</c:v>
                </c:pt>
                <c:pt idx="1272">
                  <c:v>18.4377121828058</c:v>
                </c:pt>
                <c:pt idx="1273">
                  <c:v>18.4377121828058</c:v>
                </c:pt>
                <c:pt idx="1274">
                  <c:v>18.4377121828058</c:v>
                </c:pt>
                <c:pt idx="1275">
                  <c:v>18.4377121828058</c:v>
                </c:pt>
                <c:pt idx="1276">
                  <c:v>18.4377121828058</c:v>
                </c:pt>
                <c:pt idx="1277">
                  <c:v>18.4377121828058</c:v>
                </c:pt>
                <c:pt idx="1278">
                  <c:v>18.4377121828058</c:v>
                </c:pt>
                <c:pt idx="1279">
                  <c:v>18.4377121828058</c:v>
                </c:pt>
                <c:pt idx="1280">
                  <c:v>18.4377121828058</c:v>
                </c:pt>
                <c:pt idx="1281">
                  <c:v>18.4377121828058</c:v>
                </c:pt>
                <c:pt idx="1282">
                  <c:v>18.4377121828058</c:v>
                </c:pt>
                <c:pt idx="1283">
                  <c:v>18.4377121828058</c:v>
                </c:pt>
                <c:pt idx="1284">
                  <c:v>18.4377121828058</c:v>
                </c:pt>
                <c:pt idx="1285">
                  <c:v>18.4377121828058</c:v>
                </c:pt>
                <c:pt idx="1286">
                  <c:v>18.4377121828058</c:v>
                </c:pt>
                <c:pt idx="1287">
                  <c:v>18.4377121828058</c:v>
                </c:pt>
                <c:pt idx="1288">
                  <c:v>12.3573455983856</c:v>
                </c:pt>
                <c:pt idx="1289">
                  <c:v>12.3573455983856</c:v>
                </c:pt>
                <c:pt idx="1290">
                  <c:v>12.3573455983856</c:v>
                </c:pt>
                <c:pt idx="1291">
                  <c:v>12.3573455983856</c:v>
                </c:pt>
                <c:pt idx="1292">
                  <c:v>12.3573455983856</c:v>
                </c:pt>
                <c:pt idx="1293">
                  <c:v>12.3573455983856</c:v>
                </c:pt>
                <c:pt idx="1294">
                  <c:v>12.3573455983856</c:v>
                </c:pt>
                <c:pt idx="1295">
                  <c:v>12.3573455983856</c:v>
                </c:pt>
                <c:pt idx="1296">
                  <c:v>12.3573455983856</c:v>
                </c:pt>
                <c:pt idx="1297">
                  <c:v>12.3573455983856</c:v>
                </c:pt>
                <c:pt idx="1298">
                  <c:v>12.3573455983856</c:v>
                </c:pt>
                <c:pt idx="1299">
                  <c:v>12.3573455983856</c:v>
                </c:pt>
                <c:pt idx="1300">
                  <c:v>12.3573455983856</c:v>
                </c:pt>
                <c:pt idx="1301">
                  <c:v>12.3573455983856</c:v>
                </c:pt>
                <c:pt idx="1302">
                  <c:v>12.3573455983856</c:v>
                </c:pt>
                <c:pt idx="1303">
                  <c:v>12.3573455983856</c:v>
                </c:pt>
                <c:pt idx="1304">
                  <c:v>12.3573455983856</c:v>
                </c:pt>
                <c:pt idx="1305">
                  <c:v>12.3573455983856</c:v>
                </c:pt>
                <c:pt idx="1306">
                  <c:v>12.3573455983856</c:v>
                </c:pt>
                <c:pt idx="1307">
                  <c:v>12.3573455983856</c:v>
                </c:pt>
                <c:pt idx="1308">
                  <c:v>12.3573455983856</c:v>
                </c:pt>
                <c:pt idx="1309">
                  <c:v>12.3573455983856</c:v>
                </c:pt>
                <c:pt idx="1310">
                  <c:v>12.3573455983856</c:v>
                </c:pt>
                <c:pt idx="1311">
                  <c:v>12.3573455983856</c:v>
                </c:pt>
                <c:pt idx="1312">
                  <c:v>12.3573455983856</c:v>
                </c:pt>
                <c:pt idx="1313">
                  <c:v>12.3573455983856</c:v>
                </c:pt>
                <c:pt idx="1314">
                  <c:v>12.3573455983856</c:v>
                </c:pt>
                <c:pt idx="1315">
                  <c:v>12.3573455983856</c:v>
                </c:pt>
                <c:pt idx="1316">
                  <c:v>12.3573455983856</c:v>
                </c:pt>
                <c:pt idx="1317">
                  <c:v>12.3573455983856</c:v>
                </c:pt>
                <c:pt idx="1318">
                  <c:v>12.3573455983856</c:v>
                </c:pt>
                <c:pt idx="1319">
                  <c:v>12.3573455983856</c:v>
                </c:pt>
                <c:pt idx="1320">
                  <c:v>-27.4600253933324</c:v>
                </c:pt>
                <c:pt idx="1321">
                  <c:v>-27.4600253933324</c:v>
                </c:pt>
                <c:pt idx="1322">
                  <c:v>-27.4600253933324</c:v>
                </c:pt>
                <c:pt idx="1323">
                  <c:v>-21.2814388508017</c:v>
                </c:pt>
                <c:pt idx="1324">
                  <c:v>-21.2814388508017</c:v>
                </c:pt>
                <c:pt idx="1325">
                  <c:v>-21.2814388508017</c:v>
                </c:pt>
                <c:pt idx="1326">
                  <c:v>-21.2814388508017</c:v>
                </c:pt>
                <c:pt idx="1327">
                  <c:v>-21.2814388508017</c:v>
                </c:pt>
                <c:pt idx="1328">
                  <c:v>-21.2814388508017</c:v>
                </c:pt>
                <c:pt idx="1329">
                  <c:v>-21.2814388508017</c:v>
                </c:pt>
                <c:pt idx="1330">
                  <c:v>-21.2814388508017</c:v>
                </c:pt>
                <c:pt idx="1331">
                  <c:v>-21.2814388508017</c:v>
                </c:pt>
                <c:pt idx="1332">
                  <c:v>-21.2814388508017</c:v>
                </c:pt>
                <c:pt idx="1333">
                  <c:v>-21.2814388508017</c:v>
                </c:pt>
                <c:pt idx="1334">
                  <c:v>-21.2814388508017</c:v>
                </c:pt>
                <c:pt idx="1335">
                  <c:v>-21.2814388508017</c:v>
                </c:pt>
                <c:pt idx="1336">
                  <c:v>-21.2814388508017</c:v>
                </c:pt>
                <c:pt idx="1337">
                  <c:v>-21.2814388508017</c:v>
                </c:pt>
                <c:pt idx="1338">
                  <c:v>-38.5046374448263</c:v>
                </c:pt>
                <c:pt idx="1339">
                  <c:v>-38.5046374448263</c:v>
                </c:pt>
                <c:pt idx="1340">
                  <c:v>-38.5046374448263</c:v>
                </c:pt>
                <c:pt idx="1341">
                  <c:v>-38.5046374448263</c:v>
                </c:pt>
                <c:pt idx="1342">
                  <c:v>-38.5046374448263</c:v>
                </c:pt>
                <c:pt idx="1343">
                  <c:v>-38.5046374448263</c:v>
                </c:pt>
                <c:pt idx="1344">
                  <c:v>-38.5046374448263</c:v>
                </c:pt>
                <c:pt idx="1345">
                  <c:v>-38.5046374448263</c:v>
                </c:pt>
                <c:pt idx="1346">
                  <c:v>-38.5046374448263</c:v>
                </c:pt>
                <c:pt idx="1347">
                  <c:v>-38.5046374448263</c:v>
                </c:pt>
                <c:pt idx="1348">
                  <c:v>-38.5046374448263</c:v>
                </c:pt>
                <c:pt idx="1349">
                  <c:v>-38.5046374448263</c:v>
                </c:pt>
                <c:pt idx="1350">
                  <c:v>-38.5046374448263</c:v>
                </c:pt>
                <c:pt idx="1351">
                  <c:v>-38.5046374448263</c:v>
                </c:pt>
                <c:pt idx="1352">
                  <c:v>-38.5046374448263</c:v>
                </c:pt>
                <c:pt idx="1353">
                  <c:v>-38.5046374448263</c:v>
                </c:pt>
                <c:pt idx="1354">
                  <c:v>-38.5046374448263</c:v>
                </c:pt>
                <c:pt idx="1355">
                  <c:v>-38.5046374448263</c:v>
                </c:pt>
                <c:pt idx="1356">
                  <c:v>-38.5046374448263</c:v>
                </c:pt>
                <c:pt idx="1357">
                  <c:v>-38.5046374448263</c:v>
                </c:pt>
                <c:pt idx="1358">
                  <c:v>-38.5046374448263</c:v>
                </c:pt>
                <c:pt idx="1359">
                  <c:v>-38.5046374448263</c:v>
                </c:pt>
                <c:pt idx="1360">
                  <c:v>-38.5046374448263</c:v>
                </c:pt>
                <c:pt idx="1361">
                  <c:v>-38.5046374448263</c:v>
                </c:pt>
                <c:pt idx="1362">
                  <c:v>-38.5046374448263</c:v>
                </c:pt>
                <c:pt idx="1363">
                  <c:v>-38.5046374448263</c:v>
                </c:pt>
                <c:pt idx="1364">
                  <c:v>-38.5046374448263</c:v>
                </c:pt>
                <c:pt idx="1365">
                  <c:v>-38.5046374448263</c:v>
                </c:pt>
                <c:pt idx="1366">
                  <c:v>-38.5046374448263</c:v>
                </c:pt>
                <c:pt idx="1367">
                  <c:v>-38.5046374448263</c:v>
                </c:pt>
                <c:pt idx="1368">
                  <c:v>-38.5046374448263</c:v>
                </c:pt>
                <c:pt idx="1369">
                  <c:v>-38.5046374448263</c:v>
                </c:pt>
                <c:pt idx="1370">
                  <c:v>-38.5046374448263</c:v>
                </c:pt>
                <c:pt idx="1371">
                  <c:v>-38.5046374448263</c:v>
                </c:pt>
                <c:pt idx="1372">
                  <c:v>-38.5046374448263</c:v>
                </c:pt>
                <c:pt idx="1373">
                  <c:v>-38.5046374448263</c:v>
                </c:pt>
                <c:pt idx="1374">
                  <c:v>-38.5046374448263</c:v>
                </c:pt>
                <c:pt idx="1375">
                  <c:v>-38.5046374448263</c:v>
                </c:pt>
                <c:pt idx="1376">
                  <c:v>-38.5046374448263</c:v>
                </c:pt>
                <c:pt idx="1377">
                  <c:v>-38.5046374448263</c:v>
                </c:pt>
                <c:pt idx="1378">
                  <c:v>-38.5046374448263</c:v>
                </c:pt>
                <c:pt idx="1379">
                  <c:v>-38.5046374448263</c:v>
                </c:pt>
                <c:pt idx="1380">
                  <c:v>-38.5046374448263</c:v>
                </c:pt>
                <c:pt idx="1381">
                  <c:v>-38.5046374448263</c:v>
                </c:pt>
                <c:pt idx="1382">
                  <c:v>-38.5046374448263</c:v>
                </c:pt>
                <c:pt idx="1383">
                  <c:v>-38.5046374448263</c:v>
                </c:pt>
                <c:pt idx="1384">
                  <c:v>-38.5046374448263</c:v>
                </c:pt>
                <c:pt idx="1385">
                  <c:v>-38.5046374448263</c:v>
                </c:pt>
                <c:pt idx="1386">
                  <c:v>-38.5046374448263</c:v>
                </c:pt>
                <c:pt idx="1387">
                  <c:v>-38.5046374448263</c:v>
                </c:pt>
                <c:pt idx="1388">
                  <c:v>-38.5046374448263</c:v>
                </c:pt>
                <c:pt idx="1389">
                  <c:v>-38.5046374448263</c:v>
                </c:pt>
                <c:pt idx="1390">
                  <c:v>-38.5046374448263</c:v>
                </c:pt>
                <c:pt idx="1391">
                  <c:v>-38.5046374448263</c:v>
                </c:pt>
                <c:pt idx="1392">
                  <c:v>-38.5046374448263</c:v>
                </c:pt>
                <c:pt idx="1393">
                  <c:v>-38.5046374448263</c:v>
                </c:pt>
                <c:pt idx="1394">
                  <c:v>-38.5046374448263</c:v>
                </c:pt>
                <c:pt idx="1395">
                  <c:v>-38.5046374448263</c:v>
                </c:pt>
                <c:pt idx="1396">
                  <c:v>-38.5046374448263</c:v>
                </c:pt>
                <c:pt idx="1397">
                  <c:v>-38.5046374448263</c:v>
                </c:pt>
                <c:pt idx="1398">
                  <c:v>-38.5046374448263</c:v>
                </c:pt>
                <c:pt idx="1399">
                  <c:v>-38.5046374448263</c:v>
                </c:pt>
                <c:pt idx="1400">
                  <c:v>-38.5046374448263</c:v>
                </c:pt>
                <c:pt idx="1401">
                  <c:v>-38.5046374448263</c:v>
                </c:pt>
                <c:pt idx="1402">
                  <c:v>-38.5046374448263</c:v>
                </c:pt>
                <c:pt idx="1403">
                  <c:v>-38.5046374448263</c:v>
                </c:pt>
                <c:pt idx="1404">
                  <c:v>-38.5046374448263</c:v>
                </c:pt>
                <c:pt idx="1405">
                  <c:v>-38.5046374448263</c:v>
                </c:pt>
                <c:pt idx="1406">
                  <c:v>-38.5046374448263</c:v>
                </c:pt>
                <c:pt idx="1407">
                  <c:v>-38.5046374448263</c:v>
                </c:pt>
                <c:pt idx="1408">
                  <c:v>-38.5046374448263</c:v>
                </c:pt>
                <c:pt idx="1409">
                  <c:v>-38.5046374448263</c:v>
                </c:pt>
                <c:pt idx="1410">
                  <c:v>-38.5046374448263</c:v>
                </c:pt>
                <c:pt idx="1411">
                  <c:v>-38.5046374448263</c:v>
                </c:pt>
                <c:pt idx="1412">
                  <c:v>-38.5046374448263</c:v>
                </c:pt>
                <c:pt idx="1413">
                  <c:v>-38.5046374448263</c:v>
                </c:pt>
                <c:pt idx="1414">
                  <c:v>-38.5046374448263</c:v>
                </c:pt>
                <c:pt idx="1415">
                  <c:v>-38.5046374448263</c:v>
                </c:pt>
                <c:pt idx="1416">
                  <c:v>-38.5046374448263</c:v>
                </c:pt>
                <c:pt idx="1417">
                  <c:v>-38.5046374448263</c:v>
                </c:pt>
                <c:pt idx="1418">
                  <c:v>-38.5046374448263</c:v>
                </c:pt>
                <c:pt idx="1419">
                  <c:v>-38.5046374448263</c:v>
                </c:pt>
                <c:pt idx="1420">
                  <c:v>-38.5046374448263</c:v>
                </c:pt>
                <c:pt idx="1421">
                  <c:v>-38.5046374448263</c:v>
                </c:pt>
                <c:pt idx="1422">
                  <c:v>-38.5046374448263</c:v>
                </c:pt>
                <c:pt idx="1423">
                  <c:v>-38.5046374448263</c:v>
                </c:pt>
                <c:pt idx="1424">
                  <c:v>-38.5046374448263</c:v>
                </c:pt>
                <c:pt idx="1425">
                  <c:v>-38.5046374448263</c:v>
                </c:pt>
                <c:pt idx="1426">
                  <c:v>-38.5046374448263</c:v>
                </c:pt>
                <c:pt idx="1427">
                  <c:v>-38.5046374448263</c:v>
                </c:pt>
                <c:pt idx="1428">
                  <c:v>-38.5046374448263</c:v>
                </c:pt>
                <c:pt idx="1429">
                  <c:v>-38.5046374448263</c:v>
                </c:pt>
                <c:pt idx="1430">
                  <c:v>-38.5046374448263</c:v>
                </c:pt>
                <c:pt idx="1431">
                  <c:v>-38.5046374448263</c:v>
                </c:pt>
                <c:pt idx="1432">
                  <c:v>-38.5046374448263</c:v>
                </c:pt>
                <c:pt idx="1433">
                  <c:v>-38.5046374448263</c:v>
                </c:pt>
                <c:pt idx="1434">
                  <c:v>-38.5046374448263</c:v>
                </c:pt>
                <c:pt idx="1435">
                  <c:v>-35.4872876836998</c:v>
                </c:pt>
                <c:pt idx="1436">
                  <c:v>-35.4872876836998</c:v>
                </c:pt>
                <c:pt idx="1437">
                  <c:v>-35.4872876836998</c:v>
                </c:pt>
                <c:pt idx="1438">
                  <c:v>-35.4872876836998</c:v>
                </c:pt>
                <c:pt idx="1439">
                  <c:v>-35.4872876836998</c:v>
                </c:pt>
                <c:pt idx="1440">
                  <c:v>-35.4872876836998</c:v>
                </c:pt>
                <c:pt idx="1441">
                  <c:v>-35.4872876836998</c:v>
                </c:pt>
                <c:pt idx="1442">
                  <c:v>-35.4872876836998</c:v>
                </c:pt>
                <c:pt idx="1443">
                  <c:v>-35.4872876836998</c:v>
                </c:pt>
                <c:pt idx="1444">
                  <c:v>-35.4872876836998</c:v>
                </c:pt>
                <c:pt idx="1445">
                  <c:v>-35.4872876836998</c:v>
                </c:pt>
                <c:pt idx="1446">
                  <c:v>-35.4872876836998</c:v>
                </c:pt>
                <c:pt idx="1447">
                  <c:v>-29.6303376162234</c:v>
                </c:pt>
                <c:pt idx="1448">
                  <c:v>-29.6303376162234</c:v>
                </c:pt>
                <c:pt idx="1449">
                  <c:v>-29.6303376162234</c:v>
                </c:pt>
                <c:pt idx="1450">
                  <c:v>-29.6303376162234</c:v>
                </c:pt>
                <c:pt idx="1451">
                  <c:v>-29.6303376162234</c:v>
                </c:pt>
                <c:pt idx="1452">
                  <c:v>-29.6303376162234</c:v>
                </c:pt>
                <c:pt idx="1453">
                  <c:v>-29.6303376162234</c:v>
                </c:pt>
                <c:pt idx="1454">
                  <c:v>-29.6303376162234</c:v>
                </c:pt>
                <c:pt idx="1455">
                  <c:v>-29.6303376162234</c:v>
                </c:pt>
                <c:pt idx="1456">
                  <c:v>-29.6303376162234</c:v>
                </c:pt>
                <c:pt idx="1457">
                  <c:v>-29.6303376162234</c:v>
                </c:pt>
                <c:pt idx="1458">
                  <c:v>-29.6303376162234</c:v>
                </c:pt>
                <c:pt idx="1459">
                  <c:v>-29.6303376162234</c:v>
                </c:pt>
                <c:pt idx="1460">
                  <c:v>-29.6303376162234</c:v>
                </c:pt>
                <c:pt idx="1461">
                  <c:v>-29.6303376162234</c:v>
                </c:pt>
                <c:pt idx="1462">
                  <c:v>-29.6303376162234</c:v>
                </c:pt>
                <c:pt idx="1463">
                  <c:v>-29.6303376162234</c:v>
                </c:pt>
                <c:pt idx="1464">
                  <c:v>-29.6303376162234</c:v>
                </c:pt>
                <c:pt idx="1465">
                  <c:v>-29.6303376162234</c:v>
                </c:pt>
                <c:pt idx="1466">
                  <c:v>-29.6303376162234</c:v>
                </c:pt>
                <c:pt idx="1467">
                  <c:v>-29.6303376162234</c:v>
                </c:pt>
                <c:pt idx="1468">
                  <c:v>-29.6303376162234</c:v>
                </c:pt>
                <c:pt idx="1469">
                  <c:v>-29.6303376162234</c:v>
                </c:pt>
                <c:pt idx="1470">
                  <c:v>-29.6303376162234</c:v>
                </c:pt>
                <c:pt idx="1471">
                  <c:v>-29.6303376162234</c:v>
                </c:pt>
                <c:pt idx="1472">
                  <c:v>-21.8742531016473</c:v>
                </c:pt>
                <c:pt idx="1473">
                  <c:v>-21.8742531016473</c:v>
                </c:pt>
                <c:pt idx="1474">
                  <c:v>-21.8742531016473</c:v>
                </c:pt>
                <c:pt idx="1475">
                  <c:v>-21.8742531016473</c:v>
                </c:pt>
                <c:pt idx="1476">
                  <c:v>-21.8742531016473</c:v>
                </c:pt>
                <c:pt idx="1477">
                  <c:v>-21.8742531016473</c:v>
                </c:pt>
                <c:pt idx="1478">
                  <c:v>-21.8742531016473</c:v>
                </c:pt>
                <c:pt idx="1479">
                  <c:v>-21.8742531016473</c:v>
                </c:pt>
                <c:pt idx="1480">
                  <c:v>-21.8742531016473</c:v>
                </c:pt>
                <c:pt idx="1481">
                  <c:v>-21.8742531016473</c:v>
                </c:pt>
                <c:pt idx="1482">
                  <c:v>-21.8742531016473</c:v>
                </c:pt>
                <c:pt idx="1483">
                  <c:v>-21.8742531016473</c:v>
                </c:pt>
                <c:pt idx="1484">
                  <c:v>-21.8742531016473</c:v>
                </c:pt>
                <c:pt idx="1485">
                  <c:v>-21.8742531016473</c:v>
                </c:pt>
                <c:pt idx="1486">
                  <c:v>-21.8742531016473</c:v>
                </c:pt>
                <c:pt idx="1487">
                  <c:v>-21.8742531016473</c:v>
                </c:pt>
                <c:pt idx="1488">
                  <c:v>-21.8742531016473</c:v>
                </c:pt>
                <c:pt idx="1489">
                  <c:v>-21.8742531016473</c:v>
                </c:pt>
                <c:pt idx="1490">
                  <c:v>-21.8742531016473</c:v>
                </c:pt>
                <c:pt idx="1491">
                  <c:v>-21.8742531016473</c:v>
                </c:pt>
                <c:pt idx="1492">
                  <c:v>-21.8742531016473</c:v>
                </c:pt>
                <c:pt idx="1493">
                  <c:v>-21.8742531016473</c:v>
                </c:pt>
                <c:pt idx="1494">
                  <c:v>-21.8742531016473</c:v>
                </c:pt>
                <c:pt idx="1495">
                  <c:v>-21.8742531016473</c:v>
                </c:pt>
                <c:pt idx="1496">
                  <c:v>-21.8742531016473</c:v>
                </c:pt>
                <c:pt idx="1497">
                  <c:v>-21.8742531016473</c:v>
                </c:pt>
                <c:pt idx="1498">
                  <c:v>-21.8742531016473</c:v>
                </c:pt>
                <c:pt idx="1499">
                  <c:v>-21.8742531016473</c:v>
                </c:pt>
                <c:pt idx="1500">
                  <c:v>-21.8742531016473</c:v>
                </c:pt>
                <c:pt idx="1501">
                  <c:v>-21.8742531016473</c:v>
                </c:pt>
                <c:pt idx="1502">
                  <c:v>-21.8742531016473</c:v>
                </c:pt>
                <c:pt idx="1503">
                  <c:v>-21.8742531016473</c:v>
                </c:pt>
                <c:pt idx="1504">
                  <c:v>-21.8742531016473</c:v>
                </c:pt>
                <c:pt idx="1505">
                  <c:v>-21.8742531016473</c:v>
                </c:pt>
                <c:pt idx="1506">
                  <c:v>-21.8742531016473</c:v>
                </c:pt>
                <c:pt idx="1507">
                  <c:v>-21.8742531016473</c:v>
                </c:pt>
                <c:pt idx="1508">
                  <c:v>-21.8742531016473</c:v>
                </c:pt>
                <c:pt idx="1509">
                  <c:v>-21.8742531016473</c:v>
                </c:pt>
                <c:pt idx="1510">
                  <c:v>-21.8742531016473</c:v>
                </c:pt>
                <c:pt idx="1511">
                  <c:v>-21.8742531016473</c:v>
                </c:pt>
                <c:pt idx="1512">
                  <c:v>-21.8742531016473</c:v>
                </c:pt>
                <c:pt idx="1513">
                  <c:v>-21.8742531016473</c:v>
                </c:pt>
                <c:pt idx="1514">
                  <c:v>-21.8742531016473</c:v>
                </c:pt>
                <c:pt idx="1515">
                  <c:v>-21.8742531016473</c:v>
                </c:pt>
                <c:pt idx="1516">
                  <c:v>-21.8742531016473</c:v>
                </c:pt>
                <c:pt idx="1517">
                  <c:v>-21.8742531016473</c:v>
                </c:pt>
                <c:pt idx="1518">
                  <c:v>-21.8742531016473</c:v>
                </c:pt>
                <c:pt idx="1519">
                  <c:v>-21.8742531016473</c:v>
                </c:pt>
                <c:pt idx="1520">
                  <c:v>-21.8742531016473</c:v>
                </c:pt>
                <c:pt idx="1521">
                  <c:v>-21.8742531016473</c:v>
                </c:pt>
                <c:pt idx="1522">
                  <c:v>-21.8742531016473</c:v>
                </c:pt>
                <c:pt idx="1523">
                  <c:v>-21.8742531016473</c:v>
                </c:pt>
                <c:pt idx="1524">
                  <c:v>-21.8742531016473</c:v>
                </c:pt>
                <c:pt idx="1525">
                  <c:v>-21.8742531016473</c:v>
                </c:pt>
                <c:pt idx="1526">
                  <c:v>-21.8742531016473</c:v>
                </c:pt>
                <c:pt idx="1527">
                  <c:v>-21.8742531016473</c:v>
                </c:pt>
                <c:pt idx="1528">
                  <c:v>-21.8742531016473</c:v>
                </c:pt>
                <c:pt idx="1529">
                  <c:v>-21.8742531016473</c:v>
                </c:pt>
                <c:pt idx="1530">
                  <c:v>-21.8742531016473</c:v>
                </c:pt>
                <c:pt idx="1531">
                  <c:v>-21.8742531016473</c:v>
                </c:pt>
                <c:pt idx="1532">
                  <c:v>-21.8742531016473</c:v>
                </c:pt>
                <c:pt idx="1533">
                  <c:v>-21.8742531016473</c:v>
                </c:pt>
                <c:pt idx="1534">
                  <c:v>-21.8742531016473</c:v>
                </c:pt>
                <c:pt idx="1535">
                  <c:v>-21.8742531016473</c:v>
                </c:pt>
                <c:pt idx="1536">
                  <c:v>-21.8742531016473</c:v>
                </c:pt>
                <c:pt idx="1537">
                  <c:v>-21.8742531016473</c:v>
                </c:pt>
                <c:pt idx="1538">
                  <c:v>-21.8742531016473</c:v>
                </c:pt>
                <c:pt idx="1539">
                  <c:v>-21.8742531016473</c:v>
                </c:pt>
                <c:pt idx="1540">
                  <c:v>-21.8742531016473</c:v>
                </c:pt>
                <c:pt idx="1541">
                  <c:v>-21.8742531016473</c:v>
                </c:pt>
                <c:pt idx="1542">
                  <c:v>-21.8742531016473</c:v>
                </c:pt>
                <c:pt idx="1543">
                  <c:v>-21.8742531016473</c:v>
                </c:pt>
                <c:pt idx="1544">
                  <c:v>-21.8742531016473</c:v>
                </c:pt>
                <c:pt idx="1545">
                  <c:v>-21.8742531016473</c:v>
                </c:pt>
                <c:pt idx="1546">
                  <c:v>-21.8742531016473</c:v>
                </c:pt>
                <c:pt idx="1547">
                  <c:v>-21.8742531016473</c:v>
                </c:pt>
                <c:pt idx="1548">
                  <c:v>-21.8742531016473</c:v>
                </c:pt>
                <c:pt idx="1549">
                  <c:v>-21.8742531016473</c:v>
                </c:pt>
                <c:pt idx="1550">
                  <c:v>-21.8742531016473</c:v>
                </c:pt>
                <c:pt idx="1551">
                  <c:v>-21.8742531016473</c:v>
                </c:pt>
                <c:pt idx="1552">
                  <c:v>-21.8742531016473</c:v>
                </c:pt>
                <c:pt idx="1553">
                  <c:v>-21.8742531016473</c:v>
                </c:pt>
                <c:pt idx="1554">
                  <c:v>-21.8742531016473</c:v>
                </c:pt>
                <c:pt idx="1555">
                  <c:v>-21.8742531016473</c:v>
                </c:pt>
                <c:pt idx="1556">
                  <c:v>-21.8742531016473</c:v>
                </c:pt>
                <c:pt idx="1557">
                  <c:v>-21.8742531016473</c:v>
                </c:pt>
                <c:pt idx="1558">
                  <c:v>-21.8742531016473</c:v>
                </c:pt>
                <c:pt idx="1559">
                  <c:v>-21.8742531016473</c:v>
                </c:pt>
                <c:pt idx="1560">
                  <c:v>-21.8742531016473</c:v>
                </c:pt>
                <c:pt idx="1561">
                  <c:v>-21.8742531016473</c:v>
                </c:pt>
                <c:pt idx="1562">
                  <c:v>-21.8742531016473</c:v>
                </c:pt>
                <c:pt idx="1563">
                  <c:v>-21.8742531016473</c:v>
                </c:pt>
                <c:pt idx="1564">
                  <c:v>-21.8742531016473</c:v>
                </c:pt>
                <c:pt idx="1565">
                  <c:v>-21.8742531016473</c:v>
                </c:pt>
                <c:pt idx="1566">
                  <c:v>-21.8742531016473</c:v>
                </c:pt>
                <c:pt idx="1567">
                  <c:v>-21.8742531016473</c:v>
                </c:pt>
                <c:pt idx="1568">
                  <c:v>-21.8742531016473</c:v>
                </c:pt>
                <c:pt idx="1569">
                  <c:v>-21.8742531016473</c:v>
                </c:pt>
                <c:pt idx="1570">
                  <c:v>-21.8742531016473</c:v>
                </c:pt>
                <c:pt idx="1571">
                  <c:v>-21.8742531016473</c:v>
                </c:pt>
                <c:pt idx="1572">
                  <c:v>-21.8742531016473</c:v>
                </c:pt>
                <c:pt idx="1573">
                  <c:v>-21.8742531016473</c:v>
                </c:pt>
                <c:pt idx="1574">
                  <c:v>-21.8742531016473</c:v>
                </c:pt>
                <c:pt idx="1575">
                  <c:v>-21.8742531016473</c:v>
                </c:pt>
                <c:pt idx="1576">
                  <c:v>-21.8742531016473</c:v>
                </c:pt>
                <c:pt idx="1577">
                  <c:v>-21.8742531016473</c:v>
                </c:pt>
                <c:pt idx="1578">
                  <c:v>-12.5425356501238</c:v>
                </c:pt>
                <c:pt idx="1579">
                  <c:v>-12.5425356501238</c:v>
                </c:pt>
                <c:pt idx="1580">
                  <c:v>-12.5425356501238</c:v>
                </c:pt>
                <c:pt idx="1581">
                  <c:v>-12.5425356501238</c:v>
                </c:pt>
                <c:pt idx="1582">
                  <c:v>-12.5425356501238</c:v>
                </c:pt>
                <c:pt idx="1583">
                  <c:v>-12.5425356501238</c:v>
                </c:pt>
                <c:pt idx="1584">
                  <c:v>-12.5425356501238</c:v>
                </c:pt>
                <c:pt idx="1585">
                  <c:v>-12.5425356501238</c:v>
                </c:pt>
                <c:pt idx="1586">
                  <c:v>-12.5425356501238</c:v>
                </c:pt>
                <c:pt idx="1587">
                  <c:v>-12.5425356501238</c:v>
                </c:pt>
                <c:pt idx="1588">
                  <c:v>-12.5425356501238</c:v>
                </c:pt>
                <c:pt idx="1589">
                  <c:v>-12.5425356501238</c:v>
                </c:pt>
                <c:pt idx="1590">
                  <c:v>-12.5425356501238</c:v>
                </c:pt>
                <c:pt idx="1591">
                  <c:v>-12.5425356501238</c:v>
                </c:pt>
                <c:pt idx="1592">
                  <c:v>-12.5425356501238</c:v>
                </c:pt>
                <c:pt idx="1593">
                  <c:v>-12.5425356501238</c:v>
                </c:pt>
                <c:pt idx="1594">
                  <c:v>-12.5425356501238</c:v>
                </c:pt>
                <c:pt idx="1595">
                  <c:v>-12.5425356501238</c:v>
                </c:pt>
                <c:pt idx="1596">
                  <c:v>-12.5425356501238</c:v>
                </c:pt>
                <c:pt idx="1597">
                  <c:v>-12.5425356501238</c:v>
                </c:pt>
                <c:pt idx="1598">
                  <c:v>-12.5425356501238</c:v>
                </c:pt>
                <c:pt idx="1599">
                  <c:v>-12.5425356501238</c:v>
                </c:pt>
                <c:pt idx="1600">
                  <c:v>-12.5425356501238</c:v>
                </c:pt>
                <c:pt idx="1601">
                  <c:v>-12.5425356501238</c:v>
                </c:pt>
                <c:pt idx="1602">
                  <c:v>-12.5425356501238</c:v>
                </c:pt>
                <c:pt idx="1603">
                  <c:v>-12.5425356501238</c:v>
                </c:pt>
                <c:pt idx="1604">
                  <c:v>-12.5425356501238</c:v>
                </c:pt>
                <c:pt idx="1605">
                  <c:v>-12.5425356501238</c:v>
                </c:pt>
                <c:pt idx="1606">
                  <c:v>-12.5425356501238</c:v>
                </c:pt>
                <c:pt idx="1607">
                  <c:v>-12.5425356501238</c:v>
                </c:pt>
                <c:pt idx="1608">
                  <c:v>-12.5425356501238</c:v>
                </c:pt>
                <c:pt idx="1609">
                  <c:v>-12.5425356501238</c:v>
                </c:pt>
                <c:pt idx="1610">
                  <c:v>-12.5425356501238</c:v>
                </c:pt>
                <c:pt idx="1611">
                  <c:v>-12.5425356501238</c:v>
                </c:pt>
                <c:pt idx="1612">
                  <c:v>-12.5425356501238</c:v>
                </c:pt>
                <c:pt idx="1613">
                  <c:v>-12.5425356501238</c:v>
                </c:pt>
                <c:pt idx="1614">
                  <c:v>-12.5425356501238</c:v>
                </c:pt>
                <c:pt idx="1615">
                  <c:v>-12.5425356501238</c:v>
                </c:pt>
                <c:pt idx="1616">
                  <c:v>-12.5425356501238</c:v>
                </c:pt>
                <c:pt idx="1617">
                  <c:v>-12.5425356501238</c:v>
                </c:pt>
                <c:pt idx="1618">
                  <c:v>-12.5425356501238</c:v>
                </c:pt>
                <c:pt idx="1619">
                  <c:v>-12.5425356501238</c:v>
                </c:pt>
                <c:pt idx="1620">
                  <c:v>-12.5425356501238</c:v>
                </c:pt>
                <c:pt idx="1621">
                  <c:v>-12.5425356501238</c:v>
                </c:pt>
                <c:pt idx="1622">
                  <c:v>-12.5425356501238</c:v>
                </c:pt>
                <c:pt idx="1623">
                  <c:v>-12.5425356501238</c:v>
                </c:pt>
                <c:pt idx="1624">
                  <c:v>-12.5425356501238</c:v>
                </c:pt>
                <c:pt idx="1625">
                  <c:v>-12.5425356501238</c:v>
                </c:pt>
                <c:pt idx="1626">
                  <c:v>-12.5425356501238</c:v>
                </c:pt>
                <c:pt idx="1627">
                  <c:v>-12.5425356501238</c:v>
                </c:pt>
                <c:pt idx="1628">
                  <c:v>-12.5425356501238</c:v>
                </c:pt>
                <c:pt idx="1629">
                  <c:v>-12.5425356501238</c:v>
                </c:pt>
                <c:pt idx="1630">
                  <c:v>-12.5425356501238</c:v>
                </c:pt>
                <c:pt idx="1631">
                  <c:v>-12.5425356501238</c:v>
                </c:pt>
                <c:pt idx="1632">
                  <c:v>-12.5425356501238</c:v>
                </c:pt>
                <c:pt idx="1633">
                  <c:v>-12.5425356501238</c:v>
                </c:pt>
                <c:pt idx="1634">
                  <c:v>-12.5425356501238</c:v>
                </c:pt>
                <c:pt idx="1635">
                  <c:v>-12.5425356501238</c:v>
                </c:pt>
                <c:pt idx="1636">
                  <c:v>-12.5425356501238</c:v>
                </c:pt>
                <c:pt idx="1637">
                  <c:v>-12.5425356501238</c:v>
                </c:pt>
                <c:pt idx="1638">
                  <c:v>-12.5425356501238</c:v>
                </c:pt>
                <c:pt idx="1639">
                  <c:v>-12.5425356501238</c:v>
                </c:pt>
                <c:pt idx="1640">
                  <c:v>-12.5425356501238</c:v>
                </c:pt>
                <c:pt idx="1641">
                  <c:v>-12.5425356501238</c:v>
                </c:pt>
                <c:pt idx="1642">
                  <c:v>-12.5425356501238</c:v>
                </c:pt>
                <c:pt idx="1643">
                  <c:v>-12.5425356501238</c:v>
                </c:pt>
                <c:pt idx="1644">
                  <c:v>-12.5425356501238</c:v>
                </c:pt>
                <c:pt idx="1645">
                  <c:v>-12.5425356501238</c:v>
                </c:pt>
                <c:pt idx="1646">
                  <c:v>-12.5425356501238</c:v>
                </c:pt>
                <c:pt idx="1647">
                  <c:v>-12.5425356501238</c:v>
                </c:pt>
                <c:pt idx="1648">
                  <c:v>-12.5425356501238</c:v>
                </c:pt>
                <c:pt idx="1649">
                  <c:v>-12.5425356501238</c:v>
                </c:pt>
                <c:pt idx="1650">
                  <c:v>-12.5425356501238</c:v>
                </c:pt>
                <c:pt idx="1651">
                  <c:v>-3.55427910089164</c:v>
                </c:pt>
                <c:pt idx="1652">
                  <c:v>-3.55427910089164</c:v>
                </c:pt>
                <c:pt idx="1653">
                  <c:v>-3.55427910089164</c:v>
                </c:pt>
                <c:pt idx="1654">
                  <c:v>-3.55427910089164</c:v>
                </c:pt>
                <c:pt idx="1655">
                  <c:v>-3.55427910089164</c:v>
                </c:pt>
                <c:pt idx="1656">
                  <c:v>-3.55427910089164</c:v>
                </c:pt>
                <c:pt idx="1657">
                  <c:v>-3.55427910089164</c:v>
                </c:pt>
                <c:pt idx="1658">
                  <c:v>-3.55427910089164</c:v>
                </c:pt>
                <c:pt idx="1659">
                  <c:v>-3.55427910089164</c:v>
                </c:pt>
                <c:pt idx="1660">
                  <c:v>-3.55427910089164</c:v>
                </c:pt>
                <c:pt idx="1661">
                  <c:v>-3.55427910089164</c:v>
                </c:pt>
                <c:pt idx="1662">
                  <c:v>-3.55427910089164</c:v>
                </c:pt>
                <c:pt idx="1663">
                  <c:v>-3.55427910089164</c:v>
                </c:pt>
                <c:pt idx="1664">
                  <c:v>-3.55427910089164</c:v>
                </c:pt>
                <c:pt idx="1665">
                  <c:v>-3.55427910089164</c:v>
                </c:pt>
                <c:pt idx="1666">
                  <c:v>-3.55427910089164</c:v>
                </c:pt>
                <c:pt idx="1667">
                  <c:v>-3.55427910089164</c:v>
                </c:pt>
                <c:pt idx="1668">
                  <c:v>-3.55427910089164</c:v>
                </c:pt>
                <c:pt idx="1669">
                  <c:v>-3.55427910089164</c:v>
                </c:pt>
                <c:pt idx="1670">
                  <c:v>-3.55427910089164</c:v>
                </c:pt>
                <c:pt idx="1671">
                  <c:v>-3.24613530045144</c:v>
                </c:pt>
                <c:pt idx="1672">
                  <c:v>-3.24613530045144</c:v>
                </c:pt>
                <c:pt idx="1673">
                  <c:v>-3.24613530045144</c:v>
                </c:pt>
                <c:pt idx="1674">
                  <c:v>-3.24613530045144</c:v>
                </c:pt>
                <c:pt idx="1675">
                  <c:v>-3.24613530045144</c:v>
                </c:pt>
                <c:pt idx="1676">
                  <c:v>-3.24613530045144</c:v>
                </c:pt>
                <c:pt idx="1677">
                  <c:v>-3.24613530045144</c:v>
                </c:pt>
                <c:pt idx="1678">
                  <c:v>-3.24613530045144</c:v>
                </c:pt>
                <c:pt idx="1679">
                  <c:v>-3.24613530045144</c:v>
                </c:pt>
                <c:pt idx="1680">
                  <c:v>-3.24613530045144</c:v>
                </c:pt>
                <c:pt idx="1681">
                  <c:v>-3.24613530045144</c:v>
                </c:pt>
                <c:pt idx="1682">
                  <c:v>-3.24613530045144</c:v>
                </c:pt>
                <c:pt idx="1683">
                  <c:v>-3.24613530045144</c:v>
                </c:pt>
                <c:pt idx="1684">
                  <c:v>-3.24613530045144</c:v>
                </c:pt>
                <c:pt idx="1685">
                  <c:v>-3.24613530045144</c:v>
                </c:pt>
                <c:pt idx="1686">
                  <c:v>-3.24613530045144</c:v>
                </c:pt>
                <c:pt idx="1687">
                  <c:v>-3.24613530045144</c:v>
                </c:pt>
                <c:pt idx="1688">
                  <c:v>-3.24613530045144</c:v>
                </c:pt>
                <c:pt idx="1689">
                  <c:v>-3.24613530045144</c:v>
                </c:pt>
                <c:pt idx="1690">
                  <c:v>-3.24613530045144</c:v>
                </c:pt>
                <c:pt idx="1691">
                  <c:v>-3.24613530045144</c:v>
                </c:pt>
                <c:pt idx="1692">
                  <c:v>-3.24613530045144</c:v>
                </c:pt>
                <c:pt idx="1693">
                  <c:v>-3.24613530045144</c:v>
                </c:pt>
                <c:pt idx="1694">
                  <c:v>-3.24613530045144</c:v>
                </c:pt>
                <c:pt idx="1695">
                  <c:v>-3.24613530045144</c:v>
                </c:pt>
                <c:pt idx="1696">
                  <c:v>-3.24613530045144</c:v>
                </c:pt>
                <c:pt idx="1697">
                  <c:v>-3.24613530045144</c:v>
                </c:pt>
                <c:pt idx="1698">
                  <c:v>-3.24613530045144</c:v>
                </c:pt>
                <c:pt idx="1699">
                  <c:v>-3.24613530045144</c:v>
                </c:pt>
                <c:pt idx="1700">
                  <c:v>-3.24613530045144</c:v>
                </c:pt>
                <c:pt idx="1701">
                  <c:v>-3.24613530045144</c:v>
                </c:pt>
                <c:pt idx="1702">
                  <c:v>-3.24613530045144</c:v>
                </c:pt>
                <c:pt idx="1703">
                  <c:v>-3.24613530045144</c:v>
                </c:pt>
                <c:pt idx="1704">
                  <c:v>-3.24613530045144</c:v>
                </c:pt>
                <c:pt idx="1705">
                  <c:v>-3.24613530045144</c:v>
                </c:pt>
                <c:pt idx="1706">
                  <c:v>-3.24613530045144</c:v>
                </c:pt>
                <c:pt idx="1707">
                  <c:v>-3.24613530045144</c:v>
                </c:pt>
                <c:pt idx="1708">
                  <c:v>-3.24613530045144</c:v>
                </c:pt>
                <c:pt idx="1709">
                  <c:v>-3.24613530045144</c:v>
                </c:pt>
                <c:pt idx="1710">
                  <c:v>-3.24613530045144</c:v>
                </c:pt>
                <c:pt idx="1711">
                  <c:v>-3.24613530045144</c:v>
                </c:pt>
                <c:pt idx="1712">
                  <c:v>-3.24613530045144</c:v>
                </c:pt>
                <c:pt idx="1713">
                  <c:v>-3.24613530045144</c:v>
                </c:pt>
                <c:pt idx="1714">
                  <c:v>-3.24613530045144</c:v>
                </c:pt>
                <c:pt idx="1715">
                  <c:v>-3.24613530045144</c:v>
                </c:pt>
                <c:pt idx="1716">
                  <c:v>-3.24613530045144</c:v>
                </c:pt>
                <c:pt idx="1717">
                  <c:v>-3.24613530045144</c:v>
                </c:pt>
                <c:pt idx="1718">
                  <c:v>-3.24613530045144</c:v>
                </c:pt>
                <c:pt idx="1719">
                  <c:v>-3.24613530045144</c:v>
                </c:pt>
                <c:pt idx="1720">
                  <c:v>-3.24613530045144</c:v>
                </c:pt>
                <c:pt idx="1721">
                  <c:v>-3.24613530045144</c:v>
                </c:pt>
                <c:pt idx="1722">
                  <c:v>-3.24613530045144</c:v>
                </c:pt>
                <c:pt idx="1723">
                  <c:v>-3.24613530045144</c:v>
                </c:pt>
                <c:pt idx="1724">
                  <c:v>-3.24613530045144</c:v>
                </c:pt>
                <c:pt idx="1725">
                  <c:v>-3.24613530045144</c:v>
                </c:pt>
                <c:pt idx="1726">
                  <c:v>-3.24613530045144</c:v>
                </c:pt>
                <c:pt idx="1727">
                  <c:v>-3.24613530045144</c:v>
                </c:pt>
                <c:pt idx="1728">
                  <c:v>-3.24613530045144</c:v>
                </c:pt>
                <c:pt idx="1729">
                  <c:v>-3.24613530045144</c:v>
                </c:pt>
                <c:pt idx="1730">
                  <c:v>-3.24613530045144</c:v>
                </c:pt>
                <c:pt idx="1731">
                  <c:v>-3.24613530045144</c:v>
                </c:pt>
                <c:pt idx="1732">
                  <c:v>-3.24613530045144</c:v>
                </c:pt>
                <c:pt idx="1733">
                  <c:v>-3.24613530045144</c:v>
                </c:pt>
                <c:pt idx="1734">
                  <c:v>-3.24613530045144</c:v>
                </c:pt>
                <c:pt idx="1735">
                  <c:v>-3.24613530045144</c:v>
                </c:pt>
                <c:pt idx="1736">
                  <c:v>-3.24613530045144</c:v>
                </c:pt>
                <c:pt idx="1737">
                  <c:v>-3.24613530045144</c:v>
                </c:pt>
                <c:pt idx="1738">
                  <c:v>-3.24613530045144</c:v>
                </c:pt>
                <c:pt idx="1739">
                  <c:v>-3.24613530045144</c:v>
                </c:pt>
                <c:pt idx="1740">
                  <c:v>-3.24613530045144</c:v>
                </c:pt>
                <c:pt idx="1741">
                  <c:v>-3.24613530045144</c:v>
                </c:pt>
                <c:pt idx="1742">
                  <c:v>-3.24613530045144</c:v>
                </c:pt>
                <c:pt idx="1743">
                  <c:v>-3.24613530045144</c:v>
                </c:pt>
                <c:pt idx="1744">
                  <c:v>-3.24613530045144</c:v>
                </c:pt>
                <c:pt idx="1745">
                  <c:v>-3.24613530045144</c:v>
                </c:pt>
                <c:pt idx="1746">
                  <c:v>-3.24613530045144</c:v>
                </c:pt>
                <c:pt idx="1747">
                  <c:v>-3.24613530045144</c:v>
                </c:pt>
                <c:pt idx="1748">
                  <c:v>-3.24613530045144</c:v>
                </c:pt>
                <c:pt idx="1749">
                  <c:v>-3.24613530045144</c:v>
                </c:pt>
                <c:pt idx="1750">
                  <c:v>-8.13444016247509</c:v>
                </c:pt>
                <c:pt idx="1751">
                  <c:v>-8.13444016247509</c:v>
                </c:pt>
                <c:pt idx="1752">
                  <c:v>-8.13444016247509</c:v>
                </c:pt>
                <c:pt idx="1753">
                  <c:v>-8.13444016247509</c:v>
                </c:pt>
                <c:pt idx="1754">
                  <c:v>-8.13444016247509</c:v>
                </c:pt>
                <c:pt idx="1755">
                  <c:v>-8.13444016247509</c:v>
                </c:pt>
                <c:pt idx="1756">
                  <c:v>-8.13444016247509</c:v>
                </c:pt>
                <c:pt idx="1757">
                  <c:v>-8.13444016247509</c:v>
                </c:pt>
                <c:pt idx="1758">
                  <c:v>-8.13444016247509</c:v>
                </c:pt>
                <c:pt idx="1759">
                  <c:v>-8.13444016247509</c:v>
                </c:pt>
                <c:pt idx="1760">
                  <c:v>-8.13444016247509</c:v>
                </c:pt>
                <c:pt idx="1761">
                  <c:v>-8.13444016247509</c:v>
                </c:pt>
                <c:pt idx="1762">
                  <c:v>-8.13444016247509</c:v>
                </c:pt>
                <c:pt idx="1763">
                  <c:v>-8.13444016247509</c:v>
                </c:pt>
                <c:pt idx="1764">
                  <c:v>-8.13444016247509</c:v>
                </c:pt>
                <c:pt idx="1765">
                  <c:v>-8.13444016247509</c:v>
                </c:pt>
                <c:pt idx="1766">
                  <c:v>-8.13444016247509</c:v>
                </c:pt>
                <c:pt idx="1767">
                  <c:v>-8.13444016247509</c:v>
                </c:pt>
                <c:pt idx="1768">
                  <c:v>-8.13444016247509</c:v>
                </c:pt>
                <c:pt idx="1769">
                  <c:v>-8.13444016247509</c:v>
                </c:pt>
                <c:pt idx="1770">
                  <c:v>-8.13444016247509</c:v>
                </c:pt>
                <c:pt idx="1771">
                  <c:v>-8.13444016247509</c:v>
                </c:pt>
                <c:pt idx="1772">
                  <c:v>-8.13444016247509</c:v>
                </c:pt>
                <c:pt idx="1773">
                  <c:v>-8.13444016247509</c:v>
                </c:pt>
                <c:pt idx="1774">
                  <c:v>-8.13444016247509</c:v>
                </c:pt>
                <c:pt idx="1775">
                  <c:v>-8.13444016247509</c:v>
                </c:pt>
                <c:pt idx="1776">
                  <c:v>-8.13444016247509</c:v>
                </c:pt>
                <c:pt idx="1777">
                  <c:v>-8.13444016247509</c:v>
                </c:pt>
                <c:pt idx="1778">
                  <c:v>-8.13444016247509</c:v>
                </c:pt>
                <c:pt idx="1779">
                  <c:v>-8.13444016247509</c:v>
                </c:pt>
                <c:pt idx="1780">
                  <c:v>-8.13444016247509</c:v>
                </c:pt>
                <c:pt idx="1781">
                  <c:v>-8.13444016247509</c:v>
                </c:pt>
                <c:pt idx="1782">
                  <c:v>-8.13444016247509</c:v>
                </c:pt>
                <c:pt idx="1783">
                  <c:v>-8.13444016247509</c:v>
                </c:pt>
                <c:pt idx="1784">
                  <c:v>-8.13444016247509</c:v>
                </c:pt>
                <c:pt idx="1785">
                  <c:v>-8.13444016247509</c:v>
                </c:pt>
                <c:pt idx="1786">
                  <c:v>-8.13444016247509</c:v>
                </c:pt>
                <c:pt idx="1787">
                  <c:v>-8.13444016247509</c:v>
                </c:pt>
                <c:pt idx="1788">
                  <c:v>-8.13444016247509</c:v>
                </c:pt>
                <c:pt idx="1789">
                  <c:v>-8.13444016247509</c:v>
                </c:pt>
                <c:pt idx="1790">
                  <c:v>-8.13444016247509</c:v>
                </c:pt>
                <c:pt idx="1791">
                  <c:v>-8.13444016247509</c:v>
                </c:pt>
                <c:pt idx="1792">
                  <c:v>-8.13444016247509</c:v>
                </c:pt>
                <c:pt idx="1793">
                  <c:v>-8.13444016247509</c:v>
                </c:pt>
                <c:pt idx="1794">
                  <c:v>-8.13444016247509</c:v>
                </c:pt>
                <c:pt idx="1795">
                  <c:v>-8.13444016247509</c:v>
                </c:pt>
                <c:pt idx="1796">
                  <c:v>-8.13444016247509</c:v>
                </c:pt>
                <c:pt idx="1797">
                  <c:v>-8.13444016247509</c:v>
                </c:pt>
                <c:pt idx="1798">
                  <c:v>-8.13444016247509</c:v>
                </c:pt>
                <c:pt idx="1799">
                  <c:v>-8.13444016247509</c:v>
                </c:pt>
                <c:pt idx="1800">
                  <c:v>-8.13444016247509</c:v>
                </c:pt>
                <c:pt idx="1801">
                  <c:v>-8.13444016247509</c:v>
                </c:pt>
                <c:pt idx="1802">
                  <c:v>-8.13444016247509</c:v>
                </c:pt>
                <c:pt idx="1803">
                  <c:v>-8.13444016247509</c:v>
                </c:pt>
                <c:pt idx="1804">
                  <c:v>-8.13444016247509</c:v>
                </c:pt>
                <c:pt idx="1805">
                  <c:v>-8.13444016247509</c:v>
                </c:pt>
                <c:pt idx="1806">
                  <c:v>-8.13444016247509</c:v>
                </c:pt>
                <c:pt idx="1807">
                  <c:v>-8.13444016247509</c:v>
                </c:pt>
                <c:pt idx="1808">
                  <c:v>-8.13444016247509</c:v>
                </c:pt>
                <c:pt idx="1809">
                  <c:v>-8.13444016247509</c:v>
                </c:pt>
                <c:pt idx="1810">
                  <c:v>-8.13444016247509</c:v>
                </c:pt>
                <c:pt idx="1811">
                  <c:v>-8.13444016247509</c:v>
                </c:pt>
                <c:pt idx="1812">
                  <c:v>-1.35302166392677</c:v>
                </c:pt>
                <c:pt idx="1813">
                  <c:v>-1.35302166392677</c:v>
                </c:pt>
                <c:pt idx="1814">
                  <c:v>-1.35302166392677</c:v>
                </c:pt>
                <c:pt idx="1815">
                  <c:v>-1.35302166392677</c:v>
                </c:pt>
                <c:pt idx="1816">
                  <c:v>-1.35302166392677</c:v>
                </c:pt>
                <c:pt idx="1817">
                  <c:v>-1.35302166392677</c:v>
                </c:pt>
                <c:pt idx="1818">
                  <c:v>-1.35302166392677</c:v>
                </c:pt>
                <c:pt idx="1819">
                  <c:v>-1.35302166392677</c:v>
                </c:pt>
                <c:pt idx="1820">
                  <c:v>-1.35302166392677</c:v>
                </c:pt>
                <c:pt idx="1821">
                  <c:v>-1.35302166392677</c:v>
                </c:pt>
                <c:pt idx="1822">
                  <c:v>-1.35302166392677</c:v>
                </c:pt>
                <c:pt idx="1823">
                  <c:v>-1.35302166392677</c:v>
                </c:pt>
                <c:pt idx="1824">
                  <c:v>-1.35302166392677</c:v>
                </c:pt>
                <c:pt idx="1825">
                  <c:v>-1.35302166392677</c:v>
                </c:pt>
                <c:pt idx="1826">
                  <c:v>-1.35302166392677</c:v>
                </c:pt>
                <c:pt idx="1827">
                  <c:v>-1.35302166392677</c:v>
                </c:pt>
                <c:pt idx="1828">
                  <c:v>-1.35302166392677</c:v>
                </c:pt>
                <c:pt idx="1829">
                  <c:v>-1.35302166392677</c:v>
                </c:pt>
                <c:pt idx="1830">
                  <c:v>-1.35302166392677</c:v>
                </c:pt>
                <c:pt idx="1831">
                  <c:v>-1.35302166392677</c:v>
                </c:pt>
                <c:pt idx="1832">
                  <c:v>5.29835448286223</c:v>
                </c:pt>
                <c:pt idx="1833">
                  <c:v>5.29835448286223</c:v>
                </c:pt>
                <c:pt idx="1834">
                  <c:v>5.29835448286223</c:v>
                </c:pt>
                <c:pt idx="1835">
                  <c:v>5.29835448286223</c:v>
                </c:pt>
                <c:pt idx="1836">
                  <c:v>5.29835448286223</c:v>
                </c:pt>
                <c:pt idx="1837">
                  <c:v>5.29835448286223</c:v>
                </c:pt>
                <c:pt idx="1838">
                  <c:v>5.29835448286223</c:v>
                </c:pt>
                <c:pt idx="1839">
                  <c:v>5.29835448286223</c:v>
                </c:pt>
                <c:pt idx="1840">
                  <c:v>5.29835448286223</c:v>
                </c:pt>
                <c:pt idx="1841">
                  <c:v>5.29835448286223</c:v>
                </c:pt>
                <c:pt idx="1842">
                  <c:v>5.29835448286223</c:v>
                </c:pt>
                <c:pt idx="1843">
                  <c:v>5.29835448286223</c:v>
                </c:pt>
                <c:pt idx="1844">
                  <c:v>5.29835448286223</c:v>
                </c:pt>
                <c:pt idx="1845">
                  <c:v>5.29835448286223</c:v>
                </c:pt>
                <c:pt idx="1846">
                  <c:v>5.29835448286223</c:v>
                </c:pt>
                <c:pt idx="1847">
                  <c:v>5.29835448286223</c:v>
                </c:pt>
                <c:pt idx="1848">
                  <c:v>5.29835448286223</c:v>
                </c:pt>
                <c:pt idx="1849">
                  <c:v>5.29835448286223</c:v>
                </c:pt>
                <c:pt idx="1850">
                  <c:v>5.29835448286223</c:v>
                </c:pt>
                <c:pt idx="1851">
                  <c:v>5.29835448286223</c:v>
                </c:pt>
                <c:pt idx="1852">
                  <c:v>5.29835448286223</c:v>
                </c:pt>
                <c:pt idx="1853">
                  <c:v>5.29835448286223</c:v>
                </c:pt>
                <c:pt idx="1854">
                  <c:v>5.29835448286223</c:v>
                </c:pt>
                <c:pt idx="1855">
                  <c:v>5.29835448286223</c:v>
                </c:pt>
                <c:pt idx="1856">
                  <c:v>5.29835448286223</c:v>
                </c:pt>
                <c:pt idx="1857">
                  <c:v>5.29835448286223</c:v>
                </c:pt>
                <c:pt idx="1858">
                  <c:v>5.29835448286223</c:v>
                </c:pt>
                <c:pt idx="1859">
                  <c:v>5.29835448286223</c:v>
                </c:pt>
                <c:pt idx="1860">
                  <c:v>5.29835448286223</c:v>
                </c:pt>
                <c:pt idx="1861">
                  <c:v>5.29835448286223</c:v>
                </c:pt>
                <c:pt idx="1862">
                  <c:v>5.29835448286223</c:v>
                </c:pt>
                <c:pt idx="1863">
                  <c:v>5.29835448286223</c:v>
                </c:pt>
                <c:pt idx="1864">
                  <c:v>5.29835448286223</c:v>
                </c:pt>
                <c:pt idx="1865">
                  <c:v>5.29835448286223</c:v>
                </c:pt>
                <c:pt idx="1866">
                  <c:v>5.29835448286223</c:v>
                </c:pt>
                <c:pt idx="1867">
                  <c:v>5.29835448286223</c:v>
                </c:pt>
                <c:pt idx="1868">
                  <c:v>5.29835448286223</c:v>
                </c:pt>
                <c:pt idx="1869">
                  <c:v>5.29835448286223</c:v>
                </c:pt>
                <c:pt idx="1870">
                  <c:v>5.29835448286223</c:v>
                </c:pt>
                <c:pt idx="1871">
                  <c:v>5.29835448286223</c:v>
                </c:pt>
                <c:pt idx="1872">
                  <c:v>5.29835448286223</c:v>
                </c:pt>
                <c:pt idx="1873">
                  <c:v>5.29835448286223</c:v>
                </c:pt>
                <c:pt idx="1874">
                  <c:v>5.29835448286223</c:v>
                </c:pt>
                <c:pt idx="1875">
                  <c:v>5.29835448286223</c:v>
                </c:pt>
                <c:pt idx="1876">
                  <c:v>5.29835448286223</c:v>
                </c:pt>
                <c:pt idx="1877">
                  <c:v>5.29835448286223</c:v>
                </c:pt>
                <c:pt idx="1878">
                  <c:v>5.29835448286223</c:v>
                </c:pt>
                <c:pt idx="1879">
                  <c:v>5.29835448286223</c:v>
                </c:pt>
                <c:pt idx="1880">
                  <c:v>5.29835448286223</c:v>
                </c:pt>
                <c:pt idx="1881">
                  <c:v>5.29835448286223</c:v>
                </c:pt>
                <c:pt idx="1882">
                  <c:v>5.29835448286223</c:v>
                </c:pt>
                <c:pt idx="1883">
                  <c:v>5.29835448286223</c:v>
                </c:pt>
                <c:pt idx="1884">
                  <c:v>5.29835448286223</c:v>
                </c:pt>
                <c:pt idx="1885">
                  <c:v>5.29835448286223</c:v>
                </c:pt>
                <c:pt idx="1886">
                  <c:v>5.29835448286223</c:v>
                </c:pt>
                <c:pt idx="1887">
                  <c:v>5.29835448286223</c:v>
                </c:pt>
                <c:pt idx="1888">
                  <c:v>5.29835448286223</c:v>
                </c:pt>
                <c:pt idx="1889">
                  <c:v>5.29835448286223</c:v>
                </c:pt>
                <c:pt idx="1890">
                  <c:v>5.29835448286223</c:v>
                </c:pt>
                <c:pt idx="1891">
                  <c:v>5.29835448286223</c:v>
                </c:pt>
                <c:pt idx="1892">
                  <c:v>5.29835448286223</c:v>
                </c:pt>
                <c:pt idx="1893">
                  <c:v>5.29835448286223</c:v>
                </c:pt>
                <c:pt idx="1894">
                  <c:v>5.29835448286223</c:v>
                </c:pt>
                <c:pt idx="1895">
                  <c:v>5.29835448286223</c:v>
                </c:pt>
                <c:pt idx="1896">
                  <c:v>0.424312861832648</c:v>
                </c:pt>
                <c:pt idx="1897">
                  <c:v>0.424312861832648</c:v>
                </c:pt>
                <c:pt idx="1898">
                  <c:v>0.424312861832648</c:v>
                </c:pt>
                <c:pt idx="1899">
                  <c:v>0.424312861832648</c:v>
                </c:pt>
                <c:pt idx="1900">
                  <c:v>0.424312861832648</c:v>
                </c:pt>
                <c:pt idx="1901">
                  <c:v>0.424312861832648</c:v>
                </c:pt>
                <c:pt idx="1902">
                  <c:v>0.424312861832648</c:v>
                </c:pt>
                <c:pt idx="1903">
                  <c:v>0.424312861832648</c:v>
                </c:pt>
                <c:pt idx="1904">
                  <c:v>0.424312861832648</c:v>
                </c:pt>
                <c:pt idx="1905">
                  <c:v>0.424312861832648</c:v>
                </c:pt>
                <c:pt idx="1906">
                  <c:v>0.424312861832648</c:v>
                </c:pt>
                <c:pt idx="1907">
                  <c:v>0.424312861832648</c:v>
                </c:pt>
                <c:pt idx="1908">
                  <c:v>0.424312861832648</c:v>
                </c:pt>
                <c:pt idx="1909">
                  <c:v>0.424312861832648</c:v>
                </c:pt>
                <c:pt idx="1910">
                  <c:v>0.424312861832648</c:v>
                </c:pt>
                <c:pt idx="1911">
                  <c:v>0.424312861832648</c:v>
                </c:pt>
                <c:pt idx="1912">
                  <c:v>0.424312861832648</c:v>
                </c:pt>
                <c:pt idx="1913">
                  <c:v>0.424312861832648</c:v>
                </c:pt>
                <c:pt idx="1914">
                  <c:v>0.424312861832648</c:v>
                </c:pt>
                <c:pt idx="1915">
                  <c:v>0.424312861832648</c:v>
                </c:pt>
                <c:pt idx="1916">
                  <c:v>0.424312861832648</c:v>
                </c:pt>
                <c:pt idx="1917">
                  <c:v>0.424312861832648</c:v>
                </c:pt>
                <c:pt idx="1918">
                  <c:v>0.424312861832648</c:v>
                </c:pt>
                <c:pt idx="1919">
                  <c:v>0.424312861832648</c:v>
                </c:pt>
                <c:pt idx="1920">
                  <c:v>0.424312861832648</c:v>
                </c:pt>
                <c:pt idx="1921">
                  <c:v>-2.28456103541696</c:v>
                </c:pt>
                <c:pt idx="1922">
                  <c:v>-2.28456103541696</c:v>
                </c:pt>
                <c:pt idx="1923">
                  <c:v>-2.28456103541696</c:v>
                </c:pt>
                <c:pt idx="1924">
                  <c:v>-2.28456103541696</c:v>
                </c:pt>
                <c:pt idx="1925">
                  <c:v>-2.28456103541696</c:v>
                </c:pt>
                <c:pt idx="1926">
                  <c:v>-2.28456103541696</c:v>
                </c:pt>
                <c:pt idx="1927">
                  <c:v>-2.28456103541696</c:v>
                </c:pt>
                <c:pt idx="1928">
                  <c:v>-2.28456103541696</c:v>
                </c:pt>
                <c:pt idx="1929">
                  <c:v>-2.28456103541696</c:v>
                </c:pt>
                <c:pt idx="1930">
                  <c:v>-2.28456103541696</c:v>
                </c:pt>
                <c:pt idx="1931">
                  <c:v>-2.28456103541696</c:v>
                </c:pt>
                <c:pt idx="1932">
                  <c:v>-2.28456103541696</c:v>
                </c:pt>
                <c:pt idx="1933">
                  <c:v>-2.28456103541696</c:v>
                </c:pt>
                <c:pt idx="1934">
                  <c:v>-2.28456103541696</c:v>
                </c:pt>
                <c:pt idx="1935">
                  <c:v>-2.28456103541696</c:v>
                </c:pt>
                <c:pt idx="1936">
                  <c:v>-2.28456103541696</c:v>
                </c:pt>
                <c:pt idx="1937">
                  <c:v>-2.28456103541696</c:v>
                </c:pt>
                <c:pt idx="1938">
                  <c:v>-2.28456103541696</c:v>
                </c:pt>
                <c:pt idx="1939">
                  <c:v>-2.28456103541696</c:v>
                </c:pt>
                <c:pt idx="1940">
                  <c:v>-2.28456103541696</c:v>
                </c:pt>
                <c:pt idx="1941">
                  <c:v>-2.28456103541696</c:v>
                </c:pt>
                <c:pt idx="1942">
                  <c:v>-2.28456103541696</c:v>
                </c:pt>
                <c:pt idx="1943">
                  <c:v>-2.28456103541696</c:v>
                </c:pt>
                <c:pt idx="1944">
                  <c:v>-2.28456103541696</c:v>
                </c:pt>
                <c:pt idx="1945">
                  <c:v>-2.28456103541696</c:v>
                </c:pt>
                <c:pt idx="1946">
                  <c:v>-2.28456103541696</c:v>
                </c:pt>
                <c:pt idx="1947">
                  <c:v>-2.28456103541696</c:v>
                </c:pt>
                <c:pt idx="1948">
                  <c:v>-2.28456103541696</c:v>
                </c:pt>
                <c:pt idx="1949">
                  <c:v>-0.222076290481646</c:v>
                </c:pt>
                <c:pt idx="1950">
                  <c:v>-0.222076290481646</c:v>
                </c:pt>
                <c:pt idx="1951">
                  <c:v>-0.222076290481646</c:v>
                </c:pt>
                <c:pt idx="1952">
                  <c:v>-0.222076290481646</c:v>
                </c:pt>
                <c:pt idx="1953">
                  <c:v>-0.222076290481646</c:v>
                </c:pt>
                <c:pt idx="1954">
                  <c:v>-0.222076290481646</c:v>
                </c:pt>
                <c:pt idx="1955">
                  <c:v>-0.222076290481646</c:v>
                </c:pt>
                <c:pt idx="1956">
                  <c:v>-0.222076290481646</c:v>
                </c:pt>
                <c:pt idx="1957">
                  <c:v>-0.222076290481646</c:v>
                </c:pt>
                <c:pt idx="1958">
                  <c:v>-0.222076290481646</c:v>
                </c:pt>
                <c:pt idx="1959">
                  <c:v>-0.222076290481646</c:v>
                </c:pt>
                <c:pt idx="1960">
                  <c:v>-0.222076290481646</c:v>
                </c:pt>
                <c:pt idx="1961">
                  <c:v>-0.222076290481646</c:v>
                </c:pt>
                <c:pt idx="1962">
                  <c:v>-0.222076290481646</c:v>
                </c:pt>
                <c:pt idx="1963">
                  <c:v>-0.222076290481646</c:v>
                </c:pt>
                <c:pt idx="1964">
                  <c:v>-0.222076290481646</c:v>
                </c:pt>
                <c:pt idx="1965">
                  <c:v>-0.222076290481646</c:v>
                </c:pt>
                <c:pt idx="1966">
                  <c:v>-0.222076290481646</c:v>
                </c:pt>
                <c:pt idx="1967">
                  <c:v>-0.222076290481646</c:v>
                </c:pt>
                <c:pt idx="1968">
                  <c:v>-0.222076290481646</c:v>
                </c:pt>
                <c:pt idx="1969">
                  <c:v>-0.222076290481646</c:v>
                </c:pt>
                <c:pt idx="1970">
                  <c:v>-0.222076290481646</c:v>
                </c:pt>
                <c:pt idx="1971">
                  <c:v>-0.222076290481646</c:v>
                </c:pt>
                <c:pt idx="1972">
                  <c:v>-0.222076290481646</c:v>
                </c:pt>
                <c:pt idx="1973">
                  <c:v>-0.222076290481646</c:v>
                </c:pt>
                <c:pt idx="1974">
                  <c:v>-0.222076290481646</c:v>
                </c:pt>
                <c:pt idx="1975">
                  <c:v>-0.222076290481646</c:v>
                </c:pt>
                <c:pt idx="1976">
                  <c:v>-0.222076290481646</c:v>
                </c:pt>
                <c:pt idx="1977">
                  <c:v>-0.222076290481646</c:v>
                </c:pt>
                <c:pt idx="1978">
                  <c:v>-0.222076290481646</c:v>
                </c:pt>
                <c:pt idx="1979">
                  <c:v>-0.222076290481646</c:v>
                </c:pt>
                <c:pt idx="1980">
                  <c:v>-0.222076290481646</c:v>
                </c:pt>
                <c:pt idx="1981">
                  <c:v>-0.222076290481646</c:v>
                </c:pt>
                <c:pt idx="1982">
                  <c:v>-0.222076290481646</c:v>
                </c:pt>
                <c:pt idx="1983">
                  <c:v>-0.222076290481646</c:v>
                </c:pt>
                <c:pt idx="1984">
                  <c:v>-0.222076290481646</c:v>
                </c:pt>
                <c:pt idx="1985">
                  <c:v>-0.222076290481646</c:v>
                </c:pt>
                <c:pt idx="1986">
                  <c:v>-0.222076290481646</c:v>
                </c:pt>
                <c:pt idx="1987">
                  <c:v>-0.222076290481646</c:v>
                </c:pt>
                <c:pt idx="1988">
                  <c:v>-0.222076290481646</c:v>
                </c:pt>
                <c:pt idx="1989">
                  <c:v>-0.222076290481646</c:v>
                </c:pt>
                <c:pt idx="1990">
                  <c:v>-0.222076290481646</c:v>
                </c:pt>
                <c:pt idx="1991">
                  <c:v>-0.222076290481646</c:v>
                </c:pt>
                <c:pt idx="1992">
                  <c:v>-0.222076290481646</c:v>
                </c:pt>
                <c:pt idx="1993">
                  <c:v>-0.222076290481646</c:v>
                </c:pt>
                <c:pt idx="1994">
                  <c:v>-0.222076290481646</c:v>
                </c:pt>
                <c:pt idx="1995">
                  <c:v>-0.222076290481646</c:v>
                </c:pt>
                <c:pt idx="1996">
                  <c:v>-0.222076290481646</c:v>
                </c:pt>
                <c:pt idx="1997">
                  <c:v>-0.222076290481646</c:v>
                </c:pt>
                <c:pt idx="1998">
                  <c:v>-0.222076290481646</c:v>
                </c:pt>
                <c:pt idx="1999">
                  <c:v>-0.222076290481646</c:v>
                </c:pt>
                <c:pt idx="2000">
                  <c:v>-0.222076290481646</c:v>
                </c:pt>
                <c:pt idx="2001">
                  <c:v>-0.222076290481646</c:v>
                </c:pt>
                <c:pt idx="2002">
                  <c:v>-0.222076290481646</c:v>
                </c:pt>
                <c:pt idx="2003">
                  <c:v>-0.222076290481646</c:v>
                </c:pt>
                <c:pt idx="2004">
                  <c:v>-0.222076290481646</c:v>
                </c:pt>
                <c:pt idx="2005">
                  <c:v>-4.32545698621902</c:v>
                </c:pt>
                <c:pt idx="2006">
                  <c:v>-4.32545698621902</c:v>
                </c:pt>
                <c:pt idx="2007">
                  <c:v>-4.32545698621902</c:v>
                </c:pt>
                <c:pt idx="2008">
                  <c:v>-4.32545698621902</c:v>
                </c:pt>
                <c:pt idx="2009">
                  <c:v>-4.32545698621902</c:v>
                </c:pt>
                <c:pt idx="2010">
                  <c:v>-4.32545698621902</c:v>
                </c:pt>
                <c:pt idx="2011">
                  <c:v>-4.32545698621902</c:v>
                </c:pt>
                <c:pt idx="2012">
                  <c:v>-4.32545698621902</c:v>
                </c:pt>
                <c:pt idx="2013">
                  <c:v>-4.32545698621902</c:v>
                </c:pt>
                <c:pt idx="2014">
                  <c:v>-4.32545698621902</c:v>
                </c:pt>
                <c:pt idx="2015">
                  <c:v>-4.32545698621902</c:v>
                </c:pt>
                <c:pt idx="2016">
                  <c:v>-4.32545698621902</c:v>
                </c:pt>
                <c:pt idx="2017">
                  <c:v>-4.32545698621902</c:v>
                </c:pt>
                <c:pt idx="2018">
                  <c:v>-4.32545698621902</c:v>
                </c:pt>
                <c:pt idx="2019">
                  <c:v>-4.32545698621902</c:v>
                </c:pt>
                <c:pt idx="2020">
                  <c:v>-4.32545698621902</c:v>
                </c:pt>
                <c:pt idx="2021">
                  <c:v>-4.32545698621902</c:v>
                </c:pt>
                <c:pt idx="2022">
                  <c:v>-4.32545698621902</c:v>
                </c:pt>
                <c:pt idx="2023">
                  <c:v>-4.32545698621902</c:v>
                </c:pt>
                <c:pt idx="2024">
                  <c:v>-4.32545698621902</c:v>
                </c:pt>
                <c:pt idx="2025">
                  <c:v>-4.32545698621902</c:v>
                </c:pt>
                <c:pt idx="2026">
                  <c:v>-4.32545698621902</c:v>
                </c:pt>
                <c:pt idx="2027">
                  <c:v>-4.32545698621902</c:v>
                </c:pt>
                <c:pt idx="2028">
                  <c:v>-4.32545698621902</c:v>
                </c:pt>
                <c:pt idx="2029">
                  <c:v>-4.32545698621902</c:v>
                </c:pt>
                <c:pt idx="2030">
                  <c:v>-4.32545698621902</c:v>
                </c:pt>
                <c:pt idx="2031">
                  <c:v>-4.32545698621902</c:v>
                </c:pt>
                <c:pt idx="2032">
                  <c:v>-4.32545698621902</c:v>
                </c:pt>
                <c:pt idx="2033">
                  <c:v>-4.32545698621902</c:v>
                </c:pt>
                <c:pt idx="2034">
                  <c:v>-4.32545698621902</c:v>
                </c:pt>
                <c:pt idx="2035">
                  <c:v>-4.32545698621902</c:v>
                </c:pt>
                <c:pt idx="2036">
                  <c:v>-4.32545698621902</c:v>
                </c:pt>
                <c:pt idx="2037">
                  <c:v>-4.32545698621902</c:v>
                </c:pt>
                <c:pt idx="2038">
                  <c:v>-4.32545698621902</c:v>
                </c:pt>
                <c:pt idx="2039">
                  <c:v>4.29969630442003</c:v>
                </c:pt>
                <c:pt idx="2040">
                  <c:v>4.29969630442003</c:v>
                </c:pt>
                <c:pt idx="2041">
                  <c:v>4.29969630442003</c:v>
                </c:pt>
                <c:pt idx="2042">
                  <c:v>4.29969630442003</c:v>
                </c:pt>
                <c:pt idx="2043">
                  <c:v>4.29969630442003</c:v>
                </c:pt>
                <c:pt idx="2044">
                  <c:v>4.29969630442003</c:v>
                </c:pt>
                <c:pt idx="2045">
                  <c:v>4.29969630442003</c:v>
                </c:pt>
                <c:pt idx="2046">
                  <c:v>4.29969630442003</c:v>
                </c:pt>
                <c:pt idx="2047">
                  <c:v>4.29969630442003</c:v>
                </c:pt>
                <c:pt idx="2048">
                  <c:v>4.29969630442003</c:v>
                </c:pt>
                <c:pt idx="2049">
                  <c:v>4.29969630442003</c:v>
                </c:pt>
                <c:pt idx="2050">
                  <c:v>4.29969630442003</c:v>
                </c:pt>
                <c:pt idx="2051">
                  <c:v>4.29969630442003</c:v>
                </c:pt>
                <c:pt idx="2052">
                  <c:v>4.29969630442003</c:v>
                </c:pt>
                <c:pt idx="2053">
                  <c:v>4.29969630442003</c:v>
                </c:pt>
                <c:pt idx="2054">
                  <c:v>4.29969630442003</c:v>
                </c:pt>
                <c:pt idx="2055">
                  <c:v>4.29969630442003</c:v>
                </c:pt>
                <c:pt idx="2056">
                  <c:v>4.29969630442003</c:v>
                </c:pt>
                <c:pt idx="2057">
                  <c:v>4.29969630442003</c:v>
                </c:pt>
                <c:pt idx="2058">
                  <c:v>4.29969630442003</c:v>
                </c:pt>
                <c:pt idx="2059">
                  <c:v>4.29969630442003</c:v>
                </c:pt>
                <c:pt idx="2060">
                  <c:v>4.29969630442003</c:v>
                </c:pt>
                <c:pt idx="2061">
                  <c:v>4.29969630442003</c:v>
                </c:pt>
                <c:pt idx="2062">
                  <c:v>4.29969630442003</c:v>
                </c:pt>
                <c:pt idx="2063">
                  <c:v>4.29969630442003</c:v>
                </c:pt>
                <c:pt idx="2064">
                  <c:v>4.29969630442003</c:v>
                </c:pt>
                <c:pt idx="2065">
                  <c:v>4.29969630442003</c:v>
                </c:pt>
                <c:pt idx="2066">
                  <c:v>4.29969630442003</c:v>
                </c:pt>
                <c:pt idx="2067">
                  <c:v>4.29969630442003</c:v>
                </c:pt>
                <c:pt idx="2068">
                  <c:v>4.29969630442003</c:v>
                </c:pt>
                <c:pt idx="2069">
                  <c:v>4.29969630442003</c:v>
                </c:pt>
                <c:pt idx="2070">
                  <c:v>4.29969630442003</c:v>
                </c:pt>
                <c:pt idx="2071">
                  <c:v>4.29969630442003</c:v>
                </c:pt>
                <c:pt idx="2072">
                  <c:v>8.56157770074697</c:v>
                </c:pt>
                <c:pt idx="2073">
                  <c:v>8.56157770074697</c:v>
                </c:pt>
                <c:pt idx="2074">
                  <c:v>8.56157770074697</c:v>
                </c:pt>
                <c:pt idx="2075">
                  <c:v>8.56157770074697</c:v>
                </c:pt>
                <c:pt idx="2076">
                  <c:v>8.56157770074697</c:v>
                </c:pt>
                <c:pt idx="2077">
                  <c:v>8.56157770074697</c:v>
                </c:pt>
                <c:pt idx="2078">
                  <c:v>8.56157770074697</c:v>
                </c:pt>
                <c:pt idx="2079">
                  <c:v>8.56157770074697</c:v>
                </c:pt>
                <c:pt idx="2080">
                  <c:v>8.56157770074697</c:v>
                </c:pt>
                <c:pt idx="2081">
                  <c:v>8.56157770074697</c:v>
                </c:pt>
                <c:pt idx="2082">
                  <c:v>8.56157770074697</c:v>
                </c:pt>
                <c:pt idx="2083">
                  <c:v>8.56157770074697</c:v>
                </c:pt>
                <c:pt idx="2084">
                  <c:v>8.56157770074697</c:v>
                </c:pt>
                <c:pt idx="2085">
                  <c:v>8.56157770074697</c:v>
                </c:pt>
                <c:pt idx="2086">
                  <c:v>8.56157770074697</c:v>
                </c:pt>
                <c:pt idx="2087">
                  <c:v>8.56157770074697</c:v>
                </c:pt>
                <c:pt idx="2088">
                  <c:v>8.56157770074697</c:v>
                </c:pt>
                <c:pt idx="2089">
                  <c:v>8.56157770074697</c:v>
                </c:pt>
                <c:pt idx="2090">
                  <c:v>8.56157770074697</c:v>
                </c:pt>
                <c:pt idx="2091">
                  <c:v>8.56157770074697</c:v>
                </c:pt>
                <c:pt idx="2092">
                  <c:v>8.56157770074697</c:v>
                </c:pt>
                <c:pt idx="2093">
                  <c:v>8.56157770074697</c:v>
                </c:pt>
                <c:pt idx="2094">
                  <c:v>8.56157770074697</c:v>
                </c:pt>
                <c:pt idx="2095">
                  <c:v>8.56157770074697</c:v>
                </c:pt>
                <c:pt idx="2096">
                  <c:v>8.56157770074697</c:v>
                </c:pt>
                <c:pt idx="2097">
                  <c:v>8.56157770074697</c:v>
                </c:pt>
                <c:pt idx="2098">
                  <c:v>8.56157770074697</c:v>
                </c:pt>
                <c:pt idx="2099">
                  <c:v>8.56157770074697</c:v>
                </c:pt>
                <c:pt idx="2100">
                  <c:v>8.56157770074697</c:v>
                </c:pt>
                <c:pt idx="2101">
                  <c:v>8.56157770074697</c:v>
                </c:pt>
                <c:pt idx="2102">
                  <c:v>8.56157770074697</c:v>
                </c:pt>
                <c:pt idx="2103">
                  <c:v>8.56157770074697</c:v>
                </c:pt>
                <c:pt idx="2104">
                  <c:v>8.56157770074697</c:v>
                </c:pt>
                <c:pt idx="2105">
                  <c:v>8.56157770074697</c:v>
                </c:pt>
                <c:pt idx="2106">
                  <c:v>8.56157770074697</c:v>
                </c:pt>
                <c:pt idx="2107">
                  <c:v>8.56157770074697</c:v>
                </c:pt>
                <c:pt idx="2108">
                  <c:v>8.56157770074697</c:v>
                </c:pt>
                <c:pt idx="2109">
                  <c:v>6.69078362268505</c:v>
                </c:pt>
                <c:pt idx="2110">
                  <c:v>6.69078362268505</c:v>
                </c:pt>
                <c:pt idx="2111">
                  <c:v>6.69078362268505</c:v>
                </c:pt>
                <c:pt idx="2112">
                  <c:v>6.69078362268505</c:v>
                </c:pt>
                <c:pt idx="2113">
                  <c:v>6.69078362268505</c:v>
                </c:pt>
                <c:pt idx="2114">
                  <c:v>6.69078362268505</c:v>
                </c:pt>
                <c:pt idx="2115">
                  <c:v>6.69078362268505</c:v>
                </c:pt>
                <c:pt idx="2116">
                  <c:v>6.69078362268505</c:v>
                </c:pt>
                <c:pt idx="2117">
                  <c:v>6.69078362268505</c:v>
                </c:pt>
                <c:pt idx="2118">
                  <c:v>6.69078362268505</c:v>
                </c:pt>
                <c:pt idx="2119">
                  <c:v>6.69078362268505</c:v>
                </c:pt>
                <c:pt idx="2120">
                  <c:v>6.69078362268505</c:v>
                </c:pt>
                <c:pt idx="2121">
                  <c:v>6.69078362268505</c:v>
                </c:pt>
                <c:pt idx="2122">
                  <c:v>6.69078362268505</c:v>
                </c:pt>
                <c:pt idx="2123">
                  <c:v>6.69078362268505</c:v>
                </c:pt>
                <c:pt idx="2124">
                  <c:v>6.69078362268505</c:v>
                </c:pt>
                <c:pt idx="2125">
                  <c:v>6.69078362268505</c:v>
                </c:pt>
                <c:pt idx="2126">
                  <c:v>13.63357265725</c:v>
                </c:pt>
                <c:pt idx="2127">
                  <c:v>13.63357265725</c:v>
                </c:pt>
                <c:pt idx="2128">
                  <c:v>13.63357265725</c:v>
                </c:pt>
                <c:pt idx="2129">
                  <c:v>13.63357265725</c:v>
                </c:pt>
                <c:pt idx="2130">
                  <c:v>13.63357265725</c:v>
                </c:pt>
                <c:pt idx="2131">
                  <c:v>13.63357265725</c:v>
                </c:pt>
                <c:pt idx="2132">
                  <c:v>13.63357265725</c:v>
                </c:pt>
                <c:pt idx="2133">
                  <c:v>13.63357265725</c:v>
                </c:pt>
                <c:pt idx="2134">
                  <c:v>13.63357265725</c:v>
                </c:pt>
                <c:pt idx="2135">
                  <c:v>13.63357265725</c:v>
                </c:pt>
                <c:pt idx="2136">
                  <c:v>13.63357265725</c:v>
                </c:pt>
                <c:pt idx="2137">
                  <c:v>13.63357265725</c:v>
                </c:pt>
                <c:pt idx="2138">
                  <c:v>13.63357265725</c:v>
                </c:pt>
                <c:pt idx="2139">
                  <c:v>13.63357265725</c:v>
                </c:pt>
                <c:pt idx="2140">
                  <c:v>13.63357265725</c:v>
                </c:pt>
                <c:pt idx="2141">
                  <c:v>13.63357265725</c:v>
                </c:pt>
                <c:pt idx="2142">
                  <c:v>13.63357265725</c:v>
                </c:pt>
                <c:pt idx="2143">
                  <c:v>13.63357265725</c:v>
                </c:pt>
                <c:pt idx="2144">
                  <c:v>13.63357265725</c:v>
                </c:pt>
                <c:pt idx="2145">
                  <c:v>13.63357265725</c:v>
                </c:pt>
                <c:pt idx="2146">
                  <c:v>13.63357265725</c:v>
                </c:pt>
                <c:pt idx="2147">
                  <c:v>13.63357265725</c:v>
                </c:pt>
                <c:pt idx="2148">
                  <c:v>13.63357265725</c:v>
                </c:pt>
                <c:pt idx="2149">
                  <c:v>13.63357265725</c:v>
                </c:pt>
                <c:pt idx="2150">
                  <c:v>13.63357265725</c:v>
                </c:pt>
                <c:pt idx="2151">
                  <c:v>13.63357265725</c:v>
                </c:pt>
                <c:pt idx="2152">
                  <c:v>13.63357265725</c:v>
                </c:pt>
                <c:pt idx="2153">
                  <c:v>13.63357265725</c:v>
                </c:pt>
                <c:pt idx="2154">
                  <c:v>13.63357265725</c:v>
                </c:pt>
                <c:pt idx="2155">
                  <c:v>13.63357265725</c:v>
                </c:pt>
                <c:pt idx="2156">
                  <c:v>13.63357265725</c:v>
                </c:pt>
                <c:pt idx="2157">
                  <c:v>13.63357265725</c:v>
                </c:pt>
                <c:pt idx="2158">
                  <c:v>13.63357265725</c:v>
                </c:pt>
                <c:pt idx="2159">
                  <c:v>13.63357265725</c:v>
                </c:pt>
                <c:pt idx="2160">
                  <c:v>13.63357265725</c:v>
                </c:pt>
                <c:pt idx="2161">
                  <c:v>13.63357265725</c:v>
                </c:pt>
                <c:pt idx="2162">
                  <c:v>13.63357265725</c:v>
                </c:pt>
                <c:pt idx="2163">
                  <c:v>13.63357265725</c:v>
                </c:pt>
                <c:pt idx="2164">
                  <c:v>13.63357265725</c:v>
                </c:pt>
                <c:pt idx="2165">
                  <c:v>13.63357265725</c:v>
                </c:pt>
                <c:pt idx="2166">
                  <c:v>13.63357265725</c:v>
                </c:pt>
                <c:pt idx="2167">
                  <c:v>13.63357265725</c:v>
                </c:pt>
                <c:pt idx="2168">
                  <c:v>13.63357265725</c:v>
                </c:pt>
                <c:pt idx="2169">
                  <c:v>13.63357265725</c:v>
                </c:pt>
                <c:pt idx="2170">
                  <c:v>13.63357265725</c:v>
                </c:pt>
                <c:pt idx="2171">
                  <c:v>13.63357265725</c:v>
                </c:pt>
                <c:pt idx="2172">
                  <c:v>13.63357265725</c:v>
                </c:pt>
                <c:pt idx="2173">
                  <c:v>13.63357265725</c:v>
                </c:pt>
                <c:pt idx="2174">
                  <c:v>13.63357265725</c:v>
                </c:pt>
                <c:pt idx="2175">
                  <c:v>13.63357265725</c:v>
                </c:pt>
                <c:pt idx="2176">
                  <c:v>13.63357265725</c:v>
                </c:pt>
                <c:pt idx="2177">
                  <c:v>13.63357265725</c:v>
                </c:pt>
                <c:pt idx="2178">
                  <c:v>13.63357265725</c:v>
                </c:pt>
                <c:pt idx="2179">
                  <c:v>13.63357265725</c:v>
                </c:pt>
                <c:pt idx="2180">
                  <c:v>13.63357265725</c:v>
                </c:pt>
                <c:pt idx="2181">
                  <c:v>13.63357265725</c:v>
                </c:pt>
                <c:pt idx="2182">
                  <c:v>13.63357265725</c:v>
                </c:pt>
                <c:pt idx="2183">
                  <c:v>13.63357265725</c:v>
                </c:pt>
                <c:pt idx="2184">
                  <c:v>13.63357265725</c:v>
                </c:pt>
                <c:pt idx="2185">
                  <c:v>13.63357265725</c:v>
                </c:pt>
                <c:pt idx="2186">
                  <c:v>13.63357265725</c:v>
                </c:pt>
                <c:pt idx="2187">
                  <c:v>13.63357265725</c:v>
                </c:pt>
                <c:pt idx="2188">
                  <c:v>13.63357265725</c:v>
                </c:pt>
                <c:pt idx="2189">
                  <c:v>13.63357265725</c:v>
                </c:pt>
                <c:pt idx="2190">
                  <c:v>13.63357265725</c:v>
                </c:pt>
                <c:pt idx="2191">
                  <c:v>13.63357265725</c:v>
                </c:pt>
                <c:pt idx="2192">
                  <c:v>13.63357265725</c:v>
                </c:pt>
                <c:pt idx="2193">
                  <c:v>13.63357265725</c:v>
                </c:pt>
                <c:pt idx="2194">
                  <c:v>13.63357265725</c:v>
                </c:pt>
                <c:pt idx="2195">
                  <c:v>13.63357265725</c:v>
                </c:pt>
                <c:pt idx="2196">
                  <c:v>13.63357265725</c:v>
                </c:pt>
                <c:pt idx="2197">
                  <c:v>13.63357265725</c:v>
                </c:pt>
                <c:pt idx="2198">
                  <c:v>13.63357265725</c:v>
                </c:pt>
                <c:pt idx="2199">
                  <c:v>13.63357265725</c:v>
                </c:pt>
                <c:pt idx="2200">
                  <c:v>13.63357265725</c:v>
                </c:pt>
                <c:pt idx="2201">
                  <c:v>13.63357265725</c:v>
                </c:pt>
                <c:pt idx="2202">
                  <c:v>13.63357265725</c:v>
                </c:pt>
                <c:pt idx="2203">
                  <c:v>13.63357265725</c:v>
                </c:pt>
                <c:pt idx="2204">
                  <c:v>13.63357265725</c:v>
                </c:pt>
                <c:pt idx="2205">
                  <c:v>13.63357265725</c:v>
                </c:pt>
                <c:pt idx="2206">
                  <c:v>13.63357265725</c:v>
                </c:pt>
                <c:pt idx="2207">
                  <c:v>13.63357265725</c:v>
                </c:pt>
                <c:pt idx="2208">
                  <c:v>13.63357265725</c:v>
                </c:pt>
                <c:pt idx="2209">
                  <c:v>13.63357265725</c:v>
                </c:pt>
                <c:pt idx="2210">
                  <c:v>13.63357265725</c:v>
                </c:pt>
                <c:pt idx="2211">
                  <c:v>18.5017749844882</c:v>
                </c:pt>
                <c:pt idx="2212">
                  <c:v>18.5017749844882</c:v>
                </c:pt>
                <c:pt idx="2213">
                  <c:v>18.5017749844882</c:v>
                </c:pt>
                <c:pt idx="2214">
                  <c:v>18.5017749844882</c:v>
                </c:pt>
                <c:pt idx="2215">
                  <c:v>18.5017749844882</c:v>
                </c:pt>
                <c:pt idx="2216">
                  <c:v>18.5017749844882</c:v>
                </c:pt>
                <c:pt idx="2217">
                  <c:v>18.5017749844882</c:v>
                </c:pt>
                <c:pt idx="2218">
                  <c:v>18.5017749844882</c:v>
                </c:pt>
                <c:pt idx="2219">
                  <c:v>18.5017749844882</c:v>
                </c:pt>
                <c:pt idx="2220">
                  <c:v>18.5017749844882</c:v>
                </c:pt>
                <c:pt idx="2221">
                  <c:v>18.5017749844882</c:v>
                </c:pt>
                <c:pt idx="2222">
                  <c:v>18.5017749844882</c:v>
                </c:pt>
                <c:pt idx="2223">
                  <c:v>18.5017749844882</c:v>
                </c:pt>
                <c:pt idx="2224">
                  <c:v>18.5017749844882</c:v>
                </c:pt>
                <c:pt idx="2225">
                  <c:v>18.5017749844882</c:v>
                </c:pt>
                <c:pt idx="2226">
                  <c:v>18.5017749844882</c:v>
                </c:pt>
                <c:pt idx="2227">
                  <c:v>18.5017749844882</c:v>
                </c:pt>
                <c:pt idx="2228">
                  <c:v>18.5017749844882</c:v>
                </c:pt>
                <c:pt idx="2229">
                  <c:v>18.5017749844882</c:v>
                </c:pt>
                <c:pt idx="2230">
                  <c:v>18.5017749844882</c:v>
                </c:pt>
                <c:pt idx="2231">
                  <c:v>18.5017749844882</c:v>
                </c:pt>
                <c:pt idx="2232">
                  <c:v>18.5017749844882</c:v>
                </c:pt>
                <c:pt idx="2233">
                  <c:v>18.5017749844882</c:v>
                </c:pt>
                <c:pt idx="2234">
                  <c:v>18.5017749844882</c:v>
                </c:pt>
                <c:pt idx="2235">
                  <c:v>18.5017749844882</c:v>
                </c:pt>
                <c:pt idx="2236">
                  <c:v>18.5017749844882</c:v>
                </c:pt>
                <c:pt idx="2237">
                  <c:v>18.5017749844882</c:v>
                </c:pt>
                <c:pt idx="2238">
                  <c:v>18.5017749844882</c:v>
                </c:pt>
                <c:pt idx="2239">
                  <c:v>18.5017749844882</c:v>
                </c:pt>
                <c:pt idx="2240">
                  <c:v>15.2944154618626</c:v>
                </c:pt>
                <c:pt idx="2241">
                  <c:v>15.2944154618626</c:v>
                </c:pt>
                <c:pt idx="2242">
                  <c:v>15.2944154618626</c:v>
                </c:pt>
                <c:pt idx="2243">
                  <c:v>15.2944154618626</c:v>
                </c:pt>
                <c:pt idx="2244">
                  <c:v>15.2944154618626</c:v>
                </c:pt>
                <c:pt idx="2245">
                  <c:v>15.2944154618626</c:v>
                </c:pt>
                <c:pt idx="2246">
                  <c:v>15.2944154618626</c:v>
                </c:pt>
                <c:pt idx="2247">
                  <c:v>15.2944154618626</c:v>
                </c:pt>
                <c:pt idx="2248">
                  <c:v>15.2944154618626</c:v>
                </c:pt>
                <c:pt idx="2249">
                  <c:v>15.2944154618626</c:v>
                </c:pt>
                <c:pt idx="2250">
                  <c:v>15.2944154618626</c:v>
                </c:pt>
                <c:pt idx="2251">
                  <c:v>15.2944154618626</c:v>
                </c:pt>
                <c:pt idx="2252">
                  <c:v>15.2944154618626</c:v>
                </c:pt>
                <c:pt idx="2253">
                  <c:v>15.2944154618626</c:v>
                </c:pt>
                <c:pt idx="2254">
                  <c:v>21.1462459605654</c:v>
                </c:pt>
                <c:pt idx="2255">
                  <c:v>21.1462459605654</c:v>
                </c:pt>
                <c:pt idx="2256">
                  <c:v>21.1462459605654</c:v>
                </c:pt>
                <c:pt idx="2257">
                  <c:v>21.1462459605654</c:v>
                </c:pt>
                <c:pt idx="2258">
                  <c:v>21.1462459605654</c:v>
                </c:pt>
                <c:pt idx="2259">
                  <c:v>21.1462459605654</c:v>
                </c:pt>
                <c:pt idx="2260">
                  <c:v>21.1462459605654</c:v>
                </c:pt>
                <c:pt idx="2261">
                  <c:v>21.1462459605654</c:v>
                </c:pt>
                <c:pt idx="2262">
                  <c:v>21.1462459605654</c:v>
                </c:pt>
                <c:pt idx="2263">
                  <c:v>21.1462459605654</c:v>
                </c:pt>
                <c:pt idx="2264">
                  <c:v>21.1462459605654</c:v>
                </c:pt>
                <c:pt idx="2265">
                  <c:v>21.1462459605654</c:v>
                </c:pt>
                <c:pt idx="2266">
                  <c:v>21.1462459605654</c:v>
                </c:pt>
                <c:pt idx="2267">
                  <c:v>21.1462459605654</c:v>
                </c:pt>
                <c:pt idx="2268">
                  <c:v>21.1462459605654</c:v>
                </c:pt>
                <c:pt idx="2269">
                  <c:v>21.1462459605654</c:v>
                </c:pt>
                <c:pt idx="2270">
                  <c:v>21.1462459605654</c:v>
                </c:pt>
                <c:pt idx="2271">
                  <c:v>21.1462459605654</c:v>
                </c:pt>
                <c:pt idx="2272">
                  <c:v>21.1462459605654</c:v>
                </c:pt>
                <c:pt idx="2273">
                  <c:v>21.1462459605654</c:v>
                </c:pt>
                <c:pt idx="2274">
                  <c:v>21.1462459605654</c:v>
                </c:pt>
                <c:pt idx="2275">
                  <c:v>21.1462459605654</c:v>
                </c:pt>
                <c:pt idx="2276">
                  <c:v>21.1462459605654</c:v>
                </c:pt>
                <c:pt idx="2277">
                  <c:v>21.1462459605654</c:v>
                </c:pt>
                <c:pt idx="2278">
                  <c:v>21.1462459605654</c:v>
                </c:pt>
                <c:pt idx="2279">
                  <c:v>21.1462459605654</c:v>
                </c:pt>
                <c:pt idx="2280">
                  <c:v>21.1462459605654</c:v>
                </c:pt>
                <c:pt idx="2281">
                  <c:v>21.1462459605654</c:v>
                </c:pt>
                <c:pt idx="2282">
                  <c:v>21.1462459605654</c:v>
                </c:pt>
                <c:pt idx="2283">
                  <c:v>21.1462459605654</c:v>
                </c:pt>
                <c:pt idx="2284">
                  <c:v>21.1462459605654</c:v>
                </c:pt>
                <c:pt idx="2285">
                  <c:v>21.1462459605654</c:v>
                </c:pt>
                <c:pt idx="2286">
                  <c:v>21.1462459605654</c:v>
                </c:pt>
                <c:pt idx="2287">
                  <c:v>21.1462459605654</c:v>
                </c:pt>
                <c:pt idx="2288">
                  <c:v>21.1462459605654</c:v>
                </c:pt>
                <c:pt idx="2289">
                  <c:v>21.1462459605654</c:v>
                </c:pt>
                <c:pt idx="2290">
                  <c:v>21.1462459605654</c:v>
                </c:pt>
                <c:pt idx="2291">
                  <c:v>21.1462459605654</c:v>
                </c:pt>
                <c:pt idx="2292">
                  <c:v>21.1462459605654</c:v>
                </c:pt>
                <c:pt idx="2293">
                  <c:v>21.1462459605654</c:v>
                </c:pt>
                <c:pt idx="2294">
                  <c:v>21.1462459605654</c:v>
                </c:pt>
                <c:pt idx="2295">
                  <c:v>21.1462459605654</c:v>
                </c:pt>
                <c:pt idx="2296">
                  <c:v>21.1462459605654</c:v>
                </c:pt>
                <c:pt idx="2297">
                  <c:v>21.1462459605654</c:v>
                </c:pt>
                <c:pt idx="2298">
                  <c:v>21.1462459605654</c:v>
                </c:pt>
                <c:pt idx="2299">
                  <c:v>21.1462459605654</c:v>
                </c:pt>
                <c:pt idx="2300">
                  <c:v>21.1462459605654</c:v>
                </c:pt>
                <c:pt idx="2301">
                  <c:v>21.1462459605654</c:v>
                </c:pt>
                <c:pt idx="2302">
                  <c:v>21.1462459605654</c:v>
                </c:pt>
                <c:pt idx="2303">
                  <c:v>21.1462459605654</c:v>
                </c:pt>
                <c:pt idx="2304">
                  <c:v>21.1462459605654</c:v>
                </c:pt>
                <c:pt idx="2305">
                  <c:v>21.1462459605654</c:v>
                </c:pt>
                <c:pt idx="2306">
                  <c:v>21.1462459605654</c:v>
                </c:pt>
                <c:pt idx="2307">
                  <c:v>21.1462459605654</c:v>
                </c:pt>
                <c:pt idx="2308">
                  <c:v>21.1462459605654</c:v>
                </c:pt>
                <c:pt idx="2309">
                  <c:v>21.1462459605654</c:v>
                </c:pt>
                <c:pt idx="2310">
                  <c:v>21.1462459605654</c:v>
                </c:pt>
                <c:pt idx="2311">
                  <c:v>21.1462459605654</c:v>
                </c:pt>
                <c:pt idx="2312">
                  <c:v>21.1462459605654</c:v>
                </c:pt>
                <c:pt idx="2313">
                  <c:v>21.1462459605654</c:v>
                </c:pt>
                <c:pt idx="2314">
                  <c:v>21.1462459605654</c:v>
                </c:pt>
                <c:pt idx="2315">
                  <c:v>21.1462459605654</c:v>
                </c:pt>
                <c:pt idx="2316">
                  <c:v>21.1462459605654</c:v>
                </c:pt>
                <c:pt idx="2317">
                  <c:v>21.1462459605654</c:v>
                </c:pt>
                <c:pt idx="2318">
                  <c:v>21.1462459605654</c:v>
                </c:pt>
                <c:pt idx="2319">
                  <c:v>21.1462459605654</c:v>
                </c:pt>
                <c:pt idx="2320">
                  <c:v>21.1462459605654</c:v>
                </c:pt>
                <c:pt idx="2321">
                  <c:v>21.1462459605654</c:v>
                </c:pt>
                <c:pt idx="2322">
                  <c:v>21.1462459605654</c:v>
                </c:pt>
                <c:pt idx="2323">
                  <c:v>21.1462459605654</c:v>
                </c:pt>
                <c:pt idx="2324">
                  <c:v>21.1462459605654</c:v>
                </c:pt>
                <c:pt idx="2325">
                  <c:v>21.1462459605654</c:v>
                </c:pt>
                <c:pt idx="2326">
                  <c:v>21.1462459605654</c:v>
                </c:pt>
                <c:pt idx="2327">
                  <c:v>21.1462459605654</c:v>
                </c:pt>
                <c:pt idx="2328">
                  <c:v>21.1462459605654</c:v>
                </c:pt>
                <c:pt idx="2329">
                  <c:v>21.1462459605654</c:v>
                </c:pt>
                <c:pt idx="2330">
                  <c:v>21.1462459605654</c:v>
                </c:pt>
                <c:pt idx="2331">
                  <c:v>21.1462459605654</c:v>
                </c:pt>
                <c:pt idx="2332">
                  <c:v>21.1462459605654</c:v>
                </c:pt>
                <c:pt idx="2333">
                  <c:v>21.1462459605654</c:v>
                </c:pt>
                <c:pt idx="2334">
                  <c:v>21.1462459605654</c:v>
                </c:pt>
                <c:pt idx="2335">
                  <c:v>21.1462459605654</c:v>
                </c:pt>
                <c:pt idx="2336">
                  <c:v>21.1462459605654</c:v>
                </c:pt>
                <c:pt idx="2337">
                  <c:v>21.1462459605654</c:v>
                </c:pt>
                <c:pt idx="2338">
                  <c:v>21.1462459605654</c:v>
                </c:pt>
                <c:pt idx="2339">
                  <c:v>21.1462459605654</c:v>
                </c:pt>
                <c:pt idx="2340">
                  <c:v>21.1462459605654</c:v>
                </c:pt>
                <c:pt idx="2341">
                  <c:v>21.1462459605654</c:v>
                </c:pt>
                <c:pt idx="2342">
                  <c:v>21.1462459605654</c:v>
                </c:pt>
                <c:pt idx="2343">
                  <c:v>21.1462459605654</c:v>
                </c:pt>
                <c:pt idx="2344">
                  <c:v>21.1462459605654</c:v>
                </c:pt>
                <c:pt idx="2345">
                  <c:v>21.1462459605654</c:v>
                </c:pt>
                <c:pt idx="2346">
                  <c:v>21.1462459605654</c:v>
                </c:pt>
                <c:pt idx="2347">
                  <c:v>21.1462459605654</c:v>
                </c:pt>
                <c:pt idx="2348">
                  <c:v>21.1462459605654</c:v>
                </c:pt>
                <c:pt idx="2349">
                  <c:v>21.1462459605654</c:v>
                </c:pt>
                <c:pt idx="2350">
                  <c:v>21.1462459605654</c:v>
                </c:pt>
                <c:pt idx="2351">
                  <c:v>21.1462459605654</c:v>
                </c:pt>
                <c:pt idx="2352">
                  <c:v>21.1462459605654</c:v>
                </c:pt>
                <c:pt idx="2353">
                  <c:v>21.1462459605654</c:v>
                </c:pt>
                <c:pt idx="2354">
                  <c:v>21.1462459605654</c:v>
                </c:pt>
                <c:pt idx="2355">
                  <c:v>21.1462459605654</c:v>
                </c:pt>
                <c:pt idx="2356">
                  <c:v>21.1462459605654</c:v>
                </c:pt>
                <c:pt idx="2357">
                  <c:v>21.1462459605654</c:v>
                </c:pt>
                <c:pt idx="2358">
                  <c:v>21.1462459605654</c:v>
                </c:pt>
                <c:pt idx="2359">
                  <c:v>21.1462459605654</c:v>
                </c:pt>
                <c:pt idx="2360">
                  <c:v>21.1462459605654</c:v>
                </c:pt>
                <c:pt idx="2361">
                  <c:v>21.1462459605654</c:v>
                </c:pt>
                <c:pt idx="2362">
                  <c:v>21.1462459605654</c:v>
                </c:pt>
                <c:pt idx="2363">
                  <c:v>22.1968788719578</c:v>
                </c:pt>
                <c:pt idx="2364">
                  <c:v>22.1968788719578</c:v>
                </c:pt>
                <c:pt idx="2365">
                  <c:v>22.1968788719578</c:v>
                </c:pt>
                <c:pt idx="2366">
                  <c:v>22.1968788719578</c:v>
                </c:pt>
                <c:pt idx="2367">
                  <c:v>22.1968788719578</c:v>
                </c:pt>
                <c:pt idx="2368">
                  <c:v>22.1968788719578</c:v>
                </c:pt>
                <c:pt idx="2369">
                  <c:v>22.1968788719578</c:v>
                </c:pt>
                <c:pt idx="2370">
                  <c:v>22.1968788719578</c:v>
                </c:pt>
                <c:pt idx="2371">
                  <c:v>22.1968788719578</c:v>
                </c:pt>
                <c:pt idx="2372">
                  <c:v>26.9395358377352</c:v>
                </c:pt>
                <c:pt idx="2373">
                  <c:v>26.9395358377352</c:v>
                </c:pt>
                <c:pt idx="2374">
                  <c:v>26.9395358377352</c:v>
                </c:pt>
                <c:pt idx="2375">
                  <c:v>26.9395358377352</c:v>
                </c:pt>
                <c:pt idx="2376">
                  <c:v>26.9395358377352</c:v>
                </c:pt>
                <c:pt idx="2377">
                  <c:v>26.9395358377352</c:v>
                </c:pt>
                <c:pt idx="2378">
                  <c:v>26.9395358377352</c:v>
                </c:pt>
                <c:pt idx="2379">
                  <c:v>26.9395358377352</c:v>
                </c:pt>
                <c:pt idx="2380">
                  <c:v>26.9395358377352</c:v>
                </c:pt>
                <c:pt idx="2381">
                  <c:v>26.9395358377352</c:v>
                </c:pt>
                <c:pt idx="2382">
                  <c:v>26.9395358377352</c:v>
                </c:pt>
                <c:pt idx="2383">
                  <c:v>26.9395358377352</c:v>
                </c:pt>
                <c:pt idx="2384">
                  <c:v>26.9395358377352</c:v>
                </c:pt>
                <c:pt idx="2385">
                  <c:v>26.9395358377352</c:v>
                </c:pt>
                <c:pt idx="2386">
                  <c:v>26.9395358377352</c:v>
                </c:pt>
                <c:pt idx="2387">
                  <c:v>26.9395358377352</c:v>
                </c:pt>
                <c:pt idx="2388">
                  <c:v>26.9395358377352</c:v>
                </c:pt>
                <c:pt idx="2389">
                  <c:v>26.9395358377352</c:v>
                </c:pt>
                <c:pt idx="2390">
                  <c:v>26.9395358377352</c:v>
                </c:pt>
                <c:pt idx="2391">
                  <c:v>26.9395358377352</c:v>
                </c:pt>
                <c:pt idx="2392">
                  <c:v>26.9395358377352</c:v>
                </c:pt>
                <c:pt idx="2393">
                  <c:v>26.9395358377352</c:v>
                </c:pt>
                <c:pt idx="2394">
                  <c:v>26.9395358377352</c:v>
                </c:pt>
                <c:pt idx="2395">
                  <c:v>26.9395358377352</c:v>
                </c:pt>
                <c:pt idx="2396">
                  <c:v>26.9395358377352</c:v>
                </c:pt>
                <c:pt idx="2397">
                  <c:v>26.9395358377352</c:v>
                </c:pt>
                <c:pt idx="2398">
                  <c:v>26.9395358377352</c:v>
                </c:pt>
                <c:pt idx="2399">
                  <c:v>26.9395358377352</c:v>
                </c:pt>
                <c:pt idx="2400">
                  <c:v>26.9395358377352</c:v>
                </c:pt>
                <c:pt idx="2401">
                  <c:v>26.9395358377352</c:v>
                </c:pt>
                <c:pt idx="2402">
                  <c:v>26.9395358377352</c:v>
                </c:pt>
                <c:pt idx="2403">
                  <c:v>26.9395358377352</c:v>
                </c:pt>
                <c:pt idx="2404">
                  <c:v>26.9395358377352</c:v>
                </c:pt>
                <c:pt idx="2405">
                  <c:v>26.9395358377352</c:v>
                </c:pt>
                <c:pt idx="2406">
                  <c:v>26.9395358377352</c:v>
                </c:pt>
                <c:pt idx="2407">
                  <c:v>26.9395358377352</c:v>
                </c:pt>
                <c:pt idx="2408">
                  <c:v>26.9395358377352</c:v>
                </c:pt>
                <c:pt idx="2409">
                  <c:v>26.9395358377352</c:v>
                </c:pt>
                <c:pt idx="2410">
                  <c:v>26.9395358377352</c:v>
                </c:pt>
                <c:pt idx="2411">
                  <c:v>26.9395358377352</c:v>
                </c:pt>
                <c:pt idx="2412">
                  <c:v>26.9395358377352</c:v>
                </c:pt>
                <c:pt idx="2413">
                  <c:v>26.9395358377352</c:v>
                </c:pt>
                <c:pt idx="2414">
                  <c:v>26.9395358377352</c:v>
                </c:pt>
                <c:pt idx="2415">
                  <c:v>30.9676023658018</c:v>
                </c:pt>
                <c:pt idx="2416">
                  <c:v>30.9676023658018</c:v>
                </c:pt>
                <c:pt idx="2417">
                  <c:v>30.9676023658018</c:v>
                </c:pt>
                <c:pt idx="2418">
                  <c:v>30.9676023658018</c:v>
                </c:pt>
                <c:pt idx="2419">
                  <c:v>30.9676023658018</c:v>
                </c:pt>
                <c:pt idx="2420">
                  <c:v>30.9676023658018</c:v>
                </c:pt>
                <c:pt idx="2421">
                  <c:v>30.9676023658018</c:v>
                </c:pt>
                <c:pt idx="2422">
                  <c:v>30.9676023658018</c:v>
                </c:pt>
                <c:pt idx="2423">
                  <c:v>30.9676023658018</c:v>
                </c:pt>
                <c:pt idx="2424">
                  <c:v>30.9676023658018</c:v>
                </c:pt>
                <c:pt idx="2425">
                  <c:v>38.6000227745325</c:v>
                </c:pt>
                <c:pt idx="2426">
                  <c:v>38.6000227745325</c:v>
                </c:pt>
                <c:pt idx="2427">
                  <c:v>38.6000227745325</c:v>
                </c:pt>
                <c:pt idx="2428">
                  <c:v>38.6000227745325</c:v>
                </c:pt>
                <c:pt idx="2429">
                  <c:v>38.6000227745325</c:v>
                </c:pt>
                <c:pt idx="2430">
                  <c:v>38.6000227745325</c:v>
                </c:pt>
                <c:pt idx="2431">
                  <c:v>38.6000227745325</c:v>
                </c:pt>
                <c:pt idx="2432">
                  <c:v>38.6000227745325</c:v>
                </c:pt>
                <c:pt idx="2433">
                  <c:v>38.6000227745325</c:v>
                </c:pt>
                <c:pt idx="2434">
                  <c:v>38.6000227745325</c:v>
                </c:pt>
                <c:pt idx="2435">
                  <c:v>38.6000227745325</c:v>
                </c:pt>
                <c:pt idx="2436">
                  <c:v>38.6000227745325</c:v>
                </c:pt>
                <c:pt idx="2437">
                  <c:v>38.6000227745325</c:v>
                </c:pt>
                <c:pt idx="2438">
                  <c:v>38.6000227745325</c:v>
                </c:pt>
                <c:pt idx="2439">
                  <c:v>38.6000227745325</c:v>
                </c:pt>
                <c:pt idx="2440">
                  <c:v>38.6000227745325</c:v>
                </c:pt>
                <c:pt idx="2441">
                  <c:v>38.6000227745325</c:v>
                </c:pt>
                <c:pt idx="2442">
                  <c:v>40.888905344905</c:v>
                </c:pt>
                <c:pt idx="2443">
                  <c:v>40.888905344905</c:v>
                </c:pt>
                <c:pt idx="2444">
                  <c:v>40.888905344905</c:v>
                </c:pt>
                <c:pt idx="2445">
                  <c:v>40.888905344905</c:v>
                </c:pt>
                <c:pt idx="2446">
                  <c:v>40.888905344905</c:v>
                </c:pt>
                <c:pt idx="2447">
                  <c:v>40.888905344905</c:v>
                </c:pt>
                <c:pt idx="2448">
                  <c:v>40.888905344905</c:v>
                </c:pt>
                <c:pt idx="2449">
                  <c:v>40.888905344905</c:v>
                </c:pt>
                <c:pt idx="2450">
                  <c:v>40.888905344905</c:v>
                </c:pt>
                <c:pt idx="2451">
                  <c:v>40.888905344905</c:v>
                </c:pt>
                <c:pt idx="2452">
                  <c:v>40.888905344905</c:v>
                </c:pt>
                <c:pt idx="2453">
                  <c:v>40.888905344905</c:v>
                </c:pt>
                <c:pt idx="2454">
                  <c:v>40.888905344905</c:v>
                </c:pt>
                <c:pt idx="2455">
                  <c:v>40.888905344905</c:v>
                </c:pt>
                <c:pt idx="2456">
                  <c:v>40.888905344905</c:v>
                </c:pt>
                <c:pt idx="2457">
                  <c:v>40.888905344905</c:v>
                </c:pt>
                <c:pt idx="2458">
                  <c:v>40.888905344905</c:v>
                </c:pt>
                <c:pt idx="2459">
                  <c:v>40.888905344905</c:v>
                </c:pt>
                <c:pt idx="2460">
                  <c:v>40.888905344905</c:v>
                </c:pt>
                <c:pt idx="2461">
                  <c:v>40.888905344905</c:v>
                </c:pt>
                <c:pt idx="2462">
                  <c:v>40.888905344905</c:v>
                </c:pt>
                <c:pt idx="2463">
                  <c:v>40.888905344905</c:v>
                </c:pt>
                <c:pt idx="2464">
                  <c:v>40.888905344905</c:v>
                </c:pt>
                <c:pt idx="2465">
                  <c:v>40.888905344905</c:v>
                </c:pt>
                <c:pt idx="2466">
                  <c:v>40.888905344905</c:v>
                </c:pt>
                <c:pt idx="2467">
                  <c:v>40.888905344905</c:v>
                </c:pt>
                <c:pt idx="2468">
                  <c:v>40.888905344905</c:v>
                </c:pt>
                <c:pt idx="2469">
                  <c:v>40.888905344905</c:v>
                </c:pt>
                <c:pt idx="2470">
                  <c:v>40.888905344905</c:v>
                </c:pt>
                <c:pt idx="2471">
                  <c:v>40.888905344905</c:v>
                </c:pt>
                <c:pt idx="2472">
                  <c:v>40.888905344905</c:v>
                </c:pt>
                <c:pt idx="2473">
                  <c:v>40.888905344905</c:v>
                </c:pt>
                <c:pt idx="2474">
                  <c:v>46.9589558049821</c:v>
                </c:pt>
                <c:pt idx="2475">
                  <c:v>46.9589558049821</c:v>
                </c:pt>
                <c:pt idx="2476">
                  <c:v>46.9589558049821</c:v>
                </c:pt>
                <c:pt idx="2477">
                  <c:v>46.9589558049821</c:v>
                </c:pt>
                <c:pt idx="2478">
                  <c:v>46.9589558049821</c:v>
                </c:pt>
                <c:pt idx="2479">
                  <c:v>46.9589558049821</c:v>
                </c:pt>
                <c:pt idx="2480">
                  <c:v>46.9589558049821</c:v>
                </c:pt>
                <c:pt idx="2481">
                  <c:v>46.9589558049821</c:v>
                </c:pt>
                <c:pt idx="2482">
                  <c:v>46.9589558049821</c:v>
                </c:pt>
                <c:pt idx="2483">
                  <c:v>46.9589558049821</c:v>
                </c:pt>
                <c:pt idx="2484">
                  <c:v>46.9589558049821</c:v>
                </c:pt>
                <c:pt idx="2485">
                  <c:v>46.9589558049821</c:v>
                </c:pt>
                <c:pt idx="2486">
                  <c:v>46.9589558049821</c:v>
                </c:pt>
                <c:pt idx="2487">
                  <c:v>46.9589558049821</c:v>
                </c:pt>
                <c:pt idx="2488">
                  <c:v>46.9589558049821</c:v>
                </c:pt>
                <c:pt idx="2489">
                  <c:v>46.9589558049821</c:v>
                </c:pt>
                <c:pt idx="2490">
                  <c:v>46.9589558049821</c:v>
                </c:pt>
                <c:pt idx="2491">
                  <c:v>46.9589558049821</c:v>
                </c:pt>
                <c:pt idx="2492">
                  <c:v>46.9589558049821</c:v>
                </c:pt>
                <c:pt idx="2493">
                  <c:v>46.9589558049821</c:v>
                </c:pt>
                <c:pt idx="2494">
                  <c:v>46.9589558049821</c:v>
                </c:pt>
                <c:pt idx="2495">
                  <c:v>46.9589558049821</c:v>
                </c:pt>
                <c:pt idx="2496">
                  <c:v>46.9589558049821</c:v>
                </c:pt>
                <c:pt idx="2497">
                  <c:v>46.9589558049821</c:v>
                </c:pt>
                <c:pt idx="2498">
                  <c:v>46.9589558049821</c:v>
                </c:pt>
                <c:pt idx="2499">
                  <c:v>46.9589558049821</c:v>
                </c:pt>
                <c:pt idx="2500">
                  <c:v>46.9589558049821</c:v>
                </c:pt>
                <c:pt idx="2501">
                  <c:v>46.9589558049821</c:v>
                </c:pt>
                <c:pt idx="2502">
                  <c:v>46.9589558049821</c:v>
                </c:pt>
                <c:pt idx="2503">
                  <c:v>46.9589558049821</c:v>
                </c:pt>
                <c:pt idx="2504">
                  <c:v>46.9589558049821</c:v>
                </c:pt>
                <c:pt idx="2505">
                  <c:v>46.9589558049821</c:v>
                </c:pt>
                <c:pt idx="2506">
                  <c:v>46.9589558049821</c:v>
                </c:pt>
                <c:pt idx="2507">
                  <c:v>46.9589558049821</c:v>
                </c:pt>
                <c:pt idx="2508">
                  <c:v>46.9589558049821</c:v>
                </c:pt>
                <c:pt idx="2509">
                  <c:v>46.9589558049821</c:v>
                </c:pt>
                <c:pt idx="2510">
                  <c:v>46.9589558049821</c:v>
                </c:pt>
                <c:pt idx="2511">
                  <c:v>46.9589558049821</c:v>
                </c:pt>
                <c:pt idx="2512">
                  <c:v>46.9589558049821</c:v>
                </c:pt>
                <c:pt idx="2513">
                  <c:v>46.9589558049821</c:v>
                </c:pt>
                <c:pt idx="2514">
                  <c:v>46.9589558049821</c:v>
                </c:pt>
                <c:pt idx="2515">
                  <c:v>46.9589558049821</c:v>
                </c:pt>
                <c:pt idx="2516">
                  <c:v>46.9589558049821</c:v>
                </c:pt>
                <c:pt idx="2517">
                  <c:v>46.9589558049821</c:v>
                </c:pt>
                <c:pt idx="2518">
                  <c:v>46.9589558049821</c:v>
                </c:pt>
                <c:pt idx="2519">
                  <c:v>46.9589558049821</c:v>
                </c:pt>
                <c:pt idx="2520">
                  <c:v>46.9589558049821</c:v>
                </c:pt>
                <c:pt idx="2521">
                  <c:v>46.9589558049821</c:v>
                </c:pt>
                <c:pt idx="2522">
                  <c:v>46.9589558049821</c:v>
                </c:pt>
                <c:pt idx="2523">
                  <c:v>46.9589558049821</c:v>
                </c:pt>
                <c:pt idx="2524">
                  <c:v>46.9589558049821</c:v>
                </c:pt>
                <c:pt idx="2525">
                  <c:v>46.9589558049821</c:v>
                </c:pt>
                <c:pt idx="2526">
                  <c:v>46.9589558049821</c:v>
                </c:pt>
                <c:pt idx="2527">
                  <c:v>46.9589558049821</c:v>
                </c:pt>
                <c:pt idx="2528">
                  <c:v>46.9589558049821</c:v>
                </c:pt>
                <c:pt idx="2529">
                  <c:v>46.9589558049821</c:v>
                </c:pt>
                <c:pt idx="2530">
                  <c:v>46.9589558049821</c:v>
                </c:pt>
                <c:pt idx="2531">
                  <c:v>46.9589558049821</c:v>
                </c:pt>
                <c:pt idx="2532">
                  <c:v>46.9589558049821</c:v>
                </c:pt>
                <c:pt idx="2533">
                  <c:v>46.9589558049821</c:v>
                </c:pt>
                <c:pt idx="2534">
                  <c:v>46.9589558049821</c:v>
                </c:pt>
                <c:pt idx="2535">
                  <c:v>46.9589558049821</c:v>
                </c:pt>
                <c:pt idx="2536">
                  <c:v>46.9589558049821</c:v>
                </c:pt>
                <c:pt idx="2537">
                  <c:v>46.9589558049821</c:v>
                </c:pt>
                <c:pt idx="2538">
                  <c:v>46.9589558049821</c:v>
                </c:pt>
                <c:pt idx="2539">
                  <c:v>46.9589558049821</c:v>
                </c:pt>
                <c:pt idx="2540">
                  <c:v>46.9589558049821</c:v>
                </c:pt>
                <c:pt idx="2541">
                  <c:v>46.9589558049821</c:v>
                </c:pt>
                <c:pt idx="2542">
                  <c:v>46.9589558049821</c:v>
                </c:pt>
                <c:pt idx="2543">
                  <c:v>46.9589558049821</c:v>
                </c:pt>
                <c:pt idx="2544">
                  <c:v>46.9589558049821</c:v>
                </c:pt>
                <c:pt idx="2545">
                  <c:v>46.9589558049821</c:v>
                </c:pt>
                <c:pt idx="2546">
                  <c:v>46.9589558049821</c:v>
                </c:pt>
                <c:pt idx="2547">
                  <c:v>49.1270537917483</c:v>
                </c:pt>
                <c:pt idx="2548">
                  <c:v>49.1270537917483</c:v>
                </c:pt>
                <c:pt idx="2549">
                  <c:v>49.1270537917483</c:v>
                </c:pt>
                <c:pt idx="2550">
                  <c:v>49.1270537917483</c:v>
                </c:pt>
                <c:pt idx="2551">
                  <c:v>49.1270537917483</c:v>
                </c:pt>
                <c:pt idx="2552">
                  <c:v>49.1270537917483</c:v>
                </c:pt>
                <c:pt idx="2553">
                  <c:v>49.1270537917483</c:v>
                </c:pt>
                <c:pt idx="2554">
                  <c:v>49.1270537917483</c:v>
                </c:pt>
                <c:pt idx="2555">
                  <c:v>49.1270537917483</c:v>
                </c:pt>
                <c:pt idx="2556">
                  <c:v>49.1270537917483</c:v>
                </c:pt>
                <c:pt idx="2557">
                  <c:v>49.1270537917483</c:v>
                </c:pt>
                <c:pt idx="2558">
                  <c:v>49.1270537917483</c:v>
                </c:pt>
                <c:pt idx="2559">
                  <c:v>49.1270537917483</c:v>
                </c:pt>
                <c:pt idx="2560">
                  <c:v>49.1270537917483</c:v>
                </c:pt>
                <c:pt idx="2561">
                  <c:v>49.1270537917483</c:v>
                </c:pt>
                <c:pt idx="2562">
                  <c:v>49.1270537917483</c:v>
                </c:pt>
                <c:pt idx="2563">
                  <c:v>49.1270537917483</c:v>
                </c:pt>
                <c:pt idx="2564">
                  <c:v>49.1270537917483</c:v>
                </c:pt>
                <c:pt idx="2565">
                  <c:v>49.1270537917483</c:v>
                </c:pt>
                <c:pt idx="2566">
                  <c:v>49.1270537917483</c:v>
                </c:pt>
                <c:pt idx="2567">
                  <c:v>52.0677867128763</c:v>
                </c:pt>
                <c:pt idx="2568">
                  <c:v>52.0677867128763</c:v>
                </c:pt>
                <c:pt idx="2569">
                  <c:v>52.0677867128763</c:v>
                </c:pt>
                <c:pt idx="2570">
                  <c:v>52.0677867128763</c:v>
                </c:pt>
                <c:pt idx="2571">
                  <c:v>52.0677867128763</c:v>
                </c:pt>
                <c:pt idx="2572">
                  <c:v>52.0677867128763</c:v>
                </c:pt>
                <c:pt idx="2573">
                  <c:v>52.0677867128763</c:v>
                </c:pt>
                <c:pt idx="2574">
                  <c:v>52.0677867128763</c:v>
                </c:pt>
                <c:pt idx="2575">
                  <c:v>52.0677867128763</c:v>
                </c:pt>
                <c:pt idx="2576">
                  <c:v>52.0677867128763</c:v>
                </c:pt>
                <c:pt idx="2577">
                  <c:v>52.0677867128763</c:v>
                </c:pt>
                <c:pt idx="2578">
                  <c:v>52.0677867128763</c:v>
                </c:pt>
                <c:pt idx="2579">
                  <c:v>52.0677867128763</c:v>
                </c:pt>
                <c:pt idx="2580">
                  <c:v>52.0677867128763</c:v>
                </c:pt>
                <c:pt idx="2581">
                  <c:v>52.0677867128763</c:v>
                </c:pt>
                <c:pt idx="2582">
                  <c:v>52.0677867128763</c:v>
                </c:pt>
                <c:pt idx="2583">
                  <c:v>52.0677867128763</c:v>
                </c:pt>
                <c:pt idx="2584">
                  <c:v>52.0677867128763</c:v>
                </c:pt>
                <c:pt idx="2585">
                  <c:v>52.0677867128763</c:v>
                </c:pt>
                <c:pt idx="2586">
                  <c:v>52.0677867128763</c:v>
                </c:pt>
                <c:pt idx="2587">
                  <c:v>52.0677867128763</c:v>
                </c:pt>
                <c:pt idx="2588">
                  <c:v>52.0677867128763</c:v>
                </c:pt>
                <c:pt idx="2589">
                  <c:v>52.0677867128763</c:v>
                </c:pt>
                <c:pt idx="2590">
                  <c:v>52.0677867128763</c:v>
                </c:pt>
                <c:pt idx="2591">
                  <c:v>52.0677867128763</c:v>
                </c:pt>
                <c:pt idx="2592">
                  <c:v>52.0677867128763</c:v>
                </c:pt>
                <c:pt idx="2593">
                  <c:v>52.0677867128763</c:v>
                </c:pt>
                <c:pt idx="2594">
                  <c:v>52.0677867128763</c:v>
                </c:pt>
                <c:pt idx="2595">
                  <c:v>52.0677867128763</c:v>
                </c:pt>
                <c:pt idx="2596">
                  <c:v>52.0677867128763</c:v>
                </c:pt>
                <c:pt idx="2597">
                  <c:v>52.0677867128763</c:v>
                </c:pt>
                <c:pt idx="2598">
                  <c:v>52.0677867128763</c:v>
                </c:pt>
                <c:pt idx="2599">
                  <c:v>52.0677867128763</c:v>
                </c:pt>
                <c:pt idx="2600">
                  <c:v>52.0677867128763</c:v>
                </c:pt>
                <c:pt idx="2601">
                  <c:v>52.0677867128763</c:v>
                </c:pt>
                <c:pt idx="2602">
                  <c:v>52.0677867128763</c:v>
                </c:pt>
                <c:pt idx="2603">
                  <c:v>52.0032601763382</c:v>
                </c:pt>
                <c:pt idx="2604">
                  <c:v>52.0032601763382</c:v>
                </c:pt>
                <c:pt idx="2605">
                  <c:v>52.0032601763382</c:v>
                </c:pt>
                <c:pt idx="2606">
                  <c:v>52.0032601763382</c:v>
                </c:pt>
                <c:pt idx="2607">
                  <c:v>52.0032601763382</c:v>
                </c:pt>
                <c:pt idx="2608">
                  <c:v>52.0032601763382</c:v>
                </c:pt>
                <c:pt idx="2609">
                  <c:v>52.0032601763382</c:v>
                </c:pt>
                <c:pt idx="2610">
                  <c:v>52.0032601763382</c:v>
                </c:pt>
                <c:pt idx="2611">
                  <c:v>52.0032601763382</c:v>
                </c:pt>
                <c:pt idx="2612">
                  <c:v>52.0032601763382</c:v>
                </c:pt>
                <c:pt idx="2613">
                  <c:v>52.0032601763382</c:v>
                </c:pt>
                <c:pt idx="2614">
                  <c:v>52.0032601763382</c:v>
                </c:pt>
                <c:pt idx="2615">
                  <c:v>52.0032601763382</c:v>
                </c:pt>
                <c:pt idx="2616">
                  <c:v>52.0032601763382</c:v>
                </c:pt>
                <c:pt idx="2617">
                  <c:v>52.0032601763382</c:v>
                </c:pt>
                <c:pt idx="2618">
                  <c:v>52.0032601763382</c:v>
                </c:pt>
                <c:pt idx="2619">
                  <c:v>52.0032601763382</c:v>
                </c:pt>
                <c:pt idx="2620">
                  <c:v>52.0032601763382</c:v>
                </c:pt>
                <c:pt idx="2621">
                  <c:v>52.0032601763382</c:v>
                </c:pt>
                <c:pt idx="2622">
                  <c:v>52.0032601763382</c:v>
                </c:pt>
                <c:pt idx="2623">
                  <c:v>52.0032601763382</c:v>
                </c:pt>
                <c:pt idx="2624">
                  <c:v>52.0032601763382</c:v>
                </c:pt>
                <c:pt idx="2625">
                  <c:v>52.0032601763382</c:v>
                </c:pt>
                <c:pt idx="2626">
                  <c:v>52.0032601763382</c:v>
                </c:pt>
                <c:pt idx="2627">
                  <c:v>52.0032601763382</c:v>
                </c:pt>
                <c:pt idx="2628">
                  <c:v>52.0032601763382</c:v>
                </c:pt>
                <c:pt idx="2629">
                  <c:v>52.0032601763382</c:v>
                </c:pt>
                <c:pt idx="2630">
                  <c:v>52.0032601763382</c:v>
                </c:pt>
                <c:pt idx="2631">
                  <c:v>52.0032601763382</c:v>
                </c:pt>
                <c:pt idx="2632">
                  <c:v>52.0032601763382</c:v>
                </c:pt>
                <c:pt idx="2633">
                  <c:v>52.0032601763382</c:v>
                </c:pt>
                <c:pt idx="2634">
                  <c:v>52.0032601763382</c:v>
                </c:pt>
                <c:pt idx="2635">
                  <c:v>52.0032601763382</c:v>
                </c:pt>
                <c:pt idx="2636">
                  <c:v>52.0032601763382</c:v>
                </c:pt>
                <c:pt idx="2637">
                  <c:v>52.0032601763382</c:v>
                </c:pt>
                <c:pt idx="2638">
                  <c:v>52.0032601763382</c:v>
                </c:pt>
                <c:pt idx="2639">
                  <c:v>52.0032601763382</c:v>
                </c:pt>
                <c:pt idx="2640">
                  <c:v>52.0032601763382</c:v>
                </c:pt>
                <c:pt idx="2641">
                  <c:v>52.0032601763382</c:v>
                </c:pt>
                <c:pt idx="2642">
                  <c:v>52.0032601763382</c:v>
                </c:pt>
                <c:pt idx="2643">
                  <c:v>52.0032601763382</c:v>
                </c:pt>
                <c:pt idx="2644">
                  <c:v>52.0032601763382</c:v>
                </c:pt>
                <c:pt idx="2645">
                  <c:v>52.0032601763382</c:v>
                </c:pt>
                <c:pt idx="2646">
                  <c:v>52.0032601763382</c:v>
                </c:pt>
                <c:pt idx="2647">
                  <c:v>52.0032601763382</c:v>
                </c:pt>
                <c:pt idx="2648">
                  <c:v>52.0032601763382</c:v>
                </c:pt>
                <c:pt idx="2649">
                  <c:v>52.0032601763382</c:v>
                </c:pt>
                <c:pt idx="2650">
                  <c:v>52.0032601763382</c:v>
                </c:pt>
                <c:pt idx="2651">
                  <c:v>52.0032601763382</c:v>
                </c:pt>
                <c:pt idx="2652">
                  <c:v>52.0032601763382</c:v>
                </c:pt>
                <c:pt idx="2653">
                  <c:v>52.0032601763382</c:v>
                </c:pt>
                <c:pt idx="2654">
                  <c:v>52.0032601763382</c:v>
                </c:pt>
                <c:pt idx="2655">
                  <c:v>52.0032601763382</c:v>
                </c:pt>
                <c:pt idx="2656">
                  <c:v>52.0032601763382</c:v>
                </c:pt>
                <c:pt idx="2657">
                  <c:v>52.0032601763382</c:v>
                </c:pt>
                <c:pt idx="2658">
                  <c:v>52.0032601763382</c:v>
                </c:pt>
                <c:pt idx="2659">
                  <c:v>52.0032601763382</c:v>
                </c:pt>
                <c:pt idx="2660">
                  <c:v>52.0032601763382</c:v>
                </c:pt>
                <c:pt idx="2661">
                  <c:v>52.0032601763382</c:v>
                </c:pt>
                <c:pt idx="2662">
                  <c:v>52.0032601763382</c:v>
                </c:pt>
                <c:pt idx="2663">
                  <c:v>52.0032601763382</c:v>
                </c:pt>
                <c:pt idx="2664">
                  <c:v>52.0032601763382</c:v>
                </c:pt>
                <c:pt idx="2665">
                  <c:v>52.0032601763382</c:v>
                </c:pt>
                <c:pt idx="2666">
                  <c:v>52.0032601763382</c:v>
                </c:pt>
                <c:pt idx="2667">
                  <c:v>52.0032601763382</c:v>
                </c:pt>
                <c:pt idx="2668">
                  <c:v>52.0032601763382</c:v>
                </c:pt>
                <c:pt idx="2669">
                  <c:v>52.0032601763382</c:v>
                </c:pt>
                <c:pt idx="2670">
                  <c:v>52.0032601763382</c:v>
                </c:pt>
                <c:pt idx="2671">
                  <c:v>52.0032601763382</c:v>
                </c:pt>
                <c:pt idx="2672">
                  <c:v>52.0032601763382</c:v>
                </c:pt>
                <c:pt idx="2673">
                  <c:v>52.0032601763382</c:v>
                </c:pt>
                <c:pt idx="2674">
                  <c:v>52.0032601763382</c:v>
                </c:pt>
                <c:pt idx="2675">
                  <c:v>52.0032601763382</c:v>
                </c:pt>
                <c:pt idx="2676">
                  <c:v>52.0032601763382</c:v>
                </c:pt>
                <c:pt idx="2677">
                  <c:v>52.0032601763382</c:v>
                </c:pt>
                <c:pt idx="2678">
                  <c:v>52.0032601763382</c:v>
                </c:pt>
                <c:pt idx="2679">
                  <c:v>55.1157901045106</c:v>
                </c:pt>
                <c:pt idx="2680">
                  <c:v>55.1157901045106</c:v>
                </c:pt>
                <c:pt idx="2681">
                  <c:v>55.1157901045106</c:v>
                </c:pt>
                <c:pt idx="2682">
                  <c:v>55.1157901045106</c:v>
                </c:pt>
                <c:pt idx="2683">
                  <c:v>55.1157901045106</c:v>
                </c:pt>
                <c:pt idx="2684">
                  <c:v>55.1157901045106</c:v>
                </c:pt>
                <c:pt idx="2685">
                  <c:v>55.1157901045106</c:v>
                </c:pt>
                <c:pt idx="2686">
                  <c:v>55.1157901045106</c:v>
                </c:pt>
                <c:pt idx="2687">
                  <c:v>55.1157901045106</c:v>
                </c:pt>
                <c:pt idx="2688">
                  <c:v>55.1157901045106</c:v>
                </c:pt>
                <c:pt idx="2689">
                  <c:v>55.1157901045106</c:v>
                </c:pt>
                <c:pt idx="2690">
                  <c:v>55.1157901045106</c:v>
                </c:pt>
                <c:pt idx="2691">
                  <c:v>55.1157901045106</c:v>
                </c:pt>
                <c:pt idx="2692">
                  <c:v>55.1157901045106</c:v>
                </c:pt>
                <c:pt idx="2693">
                  <c:v>55.1157901045106</c:v>
                </c:pt>
                <c:pt idx="2694">
                  <c:v>55.1157901045106</c:v>
                </c:pt>
                <c:pt idx="2695">
                  <c:v>55.1157901045106</c:v>
                </c:pt>
                <c:pt idx="2696">
                  <c:v>55.1157901045106</c:v>
                </c:pt>
                <c:pt idx="2697">
                  <c:v>55.1157901045106</c:v>
                </c:pt>
                <c:pt idx="2698">
                  <c:v>55.1157901045106</c:v>
                </c:pt>
                <c:pt idx="2699">
                  <c:v>55.1157901045106</c:v>
                </c:pt>
                <c:pt idx="2700">
                  <c:v>55.1157901045106</c:v>
                </c:pt>
                <c:pt idx="2701">
                  <c:v>55.1157901045106</c:v>
                </c:pt>
                <c:pt idx="2702">
                  <c:v>55.1157901045106</c:v>
                </c:pt>
                <c:pt idx="2703">
                  <c:v>55.1157901045106</c:v>
                </c:pt>
                <c:pt idx="2704">
                  <c:v>55.1157901045106</c:v>
                </c:pt>
                <c:pt idx="2705">
                  <c:v>55.1157901045106</c:v>
                </c:pt>
                <c:pt idx="2706">
                  <c:v>55.1157901045106</c:v>
                </c:pt>
                <c:pt idx="2707">
                  <c:v>55.1157901045106</c:v>
                </c:pt>
                <c:pt idx="2708">
                  <c:v>55.1157901045106</c:v>
                </c:pt>
                <c:pt idx="2709">
                  <c:v>55.1157901045106</c:v>
                </c:pt>
                <c:pt idx="2710">
                  <c:v>55.1157901045106</c:v>
                </c:pt>
                <c:pt idx="2711">
                  <c:v>55.1157901045106</c:v>
                </c:pt>
                <c:pt idx="2712">
                  <c:v>55.1157901045106</c:v>
                </c:pt>
                <c:pt idx="2713">
                  <c:v>55.1157901045106</c:v>
                </c:pt>
                <c:pt idx="2714">
                  <c:v>55.1157901045106</c:v>
                </c:pt>
                <c:pt idx="2715">
                  <c:v>55.1157901045106</c:v>
                </c:pt>
                <c:pt idx="2716">
                  <c:v>55.1157901045106</c:v>
                </c:pt>
                <c:pt idx="2717">
                  <c:v>55.1157901045106</c:v>
                </c:pt>
                <c:pt idx="2718">
                  <c:v>60.0224114967007</c:v>
                </c:pt>
                <c:pt idx="2719">
                  <c:v>60.0224114967007</c:v>
                </c:pt>
                <c:pt idx="2720">
                  <c:v>60.0224114967007</c:v>
                </c:pt>
                <c:pt idx="2721">
                  <c:v>60.0224114967007</c:v>
                </c:pt>
                <c:pt idx="2722">
                  <c:v>60.0224114967007</c:v>
                </c:pt>
                <c:pt idx="2723">
                  <c:v>60.0224114967007</c:v>
                </c:pt>
                <c:pt idx="2724">
                  <c:v>60.0224114967007</c:v>
                </c:pt>
                <c:pt idx="2725">
                  <c:v>60.0224114967007</c:v>
                </c:pt>
                <c:pt idx="2726">
                  <c:v>60.0224114967007</c:v>
                </c:pt>
                <c:pt idx="2727">
                  <c:v>60.0224114967007</c:v>
                </c:pt>
                <c:pt idx="2728">
                  <c:v>60.0224114967007</c:v>
                </c:pt>
                <c:pt idx="2729">
                  <c:v>60.0224114967007</c:v>
                </c:pt>
                <c:pt idx="2730">
                  <c:v>60.0224114967007</c:v>
                </c:pt>
                <c:pt idx="2731">
                  <c:v>60.0224114967007</c:v>
                </c:pt>
                <c:pt idx="2732">
                  <c:v>60.0224114967007</c:v>
                </c:pt>
                <c:pt idx="2733">
                  <c:v>60.0224114967007</c:v>
                </c:pt>
                <c:pt idx="2734">
                  <c:v>60.0224114967007</c:v>
                </c:pt>
                <c:pt idx="2735">
                  <c:v>60.0224114967007</c:v>
                </c:pt>
                <c:pt idx="2736">
                  <c:v>60.0224114967007</c:v>
                </c:pt>
                <c:pt idx="2737">
                  <c:v>60.0224114967007</c:v>
                </c:pt>
                <c:pt idx="2738">
                  <c:v>60.0224114967007</c:v>
                </c:pt>
                <c:pt idx="2739">
                  <c:v>60.0224114967007</c:v>
                </c:pt>
                <c:pt idx="2740">
                  <c:v>60.0224114967007</c:v>
                </c:pt>
                <c:pt idx="2741">
                  <c:v>60.0224114967007</c:v>
                </c:pt>
                <c:pt idx="2742">
                  <c:v>60.0224114967007</c:v>
                </c:pt>
                <c:pt idx="2743">
                  <c:v>60.0224114967007</c:v>
                </c:pt>
                <c:pt idx="2744">
                  <c:v>60.0224114967007</c:v>
                </c:pt>
                <c:pt idx="2745">
                  <c:v>60.0224114967007</c:v>
                </c:pt>
                <c:pt idx="2746">
                  <c:v>60.0224114967007</c:v>
                </c:pt>
                <c:pt idx="2747">
                  <c:v>60.0224114967007</c:v>
                </c:pt>
                <c:pt idx="2748">
                  <c:v>60.0224114967007</c:v>
                </c:pt>
                <c:pt idx="2749">
                  <c:v>60.0224114967007</c:v>
                </c:pt>
                <c:pt idx="2750">
                  <c:v>60.0224114967007</c:v>
                </c:pt>
                <c:pt idx="2751">
                  <c:v>60.0224114967007</c:v>
                </c:pt>
                <c:pt idx="2752">
                  <c:v>60.0224114967007</c:v>
                </c:pt>
                <c:pt idx="2753">
                  <c:v>60.0224114967007</c:v>
                </c:pt>
                <c:pt idx="2754">
                  <c:v>60.0224114967007</c:v>
                </c:pt>
                <c:pt idx="2755">
                  <c:v>60.0224114967007</c:v>
                </c:pt>
                <c:pt idx="2756">
                  <c:v>60.0224114967007</c:v>
                </c:pt>
                <c:pt idx="2757">
                  <c:v>60.0224114967007</c:v>
                </c:pt>
                <c:pt idx="2758">
                  <c:v>60.0224114967007</c:v>
                </c:pt>
                <c:pt idx="2759">
                  <c:v>64.9798929513777</c:v>
                </c:pt>
                <c:pt idx="2760">
                  <c:v>64.9798929513777</c:v>
                </c:pt>
                <c:pt idx="2761">
                  <c:v>64.9798929513777</c:v>
                </c:pt>
                <c:pt idx="2762">
                  <c:v>64.9798929513777</c:v>
                </c:pt>
                <c:pt idx="2763">
                  <c:v>64.9798929513777</c:v>
                </c:pt>
                <c:pt idx="2764">
                  <c:v>64.9798929513777</c:v>
                </c:pt>
                <c:pt idx="2765">
                  <c:v>64.9798929513777</c:v>
                </c:pt>
                <c:pt idx="2766">
                  <c:v>64.9798929513777</c:v>
                </c:pt>
                <c:pt idx="2767">
                  <c:v>64.9798929513777</c:v>
                </c:pt>
                <c:pt idx="2768">
                  <c:v>64.9798929513777</c:v>
                </c:pt>
                <c:pt idx="2769">
                  <c:v>64.9798929513777</c:v>
                </c:pt>
                <c:pt idx="2770">
                  <c:v>64.9798929513777</c:v>
                </c:pt>
                <c:pt idx="2771">
                  <c:v>64.9798929513777</c:v>
                </c:pt>
                <c:pt idx="2772">
                  <c:v>64.9798929513777</c:v>
                </c:pt>
                <c:pt idx="2773">
                  <c:v>64.9798929513777</c:v>
                </c:pt>
                <c:pt idx="2774">
                  <c:v>64.9798929513777</c:v>
                </c:pt>
                <c:pt idx="2775">
                  <c:v>64.9798929513777</c:v>
                </c:pt>
                <c:pt idx="2776">
                  <c:v>64.9798929513777</c:v>
                </c:pt>
                <c:pt idx="2777">
                  <c:v>64.9798929513777</c:v>
                </c:pt>
                <c:pt idx="2778">
                  <c:v>64.9798929513777</c:v>
                </c:pt>
                <c:pt idx="2779">
                  <c:v>64.9798929513777</c:v>
                </c:pt>
                <c:pt idx="2780">
                  <c:v>64.9798929513777</c:v>
                </c:pt>
                <c:pt idx="2781">
                  <c:v>64.9798929513777</c:v>
                </c:pt>
                <c:pt idx="2782">
                  <c:v>64.9798929513777</c:v>
                </c:pt>
                <c:pt idx="2783">
                  <c:v>64.9798929513777</c:v>
                </c:pt>
                <c:pt idx="2784">
                  <c:v>64.9798929513777</c:v>
                </c:pt>
                <c:pt idx="2785">
                  <c:v>64.9798929513777</c:v>
                </c:pt>
                <c:pt idx="2786">
                  <c:v>64.9798929513777</c:v>
                </c:pt>
                <c:pt idx="2787">
                  <c:v>64.9798929513777</c:v>
                </c:pt>
                <c:pt idx="2788">
                  <c:v>64.9798929513777</c:v>
                </c:pt>
                <c:pt idx="2789">
                  <c:v>64.9798929513777</c:v>
                </c:pt>
                <c:pt idx="2790">
                  <c:v>64.9798929513777</c:v>
                </c:pt>
                <c:pt idx="2791">
                  <c:v>64.9798929513777</c:v>
                </c:pt>
                <c:pt idx="2792">
                  <c:v>64.9798929513777</c:v>
                </c:pt>
                <c:pt idx="2793">
                  <c:v>64.9798929513777</c:v>
                </c:pt>
                <c:pt idx="2794">
                  <c:v>64.9798929513777</c:v>
                </c:pt>
                <c:pt idx="2795">
                  <c:v>64.9798929513777</c:v>
                </c:pt>
                <c:pt idx="2796">
                  <c:v>64.9798929513777</c:v>
                </c:pt>
                <c:pt idx="2797">
                  <c:v>64.9798929513777</c:v>
                </c:pt>
                <c:pt idx="2798">
                  <c:v>64.9798929513777</c:v>
                </c:pt>
                <c:pt idx="2799">
                  <c:v>64.9798929513777</c:v>
                </c:pt>
                <c:pt idx="2800">
                  <c:v>64.9798929513777</c:v>
                </c:pt>
                <c:pt idx="2801">
                  <c:v>64.9798929513777</c:v>
                </c:pt>
                <c:pt idx="2802">
                  <c:v>64.9798929513777</c:v>
                </c:pt>
                <c:pt idx="2803">
                  <c:v>64.9798929513777</c:v>
                </c:pt>
                <c:pt idx="2804">
                  <c:v>64.9798929513777</c:v>
                </c:pt>
                <c:pt idx="2805">
                  <c:v>64.9798929513777</c:v>
                </c:pt>
                <c:pt idx="2806">
                  <c:v>64.9798929513777</c:v>
                </c:pt>
                <c:pt idx="2807">
                  <c:v>64.9798929513777</c:v>
                </c:pt>
                <c:pt idx="2808">
                  <c:v>64.9798929513777</c:v>
                </c:pt>
                <c:pt idx="2809">
                  <c:v>64.9798929513777</c:v>
                </c:pt>
                <c:pt idx="2810">
                  <c:v>64.9798929513777</c:v>
                </c:pt>
                <c:pt idx="2811">
                  <c:v>64.9798929513777</c:v>
                </c:pt>
                <c:pt idx="2812">
                  <c:v>64.9798929513777</c:v>
                </c:pt>
                <c:pt idx="2813">
                  <c:v>64.9798929513777</c:v>
                </c:pt>
                <c:pt idx="2814">
                  <c:v>64.9798929513777</c:v>
                </c:pt>
                <c:pt idx="2815">
                  <c:v>64.9798929513777</c:v>
                </c:pt>
                <c:pt idx="2816">
                  <c:v>64.9798929513777</c:v>
                </c:pt>
                <c:pt idx="2817">
                  <c:v>64.9798929513777</c:v>
                </c:pt>
                <c:pt idx="2818">
                  <c:v>64.9798929513777</c:v>
                </c:pt>
                <c:pt idx="2819">
                  <c:v>64.9798929513777</c:v>
                </c:pt>
                <c:pt idx="2820">
                  <c:v>64.9798929513777</c:v>
                </c:pt>
                <c:pt idx="2821">
                  <c:v>64.9798929513777</c:v>
                </c:pt>
                <c:pt idx="2822">
                  <c:v>64.9798929513777</c:v>
                </c:pt>
                <c:pt idx="2823">
                  <c:v>64.9798929513777</c:v>
                </c:pt>
                <c:pt idx="2824">
                  <c:v>64.9798929513777</c:v>
                </c:pt>
                <c:pt idx="2825">
                  <c:v>64.9798929513777</c:v>
                </c:pt>
                <c:pt idx="2826">
                  <c:v>64.9798929513777</c:v>
                </c:pt>
                <c:pt idx="2827">
                  <c:v>64.9798929513777</c:v>
                </c:pt>
                <c:pt idx="2828">
                  <c:v>64.9798929513777</c:v>
                </c:pt>
                <c:pt idx="2829">
                  <c:v>64.9798929513777</c:v>
                </c:pt>
                <c:pt idx="2830">
                  <c:v>64.9798929513777</c:v>
                </c:pt>
                <c:pt idx="2831">
                  <c:v>64.9798929513777</c:v>
                </c:pt>
                <c:pt idx="2832">
                  <c:v>64.9798929513777</c:v>
                </c:pt>
                <c:pt idx="2833">
                  <c:v>64.9798929513777</c:v>
                </c:pt>
                <c:pt idx="2834">
                  <c:v>64.9798929513777</c:v>
                </c:pt>
                <c:pt idx="2835">
                  <c:v>64.9798929513777</c:v>
                </c:pt>
                <c:pt idx="2836">
                  <c:v>64.9798929513777</c:v>
                </c:pt>
                <c:pt idx="2837">
                  <c:v>64.9798929513777</c:v>
                </c:pt>
                <c:pt idx="2838">
                  <c:v>64.9798929513777</c:v>
                </c:pt>
                <c:pt idx="2839">
                  <c:v>64.9798929513777</c:v>
                </c:pt>
                <c:pt idx="2840">
                  <c:v>64.9798929513777</c:v>
                </c:pt>
                <c:pt idx="2841">
                  <c:v>64.9798929513777</c:v>
                </c:pt>
                <c:pt idx="2842">
                  <c:v>64.9798929513777</c:v>
                </c:pt>
                <c:pt idx="2843">
                  <c:v>64.9798929513777</c:v>
                </c:pt>
                <c:pt idx="2844">
                  <c:v>64.9798929513777</c:v>
                </c:pt>
                <c:pt idx="2845">
                  <c:v>74.4562294982664</c:v>
                </c:pt>
                <c:pt idx="2846">
                  <c:v>74.4562294982664</c:v>
                </c:pt>
                <c:pt idx="2847">
                  <c:v>74.4562294982664</c:v>
                </c:pt>
                <c:pt idx="2848">
                  <c:v>74.4562294982664</c:v>
                </c:pt>
                <c:pt idx="2849">
                  <c:v>74.4562294982664</c:v>
                </c:pt>
                <c:pt idx="2850">
                  <c:v>74.4562294982664</c:v>
                </c:pt>
                <c:pt idx="2851">
                  <c:v>74.4562294982664</c:v>
                </c:pt>
                <c:pt idx="2852">
                  <c:v>74.4562294982664</c:v>
                </c:pt>
                <c:pt idx="2853">
                  <c:v>74.4562294982664</c:v>
                </c:pt>
                <c:pt idx="2854">
                  <c:v>74.4562294982664</c:v>
                </c:pt>
                <c:pt idx="2855">
                  <c:v>74.4562294982664</c:v>
                </c:pt>
                <c:pt idx="2856">
                  <c:v>74.4562294982664</c:v>
                </c:pt>
                <c:pt idx="2857">
                  <c:v>74.4562294982664</c:v>
                </c:pt>
                <c:pt idx="2858">
                  <c:v>74.4562294982664</c:v>
                </c:pt>
                <c:pt idx="2859">
                  <c:v>74.4562294982664</c:v>
                </c:pt>
                <c:pt idx="2860">
                  <c:v>74.4562294982664</c:v>
                </c:pt>
                <c:pt idx="2861">
                  <c:v>74.4562294982664</c:v>
                </c:pt>
                <c:pt idx="2862">
                  <c:v>74.4562294982664</c:v>
                </c:pt>
                <c:pt idx="2863">
                  <c:v>74.4562294982664</c:v>
                </c:pt>
                <c:pt idx="2864">
                  <c:v>74.4562294982664</c:v>
                </c:pt>
                <c:pt idx="2865">
                  <c:v>74.4562294982664</c:v>
                </c:pt>
                <c:pt idx="2866">
                  <c:v>74.4562294982664</c:v>
                </c:pt>
                <c:pt idx="2867">
                  <c:v>74.4562294982664</c:v>
                </c:pt>
                <c:pt idx="2868">
                  <c:v>74.4562294982664</c:v>
                </c:pt>
                <c:pt idx="2869">
                  <c:v>74.4562294982664</c:v>
                </c:pt>
                <c:pt idx="2870">
                  <c:v>74.4562294982664</c:v>
                </c:pt>
                <c:pt idx="2871">
                  <c:v>74.4562294982664</c:v>
                </c:pt>
                <c:pt idx="2872">
                  <c:v>74.4562294982664</c:v>
                </c:pt>
                <c:pt idx="2873">
                  <c:v>74.4562294982664</c:v>
                </c:pt>
                <c:pt idx="2874">
                  <c:v>74.4562294982664</c:v>
                </c:pt>
                <c:pt idx="2875">
                  <c:v>74.4562294982664</c:v>
                </c:pt>
                <c:pt idx="2876">
                  <c:v>74.4562294982664</c:v>
                </c:pt>
                <c:pt idx="2877">
                  <c:v>74.4562294982664</c:v>
                </c:pt>
                <c:pt idx="2878">
                  <c:v>74.4562294982664</c:v>
                </c:pt>
                <c:pt idx="2879">
                  <c:v>74.4562294982664</c:v>
                </c:pt>
                <c:pt idx="2880">
                  <c:v>74.4562294982664</c:v>
                </c:pt>
                <c:pt idx="2881">
                  <c:v>74.4562294982664</c:v>
                </c:pt>
                <c:pt idx="2882">
                  <c:v>74.4562294982664</c:v>
                </c:pt>
                <c:pt idx="2883">
                  <c:v>74.4562294982664</c:v>
                </c:pt>
                <c:pt idx="2884">
                  <c:v>74.4562294982664</c:v>
                </c:pt>
                <c:pt idx="2885">
                  <c:v>74.4562294982664</c:v>
                </c:pt>
                <c:pt idx="2886">
                  <c:v>74.4562294982664</c:v>
                </c:pt>
                <c:pt idx="2887">
                  <c:v>74.4562294982664</c:v>
                </c:pt>
                <c:pt idx="2888">
                  <c:v>74.4562294982664</c:v>
                </c:pt>
                <c:pt idx="2889">
                  <c:v>74.4562294982664</c:v>
                </c:pt>
                <c:pt idx="2890">
                  <c:v>74.4562294982664</c:v>
                </c:pt>
                <c:pt idx="2891">
                  <c:v>74.4562294982664</c:v>
                </c:pt>
                <c:pt idx="2892">
                  <c:v>74.4562294982664</c:v>
                </c:pt>
                <c:pt idx="2893">
                  <c:v>74.4562294982664</c:v>
                </c:pt>
                <c:pt idx="2894">
                  <c:v>74.4562294982664</c:v>
                </c:pt>
                <c:pt idx="2895">
                  <c:v>74.4562294982664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76504821"/>
        <c:axId val="17119151"/>
      </c:lineChart>
      <c:catAx>
        <c:axId val="7650482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Trading days (2015 → 2026)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7119151"/>
        <c:crosses val="autoZero"/>
        <c:auto val="1"/>
        <c:lblAlgn val="ctr"/>
        <c:lblOffset val="100"/>
        <c:noMultiLvlLbl val="0"/>
      </c:catAx>
      <c:valAx>
        <c:axId val="1711915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Cumulative P&amp;L (%)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650482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3</xdr:row>
      <xdr:rowOff>160920</xdr:rowOff>
    </xdr:from>
    <xdr:to>
      <xdr:col>17</xdr:col>
      <xdr:colOff>78840</xdr:colOff>
      <xdr:row>24</xdr:row>
      <xdr:rowOff>119880</xdr:rowOff>
    </xdr:to>
    <xdr:graphicFrame>
      <xdr:nvGraphicFramePr>
        <xdr:cNvPr id="0" name="Chart 1"/>
        <xdr:cNvGraphicFramePr/>
      </xdr:nvGraphicFramePr>
      <xdr:xfrm>
        <a:off x="4981680" y="762120"/>
        <a:ext cx="8639640" cy="39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3" min="2" style="0" width="11"/>
    <col collapsed="false" customWidth="true" hidden="false" outlineLevel="0" max="4" min="4" style="0" width="17"/>
    <col collapsed="false" customWidth="true" hidden="false" outlineLevel="0" max="5" min="5" style="0" width="22"/>
    <col collapsed="false" customWidth="true" hidden="false" outlineLevel="0" max="6" min="6" style="0" width="15"/>
    <col collapsed="false" customWidth="true" hidden="false" outlineLevel="0" max="7" min="7" style="0" width="24"/>
    <col collapsed="false" customWidth="true" hidden="false" outlineLevel="0" max="8" min="8" style="0" width="45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 t="s">
        <v>2</v>
      </c>
    </row>
    <row r="5" customFormat="false" ht="15" hidden="false" customHeight="false" outlineLevel="0" collapsed="false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</row>
    <row r="6" customFormat="false" ht="15" hidden="false" customHeight="false" outlineLevel="0" collapsed="false">
      <c r="A6" s="5" t="n">
        <v>46129</v>
      </c>
      <c r="B6" s="6" t="n">
        <v>83.85</v>
      </c>
      <c r="C6" s="6" t="n">
        <v>90.38</v>
      </c>
      <c r="D6" s="7" t="n">
        <f aca="false">IF(C6="","",C6-B6)</f>
        <v>6.53</v>
      </c>
      <c r="E6" s="8" t="n">
        <v>465.7</v>
      </c>
      <c r="F6" s="8" t="n">
        <v>89.1</v>
      </c>
      <c r="G6" s="9" t="s">
        <v>11</v>
      </c>
      <c r="H6" s="9" t="s">
        <v>12</v>
      </c>
    </row>
    <row r="7" customFormat="false" ht="15" hidden="false" customHeight="false" outlineLevel="0" collapsed="false">
      <c r="A7" s="5" t="n">
        <v>46132</v>
      </c>
      <c r="B7" s="6" t="n">
        <v>89.61</v>
      </c>
      <c r="C7" s="6" t="n">
        <v>95.48</v>
      </c>
      <c r="D7" s="7" t="n">
        <f aca="false">IF(C7="","",C7-B7)</f>
        <v>5.87</v>
      </c>
      <c r="E7" s="10"/>
      <c r="F7" s="10"/>
      <c r="G7" s="11"/>
      <c r="H7" s="11"/>
    </row>
    <row r="8" customFormat="false" ht="15" hidden="false" customHeight="false" outlineLevel="0" collapsed="false">
      <c r="A8" s="5" t="n">
        <v>46133</v>
      </c>
      <c r="B8" s="6" t="n">
        <v>92.13</v>
      </c>
      <c r="C8" s="6" t="n">
        <v>98.48</v>
      </c>
      <c r="D8" s="7" t="n">
        <f aca="false">IF(C8="","",C8-B8)</f>
        <v>6.35000000000001</v>
      </c>
      <c r="E8" s="10"/>
      <c r="F8" s="10"/>
      <c r="G8" s="11"/>
      <c r="H8" s="11"/>
    </row>
    <row r="9" customFormat="false" ht="15" hidden="false" customHeight="false" outlineLevel="0" collapsed="false">
      <c r="A9" s="5" t="n">
        <v>46134</v>
      </c>
      <c r="B9" s="6" t="n">
        <v>92.96</v>
      </c>
      <c r="C9" s="6" t="n">
        <v>101.91</v>
      </c>
      <c r="D9" s="7" t="n">
        <f aca="false">IF(C9="","",C9-B9)</f>
        <v>8.95</v>
      </c>
      <c r="E9" s="10"/>
      <c r="F9" s="10"/>
      <c r="G9" s="11"/>
      <c r="H9" s="11"/>
    </row>
    <row r="10" customFormat="false" ht="15" hidden="false" customHeight="false" outlineLevel="0" collapsed="false">
      <c r="A10" s="5" t="n">
        <v>46135</v>
      </c>
      <c r="B10" s="6" t="n">
        <v>95.85</v>
      </c>
      <c r="C10" s="6" t="n">
        <v>105.07</v>
      </c>
      <c r="D10" s="7" t="n">
        <f aca="false">IF(C10="","",C10-B10)</f>
        <v>9.22</v>
      </c>
      <c r="E10" s="10"/>
      <c r="F10" s="10"/>
      <c r="G10" s="11"/>
      <c r="H10" s="11"/>
    </row>
    <row r="11" customFormat="false" ht="15" hidden="false" customHeight="false" outlineLevel="0" collapsed="false">
      <c r="A11" s="5" t="n">
        <v>46136</v>
      </c>
      <c r="B11" s="6" t="n">
        <v>94.4</v>
      </c>
      <c r="C11" s="6" t="n">
        <v>105.33</v>
      </c>
      <c r="D11" s="7" t="n">
        <f aca="false">IF(C11="","",C11-B11)</f>
        <v>10.93</v>
      </c>
      <c r="E11" s="8" t="n">
        <v>459.5</v>
      </c>
      <c r="F11" s="8" t="n">
        <v>89.6</v>
      </c>
      <c r="G11" s="11"/>
      <c r="H11" s="11"/>
    </row>
    <row r="12" customFormat="false" ht="15" hidden="false" customHeight="false" outlineLevel="0" collapsed="false">
      <c r="A12" s="5" t="n">
        <v>46139</v>
      </c>
      <c r="B12" s="6" t="n">
        <v>96.37</v>
      </c>
      <c r="C12" s="6" t="n">
        <v>108.23</v>
      </c>
      <c r="D12" s="7" t="n">
        <f aca="false">IF(C12="","",C12-B12)</f>
        <v>11.86</v>
      </c>
      <c r="E12" s="10"/>
      <c r="F12" s="10"/>
      <c r="G12" s="11"/>
      <c r="H12" s="11"/>
    </row>
    <row r="13" customFormat="false" ht="15" hidden="false" customHeight="false" outlineLevel="0" collapsed="false">
      <c r="A13" s="5" t="n">
        <v>46140</v>
      </c>
      <c r="B13" s="6" t="n">
        <v>99.93</v>
      </c>
      <c r="C13" s="6" t="n">
        <v>111.26</v>
      </c>
      <c r="D13" s="7" t="n">
        <f aca="false">IF(C13="","",C13-B13)</f>
        <v>11.33</v>
      </c>
      <c r="E13" s="10"/>
      <c r="F13" s="10"/>
      <c r="G13" s="11"/>
      <c r="H13" s="11"/>
    </row>
    <row r="14" customFormat="false" ht="15" hidden="false" customHeight="false" outlineLevel="0" collapsed="false">
      <c r="A14" s="5" t="n">
        <v>46141</v>
      </c>
      <c r="B14" s="6" t="n">
        <v>106.88</v>
      </c>
      <c r="C14" s="6" t="n">
        <v>118.03</v>
      </c>
      <c r="D14" s="7" t="n">
        <f aca="false">IF(C14="","",C14-B14)</f>
        <v>11.15</v>
      </c>
      <c r="E14" s="10"/>
      <c r="F14" s="10"/>
      <c r="G14" s="11"/>
      <c r="H14" s="11"/>
    </row>
    <row r="15" customFormat="false" ht="15" hidden="false" customHeight="false" outlineLevel="0" collapsed="false">
      <c r="A15" s="5" t="n">
        <v>46142</v>
      </c>
      <c r="B15" s="6" t="n">
        <v>105.07</v>
      </c>
      <c r="C15" s="6" t="n">
        <v>114.01</v>
      </c>
      <c r="D15" s="7" t="n">
        <f aca="false">IF(C15="","",C15-B15)</f>
        <v>8.94000000000001</v>
      </c>
      <c r="E15" s="10"/>
      <c r="F15" s="10"/>
      <c r="G15" s="11"/>
      <c r="H15" s="11"/>
    </row>
    <row r="16" customFormat="false" ht="15" hidden="false" customHeight="false" outlineLevel="0" collapsed="false">
      <c r="A16" s="5" t="n">
        <v>46143</v>
      </c>
      <c r="B16" s="6" t="n">
        <v>101.94</v>
      </c>
      <c r="C16" s="6" t="n">
        <v>108.17</v>
      </c>
      <c r="D16" s="7" t="n">
        <f aca="false">IF(C16="","",C16-B16)</f>
        <v>6.23</v>
      </c>
      <c r="E16" s="8" t="n">
        <v>457.2</v>
      </c>
      <c r="F16" s="8" t="n">
        <v>90.1</v>
      </c>
      <c r="G16" s="11"/>
      <c r="H16" s="11"/>
    </row>
    <row r="17" customFormat="false" ht="15" hidden="false" customHeight="false" outlineLevel="0" collapsed="false">
      <c r="A17" s="5" t="n">
        <v>46146</v>
      </c>
      <c r="B17" s="6" t="n">
        <v>106.42</v>
      </c>
      <c r="C17" s="6" t="n">
        <v>114.44</v>
      </c>
      <c r="D17" s="7" t="n">
        <f aca="false">IF(C17="","",C17-B17)</f>
        <v>8.02</v>
      </c>
      <c r="E17" s="10"/>
      <c r="F17" s="10"/>
      <c r="G17" s="11"/>
      <c r="H17" s="11"/>
    </row>
    <row r="18" customFormat="false" ht="15" hidden="false" customHeight="false" outlineLevel="0" collapsed="false">
      <c r="A18" s="5" t="n">
        <v>46147</v>
      </c>
      <c r="B18" s="6" t="n">
        <v>102.27</v>
      </c>
      <c r="C18" s="6" t="n">
        <v>109.87</v>
      </c>
      <c r="D18" s="7" t="n">
        <f aca="false">IF(C18="","",C18-B18)</f>
        <v>7.60000000000001</v>
      </c>
      <c r="E18" s="10"/>
      <c r="F18" s="10"/>
      <c r="G18" s="11"/>
      <c r="H18" s="11"/>
    </row>
    <row r="19" customFormat="false" ht="15" hidden="false" customHeight="false" outlineLevel="0" collapsed="false">
      <c r="A19" s="5" t="n">
        <v>46148</v>
      </c>
      <c r="B19" s="6" t="n">
        <v>95.08</v>
      </c>
      <c r="C19" s="6" t="n">
        <v>101.27</v>
      </c>
      <c r="D19" s="7" t="n">
        <f aca="false">IF(C19="","",C19-B19)</f>
        <v>6.19</v>
      </c>
      <c r="E19" s="10"/>
      <c r="F19" s="10"/>
      <c r="G19" s="11"/>
      <c r="H19" s="11"/>
    </row>
    <row r="20" customFormat="false" ht="15" hidden="false" customHeight="false" outlineLevel="0" collapsed="false">
      <c r="A20" s="5" t="n">
        <v>46149</v>
      </c>
      <c r="B20" s="6" t="n">
        <v>94.81</v>
      </c>
      <c r="C20" s="6" t="n">
        <v>100.06</v>
      </c>
      <c r="D20" s="7" t="n">
        <f aca="false">IF(C20="","",C20-B20)</f>
        <v>5.25</v>
      </c>
      <c r="E20" s="10"/>
      <c r="F20" s="10"/>
      <c r="G20" s="11"/>
      <c r="H20" s="11"/>
    </row>
    <row r="21" customFormat="false" ht="15" hidden="false" customHeight="false" outlineLevel="0" collapsed="false">
      <c r="A21" s="5" t="n">
        <v>46150</v>
      </c>
      <c r="B21" s="6" t="n">
        <v>95.42</v>
      </c>
      <c r="C21" s="6" t="n">
        <v>101.29</v>
      </c>
      <c r="D21" s="7" t="n">
        <f aca="false">IF(C21="","",C21-B21)</f>
        <v>5.87</v>
      </c>
      <c r="E21" s="8" t="n">
        <v>452.9</v>
      </c>
      <c r="F21" s="8" t="n">
        <v>91.7</v>
      </c>
      <c r="G21" s="11"/>
      <c r="H21" s="11"/>
    </row>
    <row r="22" customFormat="false" ht="15" hidden="false" customHeight="false" outlineLevel="0" collapsed="false">
      <c r="A22" s="5" t="n">
        <v>46153</v>
      </c>
      <c r="B22" s="6" t="n">
        <v>98.07</v>
      </c>
      <c r="C22" s="6" t="n">
        <v>104.21</v>
      </c>
      <c r="D22" s="7" t="n">
        <f aca="false">IF(C22="","",C22-B22)</f>
        <v>6.14</v>
      </c>
      <c r="E22" s="10"/>
      <c r="F22" s="10"/>
      <c r="G22" s="11"/>
      <c r="H22" s="11"/>
    </row>
    <row r="23" customFormat="false" ht="15" hidden="false" customHeight="false" outlineLevel="0" collapsed="false">
      <c r="A23" s="5" t="n">
        <v>46154</v>
      </c>
      <c r="B23" s="6" t="n">
        <v>102.18</v>
      </c>
      <c r="C23" s="6" t="n">
        <v>107.77</v>
      </c>
      <c r="D23" s="7" t="n">
        <f aca="false">IF(C23="","",C23-B23)</f>
        <v>5.58999999999999</v>
      </c>
      <c r="E23" s="10"/>
      <c r="F23" s="10"/>
      <c r="G23" s="11"/>
      <c r="H23" s="11"/>
    </row>
    <row r="24" customFormat="false" ht="15" hidden="false" customHeight="false" outlineLevel="0" collapsed="false">
      <c r="A24" s="5" t="n">
        <v>46155</v>
      </c>
      <c r="B24" s="6" t="n">
        <v>101.02</v>
      </c>
      <c r="C24" s="6" t="n">
        <v>105.63</v>
      </c>
      <c r="D24" s="7" t="n">
        <f aca="false">IF(C24="","",C24-B24)</f>
        <v>4.61</v>
      </c>
      <c r="E24" s="10"/>
      <c r="F24" s="10"/>
      <c r="G24" s="11"/>
      <c r="H24" s="11"/>
    </row>
    <row r="25" customFormat="false" ht="15" hidden="false" customHeight="false" outlineLevel="0" collapsed="false">
      <c r="A25" s="5" t="n">
        <v>46156</v>
      </c>
      <c r="B25" s="6" t="n">
        <v>101.17</v>
      </c>
      <c r="C25" s="6" t="n">
        <v>105.72</v>
      </c>
      <c r="D25" s="7" t="n">
        <f aca="false">IF(C25="","",C25-B25)</f>
        <v>4.55</v>
      </c>
      <c r="E25" s="10"/>
      <c r="F25" s="10"/>
      <c r="G25" s="11"/>
      <c r="H25" s="11"/>
    </row>
    <row r="26" customFormat="false" ht="15" hidden="false" customHeight="false" outlineLevel="0" collapsed="false">
      <c r="A26" s="5" t="n">
        <v>46157</v>
      </c>
      <c r="B26" s="6" t="n">
        <v>105.42</v>
      </c>
      <c r="C26" s="6" t="n">
        <v>109.26</v>
      </c>
      <c r="D26" s="7" t="n">
        <f aca="false">IF(C26="","",C26-B26)</f>
        <v>3.84</v>
      </c>
      <c r="E26" s="8" t="n">
        <v>445</v>
      </c>
      <c r="F26" s="8" t="n">
        <v>91.6</v>
      </c>
      <c r="G26" s="11"/>
      <c r="H26" s="11"/>
    </row>
    <row r="27" customFormat="false" ht="15" hidden="false" customHeight="false" outlineLevel="0" collapsed="false">
      <c r="A27" s="5" t="n">
        <v>46160</v>
      </c>
      <c r="B27" s="6" t="n">
        <v>108.66</v>
      </c>
      <c r="C27" s="6" t="n">
        <v>112.1</v>
      </c>
      <c r="D27" s="7" t="n">
        <f aca="false">IF(C27="","",C27-B27)</f>
        <v>3.44</v>
      </c>
      <c r="E27" s="10"/>
      <c r="F27" s="10"/>
      <c r="G27" s="11"/>
      <c r="H27" s="11"/>
    </row>
    <row r="28" customFormat="false" ht="15" hidden="false" customHeight="false" outlineLevel="0" collapsed="false">
      <c r="A28" s="5" t="n">
        <v>46161</v>
      </c>
      <c r="B28" s="6" t="n">
        <v>107.77</v>
      </c>
      <c r="C28" s="6" t="n">
        <v>111.28</v>
      </c>
      <c r="D28" s="7" t="n">
        <f aca="false">IF(C28="","",C28-B28)</f>
        <v>3.51000000000001</v>
      </c>
      <c r="E28" s="10"/>
      <c r="F28" s="10"/>
      <c r="G28" s="11"/>
      <c r="H28" s="11"/>
    </row>
    <row r="29" customFormat="false" ht="15" hidden="false" customHeight="false" outlineLevel="0" collapsed="false">
      <c r="A29" s="5" t="n">
        <v>46162</v>
      </c>
      <c r="B29" s="6" t="n">
        <v>98.26</v>
      </c>
      <c r="C29" s="6" t="n">
        <v>105.02</v>
      </c>
      <c r="D29" s="7" t="n">
        <f aca="false">IF(C29="","",C29-B29)</f>
        <v>6.75999999999999</v>
      </c>
      <c r="E29" s="10"/>
      <c r="F29" s="10"/>
      <c r="G29" s="11"/>
      <c r="H29" s="11"/>
    </row>
    <row r="30" customFormat="false" ht="15" hidden="false" customHeight="false" outlineLevel="0" collapsed="false">
      <c r="A30" s="5" t="n">
        <v>46163</v>
      </c>
      <c r="B30" s="6" t="n">
        <v>96.35</v>
      </c>
      <c r="C30" s="6" t="n">
        <v>102.58</v>
      </c>
      <c r="D30" s="7" t="n">
        <f aca="false">IF(C30="","",C30-B30)</f>
        <v>6.23</v>
      </c>
      <c r="E30" s="10"/>
      <c r="F30" s="10"/>
      <c r="G30" s="11"/>
      <c r="H30" s="11"/>
    </row>
    <row r="31" customFormat="false" ht="15" hidden="false" customHeight="false" outlineLevel="0" collapsed="false">
      <c r="A31" s="5" t="n">
        <v>46164</v>
      </c>
      <c r="B31" s="6" t="n">
        <v>96.6</v>
      </c>
      <c r="C31" s="6" t="n">
        <v>103.54</v>
      </c>
      <c r="D31" s="7" t="n">
        <f aca="false">IF(C31="","",C31-B31)</f>
        <v>6.94000000000001</v>
      </c>
      <c r="E31" s="8" t="n">
        <v>441.7</v>
      </c>
      <c r="F31" s="8" t="n">
        <v>94.5</v>
      </c>
      <c r="G31" s="11"/>
      <c r="H31" s="11"/>
    </row>
    <row r="32" customFormat="false" ht="15" hidden="false" customHeight="false" outlineLevel="0" collapsed="false">
      <c r="A32" s="5" t="n">
        <v>46168</v>
      </c>
      <c r="B32" s="6" t="n">
        <v>93.89</v>
      </c>
      <c r="C32" s="6" t="n">
        <v>99.58</v>
      </c>
      <c r="D32" s="7" t="n">
        <f aca="false">IF(C32="","",C32-B32)</f>
        <v>5.69</v>
      </c>
      <c r="E32" s="10"/>
      <c r="F32" s="10"/>
      <c r="G32" s="11"/>
      <c r="H32" s="11"/>
    </row>
    <row r="33" customFormat="false" ht="15" hidden="false" customHeight="false" outlineLevel="0" collapsed="false">
      <c r="A33" s="5" t="n">
        <v>46169</v>
      </c>
      <c r="B33" s="6" t="n">
        <v>88.68</v>
      </c>
      <c r="C33" s="6" t="n">
        <v>94.29</v>
      </c>
      <c r="D33" s="7" t="n">
        <f aca="false">IF(C33="","",C33-B33)</f>
        <v>5.61</v>
      </c>
      <c r="E33" s="10"/>
      <c r="F33" s="10"/>
      <c r="G33" s="11"/>
      <c r="H33" s="11"/>
    </row>
    <row r="34" customFormat="false" ht="15" hidden="false" customHeight="false" outlineLevel="0" collapsed="false">
      <c r="A34" s="5" t="n">
        <v>46170</v>
      </c>
      <c r="B34" s="6" t="n">
        <v>88.9</v>
      </c>
      <c r="C34" s="6" t="n">
        <v>93.71</v>
      </c>
      <c r="D34" s="7" t="n">
        <f aca="false">IF(C34="","",C34-B34)</f>
        <v>4.80999999999999</v>
      </c>
      <c r="E34" s="10"/>
      <c r="F34" s="10"/>
      <c r="G34" s="11"/>
      <c r="H34" s="11"/>
    </row>
    <row r="35" customFormat="false" ht="15" hidden="false" customHeight="false" outlineLevel="0" collapsed="false">
      <c r="A35" s="5" t="n">
        <v>46171</v>
      </c>
      <c r="B35" s="6" t="n">
        <v>87.36</v>
      </c>
      <c r="C35" s="6" t="n">
        <v>92.05</v>
      </c>
      <c r="D35" s="7" t="n">
        <f aca="false">IF(C35="","",C35-B35)</f>
        <v>4.69</v>
      </c>
      <c r="E35" s="8" t="n">
        <v>433.7</v>
      </c>
      <c r="F35" s="8" t="n">
        <v>94.7</v>
      </c>
      <c r="G35" s="11"/>
      <c r="H35" s="11"/>
    </row>
    <row r="36" customFormat="false" ht="15" hidden="false" customHeight="false" outlineLevel="0" collapsed="false">
      <c r="A36" s="5" t="n">
        <v>46174</v>
      </c>
      <c r="B36" s="6" t="n">
        <v>92.16</v>
      </c>
      <c r="C36" s="6" t="n">
        <v>94.98</v>
      </c>
      <c r="D36" s="7" t="n">
        <f aca="false">IF(C36="","",C36-B36)</f>
        <v>2.82000000000001</v>
      </c>
      <c r="E36" s="10"/>
      <c r="F36" s="10"/>
      <c r="G36" s="11"/>
      <c r="H36" s="11"/>
    </row>
    <row r="37" customFormat="false" ht="15" hidden="false" customHeight="false" outlineLevel="0" collapsed="false">
      <c r="A37" s="5" t="n">
        <v>46175</v>
      </c>
      <c r="B37" s="6" t="n">
        <v>93.76</v>
      </c>
      <c r="C37" s="6" t="n">
        <v>96</v>
      </c>
      <c r="D37" s="7" t="n">
        <f aca="false">IF(C37="","",C37-B37)</f>
        <v>2.24</v>
      </c>
      <c r="E37" s="10"/>
      <c r="F37" s="10"/>
      <c r="G37" s="11"/>
      <c r="H37" s="11"/>
    </row>
    <row r="38" customFormat="false" ht="15" hidden="false" customHeight="false" outlineLevel="0" collapsed="false">
      <c r="A38" s="5" t="n">
        <v>46176</v>
      </c>
      <c r="B38" s="6" t="n">
        <v>96.02</v>
      </c>
      <c r="C38" s="6" t="n">
        <v>97.81</v>
      </c>
      <c r="D38" s="7" t="n">
        <f aca="false">IF(C38="","",C38-B38)</f>
        <v>1.79000000000001</v>
      </c>
      <c r="E38" s="10"/>
      <c r="F38" s="10"/>
      <c r="G38" s="11"/>
      <c r="H38" s="11"/>
    </row>
    <row r="39" customFormat="false" ht="15" hidden="false" customHeight="false" outlineLevel="0" collapsed="false">
      <c r="A39" s="5" t="n">
        <v>46177</v>
      </c>
      <c r="B39" s="6" t="n">
        <v>93.04</v>
      </c>
      <c r="C39" s="6" t="n">
        <v>95.03</v>
      </c>
      <c r="D39" s="7" t="n">
        <f aca="false">IF(C39="","",C39-B39)</f>
        <v>1.98999999999999</v>
      </c>
      <c r="E39" s="10"/>
      <c r="F39" s="10"/>
      <c r="G39" s="11"/>
      <c r="H39" s="11"/>
    </row>
    <row r="40" customFormat="false" ht="15" hidden="false" customHeight="false" outlineLevel="0" collapsed="false">
      <c r="A40" s="5" t="n">
        <v>46178</v>
      </c>
      <c r="B40" s="6" t="n">
        <v>90.54</v>
      </c>
      <c r="C40" s="6" t="n">
        <v>93.09</v>
      </c>
      <c r="D40" s="7" t="n">
        <f aca="false">IF(C40="","",C40-B40)</f>
        <v>2.55</v>
      </c>
      <c r="E40" s="8" t="n">
        <v>426.5</v>
      </c>
      <c r="F40" s="8" t="n">
        <v>95.3</v>
      </c>
      <c r="G40" s="11"/>
      <c r="H40" s="11"/>
    </row>
    <row r="41" customFormat="false" ht="15" hidden="false" customHeight="false" outlineLevel="0" collapsed="false">
      <c r="A41" s="5" t="n">
        <v>46181</v>
      </c>
      <c r="B41" s="6" t="n">
        <v>91.3</v>
      </c>
      <c r="C41" s="6" t="n">
        <v>94.25</v>
      </c>
      <c r="D41" s="7" t="n">
        <f aca="false">IF(C41="","",C41-B41)</f>
        <v>2.95</v>
      </c>
      <c r="E41" s="10"/>
      <c r="F41" s="10"/>
      <c r="G41" s="11"/>
      <c r="H41" s="11"/>
    </row>
    <row r="42" customFormat="false" ht="15" hidden="false" customHeight="false" outlineLevel="0" collapsed="false">
      <c r="A42" s="5" t="n">
        <v>46182</v>
      </c>
      <c r="B42" s="6" t="n">
        <v>88.2</v>
      </c>
      <c r="C42" s="6" t="n">
        <v>91.45</v>
      </c>
      <c r="D42" s="7" t="n">
        <f aca="false">IF(C42="","",C42-B42)</f>
        <v>3.25</v>
      </c>
      <c r="E42" s="10"/>
      <c r="F42" s="10"/>
      <c r="G42" s="11"/>
      <c r="H42" s="11"/>
    </row>
    <row r="43" customFormat="false" ht="15" hidden="false" customHeight="false" outlineLevel="0" collapsed="false">
      <c r="A43" s="5" t="n">
        <v>46183</v>
      </c>
      <c r="B43" s="6" t="n">
        <v>90.03</v>
      </c>
      <c r="C43" s="6" t="n">
        <v>93.1</v>
      </c>
      <c r="D43" s="7" t="n">
        <f aca="false">IF(C43="","",C43-B43)</f>
        <v>3.06999999999999</v>
      </c>
      <c r="E43" s="10"/>
      <c r="F43" s="10"/>
      <c r="G43" s="11"/>
      <c r="H43" s="11"/>
    </row>
    <row r="44" customFormat="false" ht="15" hidden="false" customHeight="false" outlineLevel="0" collapsed="false">
      <c r="A44" s="5" t="n">
        <v>46184</v>
      </c>
      <c r="B44" s="6" t="n">
        <v>87.71</v>
      </c>
      <c r="C44" s="6" t="n">
        <v>90.38</v>
      </c>
      <c r="D44" s="7" t="n">
        <f aca="false">IF(C44="","",C44-B44)</f>
        <v>2.67</v>
      </c>
      <c r="E44" s="10"/>
      <c r="F44" s="10"/>
      <c r="G44" s="11"/>
      <c r="H44" s="11"/>
    </row>
    <row r="45" customFormat="false" ht="15" hidden="false" customHeight="false" outlineLevel="0" collapsed="false">
      <c r="A45" s="5" t="n">
        <v>46185</v>
      </c>
      <c r="B45" s="6" t="n">
        <v>84.88</v>
      </c>
      <c r="C45" s="6" t="n">
        <v>87.33</v>
      </c>
      <c r="D45" s="7" t="n">
        <f aca="false">IF(C45="","",C45-B45)</f>
        <v>2.45</v>
      </c>
      <c r="E45" s="8" t="n">
        <v>418.2</v>
      </c>
      <c r="F45" s="8" t="n">
        <v>96.7</v>
      </c>
      <c r="G45" s="11"/>
      <c r="H45" s="11"/>
    </row>
    <row r="46" customFormat="false" ht="15" hidden="false" customHeight="false" outlineLevel="0" collapsed="false">
      <c r="A46" s="5" t="n">
        <v>46188</v>
      </c>
      <c r="B46" s="6" t="n">
        <v>80.75</v>
      </c>
      <c r="C46" s="6" t="n">
        <v>83.17</v>
      </c>
      <c r="D46" s="7" t="n">
        <f aca="false">IF(C46="","",C46-B46)</f>
        <v>2.42</v>
      </c>
      <c r="E46" s="10"/>
      <c r="F46" s="10"/>
      <c r="G46" s="11"/>
      <c r="H46" s="11"/>
    </row>
    <row r="47" customFormat="false" ht="15" hidden="false" customHeight="false" outlineLevel="0" collapsed="false">
      <c r="A47" s="5" t="n">
        <v>46189</v>
      </c>
      <c r="B47" s="6" t="n">
        <v>76.05</v>
      </c>
      <c r="C47" s="6" t="n">
        <v>78.96</v>
      </c>
      <c r="D47" s="7" t="n">
        <f aca="false">IF(C47="","",C47-B47)</f>
        <v>2.91</v>
      </c>
      <c r="E47" s="10"/>
      <c r="F47" s="10"/>
      <c r="G47" s="11"/>
      <c r="H47" s="11"/>
    </row>
    <row r="48" customFormat="false" ht="15" hidden="false" customHeight="false" outlineLevel="0" collapsed="false">
      <c r="A48" s="5" t="n">
        <v>46190</v>
      </c>
      <c r="B48" s="6" t="n">
        <v>76.79</v>
      </c>
      <c r="C48" s="6" t="n">
        <v>79.55</v>
      </c>
      <c r="D48" s="7" t="n">
        <f aca="false">IF(C48="","",C48-B48)</f>
        <v>2.75999999999999</v>
      </c>
      <c r="E48" s="10"/>
      <c r="F48" s="10"/>
      <c r="G48" s="11"/>
      <c r="H48" s="11"/>
    </row>
    <row r="49" customFormat="false" ht="15" hidden="false" customHeight="false" outlineLevel="0" collapsed="false">
      <c r="A49" s="5" t="n">
        <v>46191</v>
      </c>
      <c r="B49" s="6" t="n">
        <v>76.6</v>
      </c>
      <c r="C49" s="6" t="n">
        <v>79.85</v>
      </c>
      <c r="D49" s="7" t="n">
        <f aca="false">IF(C49="","",C49-B49)</f>
        <v>3.25</v>
      </c>
      <c r="E49" s="10"/>
      <c r="F49" s="10"/>
      <c r="G49" s="11"/>
      <c r="H49" s="11"/>
    </row>
    <row r="50" customFormat="false" ht="15" hidden="false" customHeight="false" outlineLevel="0" collapsed="false">
      <c r="A50" s="5" t="n">
        <v>46195</v>
      </c>
      <c r="B50" s="6" t="n">
        <v>74.82</v>
      </c>
      <c r="C50" s="6" t="n">
        <v>77.9</v>
      </c>
      <c r="D50" s="7" t="n">
        <f aca="false">IF(C50="","",C50-B50)</f>
        <v>3.08000000000001</v>
      </c>
      <c r="E50" s="10"/>
      <c r="F50" s="10"/>
      <c r="G50" s="11"/>
      <c r="H50" s="11"/>
    </row>
    <row r="51" customFormat="false" ht="15" hidden="false" customHeight="false" outlineLevel="0" collapsed="false">
      <c r="A51" s="5" t="n">
        <v>46196</v>
      </c>
      <c r="B51" s="6" t="n">
        <v>73.21</v>
      </c>
      <c r="C51" s="6" t="n">
        <v>77.08</v>
      </c>
      <c r="D51" s="7" t="n">
        <f aca="false">IF(C51="","",C51-B51)</f>
        <v>3.87</v>
      </c>
      <c r="E51" s="10"/>
      <c r="F51" s="10"/>
      <c r="G51" s="11"/>
      <c r="H51" s="11"/>
    </row>
    <row r="52" customFormat="false" ht="15" hidden="false" customHeight="false" outlineLevel="0" collapsed="false">
      <c r="A52" s="5" t="n">
        <v>46197</v>
      </c>
      <c r="B52" s="6" t="n">
        <v>70.34</v>
      </c>
      <c r="C52" s="6" t="n">
        <v>73.74</v>
      </c>
      <c r="D52" s="7" t="n">
        <f aca="false">IF(C52="","",C52-B52)</f>
        <v>3.39999999999999</v>
      </c>
      <c r="E52" s="10"/>
      <c r="F52" s="10"/>
      <c r="G52" s="11"/>
      <c r="H52" s="11"/>
    </row>
    <row r="53" customFormat="false" ht="15" hidden="false" customHeight="false" outlineLevel="0" collapsed="false">
      <c r="A53" s="5" t="n">
        <v>46198</v>
      </c>
      <c r="B53" s="6" t="n">
        <v>71.92</v>
      </c>
      <c r="C53" s="6" t="n">
        <v>75.26</v>
      </c>
      <c r="D53" s="7" t="n">
        <f aca="false">IF(C53="","",C53-B53)</f>
        <v>3.34</v>
      </c>
      <c r="E53" s="10"/>
      <c r="F53" s="10"/>
      <c r="G53" s="11"/>
      <c r="H53" s="11"/>
    </row>
    <row r="54" customFormat="false" ht="15" hidden="false" customHeight="false" outlineLevel="0" collapsed="false">
      <c r="A54" s="5" t="n">
        <v>46199</v>
      </c>
      <c r="B54" s="6" t="n">
        <v>69.23</v>
      </c>
      <c r="C54" s="6" t="n">
        <v>71.99</v>
      </c>
      <c r="D54" s="7" t="n">
        <f aca="false">IF(C54="","",C54-B54)</f>
        <v>2.75999999999999</v>
      </c>
      <c r="E54" s="8" t="n">
        <v>408.4</v>
      </c>
      <c r="F54" s="8" t="n">
        <v>96.6</v>
      </c>
      <c r="G54" s="11"/>
      <c r="H54" s="11"/>
    </row>
    <row r="55" customFormat="false" ht="15" hidden="false" customHeight="false" outlineLevel="0" collapsed="false">
      <c r="A55" s="5" t="n">
        <v>46202</v>
      </c>
      <c r="B55" s="6" t="n">
        <v>70.75</v>
      </c>
      <c r="C55" s="6" t="n">
        <v>73.15</v>
      </c>
      <c r="D55" s="7" t="n">
        <f aca="false">IF(C55="","",C55-B55)</f>
        <v>2.40000000000001</v>
      </c>
      <c r="E55" s="10"/>
      <c r="F55" s="10"/>
      <c r="G55" s="11"/>
      <c r="H55" s="11"/>
    </row>
    <row r="56" customFormat="false" ht="15" hidden="false" customHeight="false" outlineLevel="0" collapsed="false">
      <c r="A56" s="5" t="n">
        <v>46203</v>
      </c>
      <c r="B56" s="6" t="n">
        <v>69.5</v>
      </c>
      <c r="C56" s="6" t="n">
        <v>72.92</v>
      </c>
      <c r="D56" s="7" t="n">
        <f aca="false">IF(C56="","",C56-B56)</f>
        <v>3.42</v>
      </c>
      <c r="E56" s="10"/>
      <c r="F56" s="10"/>
      <c r="G56" s="11"/>
      <c r="H56" s="11"/>
    </row>
    <row r="57" customFormat="false" ht="15" hidden="false" customHeight="false" outlineLevel="0" collapsed="false">
      <c r="A57" s="5" t="n">
        <v>46204</v>
      </c>
      <c r="B57" s="6" t="n">
        <v>68.58</v>
      </c>
      <c r="C57" s="6" t="n">
        <v>71.57</v>
      </c>
      <c r="D57" s="7" t="n">
        <f aca="false">IF(C57="","",C57-B57)</f>
        <v>2.99</v>
      </c>
      <c r="E57" s="10"/>
      <c r="F57" s="10"/>
      <c r="G57" s="11"/>
      <c r="H57" s="11"/>
    </row>
    <row r="58" customFormat="false" ht="15" hidden="false" customHeight="false" outlineLevel="0" collapsed="false">
      <c r="A58" s="5" t="n">
        <v>46205</v>
      </c>
      <c r="B58" s="6" t="n">
        <v>68.69</v>
      </c>
      <c r="C58" s="6" t="n">
        <v>71.8</v>
      </c>
      <c r="D58" s="7" t="n">
        <f aca="false">IF(C58="","",C58-B58)</f>
        <v>3.11</v>
      </c>
      <c r="E58" s="10"/>
      <c r="F58" s="10"/>
      <c r="G58" s="11"/>
      <c r="H58" s="11"/>
    </row>
    <row r="59" customFormat="false" ht="15" hidden="false" customHeight="false" outlineLevel="0" collapsed="false">
      <c r="A59" s="5" t="n">
        <v>46209</v>
      </c>
      <c r="B59" s="6" t="n">
        <v>68.55</v>
      </c>
      <c r="C59" s="6" t="n">
        <v>71.99</v>
      </c>
      <c r="D59" s="7" t="n">
        <f aca="false">IF(C59="","",C59-B59)</f>
        <v>3.44</v>
      </c>
      <c r="E59" s="10"/>
      <c r="F59" s="10"/>
      <c r="G59" s="11"/>
      <c r="H59" s="11"/>
    </row>
    <row r="60" customFormat="false" ht="15" hidden="false" customHeight="false" outlineLevel="0" collapsed="false">
      <c r="A60" s="5" t="n">
        <v>46210</v>
      </c>
      <c r="B60" s="6" t="n">
        <v>70.44</v>
      </c>
      <c r="C60" s="6" t="n">
        <v>74.16</v>
      </c>
      <c r="D60" s="7" t="n">
        <f aca="false">IF(C60="","",C60-B60)</f>
        <v>3.72</v>
      </c>
      <c r="E60" s="10"/>
      <c r="F60" s="10"/>
      <c r="G60" s="11"/>
      <c r="H60" s="11"/>
    </row>
    <row r="61" customFormat="false" ht="15" hidden="false" customHeight="false" outlineLevel="0" collapsed="false">
      <c r="A61" s="5" t="n">
        <v>46211</v>
      </c>
      <c r="B61" s="6" t="n">
        <v>73.52</v>
      </c>
      <c r="C61" s="6" t="n">
        <v>78.02</v>
      </c>
      <c r="D61" s="7" t="n">
        <f aca="false">IF(C61="","",C61-B61)</f>
        <v>4.5</v>
      </c>
      <c r="E61" s="10"/>
      <c r="F61" s="10"/>
      <c r="G61" s="11"/>
      <c r="H61" s="11"/>
    </row>
    <row r="62" customFormat="false" ht="15" hidden="false" customHeight="false" outlineLevel="0" collapsed="false">
      <c r="A62" s="5" t="n">
        <v>46212</v>
      </c>
      <c r="B62" s="6" t="n">
        <v>72.08</v>
      </c>
      <c r="C62" s="6" t="n">
        <v>76.3</v>
      </c>
      <c r="D62" s="7" t="n">
        <f aca="false">IF(C62="","",C62-B62)</f>
        <v>4.22</v>
      </c>
      <c r="E62" s="10"/>
      <c r="F62" s="10"/>
      <c r="G62" s="11"/>
      <c r="H62" s="11"/>
    </row>
    <row r="63" customFormat="false" ht="15" hidden="false" customHeight="false" outlineLevel="0" collapsed="false">
      <c r="A63" s="5" t="n">
        <v>46213</v>
      </c>
      <c r="B63" s="6" t="n">
        <v>71.41</v>
      </c>
      <c r="C63" s="6" t="n">
        <v>76.01</v>
      </c>
      <c r="D63" s="7" t="n">
        <f aca="false">IF(C63="","",C63-B63)</f>
        <v>4.60000000000001</v>
      </c>
      <c r="E63" s="10"/>
      <c r="F63" s="10"/>
      <c r="G63" s="11"/>
      <c r="H63" s="11"/>
    </row>
    <row r="64" customFormat="false" ht="15" hidden="false" customHeight="false" outlineLevel="0" collapsed="false">
      <c r="A64" s="12" t="n">
        <v>46216</v>
      </c>
      <c r="B64" s="13"/>
      <c r="C64" s="13"/>
      <c r="D64" s="14" t="str">
        <f aca="false">IF(C64="","",C64-B64)</f>
        <v/>
      </c>
      <c r="G64" s="13"/>
      <c r="H64" s="13"/>
    </row>
    <row r="65" customFormat="false" ht="15" hidden="false" customHeight="false" outlineLevel="0" collapsed="false">
      <c r="A65" s="12" t="n">
        <v>46217</v>
      </c>
      <c r="B65" s="13"/>
      <c r="C65" s="13"/>
      <c r="D65" s="14" t="str">
        <f aca="false">IF(C65="","",C65-B65)</f>
        <v/>
      </c>
      <c r="G65" s="13"/>
      <c r="H65" s="13"/>
    </row>
    <row r="66" customFormat="false" ht="15" hidden="false" customHeight="false" outlineLevel="0" collapsed="false">
      <c r="A66" s="12" t="n">
        <v>46218</v>
      </c>
      <c r="B66" s="13"/>
      <c r="C66" s="13"/>
      <c r="D66" s="14" t="str">
        <f aca="false">IF(C66="","",C66-B66)</f>
        <v/>
      </c>
      <c r="G66" s="13"/>
      <c r="H66" s="13"/>
    </row>
    <row r="67" customFormat="false" ht="15" hidden="false" customHeight="false" outlineLevel="0" collapsed="false">
      <c r="A67" s="12" t="n">
        <v>46219</v>
      </c>
      <c r="B67" s="13"/>
      <c r="C67" s="13"/>
      <c r="D67" s="14" t="str">
        <f aca="false">IF(C67="","",C67-B67)</f>
        <v/>
      </c>
      <c r="G67" s="13"/>
      <c r="H67" s="13"/>
    </row>
    <row r="68" customFormat="false" ht="15" hidden="false" customHeight="false" outlineLevel="0" collapsed="false">
      <c r="A68" s="12" t="n">
        <v>46220</v>
      </c>
      <c r="B68" s="13"/>
      <c r="C68" s="13"/>
      <c r="D68" s="14" t="str">
        <f aca="false">IF(C68="","",C68-B68)</f>
        <v/>
      </c>
      <c r="G68" s="13"/>
      <c r="H68" s="13"/>
    </row>
    <row r="69" customFormat="false" ht="15" hidden="false" customHeight="false" outlineLevel="0" collapsed="false">
      <c r="A69" s="12" t="n">
        <v>46223</v>
      </c>
      <c r="B69" s="13"/>
      <c r="C69" s="13"/>
      <c r="D69" s="14" t="str">
        <f aca="false">IF(C69="","",C69-B69)</f>
        <v/>
      </c>
      <c r="G69" s="13"/>
      <c r="H69" s="13"/>
    </row>
    <row r="70" customFormat="false" ht="15" hidden="false" customHeight="false" outlineLevel="0" collapsed="false">
      <c r="A70" s="12" t="n">
        <v>46224</v>
      </c>
      <c r="B70" s="13"/>
      <c r="C70" s="13"/>
      <c r="D70" s="14" t="str">
        <f aca="false">IF(C70="","",C70-B70)</f>
        <v/>
      </c>
      <c r="G70" s="13"/>
      <c r="H70" s="13"/>
    </row>
    <row r="71" customFormat="false" ht="15" hidden="false" customHeight="false" outlineLevel="0" collapsed="false">
      <c r="A71" s="12" t="n">
        <v>46225</v>
      </c>
      <c r="B71" s="13"/>
      <c r="C71" s="13"/>
      <c r="D71" s="14" t="str">
        <f aca="false">IF(C71="","",C71-B71)</f>
        <v/>
      </c>
      <c r="G71" s="13"/>
      <c r="H71" s="13"/>
    </row>
    <row r="72" customFormat="false" ht="15" hidden="false" customHeight="false" outlineLevel="0" collapsed="false">
      <c r="A72" s="12" t="n">
        <v>46226</v>
      </c>
      <c r="B72" s="13"/>
      <c r="C72" s="13"/>
      <c r="D72" s="14" t="str">
        <f aca="false">IF(C72="","",C72-B72)</f>
        <v/>
      </c>
      <c r="G72" s="13"/>
      <c r="H72" s="13"/>
    </row>
    <row r="73" customFormat="false" ht="15" hidden="false" customHeight="false" outlineLevel="0" collapsed="false">
      <c r="A73" s="12" t="n">
        <v>46227</v>
      </c>
      <c r="B73" s="13"/>
      <c r="C73" s="13"/>
      <c r="D73" s="14" t="str">
        <f aca="false">IF(C73="","",C73-B73)</f>
        <v/>
      </c>
      <c r="G73" s="13"/>
      <c r="H73" s="13"/>
    </row>
    <row r="74" customFormat="false" ht="15" hidden="false" customHeight="false" outlineLevel="0" collapsed="false">
      <c r="A74" s="12" t="n">
        <v>46230</v>
      </c>
      <c r="B74" s="13"/>
      <c r="C74" s="13"/>
      <c r="D74" s="14" t="str">
        <f aca="false">IF(C74="","",C74-B74)</f>
        <v/>
      </c>
      <c r="G74" s="13"/>
      <c r="H74" s="13"/>
    </row>
    <row r="75" customFormat="false" ht="15" hidden="false" customHeight="false" outlineLevel="0" collapsed="false">
      <c r="A75" s="12" t="n">
        <v>46231</v>
      </c>
      <c r="B75" s="13"/>
      <c r="C75" s="13"/>
      <c r="D75" s="14" t="str">
        <f aca="false">IF(C75="","",C75-B75)</f>
        <v/>
      </c>
      <c r="G75" s="13"/>
      <c r="H75" s="13"/>
    </row>
    <row r="76" customFormat="false" ht="15" hidden="false" customHeight="false" outlineLevel="0" collapsed="false">
      <c r="A76" s="12" t="n">
        <v>46232</v>
      </c>
      <c r="B76" s="13"/>
      <c r="C76" s="13"/>
      <c r="D76" s="14" t="str">
        <f aca="false">IF(C76="","",C76-B76)</f>
        <v/>
      </c>
      <c r="G76" s="13"/>
      <c r="H76" s="13"/>
    </row>
    <row r="77" customFormat="false" ht="15" hidden="false" customHeight="false" outlineLevel="0" collapsed="false">
      <c r="A77" s="12" t="n">
        <v>46233</v>
      </c>
      <c r="B77" s="13"/>
      <c r="C77" s="13"/>
      <c r="D77" s="14" t="str">
        <f aca="false">IF(C77="","",C77-B77)</f>
        <v/>
      </c>
      <c r="G77" s="13"/>
      <c r="H77" s="13"/>
    </row>
    <row r="78" customFormat="false" ht="15" hidden="false" customHeight="false" outlineLevel="0" collapsed="false">
      <c r="A78" s="12" t="n">
        <v>46234</v>
      </c>
      <c r="B78" s="13"/>
      <c r="C78" s="13"/>
      <c r="D78" s="14" t="str">
        <f aca="false">IF(C78="","",C78-B78)</f>
        <v/>
      </c>
      <c r="G78" s="13"/>
      <c r="H78" s="13"/>
    </row>
    <row r="79" customFormat="false" ht="15" hidden="false" customHeight="false" outlineLevel="0" collapsed="false">
      <c r="A79" s="12" t="n">
        <v>46237</v>
      </c>
      <c r="B79" s="13"/>
      <c r="C79" s="13"/>
      <c r="D79" s="14" t="str">
        <f aca="false">IF(C79="","",C79-B79)</f>
        <v/>
      </c>
      <c r="G79" s="13"/>
      <c r="H79" s="13"/>
    </row>
    <row r="80" customFormat="false" ht="15" hidden="false" customHeight="false" outlineLevel="0" collapsed="false">
      <c r="A80" s="12" t="n">
        <v>46238</v>
      </c>
      <c r="B80" s="13"/>
      <c r="C80" s="13"/>
      <c r="D80" s="14" t="str">
        <f aca="false">IF(C80="","",C80-B80)</f>
        <v/>
      </c>
      <c r="G80" s="13"/>
      <c r="H80" s="13"/>
    </row>
    <row r="81" customFormat="false" ht="15" hidden="false" customHeight="false" outlineLevel="0" collapsed="false">
      <c r="A81" s="12" t="n">
        <v>46239</v>
      </c>
      <c r="B81" s="13"/>
      <c r="C81" s="13"/>
      <c r="D81" s="14" t="str">
        <f aca="false">IF(C81="","",C81-B81)</f>
        <v/>
      </c>
      <c r="G81" s="13"/>
      <c r="H81" s="13"/>
    </row>
    <row r="82" customFormat="false" ht="15" hidden="false" customHeight="false" outlineLevel="0" collapsed="false">
      <c r="A82" s="12" t="n">
        <v>46240</v>
      </c>
      <c r="B82" s="13"/>
      <c r="C82" s="13"/>
      <c r="D82" s="14" t="str">
        <f aca="false">IF(C82="","",C82-B82)</f>
        <v/>
      </c>
      <c r="G82" s="13"/>
      <c r="H82" s="13"/>
    </row>
    <row r="83" customFormat="false" ht="15" hidden="false" customHeight="false" outlineLevel="0" collapsed="false">
      <c r="A83" s="12" t="n">
        <v>46241</v>
      </c>
      <c r="B83" s="13"/>
      <c r="C83" s="13"/>
      <c r="D83" s="14" t="str">
        <f aca="false">IF(C83="","",C83-B83)</f>
        <v/>
      </c>
      <c r="G83" s="13"/>
      <c r="H83" s="13"/>
    </row>
    <row r="84" customFormat="false" ht="15" hidden="false" customHeight="false" outlineLevel="0" collapsed="false">
      <c r="A84" s="12" t="n">
        <v>46244</v>
      </c>
      <c r="B84" s="13"/>
      <c r="C84" s="13"/>
      <c r="D84" s="14" t="str">
        <f aca="false">IF(C84="","",C84-B84)</f>
        <v/>
      </c>
      <c r="G84" s="13"/>
      <c r="H84" s="13"/>
    </row>
    <row r="85" customFormat="false" ht="15" hidden="false" customHeight="false" outlineLevel="0" collapsed="false">
      <c r="A85" s="12" t="n">
        <v>46245</v>
      </c>
      <c r="B85" s="13"/>
      <c r="C85" s="13"/>
      <c r="D85" s="14" t="str">
        <f aca="false">IF(C85="","",C85-B85)</f>
        <v/>
      </c>
      <c r="G85" s="13"/>
      <c r="H85" s="13"/>
    </row>
    <row r="86" customFormat="false" ht="15" hidden="false" customHeight="false" outlineLevel="0" collapsed="false">
      <c r="A86" s="12" t="n">
        <v>46246</v>
      </c>
      <c r="B86" s="13"/>
      <c r="C86" s="13"/>
      <c r="D86" s="14" t="str">
        <f aca="false">IF(C86="","",C86-B86)</f>
        <v/>
      </c>
      <c r="G86" s="13"/>
      <c r="H86" s="13"/>
    </row>
    <row r="87" customFormat="false" ht="15" hidden="false" customHeight="false" outlineLevel="0" collapsed="false">
      <c r="A87" s="12" t="n">
        <v>46247</v>
      </c>
      <c r="B87" s="13"/>
      <c r="C87" s="13"/>
      <c r="D87" s="14" t="str">
        <f aca="false">IF(C87="","",C87-B87)</f>
        <v/>
      </c>
      <c r="G87" s="13"/>
      <c r="H87" s="13"/>
    </row>
    <row r="88" customFormat="false" ht="15" hidden="false" customHeight="false" outlineLevel="0" collapsed="false">
      <c r="A88" s="12" t="n">
        <v>46248</v>
      </c>
      <c r="B88" s="13"/>
      <c r="C88" s="13"/>
      <c r="D88" s="14" t="str">
        <f aca="false">IF(C88="","",C88-B88)</f>
        <v/>
      </c>
      <c r="G88" s="13"/>
      <c r="H88" s="13"/>
    </row>
    <row r="89" customFormat="false" ht="15" hidden="false" customHeight="false" outlineLevel="0" collapsed="false">
      <c r="A89" s="12" t="n">
        <v>46251</v>
      </c>
      <c r="B89" s="13"/>
      <c r="C89" s="13"/>
      <c r="D89" s="14" t="str">
        <f aca="false">IF(C89="","",C89-B89)</f>
        <v/>
      </c>
      <c r="G89" s="13"/>
      <c r="H89" s="13"/>
    </row>
    <row r="90" customFormat="false" ht="15" hidden="false" customHeight="false" outlineLevel="0" collapsed="false">
      <c r="A90" s="12" t="n">
        <v>46252</v>
      </c>
      <c r="B90" s="13"/>
      <c r="C90" s="13"/>
      <c r="D90" s="14" t="str">
        <f aca="false">IF(C90="","",C90-B90)</f>
        <v/>
      </c>
      <c r="G90" s="13"/>
      <c r="H90" s="13"/>
    </row>
    <row r="91" customFormat="false" ht="15" hidden="false" customHeight="false" outlineLevel="0" collapsed="false">
      <c r="A91" s="12" t="n">
        <v>46253</v>
      </c>
      <c r="B91" s="13"/>
      <c r="C91" s="13"/>
      <c r="D91" s="14" t="str">
        <f aca="false">IF(C91="","",C91-B91)</f>
        <v/>
      </c>
      <c r="G91" s="13"/>
      <c r="H91" s="13"/>
    </row>
    <row r="92" customFormat="false" ht="15" hidden="false" customHeight="false" outlineLevel="0" collapsed="false">
      <c r="A92" s="12" t="n">
        <v>46254</v>
      </c>
      <c r="B92" s="13"/>
      <c r="C92" s="13"/>
      <c r="D92" s="14" t="str">
        <f aca="false">IF(C92="","",C92-B92)</f>
        <v/>
      </c>
      <c r="G92" s="13"/>
      <c r="H92" s="13"/>
    </row>
    <row r="93" customFormat="false" ht="15" hidden="false" customHeight="false" outlineLevel="0" collapsed="false">
      <c r="A93" s="12" t="n">
        <v>46255</v>
      </c>
      <c r="B93" s="13"/>
      <c r="C93" s="13"/>
      <c r="D93" s="14" t="str">
        <f aca="false">IF(C93="","",C93-B93)</f>
        <v/>
      </c>
      <c r="G93" s="13"/>
      <c r="H93" s="13"/>
    </row>
    <row r="94" customFormat="false" ht="15" hidden="false" customHeight="false" outlineLevel="0" collapsed="false">
      <c r="A94" s="12" t="n">
        <v>46258</v>
      </c>
      <c r="B94" s="13"/>
      <c r="C94" s="13"/>
      <c r="D94" s="14" t="str">
        <f aca="false">IF(C94="","",C94-B94)</f>
        <v/>
      </c>
      <c r="G94" s="13"/>
      <c r="H94" s="13"/>
    </row>
    <row r="95" customFormat="false" ht="15" hidden="false" customHeight="false" outlineLevel="0" collapsed="false">
      <c r="A95" s="12" t="n">
        <v>46259</v>
      </c>
      <c r="B95" s="13"/>
      <c r="C95" s="13"/>
      <c r="D95" s="14" t="str">
        <f aca="false">IF(C95="","",C95-B95)</f>
        <v/>
      </c>
      <c r="G95" s="13"/>
      <c r="H95" s="13"/>
    </row>
    <row r="96" customFormat="false" ht="15" hidden="false" customHeight="false" outlineLevel="0" collapsed="false">
      <c r="A96" s="12" t="n">
        <v>46260</v>
      </c>
      <c r="B96" s="13"/>
      <c r="C96" s="13"/>
      <c r="D96" s="14" t="str">
        <f aca="false">IF(C96="","",C96-B96)</f>
        <v/>
      </c>
      <c r="G96" s="13"/>
      <c r="H96" s="13"/>
    </row>
    <row r="97" customFormat="false" ht="15" hidden="false" customHeight="false" outlineLevel="0" collapsed="false">
      <c r="A97" s="12" t="n">
        <v>46261</v>
      </c>
      <c r="B97" s="13"/>
      <c r="C97" s="13"/>
      <c r="D97" s="14" t="str">
        <f aca="false">IF(C97="","",C97-B97)</f>
        <v/>
      </c>
      <c r="G97" s="13"/>
      <c r="H97" s="13"/>
    </row>
    <row r="98" customFormat="false" ht="15" hidden="false" customHeight="false" outlineLevel="0" collapsed="false">
      <c r="A98" s="12" t="n">
        <v>46262</v>
      </c>
      <c r="B98" s="13"/>
      <c r="C98" s="13"/>
      <c r="D98" s="14" t="str">
        <f aca="false">IF(C98="","",C98-B98)</f>
        <v/>
      </c>
      <c r="G98" s="13"/>
      <c r="H98" s="13"/>
    </row>
    <row r="99" customFormat="false" ht="15" hidden="false" customHeight="false" outlineLevel="0" collapsed="false">
      <c r="A99" s="12" t="n">
        <v>46265</v>
      </c>
      <c r="B99" s="13"/>
      <c r="C99" s="13"/>
      <c r="D99" s="14" t="str">
        <f aca="false">IF(C99="","",C99-B99)</f>
        <v/>
      </c>
      <c r="G99" s="13"/>
      <c r="H99" s="13"/>
    </row>
    <row r="100" customFormat="false" ht="15" hidden="false" customHeight="false" outlineLevel="0" collapsed="false">
      <c r="A100" s="12" t="n">
        <v>46266</v>
      </c>
      <c r="B100" s="13"/>
      <c r="C100" s="13"/>
      <c r="D100" s="14" t="str">
        <f aca="false">IF(C100="","",C100-B100)</f>
        <v/>
      </c>
      <c r="G100" s="13"/>
      <c r="H100" s="13"/>
    </row>
    <row r="101" customFormat="false" ht="15" hidden="false" customHeight="false" outlineLevel="0" collapsed="false">
      <c r="A101" s="12" t="n">
        <v>46267</v>
      </c>
      <c r="B101" s="13"/>
      <c r="C101" s="13"/>
      <c r="D101" s="14" t="str">
        <f aca="false">IF(C101="","",C101-B101)</f>
        <v/>
      </c>
      <c r="G101" s="13"/>
      <c r="H101" s="13"/>
    </row>
    <row r="102" customFormat="false" ht="15" hidden="false" customHeight="false" outlineLevel="0" collapsed="false">
      <c r="A102" s="12" t="n">
        <v>46268</v>
      </c>
      <c r="B102" s="13"/>
      <c r="C102" s="13"/>
      <c r="D102" s="14" t="str">
        <f aca="false">IF(C102="","",C102-B102)</f>
        <v/>
      </c>
      <c r="G102" s="13"/>
      <c r="H102" s="13"/>
    </row>
    <row r="103" customFormat="false" ht="15" hidden="false" customHeight="false" outlineLevel="0" collapsed="false">
      <c r="A103" s="12" t="n">
        <v>46269</v>
      </c>
      <c r="B103" s="13"/>
      <c r="C103" s="13"/>
      <c r="D103" s="14" t="str">
        <f aca="false">IF(C103="","",C103-B103)</f>
        <v/>
      </c>
      <c r="G103" s="13"/>
      <c r="H103" s="13"/>
    </row>
    <row r="104" customFormat="false" ht="15" hidden="false" customHeight="false" outlineLevel="0" collapsed="false">
      <c r="A104" s="12" t="n">
        <v>46272</v>
      </c>
      <c r="B104" s="13"/>
      <c r="C104" s="13"/>
      <c r="D104" s="14" t="str">
        <f aca="false">IF(C104="","",C104-B104)</f>
        <v/>
      </c>
      <c r="G104" s="13"/>
      <c r="H104" s="13"/>
    </row>
    <row r="105" customFormat="false" ht="15" hidden="false" customHeight="false" outlineLevel="0" collapsed="false">
      <c r="A105" s="12" t="n">
        <v>46273</v>
      </c>
      <c r="B105" s="13"/>
      <c r="C105" s="13"/>
      <c r="D105" s="14" t="str">
        <f aca="false">IF(C105="","",C105-B105)</f>
        <v/>
      </c>
      <c r="G105" s="13"/>
      <c r="H105" s="13"/>
    </row>
    <row r="106" customFormat="false" ht="15" hidden="false" customHeight="false" outlineLevel="0" collapsed="false">
      <c r="A106" s="12" t="n">
        <v>46274</v>
      </c>
      <c r="B106" s="13"/>
      <c r="C106" s="13"/>
      <c r="D106" s="14" t="str">
        <f aca="false">IF(C106="","",C106-B106)</f>
        <v/>
      </c>
      <c r="G106" s="13"/>
      <c r="H106" s="13"/>
    </row>
    <row r="107" customFormat="false" ht="15" hidden="false" customHeight="false" outlineLevel="0" collapsed="false">
      <c r="A107" s="12" t="n">
        <v>46275</v>
      </c>
      <c r="B107" s="13"/>
      <c r="C107" s="13"/>
      <c r="D107" s="14" t="str">
        <f aca="false">IF(C107="","",C107-B107)</f>
        <v/>
      </c>
      <c r="G107" s="13"/>
      <c r="H107" s="13"/>
    </row>
    <row r="108" customFormat="false" ht="15" hidden="false" customHeight="false" outlineLevel="0" collapsed="false">
      <c r="A108" s="12" t="n">
        <v>46276</v>
      </c>
      <c r="B108" s="13"/>
      <c r="C108" s="13"/>
      <c r="D108" s="14" t="str">
        <f aca="false">IF(C108="","",C108-B108)</f>
        <v/>
      </c>
      <c r="G108" s="13"/>
      <c r="H108" s="13"/>
    </row>
    <row r="109" customFormat="false" ht="15" hidden="false" customHeight="false" outlineLevel="0" collapsed="false">
      <c r="A109" s="12" t="n">
        <v>46279</v>
      </c>
      <c r="B109" s="13"/>
      <c r="C109" s="13"/>
      <c r="D109" s="14" t="str">
        <f aca="false">IF(C109="","",C109-B109)</f>
        <v/>
      </c>
      <c r="G109" s="13"/>
      <c r="H109" s="13"/>
    </row>
    <row r="110" customFormat="false" ht="15" hidden="false" customHeight="false" outlineLevel="0" collapsed="false">
      <c r="A110" s="12" t="n">
        <v>46280</v>
      </c>
      <c r="B110" s="13"/>
      <c r="C110" s="13"/>
      <c r="D110" s="14" t="str">
        <f aca="false">IF(C110="","",C110-B110)</f>
        <v/>
      </c>
      <c r="G110" s="13"/>
      <c r="H110" s="1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89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4" min="2" style="0" width="11"/>
    <col collapsed="false" customWidth="true" hidden="false" outlineLevel="0" max="5" min="5" style="0" width="12"/>
  </cols>
  <sheetData>
    <row r="1" customFormat="false" ht="15" hidden="false" customHeight="false" outlineLevel="0" collapsed="false">
      <c r="A1" s="4" t="s">
        <v>3</v>
      </c>
      <c r="B1" s="4" t="s">
        <v>13</v>
      </c>
      <c r="C1" s="4" t="s">
        <v>14</v>
      </c>
      <c r="D1" s="4" t="s">
        <v>15</v>
      </c>
      <c r="E1" s="4" t="s">
        <v>16</v>
      </c>
    </row>
    <row r="2" customFormat="false" ht="15" hidden="false" customHeight="false" outlineLevel="0" collapsed="false">
      <c r="A2" s="12" t="n">
        <v>42006</v>
      </c>
      <c r="B2" s="15" t="n">
        <v>52.69</v>
      </c>
      <c r="C2" s="15" t="n">
        <v>56.42</v>
      </c>
    </row>
    <row r="3" customFormat="false" ht="15" hidden="false" customHeight="false" outlineLevel="0" collapsed="false">
      <c r="A3" s="12" t="n">
        <v>42009</v>
      </c>
      <c r="B3" s="15" t="n">
        <v>50.04</v>
      </c>
      <c r="C3" s="15" t="n">
        <v>53.11</v>
      </c>
    </row>
    <row r="4" customFormat="false" ht="15" hidden="false" customHeight="false" outlineLevel="0" collapsed="false">
      <c r="A4" s="12" t="n">
        <v>42010</v>
      </c>
      <c r="B4" s="15" t="n">
        <v>47.93</v>
      </c>
      <c r="C4" s="15" t="n">
        <v>51.1</v>
      </c>
    </row>
    <row r="5" customFormat="false" ht="15" hidden="false" customHeight="false" outlineLevel="0" collapsed="false">
      <c r="A5" s="12" t="n">
        <v>42011</v>
      </c>
      <c r="B5" s="15" t="n">
        <v>48.65</v>
      </c>
      <c r="C5" s="15" t="n">
        <v>51.15</v>
      </c>
    </row>
    <row r="6" customFormat="false" ht="15" hidden="false" customHeight="false" outlineLevel="0" collapsed="false">
      <c r="A6" s="12" t="n">
        <v>42012</v>
      </c>
      <c r="B6" s="15" t="n">
        <v>48.79</v>
      </c>
      <c r="C6" s="15" t="n">
        <v>50.96</v>
      </c>
    </row>
    <row r="7" customFormat="false" ht="15" hidden="false" customHeight="false" outlineLevel="0" collapsed="false">
      <c r="A7" s="12" t="n">
        <v>42013</v>
      </c>
      <c r="B7" s="15" t="n">
        <v>48.36</v>
      </c>
      <c r="C7" s="15" t="n">
        <v>50.11</v>
      </c>
    </row>
    <row r="8" customFormat="false" ht="15" hidden="false" customHeight="false" outlineLevel="0" collapsed="false">
      <c r="A8" s="12" t="n">
        <v>42016</v>
      </c>
      <c r="B8" s="15" t="n">
        <v>46.07</v>
      </c>
      <c r="C8" s="15" t="n">
        <v>47.43</v>
      </c>
    </row>
    <row r="9" customFormat="false" ht="15" hidden="false" customHeight="false" outlineLevel="0" collapsed="false">
      <c r="A9" s="12" t="n">
        <v>42017</v>
      </c>
      <c r="B9" s="15" t="n">
        <v>45.89</v>
      </c>
      <c r="C9" s="15" t="n">
        <v>46.59</v>
      </c>
    </row>
    <row r="10" customFormat="false" ht="15" hidden="false" customHeight="false" outlineLevel="0" collapsed="false">
      <c r="A10" s="12" t="n">
        <v>42018</v>
      </c>
      <c r="B10" s="15" t="n">
        <v>48.48</v>
      </c>
      <c r="C10" s="15" t="n">
        <v>48.69</v>
      </c>
    </row>
    <row r="11" customFormat="false" ht="15" hidden="false" customHeight="false" outlineLevel="0" collapsed="false">
      <c r="A11" s="12" t="n">
        <v>42019</v>
      </c>
      <c r="B11" s="15" t="n">
        <v>46.25</v>
      </c>
      <c r="C11" s="15" t="n">
        <v>47.67</v>
      </c>
    </row>
    <row r="12" customFormat="false" ht="15" hidden="false" customHeight="false" outlineLevel="0" collapsed="false">
      <c r="A12" s="12" t="n">
        <v>42020</v>
      </c>
      <c r="B12" s="15" t="n">
        <v>48.69</v>
      </c>
      <c r="C12" s="15" t="n">
        <v>47.69</v>
      </c>
    </row>
    <row r="13" customFormat="false" ht="15" hidden="false" customHeight="false" outlineLevel="0" collapsed="false">
      <c r="A13" s="12" t="n">
        <v>42024</v>
      </c>
      <c r="B13" s="15" t="n">
        <v>46.39</v>
      </c>
      <c r="C13" s="15" t="n">
        <v>47.99</v>
      </c>
    </row>
    <row r="14" customFormat="false" ht="15" hidden="false" customHeight="false" outlineLevel="0" collapsed="false">
      <c r="A14" s="12" t="n">
        <v>42025</v>
      </c>
      <c r="B14" s="15" t="n">
        <v>47.78</v>
      </c>
      <c r="C14" s="15" t="n">
        <v>49.03</v>
      </c>
    </row>
    <row r="15" customFormat="false" ht="15" hidden="false" customHeight="false" outlineLevel="0" collapsed="false">
      <c r="A15" s="12" t="n">
        <v>42026</v>
      </c>
      <c r="B15" s="15" t="n">
        <v>46.31</v>
      </c>
      <c r="C15" s="15" t="n">
        <v>48.52</v>
      </c>
    </row>
    <row r="16" customFormat="false" ht="15" hidden="false" customHeight="false" outlineLevel="0" collapsed="false">
      <c r="A16" s="12" t="n">
        <v>42027</v>
      </c>
      <c r="B16" s="15" t="n">
        <v>45.59</v>
      </c>
      <c r="C16" s="15" t="n">
        <v>48.79</v>
      </c>
    </row>
    <row r="17" customFormat="false" ht="15" hidden="false" customHeight="false" outlineLevel="0" collapsed="false">
      <c r="A17" s="12" t="n">
        <v>42030</v>
      </c>
      <c r="B17" s="15" t="n">
        <v>45.15</v>
      </c>
      <c r="C17" s="15" t="n">
        <v>48.16</v>
      </c>
    </row>
    <row r="18" customFormat="false" ht="15" hidden="false" customHeight="false" outlineLevel="0" collapsed="false">
      <c r="A18" s="12" t="n">
        <v>42031</v>
      </c>
      <c r="B18" s="15" t="n">
        <v>46.23</v>
      </c>
      <c r="C18" s="15" t="n">
        <v>49.6</v>
      </c>
    </row>
    <row r="19" customFormat="false" ht="15" hidden="false" customHeight="false" outlineLevel="0" collapsed="false">
      <c r="A19" s="12" t="n">
        <v>42032</v>
      </c>
      <c r="B19" s="15" t="n">
        <v>44.45</v>
      </c>
      <c r="C19" s="15" t="n">
        <v>48.47</v>
      </c>
    </row>
    <row r="20" customFormat="false" ht="15" hidden="false" customHeight="false" outlineLevel="0" collapsed="false">
      <c r="A20" s="12" t="n">
        <v>42033</v>
      </c>
      <c r="B20" s="15" t="n">
        <v>44.53</v>
      </c>
      <c r="C20" s="15" t="n">
        <v>49.13</v>
      </c>
    </row>
    <row r="21" customFormat="false" ht="15" hidden="false" customHeight="false" outlineLevel="0" collapsed="false">
      <c r="A21" s="12" t="n">
        <v>42034</v>
      </c>
      <c r="B21" s="15" t="n">
        <v>48.24</v>
      </c>
      <c r="C21" s="15" t="n">
        <v>52.99</v>
      </c>
      <c r="D21" s="14" t="n">
        <f aca="false">AVERAGE(B2:B21)</f>
        <v>47.3255</v>
      </c>
      <c r="E21" s="14" t="n">
        <f aca="false">(B21-D21)/D21*100</f>
        <v>1.93236204583154</v>
      </c>
    </row>
    <row r="22" customFormat="false" ht="15" hidden="false" customHeight="false" outlineLevel="0" collapsed="false">
      <c r="A22" s="12" t="n">
        <v>42037</v>
      </c>
      <c r="B22" s="15" t="n">
        <v>49.57</v>
      </c>
      <c r="C22" s="15" t="n">
        <v>54.75</v>
      </c>
      <c r="D22" s="14" t="n">
        <f aca="false">AVERAGE(B3:B22)</f>
        <v>47.1695</v>
      </c>
      <c r="E22" s="14" t="n">
        <f aca="false">(B22-D22)/D22*100</f>
        <v>5.08909358801768</v>
      </c>
    </row>
    <row r="23" customFormat="false" ht="15" hidden="false" customHeight="false" outlineLevel="0" collapsed="false">
      <c r="A23" s="12" t="n">
        <v>42038</v>
      </c>
      <c r="B23" s="15" t="n">
        <v>53.05</v>
      </c>
      <c r="C23" s="15" t="n">
        <v>57.91</v>
      </c>
      <c r="D23" s="14" t="n">
        <f aca="false">AVERAGE(B4:B23)</f>
        <v>47.32</v>
      </c>
      <c r="E23" s="14" t="n">
        <f aca="false">(B23-D23)/D23*100</f>
        <v>12.1090448013525</v>
      </c>
    </row>
    <row r="24" customFormat="false" ht="15" hidden="false" customHeight="false" outlineLevel="0" collapsed="false">
      <c r="A24" s="12" t="n">
        <v>42039</v>
      </c>
      <c r="B24" s="15" t="n">
        <v>48.45</v>
      </c>
      <c r="C24" s="15" t="n">
        <v>54.16</v>
      </c>
      <c r="D24" s="14" t="n">
        <f aca="false">AVERAGE(B5:B24)</f>
        <v>47.346</v>
      </c>
      <c r="E24" s="14" t="n">
        <f aca="false">(B24-D24)/D24*100</f>
        <v>2.3317703713091</v>
      </c>
    </row>
    <row r="25" customFormat="false" ht="15" hidden="false" customHeight="false" outlineLevel="0" collapsed="false">
      <c r="A25" s="12" t="n">
        <v>42040</v>
      </c>
      <c r="B25" s="15" t="n">
        <v>50.48</v>
      </c>
      <c r="C25" s="15" t="n">
        <v>56.57</v>
      </c>
      <c r="D25" s="14" t="n">
        <f aca="false">AVERAGE(B6:B25)</f>
        <v>47.4375</v>
      </c>
      <c r="E25" s="14" t="n">
        <f aca="false">(B25-D25)/D25*100</f>
        <v>6.41370223978919</v>
      </c>
    </row>
    <row r="26" customFormat="false" ht="15" hidden="false" customHeight="false" outlineLevel="0" collapsed="false">
      <c r="A26" s="12" t="n">
        <v>42041</v>
      </c>
      <c r="B26" s="15" t="n">
        <v>51.69</v>
      </c>
      <c r="C26" s="15" t="n">
        <v>57.8</v>
      </c>
      <c r="D26" s="14" t="n">
        <f aca="false">AVERAGE(B7:B26)</f>
        <v>47.5825</v>
      </c>
      <c r="E26" s="14" t="n">
        <f aca="false">(B26-D26)/D26*100</f>
        <v>8.63237534807966</v>
      </c>
    </row>
    <row r="27" customFormat="false" ht="15" hidden="false" customHeight="false" outlineLevel="0" collapsed="false">
      <c r="A27" s="12" t="n">
        <v>42044</v>
      </c>
      <c r="B27" s="15" t="n">
        <v>52.86</v>
      </c>
      <c r="C27" s="15" t="n">
        <v>58.34</v>
      </c>
      <c r="D27" s="14" t="n">
        <f aca="false">AVERAGE(B8:B27)</f>
        <v>47.8075</v>
      </c>
      <c r="E27" s="14" t="n">
        <f aca="false">(B27-D27)/D27*100</f>
        <v>10.5684254562569</v>
      </c>
    </row>
    <row r="28" customFormat="false" ht="15" hidden="false" customHeight="false" outlineLevel="0" collapsed="false">
      <c r="A28" s="12" t="n">
        <v>42045</v>
      </c>
      <c r="B28" s="15" t="n">
        <v>50.02</v>
      </c>
      <c r="C28" s="15" t="n">
        <v>56.43</v>
      </c>
      <c r="D28" s="14" t="n">
        <f aca="false">AVERAGE(B9:B28)</f>
        <v>48.005</v>
      </c>
      <c r="E28" s="14" t="n">
        <f aca="false">(B28-D28)/D28*100</f>
        <v>4.19747942922612</v>
      </c>
    </row>
    <row r="29" customFormat="false" ht="15" hidden="false" customHeight="false" outlineLevel="0" collapsed="false">
      <c r="A29" s="12" t="n">
        <v>42046</v>
      </c>
      <c r="B29" s="15" t="n">
        <v>48.84</v>
      </c>
      <c r="C29" s="15" t="n">
        <v>54.66</v>
      </c>
      <c r="D29" s="14" t="n">
        <f aca="false">AVERAGE(B10:B29)</f>
        <v>48.1525</v>
      </c>
      <c r="E29" s="14" t="n">
        <f aca="false">(B29-D29)/D29*100</f>
        <v>1.42775556824673</v>
      </c>
    </row>
    <row r="30" customFormat="false" ht="15" hidden="false" customHeight="false" outlineLevel="0" collapsed="false">
      <c r="A30" s="12" t="n">
        <v>42047</v>
      </c>
      <c r="B30" s="15" t="n">
        <v>51.21</v>
      </c>
      <c r="C30" s="15" t="n">
        <v>57.05</v>
      </c>
      <c r="D30" s="14" t="n">
        <f aca="false">AVERAGE(B11:B30)</f>
        <v>48.289</v>
      </c>
      <c r="E30" s="14" t="n">
        <f aca="false">(B30-D30)/D30*100</f>
        <v>6.04899666590735</v>
      </c>
    </row>
    <row r="31" customFormat="false" ht="15" hidden="false" customHeight="false" outlineLevel="0" collapsed="false">
      <c r="A31" s="12" t="n">
        <v>42048</v>
      </c>
      <c r="B31" s="15" t="n">
        <v>52.78</v>
      </c>
      <c r="C31" s="15" t="n">
        <v>57.39</v>
      </c>
      <c r="D31" s="14" t="n">
        <f aca="false">AVERAGE(B12:B31)</f>
        <v>48.6155</v>
      </c>
      <c r="E31" s="14" t="n">
        <f aca="false">(B31-D31)/D31*100</f>
        <v>8.56619802326418</v>
      </c>
    </row>
    <row r="32" customFormat="false" ht="15" hidden="false" customHeight="false" outlineLevel="0" collapsed="false">
      <c r="A32" s="12" t="n">
        <v>42052</v>
      </c>
      <c r="B32" s="15" t="n">
        <v>53.53</v>
      </c>
      <c r="C32" s="15" t="n">
        <v>62.53</v>
      </c>
      <c r="D32" s="14" t="n">
        <f aca="false">AVERAGE(B13:B32)</f>
        <v>48.8575</v>
      </c>
      <c r="E32" s="14" t="n">
        <f aca="false">(B32-D32)/D32*100</f>
        <v>9.56352658240802</v>
      </c>
    </row>
    <row r="33" customFormat="false" ht="15" hidden="false" customHeight="false" outlineLevel="0" collapsed="false">
      <c r="A33" s="12" t="n">
        <v>42053</v>
      </c>
      <c r="B33" s="15" t="n">
        <v>52.14</v>
      </c>
      <c r="C33" s="15" t="n">
        <v>60.53</v>
      </c>
      <c r="D33" s="14" t="n">
        <f aca="false">AVERAGE(B14:B33)</f>
        <v>49.145</v>
      </c>
      <c r="E33" s="14" t="n">
        <f aca="false">(B33-D33)/D33*100</f>
        <v>6.09421100824093</v>
      </c>
    </row>
    <row r="34" customFormat="false" ht="15" hidden="false" customHeight="false" outlineLevel="0" collapsed="false">
      <c r="A34" s="12" t="n">
        <v>42054</v>
      </c>
      <c r="B34" s="15" t="n">
        <v>51.16</v>
      </c>
      <c r="C34" s="15" t="n">
        <v>60.21</v>
      </c>
      <c r="D34" s="14" t="n">
        <f aca="false">AVERAGE(B15:B34)</f>
        <v>49.314</v>
      </c>
      <c r="E34" s="14" t="n">
        <f aca="false">(B34-D34)/D34*100</f>
        <v>3.74335888388692</v>
      </c>
    </row>
    <row r="35" customFormat="false" ht="15" hidden="false" customHeight="false" outlineLevel="0" collapsed="false">
      <c r="A35" s="12" t="n">
        <v>42055</v>
      </c>
      <c r="B35" s="15" t="n">
        <v>50.34</v>
      </c>
      <c r="C35" s="15" t="n">
        <v>60.22</v>
      </c>
      <c r="D35" s="14" t="n">
        <f aca="false">AVERAGE(B16:B35)</f>
        <v>49.5155</v>
      </c>
      <c r="E35" s="14" t="n">
        <f aca="false">(B35-D35)/D35*100</f>
        <v>1.66513515969747</v>
      </c>
    </row>
    <row r="36" customFormat="false" ht="15" hidden="false" customHeight="false" outlineLevel="0" collapsed="false">
      <c r="A36" s="12" t="n">
        <v>42058</v>
      </c>
      <c r="B36" s="15" t="n">
        <v>49.45</v>
      </c>
      <c r="C36" s="15" t="n">
        <v>58.9</v>
      </c>
      <c r="D36" s="14" t="n">
        <f aca="false">AVERAGE(B17:B36)</f>
        <v>49.7085</v>
      </c>
      <c r="E36" s="14" t="n">
        <f aca="false">(B36-D36)/D36*100</f>
        <v>-0.520031785308344</v>
      </c>
    </row>
    <row r="37" customFormat="false" ht="15" hidden="false" customHeight="false" outlineLevel="0" collapsed="false">
      <c r="A37" s="12" t="n">
        <v>42059</v>
      </c>
      <c r="B37" s="15" t="n">
        <v>49.28</v>
      </c>
      <c r="C37" s="15" t="n">
        <v>58.66</v>
      </c>
      <c r="D37" s="14" t="n">
        <f aca="false">AVERAGE(B18:B37)</f>
        <v>49.915</v>
      </c>
      <c r="E37" s="14" t="n">
        <f aca="false">(B37-D37)/D37*100</f>
        <v>-1.27216267655013</v>
      </c>
    </row>
    <row r="38" customFormat="false" ht="15" hidden="false" customHeight="false" outlineLevel="0" collapsed="false">
      <c r="A38" s="12" t="n">
        <v>42060</v>
      </c>
      <c r="B38" s="15" t="n">
        <v>50.99</v>
      </c>
      <c r="C38" s="15" t="n">
        <v>61.63</v>
      </c>
      <c r="D38" s="14" t="n">
        <f aca="false">AVERAGE(B19:B38)</f>
        <v>50.153</v>
      </c>
      <c r="E38" s="14" t="n">
        <f aca="false">(B38-D38)/D38*100</f>
        <v>1.66889318684824</v>
      </c>
    </row>
    <row r="39" customFormat="false" ht="15" hidden="false" customHeight="false" outlineLevel="0" collapsed="false">
      <c r="A39" s="12" t="n">
        <v>42061</v>
      </c>
      <c r="B39" s="15" t="n">
        <v>48.17</v>
      </c>
      <c r="C39" s="15" t="n">
        <v>60.05</v>
      </c>
      <c r="D39" s="14" t="n">
        <f aca="false">AVERAGE(B20:B39)</f>
        <v>50.339</v>
      </c>
      <c r="E39" s="14" t="n">
        <f aca="false">(B39-D39)/D39*100</f>
        <v>-4.30878642801803</v>
      </c>
    </row>
    <row r="40" customFormat="false" ht="15" hidden="false" customHeight="false" outlineLevel="0" collapsed="false">
      <c r="A40" s="12" t="n">
        <v>42062</v>
      </c>
      <c r="B40" s="15" t="n">
        <v>49.76</v>
      </c>
      <c r="C40" s="15" t="n">
        <v>62.58</v>
      </c>
      <c r="D40" s="14" t="n">
        <f aca="false">AVERAGE(B21:B40)</f>
        <v>50.6005</v>
      </c>
      <c r="E40" s="14" t="n">
        <f aca="false">(B40-D40)/D40*100</f>
        <v>-1.66105078013063</v>
      </c>
    </row>
    <row r="41" customFormat="false" ht="15" hidden="false" customHeight="false" outlineLevel="0" collapsed="false">
      <c r="A41" s="12" t="n">
        <v>42065</v>
      </c>
      <c r="B41" s="15" t="n">
        <v>49.59</v>
      </c>
      <c r="C41" s="15" t="n">
        <v>59.54</v>
      </c>
      <c r="D41" s="14" t="n">
        <f aca="false">AVERAGE(B22:B41)</f>
        <v>50.668</v>
      </c>
      <c r="E41" s="14" t="n">
        <f aca="false">(B41-D41)/D41*100</f>
        <v>-2.12757559011604</v>
      </c>
    </row>
    <row r="42" customFormat="false" ht="15" hidden="false" customHeight="false" outlineLevel="0" collapsed="false">
      <c r="A42" s="12" t="n">
        <v>42066</v>
      </c>
      <c r="B42" s="15" t="n">
        <v>50.52</v>
      </c>
      <c r="C42" s="15" t="n">
        <v>61.02</v>
      </c>
      <c r="D42" s="14" t="n">
        <f aca="false">AVERAGE(B23:B42)</f>
        <v>50.7155</v>
      </c>
      <c r="E42" s="14" t="n">
        <f aca="false">(B42-D42)/D42*100</f>
        <v>-0.385483727854409</v>
      </c>
    </row>
    <row r="43" customFormat="false" ht="15" hidden="false" customHeight="false" outlineLevel="0" collapsed="false">
      <c r="A43" s="12" t="n">
        <v>42067</v>
      </c>
      <c r="B43" s="15" t="n">
        <v>51.53</v>
      </c>
      <c r="C43" s="15" t="n">
        <v>60.55</v>
      </c>
      <c r="D43" s="14" t="n">
        <f aca="false">AVERAGE(B24:B43)</f>
        <v>50.6395</v>
      </c>
      <c r="E43" s="14" t="n">
        <f aca="false">(B43-D43)/D43*100</f>
        <v>1.75850867405879</v>
      </c>
    </row>
    <row r="44" customFormat="false" ht="15" hidden="false" customHeight="false" outlineLevel="0" collapsed="false">
      <c r="A44" s="12" t="n">
        <v>42068</v>
      </c>
      <c r="B44" s="15" t="n">
        <v>50.76</v>
      </c>
      <c r="C44" s="15" t="n">
        <v>60.48</v>
      </c>
      <c r="D44" s="14" t="n">
        <f aca="false">AVERAGE(B25:B44)</f>
        <v>50.755</v>
      </c>
      <c r="E44" s="14" t="n">
        <f aca="false">(B44-D44)/D44*100</f>
        <v>0.00985124618263314</v>
      </c>
    </row>
    <row r="45" customFormat="false" ht="15" hidden="false" customHeight="false" outlineLevel="0" collapsed="false">
      <c r="A45" s="12" t="n">
        <v>42069</v>
      </c>
      <c r="B45" s="15" t="n">
        <v>49.61</v>
      </c>
      <c r="C45" s="15" t="n">
        <v>59.73</v>
      </c>
      <c r="D45" s="14" t="n">
        <f aca="false">AVERAGE(B26:B45)</f>
        <v>50.7115</v>
      </c>
      <c r="E45" s="14" t="n">
        <f aca="false">(B45-D45)/D45*100</f>
        <v>-2.17209114303462</v>
      </c>
    </row>
    <row r="46" customFormat="false" ht="15" hidden="false" customHeight="false" outlineLevel="0" collapsed="false">
      <c r="A46" s="12" t="n">
        <v>42072</v>
      </c>
      <c r="B46" s="15" t="n">
        <v>50</v>
      </c>
      <c r="C46" s="15" t="n">
        <v>58.53</v>
      </c>
      <c r="D46" s="14" t="n">
        <f aca="false">AVERAGE(B27:B46)</f>
        <v>50.627</v>
      </c>
      <c r="E46" s="14" t="n">
        <f aca="false">(B46-D46)/D46*100</f>
        <v>-1.23846959132478</v>
      </c>
    </row>
    <row r="47" customFormat="false" ht="15" hidden="false" customHeight="false" outlineLevel="0" collapsed="false">
      <c r="A47" s="12" t="n">
        <v>42073</v>
      </c>
      <c r="B47" s="15" t="n">
        <v>48.29</v>
      </c>
      <c r="C47" s="15" t="n">
        <v>56.39</v>
      </c>
      <c r="D47" s="14" t="n">
        <f aca="false">AVERAGE(B28:B47)</f>
        <v>50.3985</v>
      </c>
      <c r="E47" s="14" t="n">
        <f aca="false">(B47-D47)/D47*100</f>
        <v>-4.1836562596109</v>
      </c>
    </row>
    <row r="48" customFormat="false" ht="15" hidden="false" customHeight="false" outlineLevel="0" collapsed="false">
      <c r="A48" s="12" t="n">
        <v>42074</v>
      </c>
      <c r="B48" s="15" t="n">
        <v>48.17</v>
      </c>
      <c r="C48" s="15" t="n">
        <v>57.54</v>
      </c>
      <c r="D48" s="14" t="n">
        <f aca="false">AVERAGE(B29:B48)</f>
        <v>50.306</v>
      </c>
      <c r="E48" s="14" t="n">
        <f aca="false">(B48-D48)/D48*100</f>
        <v>-4.24601439192143</v>
      </c>
    </row>
    <row r="49" customFormat="false" ht="15" hidden="false" customHeight="false" outlineLevel="0" collapsed="false">
      <c r="A49" s="12" t="n">
        <v>42075</v>
      </c>
      <c r="B49" s="15" t="n">
        <v>47.05</v>
      </c>
      <c r="C49" s="15" t="n">
        <v>57.08</v>
      </c>
      <c r="D49" s="14" t="n">
        <f aca="false">AVERAGE(B30:B49)</f>
        <v>50.2165</v>
      </c>
      <c r="E49" s="14" t="n">
        <f aca="false">(B49-D49)/D49*100</f>
        <v>-6.30569633487002</v>
      </c>
    </row>
    <row r="50" customFormat="false" ht="15" hidden="false" customHeight="false" outlineLevel="0" collapsed="false">
      <c r="A50" s="12" t="n">
        <v>42076</v>
      </c>
      <c r="B50" s="15" t="n">
        <v>44.84</v>
      </c>
      <c r="C50" s="15" t="n">
        <v>54.67</v>
      </c>
      <c r="D50" s="14" t="n">
        <f aca="false">AVERAGE(B31:B50)</f>
        <v>49.898</v>
      </c>
      <c r="E50" s="14" t="n">
        <f aca="false">(B50-D50)/D50*100</f>
        <v>-10.1366788248026</v>
      </c>
    </row>
    <row r="51" customFormat="false" ht="15" hidden="false" customHeight="false" outlineLevel="0" collapsed="false">
      <c r="A51" s="12" t="n">
        <v>42079</v>
      </c>
      <c r="B51" s="15" t="n">
        <v>43.88</v>
      </c>
      <c r="C51" s="15" t="n">
        <v>53.44</v>
      </c>
      <c r="D51" s="14" t="n">
        <f aca="false">AVERAGE(B32:B51)</f>
        <v>49.453</v>
      </c>
      <c r="E51" s="14" t="n">
        <f aca="false">(B51-D51)/D51*100</f>
        <v>-11.2692859887166</v>
      </c>
    </row>
    <row r="52" customFormat="false" ht="15" hidden="false" customHeight="false" outlineLevel="0" collapsed="false">
      <c r="A52" s="12" t="n">
        <v>42080</v>
      </c>
      <c r="B52" s="15" t="n">
        <v>43.46</v>
      </c>
      <c r="C52" s="15" t="n">
        <v>53.43</v>
      </c>
      <c r="D52" s="14" t="n">
        <f aca="false">AVERAGE(B33:B52)</f>
        <v>48.9495</v>
      </c>
      <c r="E52" s="14" t="n">
        <f aca="false">(B52-D52)/D52*100</f>
        <v>-11.2146191483059</v>
      </c>
    </row>
    <row r="53" customFormat="false" ht="15" hidden="false" customHeight="false" outlineLevel="0" collapsed="false">
      <c r="A53" s="12" t="n">
        <v>42081</v>
      </c>
      <c r="B53" s="15" t="n">
        <v>44.66</v>
      </c>
      <c r="C53" s="15" t="n">
        <v>55.91</v>
      </c>
      <c r="D53" s="14" t="n">
        <f aca="false">AVERAGE(B34:B53)</f>
        <v>48.5755</v>
      </c>
      <c r="E53" s="14" t="n">
        <f aca="false">(B53-D53)/D53*100</f>
        <v>-8.06064785745901</v>
      </c>
    </row>
    <row r="54" customFormat="false" ht="15" hidden="false" customHeight="false" outlineLevel="0" collapsed="false">
      <c r="A54" s="12" t="n">
        <v>42082</v>
      </c>
      <c r="B54" s="15" t="n">
        <v>43.96</v>
      </c>
      <c r="C54" s="15" t="n">
        <v>54.43</v>
      </c>
      <c r="D54" s="14" t="n">
        <f aca="false">AVERAGE(B35:B54)</f>
        <v>48.2155</v>
      </c>
      <c r="E54" s="14" t="n">
        <f aca="false">(B54-D54)/D54*100</f>
        <v>-8.82599993777935</v>
      </c>
    </row>
    <row r="55" customFormat="false" ht="15" hidden="false" customHeight="false" outlineLevel="0" collapsed="false">
      <c r="A55" s="12" t="n">
        <v>42083</v>
      </c>
      <c r="B55" s="15" t="n">
        <v>45.72</v>
      </c>
      <c r="C55" s="15" t="n">
        <v>55.32</v>
      </c>
      <c r="D55" s="14" t="n">
        <f aca="false">AVERAGE(B36:B55)</f>
        <v>47.9845</v>
      </c>
      <c r="E55" s="14" t="n">
        <f aca="false">(B55-D55)/D55*100</f>
        <v>-4.71923225208141</v>
      </c>
    </row>
    <row r="56" customFormat="false" ht="15" hidden="false" customHeight="false" outlineLevel="0" collapsed="false">
      <c r="A56" s="12" t="n">
        <v>42086</v>
      </c>
      <c r="B56" s="15" t="n">
        <v>47.45</v>
      </c>
      <c r="C56" s="15" t="n">
        <v>55.92</v>
      </c>
      <c r="D56" s="14" t="n">
        <f aca="false">AVERAGE(B37:B56)</f>
        <v>47.8845</v>
      </c>
      <c r="E56" s="14" t="n">
        <f aca="false">(B56-D56)/D56*100</f>
        <v>-0.907391744719063</v>
      </c>
    </row>
    <row r="57" customFormat="false" ht="15" hidden="false" customHeight="false" outlineLevel="0" collapsed="false">
      <c r="A57" s="12" t="n">
        <v>42087</v>
      </c>
      <c r="B57" s="15" t="n">
        <v>47.51</v>
      </c>
      <c r="C57" s="15" t="n">
        <v>55.11</v>
      </c>
      <c r="D57" s="14" t="n">
        <f aca="false">AVERAGE(B38:B57)</f>
        <v>47.796</v>
      </c>
      <c r="E57" s="14" t="n">
        <f aca="false">(B57-D57)/D57*100</f>
        <v>-0.598376433174327</v>
      </c>
    </row>
    <row r="58" customFormat="false" ht="15" hidden="false" customHeight="false" outlineLevel="0" collapsed="false">
      <c r="A58" s="12" t="n">
        <v>42088</v>
      </c>
      <c r="B58" s="15" t="n">
        <v>49.21</v>
      </c>
      <c r="C58" s="15" t="n">
        <v>56.48</v>
      </c>
      <c r="D58" s="14" t="n">
        <f aca="false">AVERAGE(B39:B58)</f>
        <v>47.707</v>
      </c>
      <c r="E58" s="14" t="n">
        <f aca="false">(B58-D58)/D58*100</f>
        <v>3.15048106147945</v>
      </c>
    </row>
    <row r="59" customFormat="false" ht="15" hidden="false" customHeight="false" outlineLevel="0" collapsed="false">
      <c r="A59" s="12" t="n">
        <v>42089</v>
      </c>
      <c r="B59" s="15" t="n">
        <v>51.43</v>
      </c>
      <c r="C59" s="15" t="n">
        <v>59.19</v>
      </c>
      <c r="D59" s="14" t="n">
        <f aca="false">AVERAGE(B40:B59)</f>
        <v>47.87</v>
      </c>
      <c r="E59" s="14" t="n">
        <f aca="false">(B59-D59)/D59*100</f>
        <v>7.43680802172551</v>
      </c>
    </row>
    <row r="60" customFormat="false" ht="15" hidden="false" customHeight="false" outlineLevel="0" collapsed="false">
      <c r="A60" s="12" t="n">
        <v>42090</v>
      </c>
      <c r="B60" s="15" t="n">
        <v>48.87</v>
      </c>
      <c r="C60" s="15" t="n">
        <v>56.41</v>
      </c>
      <c r="D60" s="14" t="n">
        <f aca="false">AVERAGE(B41:B60)</f>
        <v>47.8255</v>
      </c>
      <c r="E60" s="14" t="n">
        <f aca="false">(B60-D60)/D60*100</f>
        <v>2.18398134886201</v>
      </c>
    </row>
    <row r="61" customFormat="false" ht="15" hidden="false" customHeight="false" outlineLevel="0" collapsed="false">
      <c r="A61" s="12" t="n">
        <v>42093</v>
      </c>
      <c r="B61" s="15" t="n">
        <v>48.68</v>
      </c>
      <c r="C61" s="15" t="n">
        <v>56.29</v>
      </c>
      <c r="D61" s="14" t="n">
        <f aca="false">AVERAGE(B42:B61)</f>
        <v>47.78</v>
      </c>
      <c r="E61" s="14" t="n">
        <f aca="false">(B61-D61)/D61*100</f>
        <v>1.88363331938049</v>
      </c>
    </row>
    <row r="62" customFormat="false" ht="15" hidden="false" customHeight="false" outlineLevel="0" collapsed="false">
      <c r="A62" s="12" t="n">
        <v>42094</v>
      </c>
      <c r="B62" s="15" t="n">
        <v>47.6</v>
      </c>
      <c r="C62" s="15" t="n">
        <v>55.11</v>
      </c>
      <c r="D62" s="14" t="n">
        <f aca="false">AVERAGE(B43:B62)</f>
        <v>47.634</v>
      </c>
      <c r="E62" s="14" t="n">
        <f aca="false">(B62-D62)/D62*100</f>
        <v>-0.0713775874375423</v>
      </c>
    </row>
    <row r="63" customFormat="false" ht="15" hidden="false" customHeight="false" outlineLevel="0" collapsed="false">
      <c r="A63" s="12" t="n">
        <v>42095</v>
      </c>
      <c r="B63" s="15" t="n">
        <v>50.09</v>
      </c>
      <c r="C63" s="15" t="n">
        <v>57.1</v>
      </c>
      <c r="D63" s="14" t="n">
        <f aca="false">AVERAGE(B44:B63)</f>
        <v>47.562</v>
      </c>
      <c r="E63" s="14" t="n">
        <f aca="false">(B63-D63)/D63*100</f>
        <v>5.31516757074977</v>
      </c>
    </row>
    <row r="64" customFormat="false" ht="15" hidden="false" customHeight="false" outlineLevel="0" collapsed="false">
      <c r="A64" s="12" t="n">
        <v>42096</v>
      </c>
      <c r="B64" s="15" t="n">
        <v>49.14</v>
      </c>
      <c r="C64" s="15" t="n">
        <v>54.95</v>
      </c>
      <c r="D64" s="14" t="n">
        <f aca="false">AVERAGE(B45:B64)</f>
        <v>47.481</v>
      </c>
      <c r="E64" s="14" t="n">
        <f aca="false">(B64-D64)/D64*100</f>
        <v>3.49402919062362</v>
      </c>
    </row>
    <row r="65" customFormat="false" ht="15" hidden="false" customHeight="false" outlineLevel="0" collapsed="false">
      <c r="A65" s="12" t="n">
        <v>42100</v>
      </c>
      <c r="B65" s="15" t="n">
        <v>52.14</v>
      </c>
      <c r="C65" s="15" t="n">
        <v>58.12</v>
      </c>
      <c r="D65" s="14" t="n">
        <f aca="false">AVERAGE(B46:B65)</f>
        <v>47.6075</v>
      </c>
      <c r="E65" s="14" t="n">
        <f aca="false">(B65-D65)/D65*100</f>
        <v>9.52055873549336</v>
      </c>
    </row>
    <row r="66" customFormat="false" ht="15" hidden="false" customHeight="false" outlineLevel="0" collapsed="false">
      <c r="A66" s="12" t="n">
        <v>42101</v>
      </c>
      <c r="B66" s="15" t="n">
        <v>53.98</v>
      </c>
      <c r="C66" s="15" t="n">
        <v>59.1</v>
      </c>
      <c r="D66" s="14" t="n">
        <f aca="false">AVERAGE(B47:B66)</f>
        <v>47.8065</v>
      </c>
      <c r="E66" s="14" t="n">
        <f aca="false">(B66-D66)/D66*100</f>
        <v>12.9135159444845</v>
      </c>
    </row>
    <row r="67" customFormat="false" ht="15" hidden="false" customHeight="false" outlineLevel="0" collapsed="false">
      <c r="A67" s="12" t="n">
        <v>42102</v>
      </c>
      <c r="B67" s="15" t="n">
        <v>50.42</v>
      </c>
      <c r="C67" s="15" t="n">
        <v>55.55</v>
      </c>
      <c r="D67" s="14" t="n">
        <f aca="false">AVERAGE(B48:B67)</f>
        <v>47.913</v>
      </c>
      <c r="E67" s="14" t="n">
        <f aca="false">(B67-D67)/D67*100</f>
        <v>5.23240039237786</v>
      </c>
    </row>
    <row r="68" customFormat="false" ht="15" hidden="false" customHeight="false" outlineLevel="0" collapsed="false">
      <c r="A68" s="12" t="n">
        <v>42103</v>
      </c>
      <c r="B68" s="15" t="n">
        <v>50.79</v>
      </c>
      <c r="C68" s="15" t="n">
        <v>56.57</v>
      </c>
      <c r="D68" s="14" t="n">
        <f aca="false">AVERAGE(B49:B68)</f>
        <v>48.044</v>
      </c>
      <c r="E68" s="14" t="n">
        <f aca="false">(B68-D68)/D68*100</f>
        <v>5.71559403879777</v>
      </c>
    </row>
    <row r="69" customFormat="false" ht="15" hidden="false" customHeight="false" outlineLevel="0" collapsed="false">
      <c r="A69" s="12" t="n">
        <v>42104</v>
      </c>
      <c r="B69" s="15" t="n">
        <v>51.64</v>
      </c>
      <c r="C69" s="15" t="n">
        <v>57.87</v>
      </c>
      <c r="D69" s="14" t="n">
        <f aca="false">AVERAGE(B50:B69)</f>
        <v>48.2735</v>
      </c>
      <c r="E69" s="14" t="n">
        <f aca="false">(B69-D69)/D69*100</f>
        <v>6.97380550405502</v>
      </c>
    </row>
    <row r="70" customFormat="false" ht="15" hidden="false" customHeight="false" outlineLevel="0" collapsed="false">
      <c r="A70" s="12" t="n">
        <v>42107</v>
      </c>
      <c r="B70" s="15" t="n">
        <v>51.91</v>
      </c>
      <c r="C70" s="15" t="n">
        <v>57.93</v>
      </c>
      <c r="D70" s="14" t="n">
        <f aca="false">AVERAGE(B51:B70)</f>
        <v>48.627</v>
      </c>
      <c r="E70" s="14" t="n">
        <f aca="false">(B70-D70)/D70*100</f>
        <v>6.7513932588891</v>
      </c>
    </row>
    <row r="71" customFormat="false" ht="15" hidden="false" customHeight="false" outlineLevel="0" collapsed="false">
      <c r="A71" s="12" t="n">
        <v>42108</v>
      </c>
      <c r="B71" s="15" t="n">
        <v>53.29</v>
      </c>
      <c r="C71" s="15" t="n">
        <v>58.43</v>
      </c>
      <c r="D71" s="14" t="n">
        <f aca="false">AVERAGE(B52:B71)</f>
        <v>49.0975</v>
      </c>
      <c r="E71" s="14" t="n">
        <f aca="false">(B71-D71)/D71*100</f>
        <v>8.53913132033198</v>
      </c>
    </row>
    <row r="72" customFormat="false" ht="15" hidden="false" customHeight="false" outlineLevel="0" collapsed="false">
      <c r="A72" s="12" t="n">
        <v>42109</v>
      </c>
      <c r="B72" s="15" t="n">
        <v>56.39</v>
      </c>
      <c r="C72" s="15" t="n">
        <v>60.32</v>
      </c>
      <c r="D72" s="14" t="n">
        <f aca="false">AVERAGE(B53:B72)</f>
        <v>49.744</v>
      </c>
      <c r="E72" s="14" t="n">
        <f aca="false">(B72-D72)/D72*100</f>
        <v>13.360405275008</v>
      </c>
    </row>
    <row r="73" customFormat="false" ht="15" hidden="false" customHeight="false" outlineLevel="0" collapsed="false">
      <c r="A73" s="12" t="n">
        <v>42110</v>
      </c>
      <c r="B73" s="15" t="n">
        <v>56.71</v>
      </c>
      <c r="C73" s="15" t="n">
        <v>60.4</v>
      </c>
      <c r="D73" s="14" t="n">
        <f aca="false">AVERAGE(B54:B73)</f>
        <v>50.3465</v>
      </c>
      <c r="E73" s="14" t="n">
        <f aca="false">(B73-D73)/D73*100</f>
        <v>12.6394088963483</v>
      </c>
    </row>
    <row r="74" customFormat="false" ht="15" hidden="false" customHeight="false" outlineLevel="0" collapsed="false">
      <c r="A74" s="12" t="n">
        <v>42111</v>
      </c>
      <c r="B74" s="15" t="n">
        <v>55.74</v>
      </c>
      <c r="C74" s="15" t="n">
        <v>63.45</v>
      </c>
      <c r="D74" s="14" t="n">
        <f aca="false">AVERAGE(B55:B74)</f>
        <v>50.9355</v>
      </c>
      <c r="E74" s="14" t="n">
        <f aca="false">(B74-D74)/D74*100</f>
        <v>9.4325175957829</v>
      </c>
    </row>
    <row r="75" customFormat="false" ht="15" hidden="false" customHeight="false" outlineLevel="0" collapsed="false">
      <c r="A75" s="12" t="n">
        <v>42114</v>
      </c>
      <c r="B75" s="15" t="n">
        <v>56.38</v>
      </c>
      <c r="C75" s="15" t="n">
        <v>63.45</v>
      </c>
      <c r="D75" s="14" t="n">
        <f aca="false">AVERAGE(B56:B75)</f>
        <v>51.4685</v>
      </c>
      <c r="E75" s="14" t="n">
        <f aca="false">(B75-D75)/D75*100</f>
        <v>9.54273001933224</v>
      </c>
    </row>
    <row r="76" customFormat="false" ht="15" hidden="false" customHeight="false" outlineLevel="0" collapsed="false">
      <c r="A76" s="12" t="n">
        <v>42115</v>
      </c>
      <c r="B76" s="15" t="n">
        <v>55.26</v>
      </c>
      <c r="C76" s="15" t="n">
        <v>62.08</v>
      </c>
      <c r="D76" s="14" t="n">
        <f aca="false">AVERAGE(B57:B76)</f>
        <v>51.859</v>
      </c>
      <c r="E76" s="14" t="n">
        <f aca="false">(B76-D76)/D76*100</f>
        <v>6.55816733835978</v>
      </c>
    </row>
    <row r="77" customFormat="false" ht="15" hidden="false" customHeight="false" outlineLevel="0" collapsed="false">
      <c r="A77" s="12" t="n">
        <v>42116</v>
      </c>
      <c r="B77" s="15" t="n">
        <v>56.16</v>
      </c>
      <c r="C77" s="15" t="n">
        <v>62.73</v>
      </c>
      <c r="D77" s="14" t="n">
        <f aca="false">AVERAGE(B58:B77)</f>
        <v>52.2915</v>
      </c>
      <c r="E77" s="14" t="n">
        <f aca="false">(B77-D77)/D77*100</f>
        <v>7.39795186598204</v>
      </c>
    </row>
    <row r="78" customFormat="false" ht="15" hidden="false" customHeight="false" outlineLevel="0" collapsed="false">
      <c r="A78" s="12" t="n">
        <v>42117</v>
      </c>
      <c r="B78" s="15" t="n">
        <v>57.74</v>
      </c>
      <c r="C78" s="15" t="n">
        <v>64.85</v>
      </c>
      <c r="D78" s="14" t="n">
        <f aca="false">AVERAGE(B59:B78)</f>
        <v>52.718</v>
      </c>
      <c r="E78" s="14" t="n">
        <f aca="false">(B78-D78)/D78*100</f>
        <v>9.5261580484844</v>
      </c>
    </row>
    <row r="79" customFormat="false" ht="15" hidden="false" customHeight="false" outlineLevel="0" collapsed="false">
      <c r="A79" s="12" t="n">
        <v>42118</v>
      </c>
      <c r="B79" s="15" t="n">
        <v>57.15</v>
      </c>
      <c r="C79" s="15" t="n">
        <v>65.28</v>
      </c>
      <c r="D79" s="14" t="n">
        <f aca="false">AVERAGE(B60:B79)</f>
        <v>53.004</v>
      </c>
      <c r="E79" s="14" t="n">
        <f aca="false">(B79-D79)/D79*100</f>
        <v>7.82205116594974</v>
      </c>
    </row>
    <row r="80" customFormat="false" ht="15" hidden="false" customHeight="false" outlineLevel="0" collapsed="false">
      <c r="A80" s="12" t="n">
        <v>42121</v>
      </c>
      <c r="B80" s="15" t="n">
        <v>56.99</v>
      </c>
      <c r="C80" s="15" t="n">
        <v>64.83</v>
      </c>
      <c r="D80" s="14" t="n">
        <f aca="false">AVERAGE(B61:B80)</f>
        <v>53.41</v>
      </c>
      <c r="E80" s="14" t="n">
        <f aca="false">(B80-D80)/D80*100</f>
        <v>6.70286463209137</v>
      </c>
    </row>
    <row r="81" customFormat="false" ht="15" hidden="false" customHeight="false" outlineLevel="0" collapsed="false">
      <c r="A81" s="12" t="n">
        <v>42122</v>
      </c>
      <c r="B81" s="15" t="n">
        <v>57.06</v>
      </c>
      <c r="C81" s="15" t="n">
        <v>64.64</v>
      </c>
      <c r="D81" s="14" t="n">
        <f aca="false">AVERAGE(B62:B81)</f>
        <v>53.829</v>
      </c>
      <c r="E81" s="14" t="n">
        <f aca="false">(B81-D81)/D81*100</f>
        <v>6.00234074569472</v>
      </c>
    </row>
    <row r="82" customFormat="false" ht="15" hidden="false" customHeight="false" outlineLevel="0" collapsed="false">
      <c r="A82" s="12" t="n">
        <v>42123</v>
      </c>
      <c r="B82" s="15" t="n">
        <v>58.58</v>
      </c>
      <c r="C82" s="15" t="n">
        <v>65.84</v>
      </c>
      <c r="D82" s="14" t="n">
        <f aca="false">AVERAGE(B63:B82)</f>
        <v>54.378</v>
      </c>
      <c r="E82" s="14" t="n">
        <f aca="false">(B82-D82)/D82*100</f>
        <v>7.72738975320902</v>
      </c>
    </row>
    <row r="83" customFormat="false" ht="15" hidden="false" customHeight="false" outlineLevel="0" collapsed="false">
      <c r="A83" s="12" t="n">
        <v>42124</v>
      </c>
      <c r="B83" s="15" t="n">
        <v>59.63</v>
      </c>
      <c r="C83" s="15" t="n">
        <v>66.78</v>
      </c>
      <c r="D83" s="14" t="n">
        <f aca="false">AVERAGE(B64:B83)</f>
        <v>54.855</v>
      </c>
      <c r="E83" s="14" t="n">
        <f aca="false">(B83-D83)/D83*100</f>
        <v>8.70476711329871</v>
      </c>
    </row>
    <row r="84" customFormat="false" ht="15" hidden="false" customHeight="false" outlineLevel="0" collapsed="false">
      <c r="A84" s="12" t="n">
        <v>42125</v>
      </c>
      <c r="B84" s="15" t="n">
        <v>59.15</v>
      </c>
      <c r="C84" s="15" t="n">
        <v>66.46</v>
      </c>
      <c r="D84" s="14" t="n">
        <f aca="false">AVERAGE(B65:B84)</f>
        <v>55.3555</v>
      </c>
      <c r="E84" s="14" t="n">
        <f aca="false">(B84-D84)/D84*100</f>
        <v>6.85478407746296</v>
      </c>
    </row>
    <row r="85" customFormat="false" ht="15" hidden="false" customHeight="false" outlineLevel="0" collapsed="false">
      <c r="A85" s="12" t="n">
        <v>42128</v>
      </c>
      <c r="B85" s="15" t="n">
        <v>58.93</v>
      </c>
      <c r="C85" s="15" t="n">
        <v>66.45</v>
      </c>
      <c r="D85" s="14" t="n">
        <f aca="false">AVERAGE(B66:B85)</f>
        <v>55.695</v>
      </c>
      <c r="E85" s="14" t="n">
        <f aca="false">(B85-D85)/D85*100</f>
        <v>5.80842086363227</v>
      </c>
    </row>
    <row r="86" customFormat="false" ht="15" hidden="false" customHeight="false" outlineLevel="0" collapsed="false">
      <c r="A86" s="12" t="n">
        <v>42129</v>
      </c>
      <c r="B86" s="15" t="n">
        <v>60.4</v>
      </c>
      <c r="C86" s="15" t="n">
        <v>67.52</v>
      </c>
      <c r="D86" s="14" t="n">
        <f aca="false">AVERAGE(B67:B86)</f>
        <v>56.016</v>
      </c>
      <c r="E86" s="14" t="n">
        <f aca="false">(B86-D86)/D86*100</f>
        <v>7.82633533276207</v>
      </c>
    </row>
    <row r="87" customFormat="false" ht="15" hidden="false" customHeight="false" outlineLevel="0" collapsed="false">
      <c r="A87" s="12" t="n">
        <v>42130</v>
      </c>
      <c r="B87" s="15" t="n">
        <v>60.93</v>
      </c>
      <c r="C87" s="15" t="n">
        <v>67.77</v>
      </c>
      <c r="D87" s="14" t="n">
        <f aca="false">AVERAGE(B68:B87)</f>
        <v>56.5415</v>
      </c>
      <c r="E87" s="14" t="n">
        <f aca="false">(B87-D87)/D87*100</f>
        <v>7.76155567149793</v>
      </c>
    </row>
    <row r="88" customFormat="false" ht="15" hidden="false" customHeight="false" outlineLevel="0" collapsed="false">
      <c r="A88" s="12" t="n">
        <v>42131</v>
      </c>
      <c r="B88" s="15" t="n">
        <v>58.94</v>
      </c>
      <c r="C88" s="15" t="n">
        <v>65.54</v>
      </c>
      <c r="D88" s="14" t="n">
        <f aca="false">AVERAGE(B69:B88)</f>
        <v>56.949</v>
      </c>
      <c r="E88" s="14" t="n">
        <f aca="false">(B88-D88)/D88*100</f>
        <v>3.49611055505803</v>
      </c>
    </row>
    <row r="89" customFormat="false" ht="15" hidden="false" customHeight="false" outlineLevel="0" collapsed="false">
      <c r="A89" s="12" t="n">
        <v>42132</v>
      </c>
      <c r="B89" s="15" t="n">
        <v>59.39</v>
      </c>
      <c r="C89" s="15" t="n">
        <v>65.39</v>
      </c>
      <c r="D89" s="14" t="n">
        <f aca="false">AVERAGE(B70:B89)</f>
        <v>57.3365</v>
      </c>
      <c r="E89" s="14" t="n">
        <f aca="false">(B89-D89)/D89*100</f>
        <v>3.58148823175464</v>
      </c>
    </row>
    <row r="90" customFormat="false" ht="15" hidden="false" customHeight="false" outlineLevel="0" collapsed="false">
      <c r="A90" s="12" t="n">
        <v>42135</v>
      </c>
      <c r="B90" s="15" t="n">
        <v>59.25</v>
      </c>
      <c r="C90" s="15" t="n">
        <v>64.91</v>
      </c>
      <c r="D90" s="14" t="n">
        <f aca="false">AVERAGE(B71:B90)</f>
        <v>57.7035</v>
      </c>
      <c r="E90" s="14" t="n">
        <f aca="false">(B90-D90)/D90*100</f>
        <v>2.6800800644675</v>
      </c>
    </row>
    <row r="91" customFormat="false" ht="15" hidden="false" customHeight="false" outlineLevel="0" collapsed="false">
      <c r="A91" s="12" t="n">
        <v>42136</v>
      </c>
      <c r="B91" s="15" t="n">
        <v>60.75</v>
      </c>
      <c r="C91" s="15" t="n">
        <v>66.86</v>
      </c>
      <c r="D91" s="14" t="n">
        <f aca="false">AVERAGE(B72:B91)</f>
        <v>58.0765</v>
      </c>
      <c r="E91" s="14" t="n">
        <f aca="false">(B91-D91)/D91*100</f>
        <v>4.60341101822597</v>
      </c>
    </row>
    <row r="92" customFormat="false" ht="15" hidden="false" customHeight="false" outlineLevel="0" collapsed="false">
      <c r="A92" s="12" t="n">
        <v>42137</v>
      </c>
      <c r="B92" s="15" t="n">
        <v>60.5</v>
      </c>
      <c r="C92" s="15" t="n">
        <v>66.81</v>
      </c>
      <c r="D92" s="14" t="n">
        <f aca="false">AVERAGE(B73:B92)</f>
        <v>58.282</v>
      </c>
      <c r="E92" s="14" t="n">
        <f aca="false">(B92-D92)/D92*100</f>
        <v>3.80563467279777</v>
      </c>
    </row>
    <row r="93" customFormat="false" ht="15" hidden="false" customHeight="false" outlineLevel="0" collapsed="false">
      <c r="A93" s="12" t="n">
        <v>42138</v>
      </c>
      <c r="B93" s="15" t="n">
        <v>59.88</v>
      </c>
      <c r="C93" s="15" t="n">
        <v>66.59</v>
      </c>
      <c r="D93" s="14" t="n">
        <f aca="false">AVERAGE(B74:B93)</f>
        <v>58.4405</v>
      </c>
      <c r="E93" s="14" t="n">
        <f aca="false">(B93-D93)/D93*100</f>
        <v>2.46318905553512</v>
      </c>
    </row>
    <row r="94" customFormat="false" ht="15" hidden="false" customHeight="false" outlineLevel="0" collapsed="false">
      <c r="A94" s="12" t="n">
        <v>42139</v>
      </c>
      <c r="B94" s="15" t="n">
        <v>59.69</v>
      </c>
      <c r="C94" s="15" t="n">
        <v>66.57</v>
      </c>
      <c r="D94" s="14" t="n">
        <f aca="false">AVERAGE(B75:B94)</f>
        <v>58.638</v>
      </c>
      <c r="E94" s="14" t="n">
        <f aca="false">(B94-D94)/D94*100</f>
        <v>1.79405846038405</v>
      </c>
    </row>
    <row r="95" customFormat="false" ht="15" hidden="false" customHeight="false" outlineLevel="0" collapsed="false">
      <c r="A95" s="12" t="n">
        <v>42142</v>
      </c>
      <c r="B95" s="15" t="n">
        <v>59.43</v>
      </c>
      <c r="C95" s="15" t="n">
        <v>66.27</v>
      </c>
      <c r="D95" s="14" t="n">
        <f aca="false">AVERAGE(B76:B95)</f>
        <v>58.7905</v>
      </c>
      <c r="E95" s="14" t="n">
        <f aca="false">(B95-D95)/D95*100</f>
        <v>1.08776077767667</v>
      </c>
    </row>
    <row r="96" customFormat="false" ht="15" hidden="false" customHeight="false" outlineLevel="0" collapsed="false">
      <c r="A96" s="12" t="n">
        <v>42143</v>
      </c>
      <c r="B96" s="15" t="n">
        <v>57.26</v>
      </c>
      <c r="C96" s="15" t="n">
        <v>64.02</v>
      </c>
      <c r="D96" s="14" t="n">
        <f aca="false">AVERAGE(B77:B96)</f>
        <v>58.8905</v>
      </c>
      <c r="E96" s="14" t="n">
        <f aca="false">(B96-D96)/D96*100</f>
        <v>-2.76869783751199</v>
      </c>
    </row>
    <row r="97" customFormat="false" ht="15" hidden="false" customHeight="false" outlineLevel="0" collapsed="false">
      <c r="A97" s="12" t="n">
        <v>42144</v>
      </c>
      <c r="B97" s="15" t="n">
        <v>58.98</v>
      </c>
      <c r="C97" s="15" t="n">
        <v>65.03</v>
      </c>
      <c r="D97" s="14" t="n">
        <f aca="false">AVERAGE(B78:B97)</f>
        <v>59.0315</v>
      </c>
      <c r="E97" s="14" t="n">
        <f aca="false">(B97-D97)/D97*100</f>
        <v>-0.0872415574735716</v>
      </c>
    </row>
    <row r="98" customFormat="false" ht="15" hidden="false" customHeight="false" outlineLevel="0" collapsed="false">
      <c r="A98" s="12" t="n">
        <v>42145</v>
      </c>
      <c r="B98" s="15" t="n">
        <v>60.72</v>
      </c>
      <c r="C98" s="15" t="n">
        <v>66.54</v>
      </c>
      <c r="D98" s="14" t="n">
        <f aca="false">AVERAGE(B79:B98)</f>
        <v>59.1805</v>
      </c>
      <c r="E98" s="14" t="n">
        <f aca="false">(B98-D98)/D98*100</f>
        <v>2.60136362484265</v>
      </c>
    </row>
    <row r="99" customFormat="false" ht="15" hidden="false" customHeight="false" outlineLevel="0" collapsed="false">
      <c r="A99" s="12" t="n">
        <v>42146</v>
      </c>
      <c r="B99" s="15" t="n">
        <v>59.72</v>
      </c>
      <c r="C99" s="15" t="n">
        <v>65.37</v>
      </c>
      <c r="D99" s="14" t="n">
        <f aca="false">AVERAGE(B80:B99)</f>
        <v>59.309</v>
      </c>
      <c r="E99" s="14" t="n">
        <f aca="false">(B99-D99)/D99*100</f>
        <v>0.692980829216467</v>
      </c>
    </row>
    <row r="100" customFormat="false" ht="15" hidden="false" customHeight="false" outlineLevel="0" collapsed="false">
      <c r="A100" s="12" t="n">
        <v>42150</v>
      </c>
      <c r="B100" s="15" t="n">
        <v>58.03</v>
      </c>
      <c r="C100" s="15" t="n">
        <v>63.72</v>
      </c>
      <c r="D100" s="14" t="n">
        <f aca="false">AVERAGE(B81:B100)</f>
        <v>59.361</v>
      </c>
      <c r="E100" s="14" t="n">
        <f aca="false">(B100-D100)/D100*100</f>
        <v>-2.24221290072607</v>
      </c>
    </row>
    <row r="101" customFormat="false" ht="15" hidden="false" customHeight="false" outlineLevel="0" collapsed="false">
      <c r="A101" s="12" t="n">
        <v>42151</v>
      </c>
      <c r="B101" s="15" t="n">
        <v>57.51</v>
      </c>
      <c r="C101" s="15" t="n">
        <v>62.06</v>
      </c>
      <c r="D101" s="14" t="n">
        <f aca="false">AVERAGE(B82:B101)</f>
        <v>59.3835</v>
      </c>
      <c r="E101" s="14" t="n">
        <f aca="false">(B101-D101)/D101*100</f>
        <v>-3.15491676980981</v>
      </c>
    </row>
    <row r="102" customFormat="false" ht="15" hidden="false" customHeight="false" outlineLevel="0" collapsed="false">
      <c r="A102" s="12" t="n">
        <v>42152</v>
      </c>
      <c r="B102" s="15" t="n">
        <v>57.68</v>
      </c>
      <c r="C102" s="15" t="n">
        <v>62.58</v>
      </c>
      <c r="D102" s="14" t="n">
        <f aca="false">AVERAGE(B83:B102)</f>
        <v>59.3385</v>
      </c>
      <c r="E102" s="14" t="n">
        <f aca="false">(B102-D102)/D102*100</f>
        <v>-2.7949813358949</v>
      </c>
    </row>
    <row r="103" customFormat="false" ht="15" hidden="false" customHeight="false" outlineLevel="0" collapsed="false">
      <c r="A103" s="12" t="n">
        <v>42153</v>
      </c>
      <c r="B103" s="15" t="n">
        <v>60.3</v>
      </c>
      <c r="C103" s="15" t="n">
        <v>65.56</v>
      </c>
      <c r="D103" s="14" t="n">
        <f aca="false">AVERAGE(B84:B103)</f>
        <v>59.372</v>
      </c>
      <c r="E103" s="14" t="n">
        <f aca="false">(B103-D103)/D103*100</f>
        <v>1.56302634238361</v>
      </c>
    </row>
    <row r="104" customFormat="false" ht="15" hidden="false" customHeight="false" outlineLevel="0" collapsed="false">
      <c r="A104" s="12" t="n">
        <v>42156</v>
      </c>
      <c r="B104" s="15" t="n">
        <v>60.2</v>
      </c>
      <c r="C104" s="15" t="n">
        <v>64.88</v>
      </c>
      <c r="D104" s="14" t="n">
        <f aca="false">AVERAGE(B85:B104)</f>
        <v>59.4245</v>
      </c>
      <c r="E104" s="14" t="n">
        <f aca="false">(B104-D104)/D104*100</f>
        <v>1.30501729084805</v>
      </c>
    </row>
    <row r="105" customFormat="false" ht="15" hidden="false" customHeight="false" outlineLevel="0" collapsed="false">
      <c r="A105" s="12" t="n">
        <v>42157</v>
      </c>
      <c r="B105" s="15" t="n">
        <v>61.26</v>
      </c>
      <c r="C105" s="15" t="n">
        <v>65.49</v>
      </c>
      <c r="D105" s="14" t="n">
        <f aca="false">AVERAGE(B86:B105)</f>
        <v>59.541</v>
      </c>
      <c r="E105" s="14" t="n">
        <f aca="false">(B105-D105)/D105*100</f>
        <v>2.8870862095027</v>
      </c>
    </row>
    <row r="106" customFormat="false" ht="15" hidden="false" customHeight="false" outlineLevel="0" collapsed="false">
      <c r="A106" s="12" t="n">
        <v>42158</v>
      </c>
      <c r="B106" s="15" t="n">
        <v>59.64</v>
      </c>
      <c r="C106" s="15" t="n">
        <v>63.8</v>
      </c>
      <c r="D106" s="14" t="n">
        <f aca="false">AVERAGE(B87:B106)</f>
        <v>59.503</v>
      </c>
      <c r="E106" s="14" t="n">
        <f aca="false">(B106-D106)/D106*100</f>
        <v>0.230240492076031</v>
      </c>
    </row>
    <row r="107" customFormat="false" ht="15" hidden="false" customHeight="false" outlineLevel="0" collapsed="false">
      <c r="A107" s="12" t="n">
        <v>42159</v>
      </c>
      <c r="B107" s="15" t="n">
        <v>58</v>
      </c>
      <c r="C107" s="15" t="n">
        <v>62.03</v>
      </c>
      <c r="D107" s="14" t="n">
        <f aca="false">AVERAGE(B88:B107)</f>
        <v>59.3565</v>
      </c>
      <c r="E107" s="14" t="n">
        <f aca="false">(B107-D107)/D107*100</f>
        <v>-2.28534364391431</v>
      </c>
    </row>
    <row r="108" customFormat="false" ht="15" hidden="false" customHeight="false" outlineLevel="0" collapsed="false">
      <c r="A108" s="12" t="n">
        <v>42160</v>
      </c>
      <c r="B108" s="15" t="n">
        <v>59.13</v>
      </c>
      <c r="C108" s="15" t="n">
        <v>63.31</v>
      </c>
      <c r="D108" s="14" t="n">
        <f aca="false">AVERAGE(B89:B108)</f>
        <v>59.366</v>
      </c>
      <c r="E108" s="14" t="n">
        <f aca="false">(B108-D108)/D108*100</f>
        <v>-0.397533941986991</v>
      </c>
    </row>
    <row r="109" customFormat="false" ht="15" hidden="false" customHeight="false" outlineLevel="0" collapsed="false">
      <c r="A109" s="12" t="n">
        <v>42163</v>
      </c>
      <c r="B109" s="15" t="n">
        <v>58.14</v>
      </c>
      <c r="C109" s="15" t="n">
        <v>62.69</v>
      </c>
      <c r="D109" s="14" t="n">
        <f aca="false">AVERAGE(B90:B109)</f>
        <v>59.3035</v>
      </c>
      <c r="E109" s="14" t="n">
        <f aca="false">(B109-D109)/D109*100</f>
        <v>-1.96194153802052</v>
      </c>
    </row>
    <row r="110" customFormat="false" ht="15" hidden="false" customHeight="false" outlineLevel="0" collapsed="false">
      <c r="A110" s="12" t="n">
        <v>42164</v>
      </c>
      <c r="B110" s="15" t="n">
        <v>60.14</v>
      </c>
      <c r="C110" s="15" t="n">
        <v>64.88</v>
      </c>
      <c r="D110" s="14" t="n">
        <f aca="false">AVERAGE(B91:B110)</f>
        <v>59.348</v>
      </c>
      <c r="E110" s="14" t="n">
        <f aca="false">(B110-D110)/D110*100</f>
        <v>1.33450158387815</v>
      </c>
    </row>
    <row r="111" customFormat="false" ht="15" hidden="false" customHeight="false" outlineLevel="0" collapsed="false">
      <c r="A111" s="12" t="n">
        <v>42165</v>
      </c>
      <c r="B111" s="15" t="n">
        <v>61.43</v>
      </c>
      <c r="C111" s="15" t="n">
        <v>65.7</v>
      </c>
      <c r="D111" s="14" t="n">
        <f aca="false">AVERAGE(B92:B111)</f>
        <v>59.382</v>
      </c>
      <c r="E111" s="14" t="n">
        <f aca="false">(B111-D111)/D111*100</f>
        <v>3.44885655585867</v>
      </c>
    </row>
    <row r="112" customFormat="false" ht="15" hidden="false" customHeight="false" outlineLevel="0" collapsed="false">
      <c r="A112" s="12" t="n">
        <v>42166</v>
      </c>
      <c r="B112" s="15" t="n">
        <v>60.77</v>
      </c>
      <c r="C112" s="15" t="n">
        <v>65.11</v>
      </c>
      <c r="D112" s="14" t="n">
        <f aca="false">AVERAGE(B93:B112)</f>
        <v>59.3955</v>
      </c>
      <c r="E112" s="14" t="n">
        <f aca="false">(B112-D112)/D112*100</f>
        <v>2.31414837824414</v>
      </c>
    </row>
    <row r="113" customFormat="false" ht="15" hidden="false" customHeight="false" outlineLevel="0" collapsed="false">
      <c r="A113" s="12" t="n">
        <v>42167</v>
      </c>
      <c r="B113" s="15" t="n">
        <v>59.96</v>
      </c>
      <c r="C113" s="15" t="n">
        <v>63.87</v>
      </c>
      <c r="D113" s="14" t="n">
        <f aca="false">AVERAGE(B94:B113)</f>
        <v>59.3995</v>
      </c>
      <c r="E113" s="14" t="n">
        <f aca="false">(B113-D113)/D113*100</f>
        <v>0.943610636453165</v>
      </c>
    </row>
    <row r="114" customFormat="false" ht="15" hidden="false" customHeight="false" outlineLevel="0" collapsed="false">
      <c r="A114" s="12" t="n">
        <v>42170</v>
      </c>
      <c r="B114" s="15" t="n">
        <v>59.52</v>
      </c>
      <c r="C114" s="15" t="n">
        <v>62.61</v>
      </c>
      <c r="D114" s="14" t="n">
        <f aca="false">AVERAGE(B95:B114)</f>
        <v>59.391</v>
      </c>
      <c r="E114" s="14" t="n">
        <f aca="false">(B114-D114)/D114*100</f>
        <v>0.21720462696369</v>
      </c>
    </row>
    <row r="115" customFormat="false" ht="15" hidden="false" customHeight="false" outlineLevel="0" collapsed="false">
      <c r="A115" s="12" t="n">
        <v>42171</v>
      </c>
      <c r="B115" s="15" t="n">
        <v>59.97</v>
      </c>
      <c r="C115" s="15" t="n">
        <v>62.63</v>
      </c>
      <c r="D115" s="14" t="n">
        <f aca="false">AVERAGE(B96:B115)</f>
        <v>59.418</v>
      </c>
      <c r="E115" s="14" t="n">
        <f aca="false">(B115-D115)/D115*100</f>
        <v>0.929011410683643</v>
      </c>
    </row>
    <row r="116" customFormat="false" ht="15" hidden="false" customHeight="false" outlineLevel="0" collapsed="false">
      <c r="A116" s="12" t="n">
        <v>42172</v>
      </c>
      <c r="B116" s="15" t="n">
        <v>59.92</v>
      </c>
      <c r="C116" s="15" t="n">
        <v>63.87</v>
      </c>
      <c r="D116" s="14" t="n">
        <f aca="false">AVERAGE(B97:B116)</f>
        <v>59.551</v>
      </c>
      <c r="E116" s="14" t="n">
        <f aca="false">(B116-D116)/D116*100</f>
        <v>0.619636949841312</v>
      </c>
    </row>
    <row r="117" customFormat="false" ht="15" hidden="false" customHeight="false" outlineLevel="0" collapsed="false">
      <c r="A117" s="12" t="n">
        <v>42173</v>
      </c>
      <c r="B117" s="15" t="n">
        <v>60.45</v>
      </c>
      <c r="C117" s="15" t="n">
        <v>64.26</v>
      </c>
      <c r="D117" s="14" t="n">
        <f aca="false">AVERAGE(B98:B117)</f>
        <v>59.6245</v>
      </c>
      <c r="E117" s="14" t="n">
        <f aca="false">(B117-D117)/D117*100</f>
        <v>1.38449798321161</v>
      </c>
    </row>
    <row r="118" customFormat="false" ht="15" hidden="false" customHeight="false" outlineLevel="0" collapsed="false">
      <c r="A118" s="12" t="n">
        <v>42174</v>
      </c>
      <c r="B118" s="15" t="n">
        <v>59.61</v>
      </c>
      <c r="C118" s="15" t="n">
        <v>63.02</v>
      </c>
      <c r="D118" s="14" t="n">
        <f aca="false">AVERAGE(B99:B118)</f>
        <v>59.569</v>
      </c>
      <c r="E118" s="14" t="n">
        <f aca="false">(B118-D118)/D118*100</f>
        <v>0.0688277459752502</v>
      </c>
    </row>
    <row r="119" customFormat="false" ht="15" hidden="false" customHeight="false" outlineLevel="0" collapsed="false">
      <c r="A119" s="12" t="n">
        <v>42177</v>
      </c>
      <c r="B119" s="15" t="n">
        <v>59.68</v>
      </c>
      <c r="C119" s="15" t="n">
        <v>63.34</v>
      </c>
      <c r="D119" s="14" t="n">
        <f aca="false">AVERAGE(B100:B119)</f>
        <v>59.567</v>
      </c>
      <c r="E119" s="14" t="n">
        <f aca="false">(B119-D119)/D119*100</f>
        <v>0.189702351973419</v>
      </c>
    </row>
    <row r="120" customFormat="false" ht="15" hidden="false" customHeight="false" outlineLevel="0" collapsed="false">
      <c r="A120" s="12" t="n">
        <v>42178</v>
      </c>
      <c r="B120" s="15" t="n">
        <v>61.01</v>
      </c>
      <c r="C120" s="15" t="n">
        <v>64.45</v>
      </c>
      <c r="D120" s="14" t="n">
        <f aca="false">AVERAGE(B101:B120)</f>
        <v>59.716</v>
      </c>
      <c r="E120" s="14" t="n">
        <f aca="false">(B120-D120)/D120*100</f>
        <v>2.16692343760467</v>
      </c>
    </row>
    <row r="121" customFormat="false" ht="15" hidden="false" customHeight="false" outlineLevel="0" collapsed="false">
      <c r="A121" s="12" t="n">
        <v>42179</v>
      </c>
      <c r="B121" s="15" t="n">
        <v>60.27</v>
      </c>
      <c r="C121" s="15" t="n">
        <v>63.49</v>
      </c>
      <c r="D121" s="14" t="n">
        <f aca="false">AVERAGE(B102:B121)</f>
        <v>59.854</v>
      </c>
      <c r="E121" s="14" t="n">
        <f aca="false">(B121-D121)/D121*100</f>
        <v>0.695024559762094</v>
      </c>
    </row>
    <row r="122" customFormat="false" ht="15" hidden="false" customHeight="false" outlineLevel="0" collapsed="false">
      <c r="A122" s="12" t="n">
        <v>42180</v>
      </c>
      <c r="B122" s="15" t="n">
        <v>59.7</v>
      </c>
      <c r="C122" s="15" t="n">
        <v>63.2</v>
      </c>
      <c r="D122" s="14" t="n">
        <f aca="false">AVERAGE(B103:B122)</f>
        <v>59.955</v>
      </c>
      <c r="E122" s="14" t="n">
        <f aca="false">(B122-D122)/D122*100</f>
        <v>-0.425318989241924</v>
      </c>
    </row>
    <row r="123" customFormat="false" ht="15" hidden="false" customHeight="false" outlineLevel="0" collapsed="false">
      <c r="A123" s="12" t="n">
        <v>42181</v>
      </c>
      <c r="B123" s="15" t="n">
        <v>59.63</v>
      </c>
      <c r="C123" s="15" t="n">
        <v>63.26</v>
      </c>
      <c r="D123" s="14" t="n">
        <f aca="false">AVERAGE(B104:B123)</f>
        <v>59.9215</v>
      </c>
      <c r="E123" s="14" t="n">
        <f aca="false">(B123-D123)/D123*100</f>
        <v>-0.486469797985697</v>
      </c>
    </row>
    <row r="124" customFormat="false" ht="15" hidden="false" customHeight="false" outlineLevel="0" collapsed="false">
      <c r="A124" s="12" t="n">
        <v>42184</v>
      </c>
      <c r="B124" s="15" t="n">
        <v>58.33</v>
      </c>
      <c r="C124" s="15" t="n">
        <v>62.01</v>
      </c>
      <c r="D124" s="14" t="n">
        <f aca="false">AVERAGE(B105:B124)</f>
        <v>59.828</v>
      </c>
      <c r="E124" s="14" t="n">
        <f aca="false">(B124-D124)/D124*100</f>
        <v>-2.50384435381426</v>
      </c>
    </row>
    <row r="125" customFormat="false" ht="15" hidden="false" customHeight="false" outlineLevel="0" collapsed="false">
      <c r="A125" s="12" t="n">
        <v>42185</v>
      </c>
      <c r="B125" s="15" t="n">
        <v>59.47</v>
      </c>
      <c r="C125" s="15" t="n">
        <v>63.59</v>
      </c>
      <c r="D125" s="14" t="n">
        <f aca="false">AVERAGE(B106:B125)</f>
        <v>59.7385</v>
      </c>
      <c r="E125" s="14" t="n">
        <f aca="false">(B125-D125)/D125*100</f>
        <v>-0.449458891669532</v>
      </c>
    </row>
    <row r="126" customFormat="false" ht="15" hidden="false" customHeight="false" outlineLevel="0" collapsed="false">
      <c r="A126" s="12" t="n">
        <v>42186</v>
      </c>
      <c r="B126" s="15" t="n">
        <v>56.96</v>
      </c>
      <c r="C126" s="15" t="n">
        <v>62.01</v>
      </c>
      <c r="D126" s="14" t="n">
        <f aca="false">AVERAGE(B107:B126)</f>
        <v>59.6045</v>
      </c>
      <c r="E126" s="14" t="n">
        <f aca="false">(B126-D126)/D126*100</f>
        <v>-4.43674554773548</v>
      </c>
    </row>
    <row r="127" customFormat="false" ht="15" hidden="false" customHeight="false" outlineLevel="0" collapsed="false">
      <c r="A127" s="12" t="n">
        <v>42187</v>
      </c>
      <c r="B127" s="15" t="n">
        <v>56.93</v>
      </c>
      <c r="C127" s="15" t="n">
        <v>62.07</v>
      </c>
      <c r="D127" s="14" t="n">
        <f aca="false">AVERAGE(B108:B127)</f>
        <v>59.551</v>
      </c>
      <c r="E127" s="14" t="n">
        <f aca="false">(B127-D127)/D127*100</f>
        <v>-4.40126950009236</v>
      </c>
    </row>
    <row r="128" customFormat="false" ht="15" hidden="false" customHeight="false" outlineLevel="0" collapsed="false">
      <c r="A128" s="12" t="n">
        <v>42191</v>
      </c>
      <c r="B128" s="15" t="n">
        <v>52.53</v>
      </c>
      <c r="C128" s="15" t="n">
        <v>56.54</v>
      </c>
      <c r="D128" s="14" t="n">
        <f aca="false">AVERAGE(B109:B128)</f>
        <v>59.221</v>
      </c>
      <c r="E128" s="14" t="n">
        <f aca="false">(B128-D128)/D128*100</f>
        <v>-11.2983570017393</v>
      </c>
    </row>
    <row r="129" customFormat="false" ht="15" hidden="false" customHeight="false" outlineLevel="0" collapsed="false">
      <c r="A129" s="12" t="n">
        <v>42192</v>
      </c>
      <c r="B129" s="15" t="n">
        <v>52.33</v>
      </c>
      <c r="C129" s="15" t="n">
        <v>56.85</v>
      </c>
      <c r="D129" s="14" t="n">
        <f aca="false">AVERAGE(B110:B129)</f>
        <v>58.9305</v>
      </c>
      <c r="E129" s="14" t="n">
        <f aca="false">(B129-D129)/D129*100</f>
        <v>-11.2004819236219</v>
      </c>
    </row>
    <row r="130" customFormat="false" ht="15" hidden="false" customHeight="false" outlineLevel="0" collapsed="false">
      <c r="A130" s="12" t="n">
        <v>42193</v>
      </c>
      <c r="B130" s="15" t="n">
        <v>51.65</v>
      </c>
      <c r="C130" s="15" t="n">
        <v>57.05</v>
      </c>
      <c r="D130" s="14" t="n">
        <f aca="false">AVERAGE(B111:B130)</f>
        <v>58.506</v>
      </c>
      <c r="E130" s="14" t="n">
        <f aca="false">(B130-D130)/D130*100</f>
        <v>-11.7184562267118</v>
      </c>
    </row>
    <row r="131" customFormat="false" ht="15" hidden="false" customHeight="false" outlineLevel="0" collapsed="false">
      <c r="A131" s="12" t="n">
        <v>42194</v>
      </c>
      <c r="B131" s="15" t="n">
        <v>52.78</v>
      </c>
      <c r="C131" s="15" t="n">
        <v>58.61</v>
      </c>
      <c r="D131" s="14" t="n">
        <f aca="false">AVERAGE(B112:B131)</f>
        <v>58.0735</v>
      </c>
      <c r="E131" s="14" t="n">
        <f aca="false">(B131-D131)/D131*100</f>
        <v>-9.11517301350875</v>
      </c>
    </row>
    <row r="132" customFormat="false" ht="15" hidden="false" customHeight="false" outlineLevel="0" collapsed="false">
      <c r="A132" s="12" t="n">
        <v>42195</v>
      </c>
      <c r="B132" s="15" t="n">
        <v>52.74</v>
      </c>
      <c r="C132" s="15" t="n">
        <v>58.73</v>
      </c>
      <c r="D132" s="14" t="n">
        <f aca="false">AVERAGE(B113:B132)</f>
        <v>57.672</v>
      </c>
      <c r="E132" s="14" t="n">
        <f aca="false">(B132-D132)/D132*100</f>
        <v>-8.5518102372035</v>
      </c>
    </row>
    <row r="133" customFormat="false" ht="15" hidden="false" customHeight="false" outlineLevel="0" collapsed="false">
      <c r="A133" s="12" t="n">
        <v>42198</v>
      </c>
      <c r="B133" s="15" t="n">
        <v>52.2</v>
      </c>
      <c r="C133" s="15" t="n">
        <v>57.85</v>
      </c>
      <c r="D133" s="14" t="n">
        <f aca="false">AVERAGE(B114:B133)</f>
        <v>57.284</v>
      </c>
      <c r="E133" s="14" t="n">
        <f aca="false">(B133-D133)/D133*100</f>
        <v>-8.87507855596677</v>
      </c>
    </row>
    <row r="134" customFormat="false" ht="15" hidden="false" customHeight="false" outlineLevel="0" collapsed="false">
      <c r="A134" s="12" t="n">
        <v>42199</v>
      </c>
      <c r="B134" s="15" t="n">
        <v>53.04</v>
      </c>
      <c r="C134" s="15" t="n">
        <v>58.51</v>
      </c>
      <c r="D134" s="14" t="n">
        <f aca="false">AVERAGE(B115:B134)</f>
        <v>56.96</v>
      </c>
      <c r="E134" s="14" t="n">
        <f aca="false">(B134-D134)/D134*100</f>
        <v>-6.88202247191012</v>
      </c>
    </row>
    <row r="135" customFormat="false" ht="15" hidden="false" customHeight="false" outlineLevel="0" collapsed="false">
      <c r="A135" s="12" t="n">
        <v>42200</v>
      </c>
      <c r="B135" s="15" t="n">
        <v>51.41</v>
      </c>
      <c r="C135" s="15" t="n">
        <v>57.05</v>
      </c>
      <c r="D135" s="14" t="n">
        <f aca="false">AVERAGE(B116:B135)</f>
        <v>56.532</v>
      </c>
      <c r="E135" s="14" t="n">
        <f aca="false">(B135-D135)/D135*100</f>
        <v>-9.06035519705655</v>
      </c>
    </row>
    <row r="136" customFormat="false" ht="15" hidden="false" customHeight="false" outlineLevel="0" collapsed="false">
      <c r="A136" s="12" t="n">
        <v>42201</v>
      </c>
      <c r="B136" s="15" t="n">
        <v>50.91</v>
      </c>
      <c r="C136" s="15" t="n">
        <v>57.51</v>
      </c>
      <c r="D136" s="14" t="n">
        <f aca="false">AVERAGE(B117:B136)</f>
        <v>56.0815</v>
      </c>
      <c r="E136" s="14" t="n">
        <f aca="false">(B136-D136)/D136*100</f>
        <v>-9.22140099676365</v>
      </c>
    </row>
    <row r="137" customFormat="false" ht="15" hidden="false" customHeight="false" outlineLevel="0" collapsed="false">
      <c r="A137" s="12" t="n">
        <v>42202</v>
      </c>
      <c r="B137" s="15" t="n">
        <v>50.89</v>
      </c>
      <c r="C137" s="15" t="n">
        <v>57.52</v>
      </c>
      <c r="D137" s="14" t="n">
        <f aca="false">AVERAGE(B118:B137)</f>
        <v>55.6035</v>
      </c>
      <c r="E137" s="14" t="n">
        <f aca="false">(B137-D137)/D137*100</f>
        <v>-8.47698436249516</v>
      </c>
    </row>
    <row r="138" customFormat="false" ht="15" hidden="false" customHeight="false" outlineLevel="0" collapsed="false">
      <c r="A138" s="12" t="n">
        <v>42205</v>
      </c>
      <c r="B138" s="15" t="n">
        <v>50.15</v>
      </c>
      <c r="C138" s="15" t="n">
        <v>56.65</v>
      </c>
      <c r="D138" s="14" t="n">
        <f aca="false">AVERAGE(B119:B138)</f>
        <v>55.1305</v>
      </c>
      <c r="E138" s="14" t="n">
        <f aca="false">(B138-D138)/D138*100</f>
        <v>-9.03401928152293</v>
      </c>
    </row>
    <row r="139" customFormat="false" ht="15" hidden="false" customHeight="false" outlineLevel="0" collapsed="false">
      <c r="A139" s="12" t="n">
        <v>42206</v>
      </c>
      <c r="B139" s="15" t="n">
        <v>50.36</v>
      </c>
      <c r="C139" s="15" t="n">
        <v>57.04</v>
      </c>
      <c r="D139" s="14" t="n">
        <f aca="false">AVERAGE(B120:B139)</f>
        <v>54.6645</v>
      </c>
      <c r="E139" s="14" t="n">
        <f aca="false">(B139-D139)/D139*100</f>
        <v>-7.87439746087497</v>
      </c>
    </row>
    <row r="140" customFormat="false" ht="15" hidden="false" customHeight="false" outlineLevel="0" collapsed="false">
      <c r="A140" s="12" t="n">
        <v>42207</v>
      </c>
      <c r="B140" s="15" t="n">
        <v>49.19</v>
      </c>
      <c r="C140" s="15" t="n">
        <v>56.13</v>
      </c>
      <c r="D140" s="14" t="n">
        <f aca="false">AVERAGE(B121:B140)</f>
        <v>54.0735</v>
      </c>
      <c r="E140" s="14" t="n">
        <f aca="false">(B140-D140)/D140*100</f>
        <v>-9.03122601644059</v>
      </c>
    </row>
    <row r="141" customFormat="false" ht="15" hidden="false" customHeight="false" outlineLevel="0" collapsed="false">
      <c r="A141" s="12" t="n">
        <v>42208</v>
      </c>
      <c r="B141" s="15" t="n">
        <v>48.45</v>
      </c>
      <c r="C141" s="15" t="n">
        <v>55.27</v>
      </c>
      <c r="D141" s="14" t="n">
        <f aca="false">AVERAGE(B122:B141)</f>
        <v>53.4825</v>
      </c>
      <c r="E141" s="14" t="n">
        <f aca="false">(B141-D141)/D141*100</f>
        <v>-9.40961996914878</v>
      </c>
    </row>
    <row r="142" customFormat="false" ht="15" hidden="false" customHeight="false" outlineLevel="0" collapsed="false">
      <c r="A142" s="12" t="n">
        <v>42209</v>
      </c>
      <c r="B142" s="15" t="n">
        <v>48.14</v>
      </c>
      <c r="C142" s="15" t="n">
        <v>54.62</v>
      </c>
      <c r="D142" s="14" t="n">
        <f aca="false">AVERAGE(B123:B142)</f>
        <v>52.9045</v>
      </c>
      <c r="E142" s="14" t="n">
        <f aca="false">(B142-D142)/D142*100</f>
        <v>-9.00585016397471</v>
      </c>
    </row>
    <row r="143" customFormat="false" ht="15" hidden="false" customHeight="false" outlineLevel="0" collapsed="false">
      <c r="A143" s="12" t="n">
        <v>42212</v>
      </c>
      <c r="B143" s="15" t="n">
        <v>47.39</v>
      </c>
      <c r="C143" s="15" t="n">
        <v>53.47</v>
      </c>
      <c r="D143" s="14" t="n">
        <f aca="false">AVERAGE(B124:B143)</f>
        <v>52.2925</v>
      </c>
      <c r="E143" s="14" t="n">
        <f aca="false">(B143-D143)/D143*100</f>
        <v>-9.37514940000956</v>
      </c>
    </row>
    <row r="144" customFormat="false" ht="15" hidden="false" customHeight="false" outlineLevel="0" collapsed="false">
      <c r="A144" s="12" t="n">
        <v>42213</v>
      </c>
      <c r="B144" s="15" t="n">
        <v>47.98</v>
      </c>
      <c r="C144" s="15" t="n">
        <v>53.3</v>
      </c>
      <c r="D144" s="14" t="n">
        <f aca="false">AVERAGE(B125:B144)</f>
        <v>51.775</v>
      </c>
      <c r="E144" s="14" t="n">
        <f aca="false">(B144-D144)/D144*100</f>
        <v>-7.32979237083535</v>
      </c>
    </row>
    <row r="145" customFormat="false" ht="15" hidden="false" customHeight="false" outlineLevel="0" collapsed="false">
      <c r="A145" s="12" t="n">
        <v>42214</v>
      </c>
      <c r="B145" s="15" t="n">
        <v>48.79</v>
      </c>
      <c r="C145" s="15" t="n">
        <v>53.38</v>
      </c>
      <c r="D145" s="14" t="n">
        <f aca="false">AVERAGE(B126:B145)</f>
        <v>51.241</v>
      </c>
      <c r="E145" s="14" t="n">
        <f aca="false">(B145-D145)/D145*100</f>
        <v>-4.78327901485139</v>
      </c>
    </row>
    <row r="146" customFormat="false" ht="15" hidden="false" customHeight="false" outlineLevel="0" collapsed="false">
      <c r="A146" s="12" t="n">
        <v>42215</v>
      </c>
      <c r="B146" s="15" t="n">
        <v>48.52</v>
      </c>
      <c r="C146" s="15" t="n">
        <v>53.31</v>
      </c>
      <c r="D146" s="14" t="n">
        <f aca="false">AVERAGE(B127:B146)</f>
        <v>50.819</v>
      </c>
      <c r="E146" s="14" t="n">
        <f aca="false">(B146-D146)/D146*100</f>
        <v>-4.52389854188394</v>
      </c>
    </row>
    <row r="147" customFormat="false" ht="15" hidden="false" customHeight="false" outlineLevel="0" collapsed="false">
      <c r="A147" s="12" t="n">
        <v>42216</v>
      </c>
      <c r="B147" s="15" t="n">
        <v>47.12</v>
      </c>
      <c r="C147" s="15" t="n">
        <v>52.21</v>
      </c>
      <c r="D147" s="14" t="n">
        <f aca="false">AVERAGE(B128:B147)</f>
        <v>50.3285</v>
      </c>
      <c r="E147" s="14" t="n">
        <f aca="false">(B147-D147)/D147*100</f>
        <v>-6.37511549122267</v>
      </c>
    </row>
    <row r="148" customFormat="false" ht="15" hidden="false" customHeight="false" outlineLevel="0" collapsed="false">
      <c r="A148" s="12" t="n">
        <v>42219</v>
      </c>
      <c r="B148" s="15" t="n">
        <v>45.17</v>
      </c>
      <c r="C148" s="15" t="n">
        <v>49.52</v>
      </c>
      <c r="D148" s="14" t="n">
        <f aca="false">AVERAGE(B129:B148)</f>
        <v>49.9605</v>
      </c>
      <c r="E148" s="14" t="n">
        <f aca="false">(B148-D148)/D148*100</f>
        <v>-9.58857497422964</v>
      </c>
    </row>
    <row r="149" customFormat="false" ht="15" hidden="false" customHeight="false" outlineLevel="0" collapsed="false">
      <c r="A149" s="12" t="n">
        <v>42220</v>
      </c>
      <c r="B149" s="15" t="n">
        <v>45.74</v>
      </c>
      <c r="C149" s="15" t="n">
        <v>49.99</v>
      </c>
      <c r="D149" s="14" t="n">
        <f aca="false">AVERAGE(B130:B149)</f>
        <v>49.631</v>
      </c>
      <c r="E149" s="14" t="n">
        <f aca="false">(B149-D149)/D149*100</f>
        <v>-7.83985815317039</v>
      </c>
    </row>
    <row r="150" customFormat="false" ht="15" hidden="false" customHeight="false" outlineLevel="0" collapsed="false">
      <c r="A150" s="12" t="n">
        <v>42221</v>
      </c>
      <c r="B150" s="15" t="n">
        <v>45.15</v>
      </c>
      <c r="C150" s="15" t="n">
        <v>49.59</v>
      </c>
      <c r="D150" s="14" t="n">
        <f aca="false">AVERAGE(B131:B150)</f>
        <v>49.306</v>
      </c>
      <c r="E150" s="14" t="n">
        <f aca="false">(B150-D150)/D150*100</f>
        <v>-8.42899444286699</v>
      </c>
    </row>
    <row r="151" customFormat="false" ht="15" hidden="false" customHeight="false" outlineLevel="0" collapsed="false">
      <c r="A151" s="12" t="n">
        <v>42222</v>
      </c>
      <c r="B151" s="15" t="n">
        <v>44.66</v>
      </c>
      <c r="C151" s="15" t="n">
        <v>49.52</v>
      </c>
      <c r="D151" s="14" t="n">
        <f aca="false">AVERAGE(B132:B151)</f>
        <v>48.9</v>
      </c>
      <c r="E151" s="14" t="n">
        <f aca="false">(B151-D151)/D151*100</f>
        <v>-8.67075664621677</v>
      </c>
    </row>
    <row r="152" customFormat="false" ht="15" hidden="false" customHeight="false" outlineLevel="0" collapsed="false">
      <c r="A152" s="12" t="n">
        <v>42223</v>
      </c>
      <c r="B152" s="15" t="n">
        <v>43.87</v>
      </c>
      <c r="C152" s="15" t="n">
        <v>48.61</v>
      </c>
      <c r="D152" s="14" t="n">
        <f aca="false">AVERAGE(B133:B152)</f>
        <v>48.4565</v>
      </c>
      <c r="E152" s="14" t="n">
        <f aca="false">(B152-D152)/D152*100</f>
        <v>-9.46519042852868</v>
      </c>
    </row>
    <row r="153" customFormat="false" ht="15" hidden="false" customHeight="false" outlineLevel="0" collapsed="false">
      <c r="A153" s="12" t="n">
        <v>42226</v>
      </c>
      <c r="B153" s="15" t="n">
        <v>44.96</v>
      </c>
      <c r="C153" s="15" t="n">
        <v>50.41</v>
      </c>
      <c r="D153" s="14" t="n">
        <f aca="false">AVERAGE(B134:B153)</f>
        <v>48.0945</v>
      </c>
      <c r="E153" s="14" t="n">
        <f aca="false">(B153-D153)/D153*100</f>
        <v>-6.51737724687853</v>
      </c>
    </row>
    <row r="154" customFormat="false" ht="15" hidden="false" customHeight="false" outlineLevel="0" collapsed="false">
      <c r="A154" s="12" t="n">
        <v>42227</v>
      </c>
      <c r="B154" s="15" t="n">
        <v>43.08</v>
      </c>
      <c r="C154" s="15" t="n">
        <v>49.18</v>
      </c>
      <c r="D154" s="14" t="n">
        <f aca="false">AVERAGE(B135:B154)</f>
        <v>47.5965</v>
      </c>
      <c r="E154" s="14" t="n">
        <f aca="false">(B154-D154)/D154*100</f>
        <v>-9.48914310926224</v>
      </c>
    </row>
    <row r="155" customFormat="false" ht="15" hidden="false" customHeight="false" outlineLevel="0" collapsed="false">
      <c r="A155" s="12" t="n">
        <v>42228</v>
      </c>
      <c r="B155" s="15" t="n">
        <v>43.3</v>
      </c>
      <c r="C155" s="15" t="n">
        <v>49.66</v>
      </c>
      <c r="D155" s="14" t="n">
        <f aca="false">AVERAGE(B136:B155)</f>
        <v>47.191</v>
      </c>
      <c r="E155" s="14" t="n">
        <f aca="false">(B155-D155)/D155*100</f>
        <v>-8.24521624886101</v>
      </c>
    </row>
    <row r="156" customFormat="false" ht="15" hidden="false" customHeight="false" outlineLevel="0" collapsed="false">
      <c r="A156" s="12" t="n">
        <v>42229</v>
      </c>
      <c r="B156" s="15" t="n">
        <v>42.23</v>
      </c>
      <c r="C156" s="15" t="n">
        <v>49.22</v>
      </c>
      <c r="D156" s="14" t="n">
        <f aca="false">AVERAGE(B137:B156)</f>
        <v>46.757</v>
      </c>
      <c r="E156" s="14" t="n">
        <f aca="false">(B156-D156)/D156*100</f>
        <v>-9.68197275274291</v>
      </c>
    </row>
    <row r="157" customFormat="false" ht="15" hidden="false" customHeight="false" outlineLevel="0" collapsed="false">
      <c r="A157" s="12" t="n">
        <v>42230</v>
      </c>
      <c r="B157" s="15" t="n">
        <v>42.5</v>
      </c>
      <c r="C157" s="15" t="n">
        <v>49.03</v>
      </c>
      <c r="D157" s="14" t="n">
        <f aca="false">AVERAGE(B138:B157)</f>
        <v>46.3375</v>
      </c>
      <c r="E157" s="14" t="n">
        <f aca="false">(B157-D157)/D157*100</f>
        <v>-8.28162934987861</v>
      </c>
    </row>
    <row r="158" customFormat="false" ht="15" hidden="false" customHeight="false" outlineLevel="0" collapsed="false">
      <c r="A158" s="12" t="n">
        <v>42233</v>
      </c>
      <c r="B158" s="15" t="n">
        <v>41.87</v>
      </c>
      <c r="C158" s="15" t="n">
        <v>49.03</v>
      </c>
      <c r="D158" s="14" t="n">
        <f aca="false">AVERAGE(B139:B158)</f>
        <v>45.9235</v>
      </c>
      <c r="E158" s="14" t="n">
        <f aca="false">(B158-D158)/D158*100</f>
        <v>-8.82663560050956</v>
      </c>
    </row>
    <row r="159" customFormat="false" ht="15" hidden="false" customHeight="false" outlineLevel="0" collapsed="false">
      <c r="A159" s="12" t="n">
        <v>42234</v>
      </c>
      <c r="B159" s="15" t="n">
        <v>42.62</v>
      </c>
      <c r="C159" s="15" t="n">
        <v>48.81</v>
      </c>
      <c r="D159" s="14" t="n">
        <f aca="false">AVERAGE(B140:B159)</f>
        <v>45.5365</v>
      </c>
      <c r="E159" s="14" t="n">
        <f aca="false">(B159-D159)/D159*100</f>
        <v>-6.40475223172621</v>
      </c>
    </row>
    <row r="160" customFormat="false" ht="15" hidden="false" customHeight="false" outlineLevel="0" collapsed="false">
      <c r="A160" s="12" t="n">
        <v>42235</v>
      </c>
      <c r="B160" s="15" t="n">
        <v>40.8</v>
      </c>
      <c r="C160" s="15" t="n">
        <v>47.16</v>
      </c>
      <c r="D160" s="14" t="n">
        <f aca="false">AVERAGE(B141:B160)</f>
        <v>45.117</v>
      </c>
      <c r="E160" s="14" t="n">
        <f aca="false">(B160-D160)/D160*100</f>
        <v>-9.56845534942485</v>
      </c>
    </row>
    <row r="161" customFormat="false" ht="15" hidden="false" customHeight="false" outlineLevel="0" collapsed="false">
      <c r="A161" s="12" t="n">
        <v>42236</v>
      </c>
      <c r="B161" s="15" t="n">
        <v>41.14</v>
      </c>
      <c r="C161" s="15" t="n">
        <v>46.62</v>
      </c>
      <c r="D161" s="14" t="n">
        <f aca="false">AVERAGE(B142:B161)</f>
        <v>44.7515</v>
      </c>
      <c r="E161" s="14" t="n">
        <f aca="false">(B161-D161)/D161*100</f>
        <v>-8.07012055461828</v>
      </c>
    </row>
    <row r="162" customFormat="false" ht="15" hidden="false" customHeight="false" outlineLevel="0" collapsed="false">
      <c r="A162" s="12" t="n">
        <v>42237</v>
      </c>
      <c r="B162" s="15" t="n">
        <v>40.45</v>
      </c>
      <c r="C162" s="15" t="n">
        <v>45.46</v>
      </c>
      <c r="D162" s="14" t="n">
        <f aca="false">AVERAGE(B143:B162)</f>
        <v>44.367</v>
      </c>
      <c r="E162" s="14" t="n">
        <f aca="false">(B162-D162)/D162*100</f>
        <v>-8.82863389456128</v>
      </c>
    </row>
    <row r="163" customFormat="false" ht="15" hidden="false" customHeight="false" outlineLevel="0" collapsed="false">
      <c r="A163" s="12" t="n">
        <v>42240</v>
      </c>
      <c r="B163" s="15" t="n">
        <v>38.24</v>
      </c>
      <c r="C163" s="15" t="n">
        <v>42.69</v>
      </c>
      <c r="D163" s="14" t="n">
        <f aca="false">AVERAGE(B144:B163)</f>
        <v>43.9095</v>
      </c>
      <c r="E163" s="14" t="n">
        <f aca="false">(B163-D163)/D163*100</f>
        <v>-12.9117844657762</v>
      </c>
    </row>
    <row r="164" customFormat="false" ht="15" hidden="false" customHeight="false" outlineLevel="0" collapsed="false">
      <c r="A164" s="12" t="n">
        <v>42241</v>
      </c>
      <c r="B164" s="15" t="n">
        <v>39.31</v>
      </c>
      <c r="C164" s="15" t="n">
        <v>43.21</v>
      </c>
      <c r="D164" s="14" t="n">
        <f aca="false">AVERAGE(B145:B164)</f>
        <v>43.476</v>
      </c>
      <c r="E164" s="14" t="n">
        <f aca="false">(B164-D164)/D164*100</f>
        <v>-9.58229827951053</v>
      </c>
    </row>
    <row r="165" customFormat="false" ht="15" hidden="false" customHeight="false" outlineLevel="0" collapsed="false">
      <c r="A165" s="12" t="n">
        <v>42242</v>
      </c>
      <c r="B165" s="15" t="n">
        <v>38.6</v>
      </c>
      <c r="C165" s="15" t="n">
        <v>43.14</v>
      </c>
      <c r="D165" s="14" t="n">
        <f aca="false">AVERAGE(B146:B165)</f>
        <v>42.9665</v>
      </c>
      <c r="E165" s="14" t="n">
        <f aca="false">(B165-D165)/D165*100</f>
        <v>-10.1625685126785</v>
      </c>
    </row>
    <row r="166" customFormat="false" ht="15" hidden="false" customHeight="false" outlineLevel="0" collapsed="false">
      <c r="A166" s="12" t="n">
        <v>42243</v>
      </c>
      <c r="B166" s="15" t="n">
        <v>42.56</v>
      </c>
      <c r="C166" s="15" t="n">
        <v>47.56</v>
      </c>
      <c r="D166" s="14" t="n">
        <f aca="false">AVERAGE(B147:B166)</f>
        <v>42.6685</v>
      </c>
      <c r="E166" s="14" t="n">
        <f aca="false">(B166-D166)/D166*100</f>
        <v>-0.254285948650642</v>
      </c>
    </row>
    <row r="167" customFormat="false" ht="15" hidden="false" customHeight="false" outlineLevel="0" collapsed="false">
      <c r="A167" s="12" t="n">
        <v>42244</v>
      </c>
      <c r="B167" s="15" t="n">
        <v>45.22</v>
      </c>
      <c r="C167" s="15" t="n">
        <v>50.05</v>
      </c>
      <c r="D167" s="14" t="n">
        <f aca="false">AVERAGE(B148:B167)</f>
        <v>42.5735</v>
      </c>
      <c r="E167" s="14" t="n">
        <f aca="false">(B167-D167)/D167*100</f>
        <v>6.21630826687962</v>
      </c>
    </row>
    <row r="168" customFormat="false" ht="15" hidden="false" customHeight="false" outlineLevel="0" collapsed="false">
      <c r="A168" s="12" t="n">
        <v>42247</v>
      </c>
      <c r="B168" s="15" t="n">
        <v>49.2</v>
      </c>
      <c r="C168" s="15" t="n">
        <v>54.15</v>
      </c>
      <c r="D168" s="14" t="n">
        <f aca="false">AVERAGE(B149:B168)</f>
        <v>42.775</v>
      </c>
      <c r="E168" s="14" t="n">
        <f aca="false">(B168-D168)/D168*100</f>
        <v>15.020455873758</v>
      </c>
    </row>
    <row r="169" customFormat="false" ht="15" hidden="false" customHeight="false" outlineLevel="0" collapsed="false">
      <c r="A169" s="12" t="n">
        <v>42248</v>
      </c>
      <c r="B169" s="15" t="n">
        <v>45.41</v>
      </c>
      <c r="C169" s="15" t="n">
        <v>49.56</v>
      </c>
      <c r="D169" s="14" t="n">
        <f aca="false">AVERAGE(B150:B169)</f>
        <v>42.7585</v>
      </c>
      <c r="E169" s="14" t="n">
        <f aca="false">(B169-D169)/D169*100</f>
        <v>6.20110621279979</v>
      </c>
    </row>
    <row r="170" customFormat="false" ht="15" hidden="false" customHeight="false" outlineLevel="0" collapsed="false">
      <c r="A170" s="12" t="n">
        <v>42249</v>
      </c>
      <c r="B170" s="15" t="n">
        <v>46.25</v>
      </c>
      <c r="C170" s="15" t="n">
        <v>50.5</v>
      </c>
      <c r="D170" s="14" t="n">
        <f aca="false">AVERAGE(B151:B170)</f>
        <v>42.8135</v>
      </c>
      <c r="E170" s="14" t="n">
        <f aca="false">(B170-D170)/D170*100</f>
        <v>8.0266738295164</v>
      </c>
    </row>
    <row r="171" customFormat="false" ht="15" hidden="false" customHeight="false" outlineLevel="0" collapsed="false">
      <c r="A171" s="12" t="n">
        <v>42250</v>
      </c>
      <c r="B171" s="15" t="n">
        <v>46.75</v>
      </c>
      <c r="C171" s="15" t="n">
        <v>50.68</v>
      </c>
      <c r="D171" s="14" t="n">
        <f aca="false">AVERAGE(B152:B171)</f>
        <v>42.918</v>
      </c>
      <c r="E171" s="14" t="n">
        <f aca="false">(B171-D171)/D171*100</f>
        <v>8.92865464373923</v>
      </c>
    </row>
    <row r="172" customFormat="false" ht="15" hidden="false" customHeight="false" outlineLevel="0" collapsed="false">
      <c r="A172" s="12" t="n">
        <v>42251</v>
      </c>
      <c r="B172" s="15" t="n">
        <v>46.05</v>
      </c>
      <c r="C172" s="15" t="n">
        <v>49.61</v>
      </c>
      <c r="D172" s="14" t="n">
        <f aca="false">AVERAGE(B153:B172)</f>
        <v>43.027</v>
      </c>
      <c r="E172" s="14" t="n">
        <f aca="false">(B172-D172)/D172*100</f>
        <v>7.02582099611871</v>
      </c>
    </row>
    <row r="173" customFormat="false" ht="15" hidden="false" customHeight="false" outlineLevel="0" collapsed="false">
      <c r="A173" s="12" t="n">
        <v>42255</v>
      </c>
      <c r="B173" s="15" t="n">
        <v>45.94</v>
      </c>
      <c r="C173" s="15" t="n">
        <v>49.52</v>
      </c>
      <c r="D173" s="14" t="n">
        <f aca="false">AVERAGE(B154:B173)</f>
        <v>43.076</v>
      </c>
      <c r="E173" s="14" t="n">
        <f aca="false">(B173-D173)/D173*100</f>
        <v>6.64871390101216</v>
      </c>
    </row>
    <row r="174" customFormat="false" ht="15" hidden="false" customHeight="false" outlineLevel="0" collapsed="false">
      <c r="A174" s="12" t="n">
        <v>42256</v>
      </c>
      <c r="B174" s="15" t="n">
        <v>44.15</v>
      </c>
      <c r="C174" s="15" t="n">
        <v>47.58</v>
      </c>
      <c r="D174" s="14" t="n">
        <f aca="false">AVERAGE(B155:B174)</f>
        <v>43.1295</v>
      </c>
      <c r="E174" s="14" t="n">
        <f aca="false">(B174-D174)/D174*100</f>
        <v>2.36612991108174</v>
      </c>
    </row>
    <row r="175" customFormat="false" ht="15" hidden="false" customHeight="false" outlineLevel="0" collapsed="false">
      <c r="A175" s="12" t="n">
        <v>42257</v>
      </c>
      <c r="B175" s="15" t="n">
        <v>45.92</v>
      </c>
      <c r="C175" s="15" t="n">
        <v>48.89</v>
      </c>
      <c r="D175" s="14" t="n">
        <f aca="false">AVERAGE(B156:B175)</f>
        <v>43.2605</v>
      </c>
      <c r="E175" s="14" t="n">
        <f aca="false">(B175-D175)/D175*100</f>
        <v>6.14764045723004</v>
      </c>
    </row>
    <row r="176" customFormat="false" ht="15" hidden="false" customHeight="false" outlineLevel="0" collapsed="false">
      <c r="A176" s="12" t="n">
        <v>42258</v>
      </c>
      <c r="B176" s="15" t="n">
        <v>44.63</v>
      </c>
      <c r="C176" s="15" t="n">
        <v>48.14</v>
      </c>
      <c r="D176" s="14" t="n">
        <f aca="false">AVERAGE(B157:B176)</f>
        <v>43.3805</v>
      </c>
      <c r="E176" s="14" t="n">
        <f aca="false">(B176-D176)/D176*100</f>
        <v>2.88032641394176</v>
      </c>
    </row>
    <row r="177" customFormat="false" ht="15" hidden="false" customHeight="false" outlineLevel="0" collapsed="false">
      <c r="A177" s="12" t="n">
        <v>42261</v>
      </c>
      <c r="B177" s="15" t="n">
        <v>44</v>
      </c>
      <c r="C177" s="15" t="n">
        <v>46.37</v>
      </c>
      <c r="D177" s="14" t="n">
        <f aca="false">AVERAGE(B158:B177)</f>
        <v>43.4555</v>
      </c>
      <c r="E177" s="14" t="n">
        <f aca="false">(B177-D177)/D177*100</f>
        <v>1.2530059486141</v>
      </c>
    </row>
    <row r="178" customFormat="false" ht="15" hidden="false" customHeight="false" outlineLevel="0" collapsed="false">
      <c r="A178" s="12" t="n">
        <v>42262</v>
      </c>
      <c r="B178" s="15" t="n">
        <v>44.59</v>
      </c>
      <c r="C178" s="15" t="n">
        <v>46.63</v>
      </c>
      <c r="D178" s="14" t="n">
        <f aca="false">AVERAGE(B159:B178)</f>
        <v>43.5915</v>
      </c>
      <c r="E178" s="14" t="n">
        <f aca="false">(B178-D178)/D178*100</f>
        <v>2.29058417352007</v>
      </c>
    </row>
    <row r="179" customFormat="false" ht="15" hidden="false" customHeight="false" outlineLevel="0" collapsed="false">
      <c r="A179" s="12" t="n">
        <v>42263</v>
      </c>
      <c r="B179" s="15" t="n">
        <v>47.15</v>
      </c>
      <c r="C179" s="15" t="n">
        <v>46.61</v>
      </c>
      <c r="D179" s="14" t="n">
        <f aca="false">AVERAGE(B160:B179)</f>
        <v>43.818</v>
      </c>
      <c r="E179" s="14" t="n">
        <f aca="false">(B179-D179)/D179*100</f>
        <v>7.60418093021133</v>
      </c>
    </row>
    <row r="180" customFormat="false" ht="15" hidden="false" customHeight="false" outlineLevel="0" collapsed="false">
      <c r="A180" s="12" t="n">
        <v>42264</v>
      </c>
      <c r="B180" s="15" t="n">
        <v>46.9</v>
      </c>
      <c r="C180" s="15" t="n">
        <v>49.08</v>
      </c>
      <c r="D180" s="14" t="n">
        <f aca="false">AVERAGE(B161:B180)</f>
        <v>44.123</v>
      </c>
      <c r="E180" s="14" t="n">
        <f aca="false">(B180-D180)/D180*100</f>
        <v>6.29376968927769</v>
      </c>
    </row>
    <row r="181" customFormat="false" ht="15" hidden="false" customHeight="false" outlineLevel="0" collapsed="false">
      <c r="A181" s="12" t="n">
        <v>42265</v>
      </c>
      <c r="B181" s="15" t="n">
        <v>44.68</v>
      </c>
      <c r="C181" s="15" t="n">
        <v>47.47</v>
      </c>
      <c r="D181" s="14" t="n">
        <f aca="false">AVERAGE(B162:B181)</f>
        <v>44.3</v>
      </c>
      <c r="E181" s="14" t="n">
        <f aca="false">(B181-D181)/D181*100</f>
        <v>0.857787810383753</v>
      </c>
    </row>
    <row r="182" customFormat="false" ht="15" hidden="false" customHeight="false" outlineLevel="0" collapsed="false">
      <c r="A182" s="12" t="n">
        <v>42268</v>
      </c>
      <c r="B182" s="15" t="n">
        <v>46.68</v>
      </c>
      <c r="C182" s="15" t="n">
        <v>48.92</v>
      </c>
      <c r="D182" s="14" t="n">
        <f aca="false">AVERAGE(B163:B182)</f>
        <v>44.6115</v>
      </c>
      <c r="E182" s="14" t="n">
        <f aca="false">(B182-D182)/D182*100</f>
        <v>4.63669681584345</v>
      </c>
    </row>
    <row r="183" customFormat="false" ht="15" hidden="false" customHeight="false" outlineLevel="0" collapsed="false">
      <c r="A183" s="12" t="n">
        <v>42269</v>
      </c>
      <c r="B183" s="15" t="n">
        <v>45.83</v>
      </c>
      <c r="C183" s="15" t="n">
        <v>49.08</v>
      </c>
      <c r="D183" s="14" t="n">
        <f aca="false">AVERAGE(B164:B183)</f>
        <v>44.991</v>
      </c>
      <c r="E183" s="14" t="n">
        <f aca="false">(B183-D183)/D183*100</f>
        <v>1.86481740792603</v>
      </c>
    </row>
    <row r="184" customFormat="false" ht="15" hidden="false" customHeight="false" outlineLevel="0" collapsed="false">
      <c r="A184" s="12" t="n">
        <v>42270</v>
      </c>
      <c r="B184" s="15" t="n">
        <v>44.48</v>
      </c>
      <c r="C184" s="15" t="n">
        <v>47.75</v>
      </c>
      <c r="D184" s="14" t="n">
        <f aca="false">AVERAGE(B165:B184)</f>
        <v>45.2495</v>
      </c>
      <c r="E184" s="14" t="n">
        <f aca="false">(B184-D184)/D184*100</f>
        <v>-1.70057127703069</v>
      </c>
    </row>
    <row r="185" customFormat="false" ht="15" hidden="false" customHeight="false" outlineLevel="0" collapsed="false">
      <c r="A185" s="12" t="n">
        <v>42271</v>
      </c>
      <c r="B185" s="15" t="n">
        <v>44.91</v>
      </c>
      <c r="C185" s="15" t="n">
        <v>48.17</v>
      </c>
      <c r="D185" s="14" t="n">
        <f aca="false">AVERAGE(B166:B185)</f>
        <v>45.565</v>
      </c>
      <c r="E185" s="14" t="n">
        <f aca="false">(B185-D185)/D185*100</f>
        <v>-1.43750685833425</v>
      </c>
    </row>
    <row r="186" customFormat="false" ht="15" hidden="false" customHeight="false" outlineLevel="0" collapsed="false">
      <c r="A186" s="12" t="n">
        <v>42272</v>
      </c>
      <c r="B186" s="15" t="n">
        <v>45.7</v>
      </c>
      <c r="C186" s="15" t="n">
        <v>48.6</v>
      </c>
      <c r="D186" s="14" t="n">
        <f aca="false">AVERAGE(B167:B186)</f>
        <v>45.722</v>
      </c>
      <c r="E186" s="14" t="n">
        <f aca="false">(B186-D186)/D186*100</f>
        <v>-0.0481168802764345</v>
      </c>
    </row>
    <row r="187" customFormat="false" ht="15" hidden="false" customHeight="false" outlineLevel="0" collapsed="false">
      <c r="A187" s="12" t="n">
        <v>42275</v>
      </c>
      <c r="B187" s="15" t="n">
        <v>44.43</v>
      </c>
      <c r="C187" s="15" t="n">
        <v>47.34</v>
      </c>
      <c r="D187" s="14" t="n">
        <f aca="false">AVERAGE(B168:B187)</f>
        <v>45.6825</v>
      </c>
      <c r="E187" s="14" t="n">
        <f aca="false">(B187-D187)/D187*100</f>
        <v>-2.74175012313249</v>
      </c>
    </row>
    <row r="188" customFormat="false" ht="15" hidden="false" customHeight="false" outlineLevel="0" collapsed="false">
      <c r="A188" s="12" t="n">
        <v>42276</v>
      </c>
      <c r="B188" s="15" t="n">
        <v>45.23</v>
      </c>
      <c r="C188" s="15" t="n">
        <v>48.23</v>
      </c>
      <c r="D188" s="14" t="n">
        <f aca="false">AVERAGE(B169:B188)</f>
        <v>45.484</v>
      </c>
      <c r="E188" s="14" t="n">
        <f aca="false">(B188-D188)/D188*100</f>
        <v>-0.558438132090401</v>
      </c>
    </row>
    <row r="189" customFormat="false" ht="15" hidden="false" customHeight="false" outlineLevel="0" collapsed="false">
      <c r="A189" s="12" t="n">
        <v>42277</v>
      </c>
      <c r="B189" s="15" t="n">
        <v>45.09</v>
      </c>
      <c r="C189" s="15" t="n">
        <v>48.37</v>
      </c>
      <c r="D189" s="14" t="n">
        <f aca="false">AVERAGE(B170:B189)</f>
        <v>45.468</v>
      </c>
      <c r="E189" s="14" t="n">
        <f aca="false">(B189-D189)/D189*100</f>
        <v>-0.831353919239905</v>
      </c>
    </row>
    <row r="190" customFormat="false" ht="15" hidden="false" customHeight="false" outlineLevel="0" collapsed="false">
      <c r="A190" s="12" t="n">
        <v>42278</v>
      </c>
      <c r="B190" s="15" t="n">
        <v>44.74</v>
      </c>
      <c r="C190" s="15" t="n">
        <v>47.69</v>
      </c>
      <c r="D190" s="14" t="n">
        <f aca="false">AVERAGE(B171:B190)</f>
        <v>45.3925</v>
      </c>
      <c r="E190" s="14" t="n">
        <f aca="false">(B190-D190)/D190*100</f>
        <v>-1.43746213581538</v>
      </c>
    </row>
    <row r="191" customFormat="false" ht="15" hidden="false" customHeight="false" outlineLevel="0" collapsed="false">
      <c r="A191" s="12" t="n">
        <v>42279</v>
      </c>
      <c r="B191" s="15" t="n">
        <v>45.54</v>
      </c>
      <c r="C191" s="15" t="n">
        <v>48.13</v>
      </c>
      <c r="D191" s="14" t="n">
        <f aca="false">AVERAGE(B172:B191)</f>
        <v>45.332</v>
      </c>
      <c r="E191" s="14" t="n">
        <f aca="false">(B191-D191)/D191*100</f>
        <v>0.458837024618368</v>
      </c>
    </row>
    <row r="192" customFormat="false" ht="15" hidden="false" customHeight="false" outlineLevel="0" collapsed="false">
      <c r="A192" s="12" t="n">
        <v>42282</v>
      </c>
      <c r="B192" s="15" t="n">
        <v>46.26</v>
      </c>
      <c r="C192" s="15" t="n">
        <v>49.25</v>
      </c>
      <c r="D192" s="14" t="n">
        <f aca="false">AVERAGE(B173:B192)</f>
        <v>45.3425</v>
      </c>
      <c r="E192" s="14" t="n">
        <f aca="false">(B192-D192)/D192*100</f>
        <v>2.02348789766774</v>
      </c>
    </row>
    <row r="193" customFormat="false" ht="15" hidden="false" customHeight="false" outlineLevel="0" collapsed="false">
      <c r="A193" s="12" t="n">
        <v>42283</v>
      </c>
      <c r="B193" s="15" t="n">
        <v>48.53</v>
      </c>
      <c r="C193" s="15" t="n">
        <v>51.92</v>
      </c>
      <c r="D193" s="14" t="n">
        <f aca="false">AVERAGE(B174:B193)</f>
        <v>45.472</v>
      </c>
      <c r="E193" s="14" t="n">
        <f aca="false">(B193-D193)/D193*100</f>
        <v>6.72501759324419</v>
      </c>
    </row>
    <row r="194" customFormat="false" ht="15" hidden="false" customHeight="false" outlineLevel="0" collapsed="false">
      <c r="A194" s="12" t="n">
        <v>42284</v>
      </c>
      <c r="B194" s="15" t="n">
        <v>47.81</v>
      </c>
      <c r="C194" s="15" t="n">
        <v>51.33</v>
      </c>
      <c r="D194" s="14" t="n">
        <f aca="false">AVERAGE(B175:B194)</f>
        <v>45.655</v>
      </c>
      <c r="E194" s="14" t="n">
        <f aca="false">(B194-D194)/D194*100</f>
        <v>4.72018398861023</v>
      </c>
    </row>
    <row r="195" customFormat="false" ht="15" hidden="false" customHeight="false" outlineLevel="0" collapsed="false">
      <c r="A195" s="12" t="n">
        <v>42285</v>
      </c>
      <c r="B195" s="15" t="n">
        <v>49.43</v>
      </c>
      <c r="C195" s="15" t="n">
        <v>53.05</v>
      </c>
      <c r="D195" s="14" t="n">
        <f aca="false">AVERAGE(B176:B195)</f>
        <v>45.8305</v>
      </c>
      <c r="E195" s="14" t="n">
        <f aca="false">(B195-D195)/D195*100</f>
        <v>7.85394006174927</v>
      </c>
    </row>
    <row r="196" customFormat="false" ht="15" hidden="false" customHeight="false" outlineLevel="0" collapsed="false">
      <c r="A196" s="12" t="n">
        <v>42286</v>
      </c>
      <c r="B196" s="15" t="n">
        <v>49.63</v>
      </c>
      <c r="C196" s="15" t="n">
        <v>52.65</v>
      </c>
      <c r="D196" s="14" t="n">
        <f aca="false">AVERAGE(B177:B196)</f>
        <v>46.0805</v>
      </c>
      <c r="E196" s="14" t="n">
        <f aca="false">(B196-D196)/D196*100</f>
        <v>7.70282440511714</v>
      </c>
    </row>
    <row r="197" customFormat="false" ht="15" hidden="false" customHeight="false" outlineLevel="0" collapsed="false">
      <c r="A197" s="12" t="n">
        <v>42289</v>
      </c>
      <c r="B197" s="15" t="n">
        <v>47.1</v>
      </c>
      <c r="C197" s="15" t="n">
        <v>49.86</v>
      </c>
      <c r="D197" s="14" t="n">
        <f aca="false">AVERAGE(B178:B197)</f>
        <v>46.2355</v>
      </c>
      <c r="E197" s="14" t="n">
        <f aca="false">(B197-D197)/D197*100</f>
        <v>1.86977538904089</v>
      </c>
    </row>
    <row r="198" customFormat="false" ht="15" hidden="false" customHeight="false" outlineLevel="0" collapsed="false">
      <c r="A198" s="12" t="n">
        <v>42290</v>
      </c>
      <c r="B198" s="15" t="n">
        <v>46.66</v>
      </c>
      <c r="C198" s="15" t="n">
        <v>49.24</v>
      </c>
      <c r="D198" s="14" t="n">
        <f aca="false">AVERAGE(B179:B198)</f>
        <v>46.339</v>
      </c>
      <c r="E198" s="14" t="n">
        <f aca="false">(B198-D198)/D198*100</f>
        <v>0.692721034118125</v>
      </c>
    </row>
    <row r="199" customFormat="false" ht="15" hidden="false" customHeight="false" outlineLevel="0" collapsed="false">
      <c r="A199" s="12" t="n">
        <v>42291</v>
      </c>
      <c r="B199" s="15" t="n">
        <v>46.64</v>
      </c>
      <c r="C199" s="15" t="n">
        <v>49.15</v>
      </c>
      <c r="D199" s="14" t="n">
        <f aca="false">AVERAGE(B180:B199)</f>
        <v>46.3135</v>
      </c>
      <c r="E199" s="14" t="n">
        <f aca="false">(B199-D199)/D199*100</f>
        <v>0.704978030163997</v>
      </c>
    </row>
    <row r="200" customFormat="false" ht="15" hidden="false" customHeight="false" outlineLevel="0" collapsed="false">
      <c r="A200" s="12" t="n">
        <v>42292</v>
      </c>
      <c r="B200" s="15" t="n">
        <v>46.38</v>
      </c>
      <c r="C200" s="15" t="n">
        <v>48.71</v>
      </c>
      <c r="D200" s="14" t="n">
        <f aca="false">AVERAGE(B181:B200)</f>
        <v>46.2875</v>
      </c>
      <c r="E200" s="14" t="n">
        <f aca="false">(B200-D200)/D200*100</f>
        <v>0.199837969214153</v>
      </c>
    </row>
    <row r="201" customFormat="false" ht="15" hidden="false" customHeight="false" outlineLevel="0" collapsed="false">
      <c r="A201" s="12" t="n">
        <v>42293</v>
      </c>
      <c r="B201" s="15" t="n">
        <v>47.26</v>
      </c>
      <c r="C201" s="15" t="n">
        <v>48.73</v>
      </c>
      <c r="D201" s="14" t="n">
        <f aca="false">AVERAGE(B182:B201)</f>
        <v>46.4165</v>
      </c>
      <c r="E201" s="14" t="n">
        <f aca="false">(B201-D201)/D201*100</f>
        <v>1.81724171361477</v>
      </c>
    </row>
    <row r="202" customFormat="false" ht="15" hidden="false" customHeight="false" outlineLevel="0" collapsed="false">
      <c r="A202" s="12" t="n">
        <v>42296</v>
      </c>
      <c r="B202" s="15" t="n">
        <v>45.89</v>
      </c>
      <c r="C202" s="15" t="n">
        <v>48.61</v>
      </c>
      <c r="D202" s="14" t="n">
        <f aca="false">AVERAGE(B183:B202)</f>
        <v>46.377</v>
      </c>
      <c r="E202" s="14" t="n">
        <f aca="false">(B202-D202)/D202*100</f>
        <v>-1.05008948401146</v>
      </c>
    </row>
    <row r="203" customFormat="false" ht="15" hidden="false" customHeight="false" outlineLevel="0" collapsed="false">
      <c r="A203" s="12" t="n">
        <v>42297</v>
      </c>
      <c r="B203" s="15" t="n">
        <v>45.55</v>
      </c>
      <c r="C203" s="15" t="n">
        <v>48.71</v>
      </c>
      <c r="D203" s="14" t="n">
        <f aca="false">AVERAGE(B184:B203)</f>
        <v>46.363</v>
      </c>
      <c r="E203" s="14" t="n">
        <f aca="false">(B203-D203)/D203*100</f>
        <v>-1.75355348014581</v>
      </c>
    </row>
    <row r="204" customFormat="false" ht="15" hidden="false" customHeight="false" outlineLevel="0" collapsed="false">
      <c r="A204" s="12" t="n">
        <v>42298</v>
      </c>
      <c r="B204" s="15" t="n">
        <v>45.2</v>
      </c>
      <c r="C204" s="15" t="n">
        <v>47.85</v>
      </c>
      <c r="D204" s="14" t="n">
        <f aca="false">AVERAGE(B185:B204)</f>
        <v>46.399</v>
      </c>
      <c r="E204" s="14" t="n">
        <f aca="false">(B204-D204)/D204*100</f>
        <v>-2.5841074161081</v>
      </c>
    </row>
    <row r="205" customFormat="false" ht="15" hidden="false" customHeight="false" outlineLevel="0" collapsed="false">
      <c r="A205" s="12" t="n">
        <v>42299</v>
      </c>
      <c r="B205" s="15" t="n">
        <v>45.38</v>
      </c>
      <c r="C205" s="15" t="n">
        <v>48.08</v>
      </c>
      <c r="D205" s="14" t="n">
        <f aca="false">AVERAGE(B186:B205)</f>
        <v>46.4225</v>
      </c>
      <c r="E205" s="14" t="n">
        <f aca="false">(B205-D205)/D205*100</f>
        <v>-2.24567828100597</v>
      </c>
    </row>
    <row r="206" customFormat="false" ht="15" hidden="false" customHeight="false" outlineLevel="0" collapsed="false">
      <c r="A206" s="12" t="n">
        <v>42300</v>
      </c>
      <c r="B206" s="15" t="n">
        <v>44.6</v>
      </c>
      <c r="C206" s="15" t="n">
        <v>47.99</v>
      </c>
      <c r="D206" s="14" t="n">
        <f aca="false">AVERAGE(B187:B206)</f>
        <v>46.3675</v>
      </c>
      <c r="E206" s="14" t="n">
        <f aca="false">(B206-D206)/D206*100</f>
        <v>-3.81193724052407</v>
      </c>
    </row>
    <row r="207" customFormat="false" ht="15" hidden="false" customHeight="false" outlineLevel="0" collapsed="false">
      <c r="A207" s="12" t="n">
        <v>42303</v>
      </c>
      <c r="B207" s="15" t="n">
        <v>43.98</v>
      </c>
      <c r="C207" s="15" t="n">
        <v>47.54</v>
      </c>
      <c r="D207" s="14" t="n">
        <f aca="false">AVERAGE(B188:B207)</f>
        <v>46.345</v>
      </c>
      <c r="E207" s="14" t="n">
        <f aca="false">(B207-D207)/D207*100</f>
        <v>-5.1030316107455</v>
      </c>
    </row>
    <row r="208" customFormat="false" ht="15" hidden="false" customHeight="false" outlineLevel="0" collapsed="false">
      <c r="A208" s="12" t="n">
        <v>42304</v>
      </c>
      <c r="B208" s="15" t="n">
        <v>43.2</v>
      </c>
      <c r="C208" s="15" t="n">
        <v>46.81</v>
      </c>
      <c r="D208" s="14" t="n">
        <f aca="false">AVERAGE(B189:B208)</f>
        <v>46.2435</v>
      </c>
      <c r="E208" s="14" t="n">
        <f aca="false">(B208-D208)/D208*100</f>
        <v>-6.58146550325991</v>
      </c>
    </row>
    <row r="209" customFormat="false" ht="15" hidden="false" customHeight="false" outlineLevel="0" collapsed="false">
      <c r="A209" s="12" t="n">
        <v>42305</v>
      </c>
      <c r="B209" s="15" t="n">
        <v>45.94</v>
      </c>
      <c r="C209" s="15" t="n">
        <v>49.05</v>
      </c>
      <c r="D209" s="14" t="n">
        <f aca="false">AVERAGE(B190:B209)</f>
        <v>46.286</v>
      </c>
      <c r="E209" s="14" t="n">
        <f aca="false">(B209-D209)/D209*100</f>
        <v>-0.747526249837972</v>
      </c>
    </row>
    <row r="210" customFormat="false" ht="15" hidden="false" customHeight="false" outlineLevel="0" collapsed="false">
      <c r="A210" s="12" t="n">
        <v>42306</v>
      </c>
      <c r="B210" s="15" t="n">
        <v>46.06</v>
      </c>
      <c r="C210" s="15" t="n">
        <v>48.8</v>
      </c>
      <c r="D210" s="14" t="n">
        <f aca="false">AVERAGE(B191:B210)</f>
        <v>46.352</v>
      </c>
      <c r="E210" s="14" t="n">
        <f aca="false">(B210-D210)/D210*100</f>
        <v>-0.62996202968587</v>
      </c>
    </row>
    <row r="211" customFormat="false" ht="15" hidden="false" customHeight="false" outlineLevel="0" collapsed="false">
      <c r="A211" s="12" t="n">
        <v>42307</v>
      </c>
      <c r="B211" s="15" t="n">
        <v>46.59</v>
      </c>
      <c r="C211" s="15" t="n">
        <v>49.56</v>
      </c>
      <c r="D211" s="14" t="n">
        <f aca="false">AVERAGE(B192:B211)</f>
        <v>46.4045</v>
      </c>
      <c r="E211" s="14" t="n">
        <f aca="false">(B211-D211)/D211*100</f>
        <v>0.39974571431651</v>
      </c>
    </row>
    <row r="212" customFormat="false" ht="15" hidden="false" customHeight="false" outlineLevel="0" collapsed="false">
      <c r="A212" s="12" t="n">
        <v>42310</v>
      </c>
      <c r="B212" s="15" t="n">
        <v>46.14</v>
      </c>
      <c r="C212" s="15" t="n">
        <v>48.79</v>
      </c>
      <c r="D212" s="14" t="n">
        <f aca="false">AVERAGE(B193:B212)</f>
        <v>46.3985</v>
      </c>
      <c r="E212" s="14" t="n">
        <f aca="false">(B212-D212)/D212*100</f>
        <v>-0.557130079636191</v>
      </c>
    </row>
    <row r="213" customFormat="false" ht="15" hidden="false" customHeight="false" outlineLevel="0" collapsed="false">
      <c r="A213" s="12" t="n">
        <v>42311</v>
      </c>
      <c r="B213" s="15" t="n">
        <v>47.9</v>
      </c>
      <c r="C213" s="15" t="n">
        <v>50.54</v>
      </c>
      <c r="D213" s="14" t="n">
        <f aca="false">AVERAGE(B194:B213)</f>
        <v>46.367</v>
      </c>
      <c r="E213" s="14" t="n">
        <f aca="false">(B213-D213)/D213*100</f>
        <v>3.30623072443763</v>
      </c>
    </row>
    <row r="214" customFormat="false" ht="15" hidden="false" customHeight="false" outlineLevel="0" collapsed="false">
      <c r="A214" s="12" t="n">
        <v>42312</v>
      </c>
      <c r="B214" s="15" t="n">
        <v>46.32</v>
      </c>
      <c r="C214" s="15" t="n">
        <v>48.58</v>
      </c>
      <c r="D214" s="14" t="n">
        <f aca="false">AVERAGE(B195:B214)</f>
        <v>46.2925</v>
      </c>
      <c r="E214" s="14" t="n">
        <f aca="false">(B214-D214)/D214*100</f>
        <v>0.0594048711994304</v>
      </c>
    </row>
    <row r="215" customFormat="false" ht="15" hidden="false" customHeight="false" outlineLevel="0" collapsed="false">
      <c r="A215" s="12" t="n">
        <v>42313</v>
      </c>
      <c r="B215" s="15" t="n">
        <v>45.2</v>
      </c>
      <c r="C215" s="15" t="n">
        <v>47.98</v>
      </c>
      <c r="D215" s="14" t="n">
        <f aca="false">AVERAGE(B196:B215)</f>
        <v>46.081</v>
      </c>
      <c r="E215" s="14" t="n">
        <f aca="false">(B215-D215)/D215*100</f>
        <v>-1.91185087129186</v>
      </c>
    </row>
    <row r="216" customFormat="false" ht="15" hidden="false" customHeight="false" outlineLevel="0" collapsed="false">
      <c r="A216" s="12" t="n">
        <v>42314</v>
      </c>
      <c r="B216" s="15" t="n">
        <v>44.29</v>
      </c>
      <c r="C216" s="15" t="n">
        <v>47.42</v>
      </c>
      <c r="D216" s="14" t="n">
        <f aca="false">AVERAGE(B197:B216)</f>
        <v>45.814</v>
      </c>
      <c r="E216" s="14" t="n">
        <f aca="false">(B216-D216)/D216*100</f>
        <v>-3.32649408477758</v>
      </c>
    </row>
    <row r="217" customFormat="false" ht="15" hidden="false" customHeight="false" outlineLevel="0" collapsed="false">
      <c r="A217" s="12" t="n">
        <v>42317</v>
      </c>
      <c r="B217" s="15" t="n">
        <v>43.87</v>
      </c>
      <c r="C217" s="15" t="n">
        <v>47.19</v>
      </c>
      <c r="D217" s="14" t="n">
        <f aca="false">AVERAGE(B198:B217)</f>
        <v>45.6525</v>
      </c>
      <c r="E217" s="14" t="n">
        <f aca="false">(B217-D217)/D217*100</f>
        <v>-3.90449592026723</v>
      </c>
    </row>
    <row r="218" customFormat="false" ht="15" hidden="false" customHeight="false" outlineLevel="0" collapsed="false">
      <c r="A218" s="12" t="n">
        <v>42318</v>
      </c>
      <c r="B218" s="15" t="n">
        <v>44.21</v>
      </c>
      <c r="C218" s="15" t="n">
        <v>47.44</v>
      </c>
      <c r="D218" s="14" t="n">
        <f aca="false">AVERAGE(B199:B218)</f>
        <v>45.53</v>
      </c>
      <c r="E218" s="14" t="n">
        <f aca="false">(B218-D218)/D218*100</f>
        <v>-2.89918734900066</v>
      </c>
    </row>
    <row r="219" customFormat="false" ht="15" hidden="false" customHeight="false" outlineLevel="0" collapsed="false">
      <c r="A219" s="12" t="n">
        <v>42319</v>
      </c>
      <c r="B219" s="15" t="n">
        <v>42.93</v>
      </c>
      <c r="C219" s="15" t="n">
        <v>45.81</v>
      </c>
      <c r="D219" s="14" t="n">
        <f aca="false">AVERAGE(B200:B219)</f>
        <v>45.3445</v>
      </c>
      <c r="E219" s="14" t="n">
        <f aca="false">(B219-D219)/D219*100</f>
        <v>-5.32479131978519</v>
      </c>
    </row>
    <row r="220" customFormat="false" ht="15" hidden="false" customHeight="false" outlineLevel="0" collapsed="false">
      <c r="A220" s="12" t="n">
        <v>42320</v>
      </c>
      <c r="B220" s="15" t="n">
        <v>41.75</v>
      </c>
      <c r="C220" s="15" t="n">
        <v>44.06</v>
      </c>
      <c r="D220" s="14" t="n">
        <f aca="false">AVERAGE(B201:B220)</f>
        <v>45.113</v>
      </c>
      <c r="E220" s="14" t="n">
        <f aca="false">(B220-D220)/D220*100</f>
        <v>-7.45461396936581</v>
      </c>
    </row>
    <row r="221" customFormat="false" ht="15" hidden="false" customHeight="false" outlineLevel="0" collapsed="false">
      <c r="A221" s="12" t="n">
        <v>42321</v>
      </c>
      <c r="B221" s="15" t="n">
        <v>40.74</v>
      </c>
      <c r="C221" s="15" t="n">
        <v>43.61</v>
      </c>
      <c r="D221" s="14" t="n">
        <f aca="false">AVERAGE(B202:B221)</f>
        <v>44.787</v>
      </c>
      <c r="E221" s="14" t="n">
        <f aca="false">(B221-D221)/D221*100</f>
        <v>-9.03610422667291</v>
      </c>
    </row>
    <row r="222" customFormat="false" ht="15" hidden="false" customHeight="false" outlineLevel="0" collapsed="false">
      <c r="A222" s="12" t="n">
        <v>42324</v>
      </c>
      <c r="B222" s="15" t="n">
        <v>41.74</v>
      </c>
      <c r="C222" s="15" t="n">
        <v>43.58</v>
      </c>
      <c r="D222" s="14" t="n">
        <f aca="false">AVERAGE(B203:B222)</f>
        <v>44.5795</v>
      </c>
      <c r="E222" s="14" t="n">
        <f aca="false">(B222-D222)/D222*100</f>
        <v>-6.3695196222479</v>
      </c>
    </row>
    <row r="223" customFormat="false" ht="15" hidden="false" customHeight="false" outlineLevel="0" collapsed="false">
      <c r="A223" s="12" t="n">
        <v>42325</v>
      </c>
      <c r="B223" s="15" t="n">
        <v>40.67</v>
      </c>
      <c r="C223" s="15" t="n">
        <v>43.57</v>
      </c>
      <c r="D223" s="14" t="n">
        <f aca="false">AVERAGE(B204:B223)</f>
        <v>44.3355</v>
      </c>
      <c r="E223" s="14" t="n">
        <f aca="false">(B223-D223)/D223*100</f>
        <v>-8.26764105513641</v>
      </c>
    </row>
    <row r="224" customFormat="false" ht="15" hidden="false" customHeight="false" outlineLevel="0" collapsed="false">
      <c r="A224" s="12" t="n">
        <v>42326</v>
      </c>
      <c r="B224" s="15" t="n">
        <v>40.75</v>
      </c>
      <c r="C224" s="15" t="n">
        <v>44.14</v>
      </c>
      <c r="D224" s="14" t="n">
        <f aca="false">AVERAGE(B205:B224)</f>
        <v>44.113</v>
      </c>
      <c r="E224" s="14" t="n">
        <f aca="false">(B224-D224)/D224*100</f>
        <v>-7.62360301951806</v>
      </c>
    </row>
    <row r="225" customFormat="false" ht="15" hidden="false" customHeight="false" outlineLevel="0" collapsed="false">
      <c r="A225" s="12" t="n">
        <v>42327</v>
      </c>
      <c r="B225" s="15" t="n">
        <v>40.54</v>
      </c>
      <c r="C225" s="15" t="n">
        <v>44.18</v>
      </c>
      <c r="D225" s="14" t="n">
        <f aca="false">AVERAGE(B206:B225)</f>
        <v>43.871</v>
      </c>
      <c r="E225" s="14" t="n">
        <f aca="false">(B225-D225)/D225*100</f>
        <v>-7.59271500535661</v>
      </c>
    </row>
    <row r="226" customFormat="false" ht="15" hidden="false" customHeight="false" outlineLevel="0" collapsed="false">
      <c r="A226" s="12" t="n">
        <v>42328</v>
      </c>
      <c r="B226" s="15" t="n">
        <v>40.39</v>
      </c>
      <c r="C226" s="15" t="n">
        <v>44.66</v>
      </c>
      <c r="D226" s="14" t="n">
        <f aca="false">AVERAGE(B207:B226)</f>
        <v>43.6605</v>
      </c>
      <c r="E226" s="14" t="n">
        <f aca="false">(B226-D226)/D226*100</f>
        <v>-7.49075251085077</v>
      </c>
    </row>
    <row r="227" customFormat="false" ht="15" hidden="false" customHeight="false" outlineLevel="0" collapsed="false">
      <c r="A227" s="12" t="n">
        <v>42331</v>
      </c>
      <c r="B227" s="15" t="n">
        <v>41.75</v>
      </c>
      <c r="C227" s="15" t="n">
        <v>44.83</v>
      </c>
      <c r="D227" s="14" t="n">
        <f aca="false">AVERAGE(B208:B227)</f>
        <v>43.549</v>
      </c>
      <c r="E227" s="14" t="n">
        <f aca="false">(B227-D227)/D227*100</f>
        <v>-4.13097889733404</v>
      </c>
    </row>
    <row r="228" customFormat="false" ht="15" hidden="false" customHeight="false" outlineLevel="0" collapsed="false">
      <c r="A228" s="12" t="n">
        <v>42332</v>
      </c>
      <c r="B228" s="15" t="n">
        <v>42.87</v>
      </c>
      <c r="C228" s="15" t="n">
        <v>46.12</v>
      </c>
      <c r="D228" s="14" t="n">
        <f aca="false">AVERAGE(B209:B228)</f>
        <v>43.5325</v>
      </c>
      <c r="E228" s="14" t="n">
        <f aca="false">(B228-D228)/D228*100</f>
        <v>-1.5218514902659</v>
      </c>
    </row>
    <row r="229" customFormat="false" ht="15" hidden="false" customHeight="false" outlineLevel="0" collapsed="false">
      <c r="A229" s="12" t="n">
        <v>42333</v>
      </c>
      <c r="B229" s="15" t="n">
        <v>43.04</v>
      </c>
      <c r="C229" s="15" t="n">
        <v>46.17</v>
      </c>
      <c r="D229" s="14" t="n">
        <f aca="false">AVERAGE(B210:B229)</f>
        <v>43.3875</v>
      </c>
      <c r="E229" s="14" t="n">
        <f aca="false">(B229-D229)/D229*100</f>
        <v>-0.800921924517439</v>
      </c>
    </row>
    <row r="230" customFormat="false" ht="15" hidden="false" customHeight="false" outlineLevel="0" collapsed="false">
      <c r="A230" s="12" t="n">
        <v>42335</v>
      </c>
      <c r="B230" s="15" t="n">
        <v>41.71</v>
      </c>
      <c r="C230" s="15" t="n">
        <v>44.86</v>
      </c>
      <c r="D230" s="14" t="n">
        <f aca="false">AVERAGE(B211:B230)</f>
        <v>43.17</v>
      </c>
      <c r="E230" s="14" t="n">
        <f aca="false">(B230-D230)/D230*100</f>
        <v>-3.38197822561965</v>
      </c>
    </row>
    <row r="231" customFormat="false" ht="15" hidden="false" customHeight="false" outlineLevel="0" collapsed="false">
      <c r="A231" s="12" t="n">
        <v>42338</v>
      </c>
      <c r="B231" s="15" t="n">
        <v>41.65</v>
      </c>
      <c r="C231" s="15" t="n">
        <v>44.61</v>
      </c>
      <c r="D231" s="14" t="n">
        <f aca="false">AVERAGE(B212:B231)</f>
        <v>42.923</v>
      </c>
      <c r="E231" s="14" t="n">
        <f aca="false">(B231-D231)/D231*100</f>
        <v>-2.96577592432962</v>
      </c>
    </row>
    <row r="232" customFormat="false" ht="15" hidden="false" customHeight="false" outlineLevel="0" collapsed="false">
      <c r="A232" s="12" t="n">
        <v>42339</v>
      </c>
      <c r="B232" s="15" t="n">
        <v>41.85</v>
      </c>
      <c r="C232" s="15" t="n">
        <v>44.44</v>
      </c>
      <c r="D232" s="14" t="n">
        <f aca="false">AVERAGE(B213:B232)</f>
        <v>42.7085</v>
      </c>
      <c r="E232" s="14" t="n">
        <f aca="false">(B232-D232)/D232*100</f>
        <v>-2.0101384970205</v>
      </c>
    </row>
    <row r="233" customFormat="false" ht="15" hidden="false" customHeight="false" outlineLevel="0" collapsed="false">
      <c r="A233" s="12" t="n">
        <v>42340</v>
      </c>
      <c r="B233" s="15" t="n">
        <v>39.94</v>
      </c>
      <c r="C233" s="15" t="n">
        <v>42.49</v>
      </c>
      <c r="D233" s="14" t="n">
        <f aca="false">AVERAGE(B214:B233)</f>
        <v>42.3105</v>
      </c>
      <c r="E233" s="14" t="n">
        <f aca="false">(B233-D233)/D233*100</f>
        <v>-5.60262818922019</v>
      </c>
    </row>
    <row r="234" customFormat="false" ht="15" hidden="false" customHeight="false" outlineLevel="0" collapsed="false">
      <c r="A234" s="12" t="n">
        <v>42341</v>
      </c>
      <c r="B234" s="15" t="n">
        <v>41.08</v>
      </c>
      <c r="C234" s="15" t="n">
        <v>43.84</v>
      </c>
      <c r="D234" s="14" t="n">
        <f aca="false">AVERAGE(B215:B234)</f>
        <v>42.0485</v>
      </c>
      <c r="E234" s="14" t="n">
        <f aca="false">(B234-D234)/D234*100</f>
        <v>-2.30329262637194</v>
      </c>
    </row>
    <row r="235" customFormat="false" ht="15" hidden="false" customHeight="false" outlineLevel="0" collapsed="false">
      <c r="A235" s="12" t="n">
        <v>42342</v>
      </c>
      <c r="B235" s="15" t="n">
        <v>39.97</v>
      </c>
      <c r="C235" s="15" t="n">
        <v>43</v>
      </c>
      <c r="D235" s="14" t="n">
        <f aca="false">AVERAGE(B216:B235)</f>
        <v>41.787</v>
      </c>
      <c r="E235" s="14" t="n">
        <f aca="false">(B235-D235)/D235*100</f>
        <v>-4.34824227630603</v>
      </c>
    </row>
    <row r="236" customFormat="false" ht="15" hidden="false" customHeight="false" outlineLevel="0" collapsed="false">
      <c r="A236" s="12" t="n">
        <v>42345</v>
      </c>
      <c r="B236" s="15" t="n">
        <v>37.65</v>
      </c>
      <c r="C236" s="15" t="n">
        <v>40.73</v>
      </c>
      <c r="D236" s="14" t="n">
        <f aca="false">AVERAGE(B217:B236)</f>
        <v>41.455</v>
      </c>
      <c r="E236" s="14" t="n">
        <f aca="false">(B236-D236)/D236*100</f>
        <v>-9.17862742733084</v>
      </c>
    </row>
    <row r="237" customFormat="false" ht="15" hidden="false" customHeight="false" outlineLevel="0" collapsed="false">
      <c r="A237" s="12" t="n">
        <v>42346</v>
      </c>
      <c r="B237" s="15" t="n">
        <v>37.51</v>
      </c>
      <c r="C237" s="15" t="n">
        <v>40.26</v>
      </c>
      <c r="D237" s="14" t="n">
        <f aca="false">AVERAGE(B218:B237)</f>
        <v>41.137</v>
      </c>
      <c r="E237" s="14" t="n">
        <f aca="false">(B237-D237)/D237*100</f>
        <v>-8.81688018085909</v>
      </c>
    </row>
    <row r="238" customFormat="false" ht="15" hidden="false" customHeight="false" outlineLevel="0" collapsed="false">
      <c r="A238" s="12" t="n">
        <v>42347</v>
      </c>
      <c r="B238" s="15" t="n">
        <v>37.16</v>
      </c>
      <c r="C238" s="15" t="n">
        <v>40.11</v>
      </c>
      <c r="D238" s="14" t="n">
        <f aca="false">AVERAGE(B219:B238)</f>
        <v>40.7845</v>
      </c>
      <c r="E238" s="14" t="n">
        <f aca="false">(B238-D238)/D238*100</f>
        <v>-8.88695460285157</v>
      </c>
    </row>
    <row r="239" customFormat="false" ht="15" hidden="false" customHeight="false" outlineLevel="0" collapsed="false">
      <c r="A239" s="12" t="n">
        <v>42348</v>
      </c>
      <c r="B239" s="15" t="n">
        <v>36.76</v>
      </c>
      <c r="C239" s="15" t="n">
        <v>39.73</v>
      </c>
      <c r="D239" s="14" t="n">
        <f aca="false">AVERAGE(B220:B239)</f>
        <v>40.476</v>
      </c>
      <c r="E239" s="14" t="n">
        <f aca="false">(B239-D239)/D239*100</f>
        <v>-9.18074908587805</v>
      </c>
    </row>
    <row r="240" customFormat="false" ht="15" hidden="false" customHeight="false" outlineLevel="0" collapsed="false">
      <c r="A240" s="12" t="n">
        <v>42349</v>
      </c>
      <c r="B240" s="15" t="n">
        <v>35.62</v>
      </c>
      <c r="C240" s="15" t="n">
        <v>37.93</v>
      </c>
      <c r="D240" s="14" t="n">
        <f aca="false">AVERAGE(B221:B240)</f>
        <v>40.1695</v>
      </c>
      <c r="E240" s="14" t="n">
        <f aca="false">(B240-D240)/D240*100</f>
        <v>-11.3257571042707</v>
      </c>
    </row>
    <row r="241" customFormat="false" ht="15" hidden="false" customHeight="false" outlineLevel="0" collapsed="false">
      <c r="A241" s="12" t="n">
        <v>42352</v>
      </c>
      <c r="B241" s="15" t="n">
        <v>36.31</v>
      </c>
      <c r="C241" s="15" t="n">
        <v>37.92</v>
      </c>
      <c r="D241" s="14" t="n">
        <f aca="false">AVERAGE(B222:B241)</f>
        <v>39.948</v>
      </c>
      <c r="E241" s="14" t="n">
        <f aca="false">(B241-D241)/D241*100</f>
        <v>-9.10683889055772</v>
      </c>
    </row>
    <row r="242" customFormat="false" ht="15" hidden="false" customHeight="false" outlineLevel="0" collapsed="false">
      <c r="A242" s="12" t="n">
        <v>42353</v>
      </c>
      <c r="B242" s="15" t="n">
        <v>37.35</v>
      </c>
      <c r="C242" s="15" t="n">
        <v>38.45</v>
      </c>
      <c r="D242" s="14" t="n">
        <f aca="false">AVERAGE(B223:B242)</f>
        <v>39.7285</v>
      </c>
      <c r="E242" s="14" t="n">
        <f aca="false">(B242-D242)/D242*100</f>
        <v>-5.98688598864794</v>
      </c>
    </row>
    <row r="243" customFormat="false" ht="15" hidden="false" customHeight="false" outlineLevel="0" collapsed="false">
      <c r="A243" s="12" t="n">
        <v>42354</v>
      </c>
      <c r="B243" s="15" t="n">
        <v>35.52</v>
      </c>
      <c r="C243" s="15" t="n">
        <v>37.19</v>
      </c>
      <c r="D243" s="14" t="n">
        <f aca="false">AVERAGE(B224:B243)</f>
        <v>39.471</v>
      </c>
      <c r="E243" s="14" t="n">
        <f aca="false">(B243-D243)/D243*100</f>
        <v>-10.0098806718857</v>
      </c>
    </row>
    <row r="244" customFormat="false" ht="15" hidden="false" customHeight="false" outlineLevel="0" collapsed="false">
      <c r="A244" s="12" t="n">
        <v>42355</v>
      </c>
      <c r="B244" s="15" t="n">
        <v>34.95</v>
      </c>
      <c r="C244" s="15" t="n">
        <v>37.18</v>
      </c>
      <c r="D244" s="14" t="n">
        <f aca="false">AVERAGE(B225:B244)</f>
        <v>39.181</v>
      </c>
      <c r="E244" s="14" t="n">
        <f aca="false">(B244-D244)/D244*100</f>
        <v>-10.7986013629055</v>
      </c>
    </row>
    <row r="245" customFormat="false" ht="15" hidden="false" customHeight="false" outlineLevel="0" collapsed="false">
      <c r="A245" s="12" t="n">
        <v>42356</v>
      </c>
      <c r="B245" s="15" t="n">
        <v>34.73</v>
      </c>
      <c r="C245" s="15" t="n">
        <v>36.88</v>
      </c>
      <c r="D245" s="14" t="n">
        <f aca="false">AVERAGE(B226:B245)</f>
        <v>38.8905</v>
      </c>
      <c r="E245" s="14" t="n">
        <f aca="false">(B245-D245)/D245*100</f>
        <v>-10.6979853691776</v>
      </c>
    </row>
    <row r="246" customFormat="false" ht="15" hidden="false" customHeight="false" outlineLevel="0" collapsed="false">
      <c r="A246" s="12" t="n">
        <v>42359</v>
      </c>
      <c r="B246" s="15" t="n">
        <v>34.74</v>
      </c>
      <c r="C246" s="15" t="n">
        <v>36.35</v>
      </c>
      <c r="D246" s="14" t="n">
        <f aca="false">AVERAGE(B227:B246)</f>
        <v>38.608</v>
      </c>
      <c r="E246" s="14" t="n">
        <f aca="false">(B246-D246)/D246*100</f>
        <v>-10.0186489846664</v>
      </c>
    </row>
    <row r="247" customFormat="false" ht="15" hidden="false" customHeight="false" outlineLevel="0" collapsed="false">
      <c r="A247" s="12" t="n">
        <v>42360</v>
      </c>
      <c r="B247" s="15" t="n">
        <v>36.14</v>
      </c>
      <c r="C247" s="15" t="n">
        <v>36.11</v>
      </c>
      <c r="D247" s="14" t="n">
        <f aca="false">AVERAGE(B228:B247)</f>
        <v>38.3275</v>
      </c>
      <c r="E247" s="14" t="n">
        <f aca="false">(B247-D247)/D247*100</f>
        <v>-5.70739025503881</v>
      </c>
    </row>
    <row r="248" customFormat="false" ht="15" hidden="false" customHeight="false" outlineLevel="0" collapsed="false">
      <c r="A248" s="12" t="n">
        <v>42361</v>
      </c>
      <c r="B248" s="15" t="n">
        <v>37.5</v>
      </c>
      <c r="C248" s="15" t="n">
        <v>37.36</v>
      </c>
      <c r="D248" s="14" t="n">
        <f aca="false">AVERAGE(B229:B248)</f>
        <v>38.059</v>
      </c>
      <c r="E248" s="14" t="n">
        <f aca="false">(B248-D248)/D248*100</f>
        <v>-1.46877216952626</v>
      </c>
    </row>
    <row r="249" customFormat="false" ht="15" hidden="false" customHeight="false" outlineLevel="0" collapsed="false">
      <c r="A249" s="12" t="n">
        <v>42362</v>
      </c>
      <c r="B249" s="15" t="n">
        <v>38.1</v>
      </c>
      <c r="C249" s="15" t="n">
        <v>37.89</v>
      </c>
      <c r="D249" s="14" t="n">
        <f aca="false">AVERAGE(B230:B249)</f>
        <v>37.812</v>
      </c>
      <c r="E249" s="14" t="n">
        <f aca="false">(B249-D249)/D249*100</f>
        <v>0.761662964138379</v>
      </c>
    </row>
    <row r="250" customFormat="false" ht="15" hidden="false" customHeight="false" outlineLevel="0" collapsed="false">
      <c r="A250" s="12" t="n">
        <v>42366</v>
      </c>
      <c r="B250" s="15" t="n">
        <v>36.81</v>
      </c>
      <c r="C250" s="15" t="n">
        <v>36.62</v>
      </c>
      <c r="D250" s="14" t="n">
        <f aca="false">AVERAGE(B231:B250)</f>
        <v>37.567</v>
      </c>
      <c r="E250" s="14" t="n">
        <f aca="false">(B250-D250)/D250*100</f>
        <v>-2.01506641467245</v>
      </c>
    </row>
    <row r="251" customFormat="false" ht="15" hidden="false" customHeight="false" outlineLevel="0" collapsed="false">
      <c r="A251" s="12" t="n">
        <v>42367</v>
      </c>
      <c r="B251" s="15" t="n">
        <v>37.87</v>
      </c>
      <c r="C251" s="15" t="n">
        <v>37.79</v>
      </c>
      <c r="D251" s="14" t="n">
        <f aca="false">AVERAGE(B232:B251)</f>
        <v>37.378</v>
      </c>
      <c r="E251" s="14" t="n">
        <f aca="false">(B251-D251)/D251*100</f>
        <v>1.31628230509925</v>
      </c>
    </row>
    <row r="252" customFormat="false" ht="15" hidden="false" customHeight="false" outlineLevel="0" collapsed="false">
      <c r="A252" s="12" t="n">
        <v>42368</v>
      </c>
      <c r="B252" s="15" t="n">
        <v>36.6</v>
      </c>
      <c r="C252" s="15" t="n">
        <v>36.46</v>
      </c>
      <c r="D252" s="14" t="n">
        <f aca="false">AVERAGE(B233:B252)</f>
        <v>37.1155</v>
      </c>
      <c r="E252" s="14" t="n">
        <f aca="false">(B252-D252)/D252*100</f>
        <v>-1.38890759925098</v>
      </c>
    </row>
    <row r="253" customFormat="false" ht="15" hidden="false" customHeight="false" outlineLevel="0" collapsed="false">
      <c r="A253" s="12" t="n">
        <v>42369</v>
      </c>
      <c r="B253" s="15" t="n">
        <v>37.04</v>
      </c>
      <c r="C253" s="15" t="n">
        <v>37.28</v>
      </c>
      <c r="D253" s="14" t="n">
        <f aca="false">AVERAGE(B234:B253)</f>
        <v>36.9705</v>
      </c>
      <c r="E253" s="14" t="n">
        <f aca="false">(B253-D253)/D253*100</f>
        <v>0.187987719938864</v>
      </c>
    </row>
    <row r="254" customFormat="false" ht="15" hidden="false" customHeight="false" outlineLevel="0" collapsed="false">
      <c r="A254" s="12" t="n">
        <v>42373</v>
      </c>
      <c r="B254" s="15" t="n">
        <v>36.76</v>
      </c>
      <c r="C254" s="15" t="n">
        <v>37.22</v>
      </c>
      <c r="D254" s="14" t="n">
        <f aca="false">AVERAGE(B235:B254)</f>
        <v>36.7545</v>
      </c>
      <c r="E254" s="14" t="n">
        <f aca="false">(B254-D254)/D254*100</f>
        <v>0.0149641540491582</v>
      </c>
    </row>
    <row r="255" customFormat="false" ht="15" hidden="false" customHeight="false" outlineLevel="0" collapsed="false">
      <c r="A255" s="12" t="n">
        <v>42374</v>
      </c>
      <c r="B255" s="15" t="n">
        <v>35.97</v>
      </c>
      <c r="C255" s="15" t="n">
        <v>36.42</v>
      </c>
      <c r="D255" s="14" t="n">
        <f aca="false">AVERAGE(B236:B255)</f>
        <v>36.5545</v>
      </c>
      <c r="E255" s="14" t="n">
        <f aca="false">(B255-D255)/D255*100</f>
        <v>-1.59898234143541</v>
      </c>
    </row>
    <row r="256" customFormat="false" ht="15" hidden="false" customHeight="false" outlineLevel="0" collapsed="false">
      <c r="A256" s="12" t="n">
        <v>42375</v>
      </c>
      <c r="B256" s="15" t="n">
        <v>33.97</v>
      </c>
      <c r="C256" s="15" t="n">
        <v>34.23</v>
      </c>
      <c r="D256" s="14" t="n">
        <f aca="false">AVERAGE(B237:B256)</f>
        <v>36.3705</v>
      </c>
      <c r="E256" s="14" t="n">
        <f aca="false">(B256-D256)/D256*100</f>
        <v>-6.60012922560867</v>
      </c>
    </row>
    <row r="257" customFormat="false" ht="15" hidden="false" customHeight="false" outlineLevel="0" collapsed="false">
      <c r="A257" s="12" t="n">
        <v>42376</v>
      </c>
      <c r="B257" s="15" t="n">
        <v>33.27</v>
      </c>
      <c r="C257" s="15" t="n">
        <v>33.75</v>
      </c>
      <c r="D257" s="14" t="n">
        <f aca="false">AVERAGE(B238:B257)</f>
        <v>36.1585</v>
      </c>
      <c r="E257" s="14" t="n">
        <f aca="false">(B257-D257)/D257*100</f>
        <v>-7.98843978594243</v>
      </c>
    </row>
    <row r="258" customFormat="false" ht="15" hidden="false" customHeight="false" outlineLevel="0" collapsed="false">
      <c r="A258" s="12" t="n">
        <v>42377</v>
      </c>
      <c r="B258" s="15" t="n">
        <v>33.16</v>
      </c>
      <c r="C258" s="15" t="n">
        <v>33.55</v>
      </c>
      <c r="D258" s="14" t="n">
        <f aca="false">AVERAGE(B239:B258)</f>
        <v>35.9585</v>
      </c>
      <c r="E258" s="14" t="n">
        <f aca="false">(B258-D258)/D258*100</f>
        <v>-7.78258269950082</v>
      </c>
    </row>
    <row r="259" customFormat="false" ht="15" hidden="false" customHeight="false" outlineLevel="0" collapsed="false">
      <c r="A259" s="12" t="n">
        <v>42380</v>
      </c>
      <c r="B259" s="15" t="n">
        <v>31.41</v>
      </c>
      <c r="C259" s="15" t="n">
        <v>31.55</v>
      </c>
      <c r="D259" s="14" t="n">
        <f aca="false">AVERAGE(B240:B259)</f>
        <v>35.691</v>
      </c>
      <c r="E259" s="14" t="n">
        <f aca="false">(B259-D259)/D259*100</f>
        <v>-11.9946204925612</v>
      </c>
    </row>
    <row r="260" customFormat="false" ht="15" hidden="false" customHeight="false" outlineLevel="0" collapsed="false">
      <c r="A260" s="12" t="n">
        <v>42381</v>
      </c>
      <c r="B260" s="15" t="n">
        <v>30.44</v>
      </c>
      <c r="C260" s="15" t="n">
        <v>30.86</v>
      </c>
      <c r="D260" s="14" t="n">
        <f aca="false">AVERAGE(B241:B260)</f>
        <v>35.432</v>
      </c>
      <c r="E260" s="14" t="n">
        <f aca="false">(B260-D260)/D260*100</f>
        <v>-14.0889591329871</v>
      </c>
    </row>
    <row r="261" customFormat="false" ht="15" hidden="false" customHeight="false" outlineLevel="0" collapsed="false">
      <c r="A261" s="12" t="n">
        <v>42382</v>
      </c>
      <c r="B261" s="15" t="n">
        <v>30.48</v>
      </c>
      <c r="C261" s="15" t="n">
        <v>30.31</v>
      </c>
      <c r="D261" s="14" t="n">
        <f aca="false">AVERAGE(B242:B261)</f>
        <v>35.1405</v>
      </c>
      <c r="E261" s="14" t="n">
        <f aca="false">(B261-D261)/D261*100</f>
        <v>-13.2624749220984</v>
      </c>
    </row>
    <row r="262" customFormat="false" ht="15" hidden="false" customHeight="false" outlineLevel="0" collapsed="false">
      <c r="A262" s="12" t="n">
        <v>42383</v>
      </c>
      <c r="B262" s="15" t="n">
        <v>31.2</v>
      </c>
      <c r="C262" s="15" t="n">
        <v>31.03</v>
      </c>
      <c r="D262" s="14" t="n">
        <f aca="false">AVERAGE(B243:B262)</f>
        <v>34.833</v>
      </c>
      <c r="E262" s="14" t="n">
        <f aca="false">(B262-D262)/D262*100</f>
        <v>-10.4297648781328</v>
      </c>
    </row>
    <row r="263" customFormat="false" ht="15" hidden="false" customHeight="false" outlineLevel="0" collapsed="false">
      <c r="A263" s="12" t="n">
        <v>42384</v>
      </c>
      <c r="B263" s="15" t="n">
        <v>29.42</v>
      </c>
      <c r="C263" s="15" t="n">
        <v>31.01</v>
      </c>
      <c r="D263" s="14" t="n">
        <f aca="false">AVERAGE(B244:B263)</f>
        <v>34.528</v>
      </c>
      <c r="E263" s="14" t="n">
        <f aca="false">(B263-D263)/D263*100</f>
        <v>-14.7937905468026</v>
      </c>
    </row>
    <row r="264" customFormat="false" ht="15" hidden="false" customHeight="false" outlineLevel="0" collapsed="false">
      <c r="A264" s="12" t="n">
        <v>42388</v>
      </c>
      <c r="B264" s="15" t="n">
        <v>28.46</v>
      </c>
      <c r="C264" s="15" t="n">
        <v>28.76</v>
      </c>
      <c r="D264" s="14" t="n">
        <f aca="false">AVERAGE(B245:B264)</f>
        <v>34.2035</v>
      </c>
      <c r="E264" s="14" t="n">
        <f aca="false">(B264-D264)/D264*100</f>
        <v>-16.792141155145</v>
      </c>
    </row>
    <row r="265" customFormat="false" ht="15" hidden="false" customHeight="false" outlineLevel="0" collapsed="false">
      <c r="A265" s="12" t="n">
        <v>42389</v>
      </c>
      <c r="B265" s="15" t="n">
        <v>26.55</v>
      </c>
      <c r="C265" s="15" t="n">
        <v>27.88</v>
      </c>
      <c r="D265" s="14" t="n">
        <f aca="false">AVERAGE(B246:B265)</f>
        <v>33.7945</v>
      </c>
      <c r="E265" s="14" t="n">
        <f aca="false">(B265-D265)/D265*100</f>
        <v>-21.4369202089097</v>
      </c>
    </row>
    <row r="266" customFormat="false" ht="15" hidden="false" customHeight="false" outlineLevel="0" collapsed="false">
      <c r="A266" s="12" t="n">
        <v>42390</v>
      </c>
      <c r="B266" s="15" t="n">
        <v>29.53</v>
      </c>
      <c r="C266" s="15" t="n">
        <v>29.25</v>
      </c>
      <c r="D266" s="14" t="n">
        <f aca="false">AVERAGE(B247:B266)</f>
        <v>33.534</v>
      </c>
      <c r="E266" s="14" t="n">
        <f aca="false">(B266-D266)/D266*100</f>
        <v>-11.940120474742</v>
      </c>
    </row>
    <row r="267" customFormat="false" ht="15" hidden="false" customHeight="false" outlineLevel="0" collapsed="false">
      <c r="A267" s="12" t="n">
        <v>42391</v>
      </c>
      <c r="B267" s="15" t="n">
        <v>32.19</v>
      </c>
      <c r="C267" s="15" t="n">
        <v>32.18</v>
      </c>
      <c r="D267" s="14" t="n">
        <f aca="false">AVERAGE(B248:B267)</f>
        <v>33.3365</v>
      </c>
      <c r="E267" s="14" t="n">
        <f aca="false">(B267-D267)/D267*100</f>
        <v>-3.43917327853855</v>
      </c>
    </row>
    <row r="268" customFormat="false" ht="15" hidden="false" customHeight="false" outlineLevel="0" collapsed="false">
      <c r="A268" s="12" t="n">
        <v>42394</v>
      </c>
      <c r="B268" s="15" t="n">
        <v>30.34</v>
      </c>
      <c r="C268" s="15" t="n">
        <v>30.5</v>
      </c>
      <c r="D268" s="14" t="n">
        <f aca="false">AVERAGE(B249:B268)</f>
        <v>32.9785</v>
      </c>
      <c r="E268" s="14" t="n">
        <f aca="false">(B268-D268)/D268*100</f>
        <v>-8.00066710129328</v>
      </c>
    </row>
    <row r="269" customFormat="false" ht="15" hidden="false" customHeight="false" outlineLevel="0" collapsed="false">
      <c r="A269" s="12" t="n">
        <v>42395</v>
      </c>
      <c r="B269" s="15" t="n">
        <v>31.45</v>
      </c>
      <c r="C269" s="15" t="n">
        <v>31.8</v>
      </c>
      <c r="D269" s="14" t="n">
        <f aca="false">AVERAGE(B250:B269)</f>
        <v>32.646</v>
      </c>
      <c r="E269" s="14" t="n">
        <f aca="false">(B269-D269)/D269*100</f>
        <v>-3.66354224100962</v>
      </c>
    </row>
    <row r="270" customFormat="false" ht="15" hidden="false" customHeight="false" outlineLevel="0" collapsed="false">
      <c r="A270" s="12" t="n">
        <v>42396</v>
      </c>
      <c r="B270" s="15" t="n">
        <v>32.3</v>
      </c>
      <c r="C270" s="15" t="n">
        <v>33.1</v>
      </c>
      <c r="D270" s="14" t="n">
        <f aca="false">AVERAGE(B251:B270)</f>
        <v>32.4205</v>
      </c>
      <c r="E270" s="14" t="n">
        <f aca="false">(B270-D270)/D270*100</f>
        <v>-0.371678413349578</v>
      </c>
    </row>
    <row r="271" customFormat="false" ht="15" hidden="false" customHeight="false" outlineLevel="0" collapsed="false">
      <c r="A271" s="12" t="n">
        <v>42397</v>
      </c>
      <c r="B271" s="15" t="n">
        <v>33.22</v>
      </c>
      <c r="C271" s="15" t="n">
        <v>33.89</v>
      </c>
      <c r="D271" s="14" t="n">
        <f aca="false">AVERAGE(B252:B271)</f>
        <v>32.188</v>
      </c>
      <c r="E271" s="14" t="n">
        <f aca="false">(B271-D271)/D271*100</f>
        <v>3.20616378774698</v>
      </c>
    </row>
    <row r="272" customFormat="false" ht="15" hidden="false" customHeight="false" outlineLevel="0" collapsed="false">
      <c r="A272" s="12" t="n">
        <v>42398</v>
      </c>
      <c r="B272" s="15" t="n">
        <v>33.62</v>
      </c>
      <c r="C272" s="15" t="n">
        <v>34.74</v>
      </c>
      <c r="D272" s="14" t="n">
        <f aca="false">AVERAGE(B253:B272)</f>
        <v>32.039</v>
      </c>
      <c r="E272" s="14" t="n">
        <f aca="false">(B272-D272)/D272*100</f>
        <v>4.93461094291331</v>
      </c>
    </row>
    <row r="273" customFormat="false" ht="15" hidden="false" customHeight="false" outlineLevel="0" collapsed="false">
      <c r="A273" s="12" t="n">
        <v>42401</v>
      </c>
      <c r="B273" s="15" t="n">
        <v>31.62</v>
      </c>
      <c r="C273" s="15" t="n">
        <v>34.69</v>
      </c>
      <c r="D273" s="14" t="n">
        <f aca="false">AVERAGE(B254:B273)</f>
        <v>31.768</v>
      </c>
      <c r="E273" s="14" t="n">
        <f aca="false">(B273-D273)/D273*100</f>
        <v>-0.465877612692016</v>
      </c>
    </row>
    <row r="274" customFormat="false" ht="15" hidden="false" customHeight="false" outlineLevel="0" collapsed="false">
      <c r="A274" s="12" t="n">
        <v>42402</v>
      </c>
      <c r="B274" s="15" t="n">
        <v>29.88</v>
      </c>
      <c r="C274" s="15" t="n">
        <v>32.72</v>
      </c>
      <c r="D274" s="14" t="n">
        <f aca="false">AVERAGE(B255:B274)</f>
        <v>31.424</v>
      </c>
      <c r="E274" s="14" t="n">
        <f aca="false">(B274-D274)/D274*100</f>
        <v>-4.91344195519348</v>
      </c>
    </row>
    <row r="275" customFormat="false" ht="15" hidden="false" customHeight="false" outlineLevel="0" collapsed="false">
      <c r="A275" s="12" t="n">
        <v>42403</v>
      </c>
      <c r="B275" s="15" t="n">
        <v>32.28</v>
      </c>
      <c r="C275" s="15" t="n">
        <v>35.04</v>
      </c>
      <c r="D275" s="14" t="n">
        <f aca="false">AVERAGE(B256:B275)</f>
        <v>31.2395</v>
      </c>
      <c r="E275" s="14" t="n">
        <f aca="false">(B275-D275)/D275*100</f>
        <v>3.33071912162487</v>
      </c>
    </row>
    <row r="276" customFormat="false" ht="15" hidden="false" customHeight="false" outlineLevel="0" collapsed="false">
      <c r="A276" s="12" t="n">
        <v>42404</v>
      </c>
      <c r="B276" s="15" t="n">
        <v>31.72</v>
      </c>
      <c r="C276" s="15" t="n">
        <v>34.46</v>
      </c>
      <c r="D276" s="14" t="n">
        <f aca="false">AVERAGE(B257:B276)</f>
        <v>31.127</v>
      </c>
      <c r="E276" s="14" t="n">
        <f aca="false">(B276-D276)/D276*100</f>
        <v>1.90509846756835</v>
      </c>
    </row>
    <row r="277" customFormat="false" ht="15" hidden="false" customHeight="false" outlineLevel="0" collapsed="false">
      <c r="A277" s="12" t="n">
        <v>42405</v>
      </c>
      <c r="B277" s="15" t="n">
        <v>30.89</v>
      </c>
      <c r="C277" s="15" t="n">
        <v>34.06</v>
      </c>
      <c r="D277" s="14" t="n">
        <f aca="false">AVERAGE(B258:B277)</f>
        <v>31.008</v>
      </c>
      <c r="E277" s="14" t="n">
        <f aca="false">(B277-D277)/D277*100</f>
        <v>-0.38054695562435</v>
      </c>
    </row>
    <row r="278" customFormat="false" ht="15" hidden="false" customHeight="false" outlineLevel="0" collapsed="false">
      <c r="A278" s="12" t="n">
        <v>42408</v>
      </c>
      <c r="B278" s="15" t="n">
        <v>29.69</v>
      </c>
      <c r="C278" s="15" t="n">
        <v>32.88</v>
      </c>
      <c r="D278" s="14" t="n">
        <f aca="false">AVERAGE(B259:B278)</f>
        <v>30.8345</v>
      </c>
      <c r="E278" s="14" t="n">
        <f aca="false">(B278-D278)/D278*100</f>
        <v>-3.71175144724254</v>
      </c>
    </row>
    <row r="279" customFormat="false" ht="15" hidden="false" customHeight="false" outlineLevel="0" collapsed="false">
      <c r="A279" s="12" t="n">
        <v>42409</v>
      </c>
      <c r="B279" s="15" t="n">
        <v>27.94</v>
      </c>
      <c r="C279" s="15" t="n">
        <v>30.32</v>
      </c>
      <c r="D279" s="14" t="n">
        <f aca="false">AVERAGE(B260:B279)</f>
        <v>30.661</v>
      </c>
      <c r="E279" s="14" t="n">
        <f aca="false">(B279-D279)/D279*100</f>
        <v>-8.87446593392257</v>
      </c>
    </row>
    <row r="280" customFormat="false" ht="15" hidden="false" customHeight="false" outlineLevel="0" collapsed="false">
      <c r="A280" s="12" t="n">
        <v>42410</v>
      </c>
      <c r="B280" s="15" t="n">
        <v>27.45</v>
      </c>
      <c r="C280" s="15" t="n">
        <v>30.84</v>
      </c>
      <c r="D280" s="14" t="n">
        <f aca="false">AVERAGE(B261:B280)</f>
        <v>30.5115</v>
      </c>
      <c r="E280" s="14" t="n">
        <f aca="false">(B280-D280)/D280*100</f>
        <v>-10.0339216361044</v>
      </c>
    </row>
    <row r="281" customFormat="false" ht="15" hidden="false" customHeight="false" outlineLevel="0" collapsed="false">
      <c r="A281" s="12" t="n">
        <v>42411</v>
      </c>
      <c r="B281" s="15" t="n">
        <v>26.21</v>
      </c>
      <c r="C281" s="15" t="n">
        <v>30.06</v>
      </c>
      <c r="D281" s="14" t="n">
        <f aca="false">AVERAGE(B262:B281)</f>
        <v>30.298</v>
      </c>
      <c r="E281" s="14" t="n">
        <f aca="false">(B281-D281)/D281*100</f>
        <v>-13.4926397782032</v>
      </c>
    </row>
    <row r="282" customFormat="false" ht="15" hidden="false" customHeight="false" outlineLevel="0" collapsed="false">
      <c r="A282" s="12" t="n">
        <v>42412</v>
      </c>
      <c r="B282" s="15" t="n">
        <v>29.44</v>
      </c>
      <c r="C282" s="15" t="n">
        <v>33.36</v>
      </c>
      <c r="D282" s="14" t="n">
        <f aca="false">AVERAGE(B263:B282)</f>
        <v>30.21</v>
      </c>
      <c r="E282" s="14" t="n">
        <f aca="false">(B282-D282)/D282*100</f>
        <v>-2.54882489241973</v>
      </c>
    </row>
    <row r="283" customFormat="false" ht="15" hidden="false" customHeight="false" outlineLevel="0" collapsed="false">
      <c r="A283" s="12" t="n">
        <v>42416</v>
      </c>
      <c r="B283" s="15" t="n">
        <v>29.04</v>
      </c>
      <c r="C283" s="15" t="n">
        <v>32.18</v>
      </c>
      <c r="D283" s="14" t="n">
        <f aca="false">AVERAGE(B264:B283)</f>
        <v>30.191</v>
      </c>
      <c r="E283" s="14" t="n">
        <f aca="false">(B283-D283)/D283*100</f>
        <v>-3.81239442217881</v>
      </c>
    </row>
    <row r="284" customFormat="false" ht="15" hidden="false" customHeight="false" outlineLevel="0" collapsed="false">
      <c r="A284" s="12" t="n">
        <v>42417</v>
      </c>
      <c r="B284" s="15" t="n">
        <v>30.66</v>
      </c>
      <c r="C284" s="15" t="n">
        <v>34.5</v>
      </c>
      <c r="D284" s="14" t="n">
        <f aca="false">AVERAGE(B265:B284)</f>
        <v>30.301</v>
      </c>
      <c r="E284" s="14" t="n">
        <f aca="false">(B284-D284)/D284*100</f>
        <v>1.18477938021848</v>
      </c>
    </row>
    <row r="285" customFormat="false" ht="15" hidden="false" customHeight="false" outlineLevel="0" collapsed="false">
      <c r="A285" s="12" t="n">
        <v>42418</v>
      </c>
      <c r="B285" s="15" t="n">
        <v>30.77</v>
      </c>
      <c r="C285" s="15" t="n">
        <v>34.28</v>
      </c>
      <c r="D285" s="14" t="n">
        <f aca="false">AVERAGE(B266:B285)</f>
        <v>30.512</v>
      </c>
      <c r="E285" s="14" t="n">
        <f aca="false">(B285-D285)/D285*100</f>
        <v>0.845568956476138</v>
      </c>
    </row>
    <row r="286" customFormat="false" ht="15" hidden="false" customHeight="false" outlineLevel="0" collapsed="false">
      <c r="A286" s="12" t="n">
        <v>42419</v>
      </c>
      <c r="B286" s="15" t="n">
        <v>29.64</v>
      </c>
      <c r="C286" s="15" t="n">
        <v>33.01</v>
      </c>
      <c r="D286" s="14" t="n">
        <f aca="false">AVERAGE(B267:B286)</f>
        <v>30.5175</v>
      </c>
      <c r="E286" s="14" t="n">
        <f aca="false">(B286-D286)/D286*100</f>
        <v>-2.87539936102237</v>
      </c>
    </row>
    <row r="287" customFormat="false" ht="15" hidden="false" customHeight="false" outlineLevel="0" collapsed="false">
      <c r="A287" s="12" t="n">
        <v>42422</v>
      </c>
      <c r="B287" s="15" t="n">
        <v>31.48</v>
      </c>
      <c r="C287" s="15" t="n">
        <v>34.69</v>
      </c>
      <c r="D287" s="14" t="n">
        <f aca="false">AVERAGE(B268:B287)</f>
        <v>30.482</v>
      </c>
      <c r="E287" s="14" t="n">
        <f aca="false">(B287-D287)/D287*100</f>
        <v>3.27406338166787</v>
      </c>
    </row>
    <row r="288" customFormat="false" ht="15" hidden="false" customHeight="false" outlineLevel="0" collapsed="false">
      <c r="A288" s="12" t="n">
        <v>42423</v>
      </c>
      <c r="B288" s="15" t="n">
        <v>31.87</v>
      </c>
      <c r="C288" s="15" t="n">
        <v>33.27</v>
      </c>
      <c r="D288" s="14" t="n">
        <f aca="false">AVERAGE(B269:B288)</f>
        <v>30.5585</v>
      </c>
      <c r="E288" s="14" t="n">
        <f aca="false">(B288-D288)/D288*100</f>
        <v>4.29176824778704</v>
      </c>
    </row>
    <row r="289" customFormat="false" ht="15" hidden="false" customHeight="false" outlineLevel="0" collapsed="false">
      <c r="A289" s="12" t="n">
        <v>42424</v>
      </c>
      <c r="B289" s="15" t="n">
        <v>32.15</v>
      </c>
      <c r="C289" s="15" t="n">
        <v>34.41</v>
      </c>
      <c r="D289" s="14" t="n">
        <f aca="false">AVERAGE(B270:B289)</f>
        <v>30.5935</v>
      </c>
      <c r="E289" s="14" t="n">
        <f aca="false">(B289-D289)/D289*100</f>
        <v>5.08768202395934</v>
      </c>
    </row>
    <row r="290" customFormat="false" ht="15" hidden="false" customHeight="false" outlineLevel="0" collapsed="false">
      <c r="A290" s="12" t="n">
        <v>42425</v>
      </c>
      <c r="B290" s="15" t="n">
        <v>33.07</v>
      </c>
      <c r="C290" s="15" t="n">
        <v>35.29</v>
      </c>
      <c r="D290" s="14" t="n">
        <f aca="false">AVERAGE(B271:B290)</f>
        <v>30.632</v>
      </c>
      <c r="E290" s="14" t="n">
        <f aca="false">(B290-D290)/D290*100</f>
        <v>7.95899712718726</v>
      </c>
    </row>
    <row r="291" customFormat="false" ht="15" hidden="false" customHeight="false" outlineLevel="0" collapsed="false">
      <c r="A291" s="12" t="n">
        <v>42426</v>
      </c>
      <c r="B291" s="15" t="n">
        <v>32.78</v>
      </c>
      <c r="C291" s="15" t="n">
        <v>35.1</v>
      </c>
      <c r="D291" s="14" t="n">
        <f aca="false">AVERAGE(B272:B291)</f>
        <v>30.61</v>
      </c>
      <c r="E291" s="14" t="n">
        <f aca="false">(B291-D291)/D291*100</f>
        <v>7.08918654034629</v>
      </c>
    </row>
    <row r="292" customFormat="false" ht="15" hidden="false" customHeight="false" outlineLevel="0" collapsed="false">
      <c r="A292" s="12" t="n">
        <v>42429</v>
      </c>
      <c r="B292" s="15" t="n">
        <v>33.75</v>
      </c>
      <c r="C292" s="15" t="n">
        <v>35.97</v>
      </c>
      <c r="D292" s="14" t="n">
        <f aca="false">AVERAGE(B273:B292)</f>
        <v>30.6165</v>
      </c>
      <c r="E292" s="14" t="n">
        <f aca="false">(B292-D292)/D292*100</f>
        <v>10.2346773798442</v>
      </c>
    </row>
    <row r="293" customFormat="false" ht="15" hidden="false" customHeight="false" outlineLevel="0" collapsed="false">
      <c r="A293" s="12" t="n">
        <v>42430</v>
      </c>
      <c r="B293" s="15" t="n">
        <v>34.4</v>
      </c>
      <c r="C293" s="15" t="n">
        <v>35.96</v>
      </c>
      <c r="D293" s="14" t="n">
        <f aca="false">AVERAGE(B274:B293)</f>
        <v>30.7555</v>
      </c>
      <c r="E293" s="14" t="n">
        <f aca="false">(B293-D293)/D293*100</f>
        <v>11.8499130236868</v>
      </c>
    </row>
    <row r="294" customFormat="false" ht="15" hidden="false" customHeight="false" outlineLevel="0" collapsed="false">
      <c r="A294" s="12" t="n">
        <v>42431</v>
      </c>
      <c r="B294" s="15" t="n">
        <v>34.66</v>
      </c>
      <c r="C294" s="15" t="n">
        <v>36.93</v>
      </c>
      <c r="D294" s="14" t="n">
        <f aca="false">AVERAGE(B275:B294)</f>
        <v>30.9945</v>
      </c>
      <c r="E294" s="14" t="n">
        <f aca="false">(B294-D294)/D294*100</f>
        <v>11.8262917614415</v>
      </c>
    </row>
    <row r="295" customFormat="false" ht="15" hidden="false" customHeight="false" outlineLevel="0" collapsed="false">
      <c r="A295" s="12" t="n">
        <v>42432</v>
      </c>
      <c r="B295" s="15" t="n">
        <v>34.57</v>
      </c>
      <c r="C295" s="15" t="n">
        <v>37.07</v>
      </c>
      <c r="D295" s="14" t="n">
        <f aca="false">AVERAGE(B276:B295)</f>
        <v>31.109</v>
      </c>
      <c r="E295" s="14" t="n">
        <f aca="false">(B295-D295)/D295*100</f>
        <v>11.1253977948504</v>
      </c>
    </row>
    <row r="296" customFormat="false" ht="15" hidden="false" customHeight="false" outlineLevel="0" collapsed="false">
      <c r="A296" s="12" t="n">
        <v>42433</v>
      </c>
      <c r="B296" s="15" t="n">
        <v>35.92</v>
      </c>
      <c r="C296" s="15" t="n">
        <v>38.72</v>
      </c>
      <c r="D296" s="14" t="n">
        <f aca="false">AVERAGE(B277:B296)</f>
        <v>31.319</v>
      </c>
      <c r="E296" s="14" t="n">
        <f aca="false">(B296-D296)/D296*100</f>
        <v>14.690762795747</v>
      </c>
    </row>
    <row r="297" customFormat="false" ht="15" hidden="false" customHeight="false" outlineLevel="0" collapsed="false">
      <c r="A297" s="12" t="n">
        <v>42436</v>
      </c>
      <c r="B297" s="15" t="n">
        <v>37.9</v>
      </c>
      <c r="C297" s="15" t="n">
        <v>40.84</v>
      </c>
      <c r="D297" s="14" t="n">
        <f aca="false">AVERAGE(B278:B297)</f>
        <v>31.6695</v>
      </c>
      <c r="E297" s="14" t="n">
        <f aca="false">(B297-D297)/D297*100</f>
        <v>19.6735028971092</v>
      </c>
    </row>
    <row r="298" customFormat="false" ht="15" hidden="false" customHeight="false" outlineLevel="0" collapsed="false">
      <c r="A298" s="12" t="n">
        <v>42437</v>
      </c>
      <c r="B298" s="15" t="n">
        <v>36.5</v>
      </c>
      <c r="C298" s="15" t="n">
        <v>39.65</v>
      </c>
      <c r="D298" s="14" t="n">
        <f aca="false">AVERAGE(B279:B298)</f>
        <v>32.01</v>
      </c>
      <c r="E298" s="14" t="n">
        <f aca="false">(B298-D298)/D298*100</f>
        <v>14.0268666041862</v>
      </c>
    </row>
    <row r="299" customFormat="false" ht="15" hidden="false" customHeight="false" outlineLevel="0" collapsed="false">
      <c r="A299" s="12" t="n">
        <v>42438</v>
      </c>
      <c r="B299" s="15" t="n">
        <v>38.29</v>
      </c>
      <c r="C299" s="15" t="n">
        <v>41.07</v>
      </c>
      <c r="D299" s="14" t="n">
        <f aca="false">AVERAGE(B280:B299)</f>
        <v>32.5275</v>
      </c>
      <c r="E299" s="14" t="n">
        <f aca="false">(B299-D299)/D299*100</f>
        <v>17.7157789562678</v>
      </c>
    </row>
    <row r="300" customFormat="false" ht="15" hidden="false" customHeight="false" outlineLevel="0" collapsed="false">
      <c r="A300" s="12" t="n">
        <v>42439</v>
      </c>
      <c r="B300" s="15" t="n">
        <v>37.84</v>
      </c>
      <c r="C300" s="15" t="n">
        <v>40.05</v>
      </c>
      <c r="D300" s="14" t="n">
        <f aca="false">AVERAGE(B281:B300)</f>
        <v>33.047</v>
      </c>
      <c r="E300" s="14" t="n">
        <f aca="false">(B300-D300)/D300*100</f>
        <v>14.5035858020395</v>
      </c>
    </row>
    <row r="301" customFormat="false" ht="15" hidden="false" customHeight="false" outlineLevel="0" collapsed="false">
      <c r="A301" s="12" t="n">
        <v>42440</v>
      </c>
      <c r="B301" s="15" t="n">
        <v>38.5</v>
      </c>
      <c r="C301" s="15" t="n">
        <v>40.39</v>
      </c>
      <c r="D301" s="14" t="n">
        <f aca="false">AVERAGE(B282:B301)</f>
        <v>33.6615</v>
      </c>
      <c r="E301" s="14" t="n">
        <f aca="false">(B301-D301)/D301*100</f>
        <v>14.3739880872807</v>
      </c>
    </row>
    <row r="302" customFormat="false" ht="15" hidden="false" customHeight="false" outlineLevel="0" collapsed="false">
      <c r="A302" s="12" t="n">
        <v>42443</v>
      </c>
      <c r="B302" s="15" t="n">
        <v>37.18</v>
      </c>
      <c r="C302" s="15" t="n">
        <v>39.53</v>
      </c>
      <c r="D302" s="14" t="n">
        <f aca="false">AVERAGE(B283:B302)</f>
        <v>34.0485</v>
      </c>
      <c r="E302" s="14" t="n">
        <f aca="false">(B302-D302)/D302*100</f>
        <v>9.19717461855881</v>
      </c>
    </row>
    <row r="303" customFormat="false" ht="15" hidden="false" customHeight="false" outlineLevel="0" collapsed="false">
      <c r="A303" s="12" t="n">
        <v>42444</v>
      </c>
      <c r="B303" s="15" t="n">
        <v>36.34</v>
      </c>
      <c r="C303" s="15" t="n">
        <v>38.74</v>
      </c>
      <c r="D303" s="14" t="n">
        <f aca="false">AVERAGE(B284:B303)</f>
        <v>34.4135</v>
      </c>
      <c r="E303" s="14" t="n">
        <f aca="false">(B303-D303)/D303*100</f>
        <v>5.59809377133975</v>
      </c>
    </row>
    <row r="304" customFormat="false" ht="15" hidden="false" customHeight="false" outlineLevel="0" collapsed="false">
      <c r="A304" s="12" t="n">
        <v>42445</v>
      </c>
      <c r="B304" s="15" t="n">
        <v>38.46</v>
      </c>
      <c r="C304" s="15" t="n">
        <v>40.33</v>
      </c>
      <c r="D304" s="14" t="n">
        <f aca="false">AVERAGE(B285:B304)</f>
        <v>34.8035</v>
      </c>
      <c r="E304" s="14" t="n">
        <f aca="false">(B304-D304)/D304*100</f>
        <v>10.5061272573161</v>
      </c>
    </row>
    <row r="305" customFormat="false" ht="15" hidden="false" customHeight="false" outlineLevel="0" collapsed="false">
      <c r="A305" s="12" t="n">
        <v>42446</v>
      </c>
      <c r="B305" s="15" t="n">
        <v>40.2</v>
      </c>
      <c r="C305" s="15" t="n">
        <v>41.54</v>
      </c>
      <c r="D305" s="14" t="n">
        <f aca="false">AVERAGE(B286:B305)</f>
        <v>35.275</v>
      </c>
      <c r="E305" s="14" t="n">
        <f aca="false">(B305-D305)/D305*100</f>
        <v>13.9617292700213</v>
      </c>
    </row>
    <row r="306" customFormat="false" ht="15" hidden="false" customHeight="false" outlineLevel="0" collapsed="false">
      <c r="A306" s="12" t="n">
        <v>42447</v>
      </c>
      <c r="B306" s="15" t="n">
        <v>39.44</v>
      </c>
      <c r="C306" s="15" t="n">
        <v>41.2</v>
      </c>
      <c r="D306" s="14" t="n">
        <f aca="false">AVERAGE(B287:B306)</f>
        <v>35.765</v>
      </c>
      <c r="E306" s="14" t="n">
        <f aca="false">(B306-D306)/D306*100</f>
        <v>10.2754089193345</v>
      </c>
    </row>
    <row r="307" customFormat="false" ht="15" hidden="false" customHeight="false" outlineLevel="0" collapsed="false">
      <c r="A307" s="12" t="n">
        <v>42450</v>
      </c>
      <c r="B307" s="15" t="n">
        <v>39.91</v>
      </c>
      <c r="C307" s="15" t="n">
        <v>41.54</v>
      </c>
      <c r="D307" s="14" t="n">
        <f aca="false">AVERAGE(B288:B307)</f>
        <v>36.1865</v>
      </c>
      <c r="E307" s="14" t="n">
        <f aca="false">(B307-D307)/D307*100</f>
        <v>10.2897489395216</v>
      </c>
    </row>
    <row r="308" customFormat="false" ht="15" hidden="false" customHeight="false" outlineLevel="0" collapsed="false">
      <c r="A308" s="12" t="n">
        <v>42451</v>
      </c>
      <c r="B308" s="15" t="n">
        <v>41.45</v>
      </c>
      <c r="C308" s="15" t="n">
        <v>41.79</v>
      </c>
      <c r="D308" s="14" t="n">
        <f aca="false">AVERAGE(B289:B308)</f>
        <v>36.6655</v>
      </c>
      <c r="E308" s="14" t="n">
        <f aca="false">(B308-D308)/D308*100</f>
        <v>13.0490515607315</v>
      </c>
    </row>
    <row r="309" customFormat="false" ht="15" hidden="false" customHeight="false" outlineLevel="0" collapsed="false">
      <c r="A309" s="12" t="n">
        <v>42452</v>
      </c>
      <c r="B309" s="15" t="n">
        <v>39.79</v>
      </c>
      <c r="C309" s="15" t="n">
        <v>40.47</v>
      </c>
      <c r="D309" s="14" t="n">
        <f aca="false">AVERAGE(B290:B309)</f>
        <v>37.0475</v>
      </c>
      <c r="E309" s="14" t="n">
        <f aca="false">(B309-D309)/D309*100</f>
        <v>7.40265874890343</v>
      </c>
    </row>
    <row r="310" customFormat="false" ht="15" hidden="false" customHeight="false" outlineLevel="0" collapsed="false">
      <c r="A310" s="12" t="n">
        <v>42453</v>
      </c>
      <c r="B310" s="15" t="n">
        <v>39.46</v>
      </c>
      <c r="C310" s="15" t="n">
        <v>40.44</v>
      </c>
      <c r="D310" s="14" t="n">
        <f aca="false">AVERAGE(B291:B310)</f>
        <v>37.367</v>
      </c>
      <c r="E310" s="14" t="n">
        <f aca="false">(B310-D310)/D310*100</f>
        <v>5.60119891883211</v>
      </c>
    </row>
    <row r="311" customFormat="false" ht="15" hidden="false" customHeight="false" outlineLevel="0" collapsed="false">
      <c r="A311" s="12" t="n">
        <v>42457</v>
      </c>
      <c r="B311" s="15" t="n">
        <v>39.39</v>
      </c>
      <c r="C311" s="15" t="n">
        <v>40.27</v>
      </c>
      <c r="D311" s="14" t="n">
        <f aca="false">AVERAGE(B292:B311)</f>
        <v>37.6975</v>
      </c>
      <c r="E311" s="14" t="n">
        <f aca="false">(B311-D311)/D311*100</f>
        <v>4.48968764506929</v>
      </c>
    </row>
    <row r="312" customFormat="false" ht="15" hidden="false" customHeight="false" outlineLevel="0" collapsed="false">
      <c r="A312" s="12" t="n">
        <v>42458</v>
      </c>
      <c r="B312" s="15" t="n">
        <v>38.28</v>
      </c>
      <c r="C312" s="15" t="n">
        <v>39.14</v>
      </c>
      <c r="D312" s="14" t="n">
        <f aca="false">AVERAGE(B293:B312)</f>
        <v>37.924</v>
      </c>
      <c r="E312" s="14" t="n">
        <f aca="false">(B312-D312)/D312*100</f>
        <v>0.938719544351866</v>
      </c>
    </row>
    <row r="313" customFormat="false" ht="15" hidden="false" customHeight="false" outlineLevel="0" collapsed="false">
      <c r="A313" s="12" t="n">
        <v>42459</v>
      </c>
      <c r="B313" s="15" t="n">
        <v>38.32</v>
      </c>
      <c r="C313" s="15" t="n">
        <v>39.26</v>
      </c>
      <c r="D313" s="14" t="n">
        <f aca="false">AVERAGE(B294:B313)</f>
        <v>38.12</v>
      </c>
      <c r="E313" s="14" t="n">
        <f aca="false">(B313-D313)/D313*100</f>
        <v>0.524658971668423</v>
      </c>
    </row>
    <row r="314" customFormat="false" ht="15" hidden="false" customHeight="false" outlineLevel="0" collapsed="false">
      <c r="A314" s="12" t="n">
        <v>42460</v>
      </c>
      <c r="B314" s="15" t="n">
        <v>38.34</v>
      </c>
      <c r="C314" s="15" t="n">
        <v>39.6</v>
      </c>
      <c r="D314" s="14" t="n">
        <f aca="false">AVERAGE(B295:B314)</f>
        <v>38.304</v>
      </c>
      <c r="E314" s="14" t="n">
        <f aca="false">(B314-D314)/D314*100</f>
        <v>0.0939849624060186</v>
      </c>
    </row>
    <row r="315" customFormat="false" ht="15" hidden="false" customHeight="false" outlineLevel="0" collapsed="false">
      <c r="A315" s="12" t="n">
        <v>42461</v>
      </c>
      <c r="B315" s="15" t="n">
        <v>36.79</v>
      </c>
      <c r="C315" s="15" t="n">
        <v>39.66</v>
      </c>
      <c r="D315" s="14" t="n">
        <f aca="false">AVERAGE(B296:B315)</f>
        <v>38.415</v>
      </c>
      <c r="E315" s="14" t="n">
        <f aca="false">(B315-D315)/D315*100</f>
        <v>-4.23011844331641</v>
      </c>
    </row>
    <row r="316" customFormat="false" ht="15" hidden="false" customHeight="false" outlineLevel="0" collapsed="false">
      <c r="A316" s="12" t="n">
        <v>42464</v>
      </c>
      <c r="B316" s="15" t="n">
        <v>35.7</v>
      </c>
      <c r="C316" s="15" t="n">
        <v>37.69</v>
      </c>
      <c r="D316" s="14" t="n">
        <f aca="false">AVERAGE(B297:B316)</f>
        <v>38.404</v>
      </c>
      <c r="E316" s="14" t="n">
        <f aca="false">(B316-D316)/D316*100</f>
        <v>-7.04093323612124</v>
      </c>
    </row>
    <row r="317" customFormat="false" ht="15" hidden="false" customHeight="false" outlineLevel="0" collapsed="false">
      <c r="A317" s="12" t="n">
        <v>42465</v>
      </c>
      <c r="B317" s="15" t="n">
        <v>35.89</v>
      </c>
      <c r="C317" s="15" t="n">
        <v>37.87</v>
      </c>
      <c r="D317" s="14" t="n">
        <f aca="false">AVERAGE(B298:B317)</f>
        <v>38.3035</v>
      </c>
      <c r="E317" s="14" t="n">
        <f aca="false">(B317-D317)/D317*100</f>
        <v>-6.30099077107836</v>
      </c>
    </row>
    <row r="318" customFormat="false" ht="15" hidden="false" customHeight="false" outlineLevel="0" collapsed="false">
      <c r="A318" s="12" t="n">
        <v>42466</v>
      </c>
      <c r="B318" s="15" t="n">
        <v>37.75</v>
      </c>
      <c r="C318" s="15" t="n">
        <v>39.84</v>
      </c>
      <c r="D318" s="14" t="n">
        <f aca="false">AVERAGE(B299:B318)</f>
        <v>38.366</v>
      </c>
      <c r="E318" s="14" t="n">
        <f aca="false">(B318-D318)/D318*100</f>
        <v>-1.60558828129073</v>
      </c>
    </row>
    <row r="319" customFormat="false" ht="15" hidden="false" customHeight="false" outlineLevel="0" collapsed="false">
      <c r="A319" s="12" t="n">
        <v>42467</v>
      </c>
      <c r="B319" s="15" t="n">
        <v>37.26</v>
      </c>
      <c r="C319" s="15" t="n">
        <v>39.43</v>
      </c>
      <c r="D319" s="14" t="n">
        <f aca="false">AVERAGE(B300:B319)</f>
        <v>38.3145</v>
      </c>
      <c r="E319" s="14" t="n">
        <f aca="false">(B319-D319)/D319*100</f>
        <v>-2.75222174372626</v>
      </c>
    </row>
    <row r="320" customFormat="false" ht="15" hidden="false" customHeight="false" outlineLevel="0" collapsed="false">
      <c r="A320" s="12" t="n">
        <v>42468</v>
      </c>
      <c r="B320" s="15" t="n">
        <v>39.72</v>
      </c>
      <c r="C320" s="15" t="n">
        <v>41.94</v>
      </c>
      <c r="D320" s="14" t="n">
        <f aca="false">AVERAGE(B301:B320)</f>
        <v>38.4085</v>
      </c>
      <c r="E320" s="14" t="n">
        <f aca="false">(B320-D320)/D320*100</f>
        <v>3.41460874546</v>
      </c>
    </row>
    <row r="321" customFormat="false" ht="15" hidden="false" customHeight="false" outlineLevel="0" collapsed="false">
      <c r="A321" s="12" t="n">
        <v>42471</v>
      </c>
      <c r="B321" s="15" t="n">
        <v>40.36</v>
      </c>
      <c r="C321" s="15" t="n">
        <v>42.83</v>
      </c>
      <c r="D321" s="14" t="n">
        <f aca="false">AVERAGE(B302:B321)</f>
        <v>38.5015</v>
      </c>
      <c r="E321" s="14" t="n">
        <f aca="false">(B321-D321)/D321*100</f>
        <v>4.82708465903926</v>
      </c>
    </row>
    <row r="322" customFormat="false" ht="15" hidden="false" customHeight="false" outlineLevel="0" collapsed="false">
      <c r="A322" s="12" t="n">
        <v>42472</v>
      </c>
      <c r="B322" s="15" t="n">
        <v>42.17</v>
      </c>
      <c r="C322" s="15" t="n">
        <v>44.69</v>
      </c>
      <c r="D322" s="14" t="n">
        <f aca="false">AVERAGE(B303:B322)</f>
        <v>38.751</v>
      </c>
      <c r="E322" s="14" t="n">
        <f aca="false">(B322-D322)/D322*100</f>
        <v>8.82299811617766</v>
      </c>
    </row>
    <row r="323" customFormat="false" ht="15" hidden="false" customHeight="false" outlineLevel="0" collapsed="false">
      <c r="A323" s="12" t="n">
        <v>42473</v>
      </c>
      <c r="B323" s="15" t="n">
        <v>41.76</v>
      </c>
      <c r="C323" s="15" t="n">
        <v>44.18</v>
      </c>
      <c r="D323" s="14" t="n">
        <f aca="false">AVERAGE(B304:B323)</f>
        <v>39.022</v>
      </c>
      <c r="E323" s="14" t="n">
        <f aca="false">(B323-D323)/D323*100</f>
        <v>7.01655476397927</v>
      </c>
    </row>
    <row r="324" customFormat="false" ht="15" hidden="false" customHeight="false" outlineLevel="0" collapsed="false">
      <c r="A324" s="12" t="n">
        <v>42474</v>
      </c>
      <c r="B324" s="15" t="n">
        <v>41.5</v>
      </c>
      <c r="C324" s="15" t="n">
        <v>43.84</v>
      </c>
      <c r="D324" s="14" t="n">
        <f aca="false">AVERAGE(B305:B324)</f>
        <v>39.174</v>
      </c>
      <c r="E324" s="14" t="n">
        <f aca="false">(B324-D324)/D324*100</f>
        <v>5.93761168121714</v>
      </c>
    </row>
    <row r="325" customFormat="false" ht="15" hidden="false" customHeight="false" outlineLevel="0" collapsed="false">
      <c r="A325" s="12" t="n">
        <v>42475</v>
      </c>
      <c r="B325" s="15" t="n">
        <v>40.36</v>
      </c>
      <c r="C325" s="15" t="n">
        <v>43.1</v>
      </c>
      <c r="D325" s="14" t="n">
        <f aca="false">AVERAGE(B306:B325)</f>
        <v>39.182</v>
      </c>
      <c r="E325" s="14" t="n">
        <f aca="false">(B325-D325)/D325*100</f>
        <v>3.00648256852636</v>
      </c>
    </row>
    <row r="326" customFormat="false" ht="15" hidden="false" customHeight="false" outlineLevel="0" collapsed="false">
      <c r="A326" s="12" t="n">
        <v>42478</v>
      </c>
      <c r="B326" s="15" t="n">
        <v>39.78</v>
      </c>
      <c r="C326" s="15" t="n">
        <v>42.91</v>
      </c>
      <c r="D326" s="14" t="n">
        <f aca="false">AVERAGE(B307:B326)</f>
        <v>39.199</v>
      </c>
      <c r="E326" s="14" t="n">
        <f aca="false">(B326-D326)/D326*100</f>
        <v>1.48218066787419</v>
      </c>
    </row>
    <row r="327" customFormat="false" ht="15" hidden="false" customHeight="false" outlineLevel="0" collapsed="false">
      <c r="A327" s="12" t="n">
        <v>42479</v>
      </c>
      <c r="B327" s="15" t="n">
        <v>41.08</v>
      </c>
      <c r="C327" s="15" t="n">
        <v>44.03</v>
      </c>
      <c r="D327" s="14" t="n">
        <f aca="false">AVERAGE(B308:B327)</f>
        <v>39.2575</v>
      </c>
      <c r="E327" s="14" t="n">
        <f aca="false">(B327-D327)/D327*100</f>
        <v>4.64242501432847</v>
      </c>
    </row>
    <row r="328" customFormat="false" ht="15" hidden="false" customHeight="false" outlineLevel="0" collapsed="false">
      <c r="A328" s="12" t="n">
        <v>42480</v>
      </c>
      <c r="B328" s="15" t="n">
        <v>42.63</v>
      </c>
      <c r="C328" s="15" t="n">
        <v>45.8</v>
      </c>
      <c r="D328" s="14" t="n">
        <f aca="false">AVERAGE(B309:B328)</f>
        <v>39.3165</v>
      </c>
      <c r="E328" s="14" t="n">
        <f aca="false">(B328-D328)/D328*100</f>
        <v>8.42775933768265</v>
      </c>
    </row>
    <row r="329" customFormat="false" ht="15" hidden="false" customHeight="false" outlineLevel="0" collapsed="false">
      <c r="A329" s="12" t="n">
        <v>42481</v>
      </c>
      <c r="B329" s="15" t="n">
        <v>43.18</v>
      </c>
      <c r="C329" s="15" t="n">
        <v>44.53</v>
      </c>
      <c r="D329" s="14" t="n">
        <f aca="false">AVERAGE(B310:B329)</f>
        <v>39.486</v>
      </c>
      <c r="E329" s="14" t="n">
        <f aca="false">(B329-D329)/D329*100</f>
        <v>9.35521450640732</v>
      </c>
    </row>
    <row r="330" customFormat="false" ht="15" hidden="false" customHeight="false" outlineLevel="0" collapsed="false">
      <c r="A330" s="12" t="n">
        <v>42482</v>
      </c>
      <c r="B330" s="15" t="n">
        <v>43.73</v>
      </c>
      <c r="C330" s="15" t="n">
        <v>45.11</v>
      </c>
      <c r="D330" s="14" t="n">
        <f aca="false">AVERAGE(B311:B330)</f>
        <v>39.6995</v>
      </c>
      <c r="E330" s="14" t="n">
        <f aca="false">(B330-D330)/D330*100</f>
        <v>10.1525208126047</v>
      </c>
    </row>
    <row r="331" customFormat="false" ht="15" hidden="false" customHeight="false" outlineLevel="0" collapsed="false">
      <c r="A331" s="12" t="n">
        <v>42485</v>
      </c>
      <c r="B331" s="15" t="n">
        <v>42.64</v>
      </c>
      <c r="C331" s="15" t="n">
        <v>44.48</v>
      </c>
      <c r="D331" s="14" t="n">
        <f aca="false">AVERAGE(B312:B331)</f>
        <v>39.862</v>
      </c>
      <c r="E331" s="14" t="n">
        <f aca="false">(B331-D331)/D331*100</f>
        <v>6.96904319903667</v>
      </c>
    </row>
    <row r="332" customFormat="false" ht="15" hidden="false" customHeight="false" outlineLevel="0" collapsed="false">
      <c r="A332" s="12" t="n">
        <v>42486</v>
      </c>
      <c r="B332" s="15" t="n">
        <v>44.04</v>
      </c>
      <c r="C332" s="15" t="n">
        <v>45.74</v>
      </c>
      <c r="D332" s="14" t="n">
        <f aca="false">AVERAGE(B313:B332)</f>
        <v>40.15</v>
      </c>
      <c r="E332" s="14" t="n">
        <f aca="false">(B332-D332)/D332*100</f>
        <v>9.68866749688668</v>
      </c>
    </row>
    <row r="333" customFormat="false" ht="15" hidden="false" customHeight="false" outlineLevel="0" collapsed="false">
      <c r="A333" s="12" t="n">
        <v>42487</v>
      </c>
      <c r="B333" s="15" t="n">
        <v>45.33</v>
      </c>
      <c r="C333" s="15" t="n">
        <v>47.18</v>
      </c>
      <c r="D333" s="14" t="n">
        <f aca="false">AVERAGE(B314:B333)</f>
        <v>40.5005</v>
      </c>
      <c r="E333" s="14" t="n">
        <f aca="false">(B333-D333)/D333*100</f>
        <v>11.9245441414303</v>
      </c>
    </row>
    <row r="334" customFormat="false" ht="15" hidden="false" customHeight="false" outlineLevel="0" collapsed="false">
      <c r="A334" s="12" t="n">
        <v>42488</v>
      </c>
      <c r="B334" s="15" t="n">
        <v>46.03</v>
      </c>
      <c r="C334" s="15" t="n">
        <v>48.14</v>
      </c>
      <c r="D334" s="14" t="n">
        <f aca="false">AVERAGE(B315:B334)</f>
        <v>40.885</v>
      </c>
      <c r="E334" s="14" t="n">
        <f aca="false">(B334-D334)/D334*100</f>
        <v>12.5840772899596</v>
      </c>
    </row>
    <row r="335" customFormat="false" ht="15" hidden="false" customHeight="false" outlineLevel="0" collapsed="false">
      <c r="A335" s="12" t="n">
        <v>42489</v>
      </c>
      <c r="B335" s="15" t="n">
        <v>45.92</v>
      </c>
      <c r="C335" s="15" t="n">
        <v>48.13</v>
      </c>
      <c r="D335" s="14" t="n">
        <f aca="false">AVERAGE(B316:B335)</f>
        <v>41.3415</v>
      </c>
      <c r="E335" s="14" t="n">
        <f aca="false">(B335-D335)/D335*100</f>
        <v>11.0748279573794</v>
      </c>
    </row>
    <row r="336" customFormat="false" ht="15" hidden="false" customHeight="false" outlineLevel="0" collapsed="false">
      <c r="A336" s="12" t="n">
        <v>42492</v>
      </c>
      <c r="B336" s="15" t="n">
        <v>44.78</v>
      </c>
      <c r="C336" s="15" t="n">
        <v>48.1</v>
      </c>
      <c r="D336" s="14" t="n">
        <f aca="false">AVERAGE(B317:B336)</f>
        <v>41.7955</v>
      </c>
      <c r="E336" s="14" t="n">
        <f aca="false">(B336-D336)/D336*100</f>
        <v>7.14072089100502</v>
      </c>
    </row>
    <row r="337" customFormat="false" ht="15" hidden="false" customHeight="false" outlineLevel="0" collapsed="false">
      <c r="A337" s="12" t="n">
        <v>42493</v>
      </c>
      <c r="B337" s="15" t="n">
        <v>43.65</v>
      </c>
      <c r="C337" s="15" t="n">
        <v>46.75</v>
      </c>
      <c r="D337" s="14" t="n">
        <f aca="false">AVERAGE(B318:B337)</f>
        <v>42.1835</v>
      </c>
      <c r="E337" s="14" t="n">
        <f aca="false">(B337-D337)/D337*100</f>
        <v>3.4764777697441</v>
      </c>
    </row>
    <row r="338" customFormat="false" ht="15" hidden="false" customHeight="false" outlineLevel="0" collapsed="false">
      <c r="A338" s="12" t="n">
        <v>42494</v>
      </c>
      <c r="B338" s="15" t="n">
        <v>43.78</v>
      </c>
      <c r="C338" s="15" t="n">
        <v>44.62</v>
      </c>
      <c r="D338" s="14" t="n">
        <f aca="false">AVERAGE(B319:B338)</f>
        <v>42.485</v>
      </c>
      <c r="E338" s="14" t="n">
        <f aca="false">(B338-D338)/D338*100</f>
        <v>3.0481346357538</v>
      </c>
    </row>
    <row r="339" customFormat="false" ht="15" hidden="false" customHeight="false" outlineLevel="0" collapsed="false">
      <c r="A339" s="12" t="n">
        <v>42495</v>
      </c>
      <c r="B339" s="15" t="n">
        <v>44.32</v>
      </c>
      <c r="C339" s="15" t="n">
        <v>45.01</v>
      </c>
      <c r="D339" s="14" t="n">
        <f aca="false">AVERAGE(B320:B339)</f>
        <v>42.838</v>
      </c>
      <c r="E339" s="14" t="n">
        <f aca="false">(B339-D339)/D339*100</f>
        <v>3.45954526355105</v>
      </c>
    </row>
    <row r="340" customFormat="false" ht="15" hidden="false" customHeight="false" outlineLevel="0" collapsed="false">
      <c r="A340" s="12" t="n">
        <v>42496</v>
      </c>
      <c r="B340" s="15" t="n">
        <v>44.66</v>
      </c>
      <c r="C340" s="15" t="n">
        <v>45.37</v>
      </c>
      <c r="D340" s="14" t="n">
        <f aca="false">AVERAGE(B321:B340)</f>
        <v>43.085</v>
      </c>
      <c r="E340" s="14" t="n">
        <f aca="false">(B340-D340)/D340*100</f>
        <v>3.65556458164093</v>
      </c>
    </row>
    <row r="341" customFormat="false" ht="15" hidden="false" customHeight="false" outlineLevel="0" collapsed="false">
      <c r="A341" s="12" t="n">
        <v>42499</v>
      </c>
      <c r="B341" s="15" t="n">
        <v>43.44</v>
      </c>
      <c r="C341" s="15" t="n">
        <v>43.63</v>
      </c>
      <c r="D341" s="14" t="n">
        <f aca="false">AVERAGE(B322:B341)</f>
        <v>43.239</v>
      </c>
      <c r="E341" s="14" t="n">
        <f aca="false">(B341-D341)/D341*100</f>
        <v>0.464858114202457</v>
      </c>
    </row>
    <row r="342" customFormat="false" ht="15" hidden="false" customHeight="false" outlineLevel="0" collapsed="false">
      <c r="A342" s="12" t="n">
        <v>42500</v>
      </c>
      <c r="B342" s="15" t="n">
        <v>44.66</v>
      </c>
      <c r="C342" s="15" t="n">
        <v>45.52</v>
      </c>
      <c r="D342" s="14" t="n">
        <f aca="false">AVERAGE(B323:B342)</f>
        <v>43.3635</v>
      </c>
      <c r="E342" s="14" t="n">
        <f aca="false">(B342-D342)/D342*100</f>
        <v>2.98984168713318</v>
      </c>
    </row>
    <row r="343" customFormat="false" ht="15" hidden="false" customHeight="false" outlineLevel="0" collapsed="false">
      <c r="A343" s="12" t="n">
        <v>42501</v>
      </c>
      <c r="B343" s="15" t="n">
        <v>46.23</v>
      </c>
      <c r="C343" s="15" t="n">
        <v>47.6</v>
      </c>
      <c r="D343" s="14" t="n">
        <f aca="false">AVERAGE(B324:B343)</f>
        <v>43.587</v>
      </c>
      <c r="E343" s="14" t="n">
        <f aca="false">(B343-D343)/D343*100</f>
        <v>6.06373459976597</v>
      </c>
    </row>
    <row r="344" customFormat="false" ht="15" hidden="false" customHeight="false" outlineLevel="0" collapsed="false">
      <c r="A344" s="12" t="n">
        <v>42502</v>
      </c>
      <c r="B344" s="15" t="n">
        <v>46.7</v>
      </c>
      <c r="C344" s="15" t="n">
        <v>48.08</v>
      </c>
      <c r="D344" s="14" t="n">
        <f aca="false">AVERAGE(B325:B344)</f>
        <v>43.847</v>
      </c>
      <c r="E344" s="14" t="n">
        <f aca="false">(B344-D344)/D344*100</f>
        <v>6.5067165370493</v>
      </c>
    </row>
    <row r="345" customFormat="false" ht="15" hidden="false" customHeight="false" outlineLevel="0" collapsed="false">
      <c r="A345" s="12" t="n">
        <v>42503</v>
      </c>
      <c r="B345" s="15" t="n">
        <v>46.21</v>
      </c>
      <c r="C345" s="15" t="n">
        <v>47.83</v>
      </c>
      <c r="D345" s="14" t="n">
        <f aca="false">AVERAGE(B326:B345)</f>
        <v>44.1395</v>
      </c>
      <c r="E345" s="14" t="n">
        <f aca="false">(B345-D345)/D345*100</f>
        <v>4.69080981886973</v>
      </c>
    </row>
    <row r="346" customFormat="false" ht="15" hidden="false" customHeight="false" outlineLevel="0" collapsed="false">
      <c r="A346" s="12" t="n">
        <v>42506</v>
      </c>
      <c r="B346" s="15" t="n">
        <v>47.72</v>
      </c>
      <c r="C346" s="15" t="n">
        <v>48.97</v>
      </c>
      <c r="D346" s="14" t="n">
        <f aca="false">AVERAGE(B327:B346)</f>
        <v>44.5365</v>
      </c>
      <c r="E346" s="14" t="n">
        <f aca="false">(B346-D346)/D346*100</f>
        <v>7.14806956092193</v>
      </c>
    </row>
    <row r="347" customFormat="false" ht="15" hidden="false" customHeight="false" outlineLevel="0" collapsed="false">
      <c r="A347" s="12" t="n">
        <v>42507</v>
      </c>
      <c r="B347" s="15" t="n">
        <v>48.31</v>
      </c>
      <c r="C347" s="15" t="n">
        <v>49.28</v>
      </c>
      <c r="D347" s="14" t="n">
        <f aca="false">AVERAGE(B328:B347)</f>
        <v>44.898</v>
      </c>
      <c r="E347" s="14" t="n">
        <f aca="false">(B347-D347)/D347*100</f>
        <v>7.59944763686578</v>
      </c>
    </row>
    <row r="348" customFormat="false" ht="15" hidden="false" customHeight="false" outlineLevel="0" collapsed="false">
      <c r="A348" s="12" t="n">
        <v>42508</v>
      </c>
      <c r="B348" s="15" t="n">
        <v>48.19</v>
      </c>
      <c r="C348" s="15" t="n">
        <v>48.93</v>
      </c>
      <c r="D348" s="14" t="n">
        <f aca="false">AVERAGE(B329:B348)</f>
        <v>45.176</v>
      </c>
      <c r="E348" s="14" t="n">
        <f aca="false">(B348-D348)/D348*100</f>
        <v>6.67168408004249</v>
      </c>
    </row>
    <row r="349" customFormat="false" ht="15" hidden="false" customHeight="false" outlineLevel="0" collapsed="false">
      <c r="A349" s="12" t="n">
        <v>42509</v>
      </c>
      <c r="B349" s="15" t="n">
        <v>48.16</v>
      </c>
      <c r="C349" s="15" t="n">
        <v>48.81</v>
      </c>
      <c r="D349" s="14" t="n">
        <f aca="false">AVERAGE(B330:B349)</f>
        <v>45.425</v>
      </c>
      <c r="E349" s="14" t="n">
        <f aca="false">(B349-D349)/D349*100</f>
        <v>6.02091359383599</v>
      </c>
    </row>
    <row r="350" customFormat="false" ht="15" hidden="false" customHeight="false" outlineLevel="0" collapsed="false">
      <c r="A350" s="12" t="n">
        <v>42510</v>
      </c>
      <c r="B350" s="15" t="n">
        <v>47.75</v>
      </c>
      <c r="C350" s="15" t="n">
        <v>48.72</v>
      </c>
      <c r="D350" s="14" t="n">
        <f aca="false">AVERAGE(B331:B350)</f>
        <v>45.626</v>
      </c>
      <c r="E350" s="14" t="n">
        <f aca="false">(B350-D350)/D350*100</f>
        <v>4.6552404330864</v>
      </c>
    </row>
    <row r="351" customFormat="false" ht="15" hidden="false" customHeight="false" outlineLevel="0" collapsed="false">
      <c r="A351" s="12" t="n">
        <v>42513</v>
      </c>
      <c r="B351" s="15" t="n">
        <v>48.08</v>
      </c>
      <c r="C351" s="15" t="n">
        <v>48.35</v>
      </c>
      <c r="D351" s="14" t="n">
        <f aca="false">AVERAGE(B332:B351)</f>
        <v>45.898</v>
      </c>
      <c r="E351" s="14" t="n">
        <f aca="false">(B351-D351)/D351*100</f>
        <v>4.75401978299707</v>
      </c>
    </row>
    <row r="352" customFormat="false" ht="15" hidden="false" customHeight="false" outlineLevel="0" collapsed="false">
      <c r="A352" s="12" t="n">
        <v>42514</v>
      </c>
      <c r="B352" s="15" t="n">
        <v>48.62</v>
      </c>
      <c r="C352" s="15" t="n">
        <v>48.61</v>
      </c>
      <c r="D352" s="14" t="n">
        <f aca="false">AVERAGE(B333:B352)</f>
        <v>46.127</v>
      </c>
      <c r="E352" s="14" t="n">
        <f aca="false">(B352-D352)/D352*100</f>
        <v>5.40464370108614</v>
      </c>
    </row>
    <row r="353" customFormat="false" ht="15" hidden="false" customHeight="false" outlineLevel="0" collapsed="false">
      <c r="A353" s="12" t="n">
        <v>42515</v>
      </c>
      <c r="B353" s="15" t="n">
        <v>49.56</v>
      </c>
      <c r="C353" s="15" t="n">
        <v>49.74</v>
      </c>
      <c r="D353" s="14" t="n">
        <f aca="false">AVERAGE(B334:B353)</f>
        <v>46.3385</v>
      </c>
      <c r="E353" s="14" t="n">
        <f aca="false">(B353-D353)/D353*100</f>
        <v>6.95210246339438</v>
      </c>
    </row>
    <row r="354" customFormat="false" ht="15" hidden="false" customHeight="false" outlineLevel="0" collapsed="false">
      <c r="A354" s="12" t="n">
        <v>42516</v>
      </c>
      <c r="B354" s="15" t="n">
        <v>49.48</v>
      </c>
      <c r="C354" s="15" t="n">
        <v>49.59</v>
      </c>
      <c r="D354" s="14" t="n">
        <f aca="false">AVERAGE(B335:B354)</f>
        <v>46.511</v>
      </c>
      <c r="E354" s="14" t="n">
        <f aca="false">(B354-D354)/D354*100</f>
        <v>6.38343617638837</v>
      </c>
    </row>
    <row r="355" customFormat="false" ht="15" hidden="false" customHeight="false" outlineLevel="0" collapsed="false">
      <c r="A355" s="12" t="n">
        <v>42517</v>
      </c>
      <c r="B355" s="15" t="n">
        <v>49.33</v>
      </c>
      <c r="C355" s="15" t="n">
        <v>49.32</v>
      </c>
      <c r="D355" s="14" t="n">
        <f aca="false">AVERAGE(B336:B355)</f>
        <v>46.6815</v>
      </c>
      <c r="E355" s="14" t="n">
        <f aca="false">(B355-D355)/D355*100</f>
        <v>5.6735537632681</v>
      </c>
    </row>
    <row r="356" customFormat="false" ht="15" hidden="false" customHeight="false" outlineLevel="0" collapsed="false">
      <c r="A356" s="12" t="n">
        <v>42521</v>
      </c>
      <c r="B356" s="15" t="n">
        <v>49.1</v>
      </c>
      <c r="C356" s="15" t="n">
        <v>49.69</v>
      </c>
      <c r="D356" s="14" t="n">
        <f aca="false">AVERAGE(B337:B356)</f>
        <v>46.8975</v>
      </c>
      <c r="E356" s="14" t="n">
        <f aca="false">(B356-D356)/D356*100</f>
        <v>4.6964123887201</v>
      </c>
    </row>
    <row r="357" customFormat="false" ht="15" hidden="false" customHeight="false" outlineLevel="0" collapsed="false">
      <c r="A357" s="12" t="n">
        <v>42522</v>
      </c>
      <c r="B357" s="15" t="n">
        <v>49.01</v>
      </c>
      <c r="C357" s="15" t="n">
        <v>49.71</v>
      </c>
      <c r="D357" s="14" t="n">
        <f aca="false">AVERAGE(B338:B357)</f>
        <v>47.1655</v>
      </c>
      <c r="E357" s="14" t="n">
        <f aca="false">(B357-D357)/D357*100</f>
        <v>3.91069743774582</v>
      </c>
    </row>
    <row r="358" customFormat="false" ht="15" hidden="false" customHeight="false" outlineLevel="0" collapsed="false">
      <c r="A358" s="12" t="n">
        <v>42523</v>
      </c>
      <c r="B358" s="15" t="n">
        <v>49.17</v>
      </c>
      <c r="C358" s="15" t="n">
        <v>50.04</v>
      </c>
      <c r="D358" s="14" t="n">
        <f aca="false">AVERAGE(B339:B358)</f>
        <v>47.435</v>
      </c>
      <c r="E358" s="14" t="n">
        <f aca="false">(B358-D358)/D358*100</f>
        <v>3.65763676610099</v>
      </c>
    </row>
    <row r="359" customFormat="false" ht="15" hidden="false" customHeight="false" outlineLevel="0" collapsed="false">
      <c r="A359" s="12" t="n">
        <v>42524</v>
      </c>
      <c r="B359" s="15" t="n">
        <v>48.62</v>
      </c>
      <c r="C359" s="15" t="n">
        <v>49.64</v>
      </c>
      <c r="D359" s="14" t="n">
        <f aca="false">AVERAGE(B340:B359)</f>
        <v>47.65</v>
      </c>
      <c r="E359" s="14" t="n">
        <f aca="false">(B359-D359)/D359*100</f>
        <v>2.03567681007345</v>
      </c>
    </row>
    <row r="360" customFormat="false" ht="15" hidden="false" customHeight="false" outlineLevel="0" collapsed="false">
      <c r="A360" s="12" t="n">
        <v>42527</v>
      </c>
      <c r="B360" s="15" t="n">
        <v>49.69</v>
      </c>
      <c r="C360" s="15" t="n">
        <v>50.55</v>
      </c>
      <c r="D360" s="14" t="n">
        <f aca="false">AVERAGE(B341:B360)</f>
        <v>47.9015</v>
      </c>
      <c r="E360" s="14" t="n">
        <f aca="false">(B360-D360)/D360*100</f>
        <v>3.73370353746751</v>
      </c>
    </row>
    <row r="361" customFormat="false" ht="15" hidden="false" customHeight="false" outlineLevel="0" collapsed="false">
      <c r="A361" s="12" t="n">
        <v>42528</v>
      </c>
      <c r="B361" s="15" t="n">
        <v>50.36</v>
      </c>
      <c r="C361" s="15" t="n">
        <v>51.44</v>
      </c>
      <c r="D361" s="14" t="n">
        <f aca="false">AVERAGE(B342:B361)</f>
        <v>48.2475</v>
      </c>
      <c r="E361" s="14" t="n">
        <f aca="false">(B361-D361)/D361*100</f>
        <v>4.37846520545107</v>
      </c>
    </row>
    <row r="362" customFormat="false" ht="15" hidden="false" customHeight="false" outlineLevel="0" collapsed="false">
      <c r="A362" s="12" t="n">
        <v>42529</v>
      </c>
      <c r="B362" s="15" t="n">
        <v>51.23</v>
      </c>
      <c r="C362" s="15" t="n">
        <v>52.51</v>
      </c>
      <c r="D362" s="14" t="n">
        <f aca="false">AVERAGE(B343:B362)</f>
        <v>48.576</v>
      </c>
      <c r="E362" s="14" t="n">
        <f aca="false">(B362-D362)/D362*100</f>
        <v>5.46360342555994</v>
      </c>
    </row>
    <row r="363" customFormat="false" ht="15" hidden="false" customHeight="false" outlineLevel="0" collapsed="false">
      <c r="A363" s="12" t="n">
        <v>42530</v>
      </c>
      <c r="B363" s="15" t="n">
        <v>50.56</v>
      </c>
      <c r="C363" s="15" t="n">
        <v>51.95</v>
      </c>
      <c r="D363" s="14" t="n">
        <f aca="false">AVERAGE(B344:B363)</f>
        <v>48.7925</v>
      </c>
      <c r="E363" s="14" t="n">
        <f aca="false">(B363-D363)/D363*100</f>
        <v>3.62248296357022</v>
      </c>
    </row>
    <row r="364" customFormat="false" ht="15" hidden="false" customHeight="false" outlineLevel="0" collapsed="false">
      <c r="A364" s="12" t="n">
        <v>42531</v>
      </c>
      <c r="B364" s="15" t="n">
        <v>49.07</v>
      </c>
      <c r="C364" s="15" t="n">
        <v>50.54</v>
      </c>
      <c r="D364" s="14" t="n">
        <f aca="false">AVERAGE(B345:B364)</f>
        <v>48.911</v>
      </c>
      <c r="E364" s="14" t="n">
        <f aca="false">(B364-D364)/D364*100</f>
        <v>0.325080247797017</v>
      </c>
    </row>
    <row r="365" customFormat="false" ht="15" hidden="false" customHeight="false" outlineLevel="0" collapsed="false">
      <c r="A365" s="12" t="n">
        <v>42534</v>
      </c>
      <c r="B365" s="15" t="n">
        <v>48.88</v>
      </c>
      <c r="C365" s="15" t="n">
        <v>50.35</v>
      </c>
      <c r="D365" s="14" t="n">
        <f aca="false">AVERAGE(B346:B365)</f>
        <v>49.0445</v>
      </c>
      <c r="E365" s="14" t="n">
        <f aca="false">(B365-D365)/D365*100</f>
        <v>-0.335409678965015</v>
      </c>
    </row>
    <row r="366" customFormat="false" ht="15" hidden="false" customHeight="false" outlineLevel="0" collapsed="false">
      <c r="A366" s="12" t="n">
        <v>42535</v>
      </c>
      <c r="B366" s="15" t="n">
        <v>48.49</v>
      </c>
      <c r="C366" s="15" t="n">
        <v>49.83</v>
      </c>
      <c r="D366" s="14" t="n">
        <f aca="false">AVERAGE(B347:B366)</f>
        <v>49.083</v>
      </c>
      <c r="E366" s="14" t="n">
        <f aca="false">(B366-D366)/D366*100</f>
        <v>-1.20815761057799</v>
      </c>
    </row>
    <row r="367" customFormat="false" ht="15" hidden="false" customHeight="false" outlineLevel="0" collapsed="false">
      <c r="A367" s="12" t="n">
        <v>42536</v>
      </c>
      <c r="B367" s="15" t="n">
        <v>48.01</v>
      </c>
      <c r="C367" s="15" t="n">
        <v>48.97</v>
      </c>
      <c r="D367" s="14" t="n">
        <f aca="false">AVERAGE(B348:B367)</f>
        <v>49.068</v>
      </c>
      <c r="E367" s="14" t="n">
        <f aca="false">(B367-D367)/D367*100</f>
        <v>-2.15619140784218</v>
      </c>
    </row>
    <row r="368" customFormat="false" ht="15" hidden="false" customHeight="false" outlineLevel="0" collapsed="false">
      <c r="A368" s="12" t="n">
        <v>42537</v>
      </c>
      <c r="B368" s="15" t="n">
        <v>46.21</v>
      </c>
      <c r="C368" s="15" t="n">
        <v>47.19</v>
      </c>
      <c r="D368" s="14" t="n">
        <f aca="false">AVERAGE(B349:B368)</f>
        <v>48.969</v>
      </c>
      <c r="E368" s="14" t="n">
        <f aca="false">(B368-D368)/D368*100</f>
        <v>-5.63417672404991</v>
      </c>
    </row>
    <row r="369" customFormat="false" ht="15" hidden="false" customHeight="false" outlineLevel="0" collapsed="false">
      <c r="A369" s="12" t="n">
        <v>42538</v>
      </c>
      <c r="B369" s="15" t="n">
        <v>47.98</v>
      </c>
      <c r="C369" s="15" t="n">
        <v>49.17</v>
      </c>
      <c r="D369" s="14" t="n">
        <f aca="false">AVERAGE(B350:B369)</f>
        <v>48.96</v>
      </c>
      <c r="E369" s="14" t="n">
        <f aca="false">(B369-D369)/D369*100</f>
        <v>-2.00163398692811</v>
      </c>
    </row>
    <row r="370" customFormat="false" ht="15" hidden="false" customHeight="false" outlineLevel="0" collapsed="false">
      <c r="A370" s="12" t="n">
        <v>42541</v>
      </c>
      <c r="B370" s="15" t="n">
        <v>49.37</v>
      </c>
      <c r="C370" s="15" t="n">
        <v>50.65</v>
      </c>
      <c r="D370" s="14" t="n">
        <f aca="false">AVERAGE(B351:B370)</f>
        <v>49.041</v>
      </c>
      <c r="E370" s="14" t="n">
        <f aca="false">(B370-D370)/D370*100</f>
        <v>0.670867233539285</v>
      </c>
    </row>
    <row r="371" customFormat="false" ht="15" hidden="false" customHeight="false" outlineLevel="0" collapsed="false">
      <c r="A371" s="12" t="n">
        <v>42542</v>
      </c>
      <c r="B371" s="15" t="n">
        <v>48.85</v>
      </c>
      <c r="C371" s="15" t="n">
        <v>50.62</v>
      </c>
      <c r="D371" s="14" t="n">
        <f aca="false">AVERAGE(B352:B371)</f>
        <v>49.0795</v>
      </c>
      <c r="E371" s="14" t="n">
        <f aca="false">(B371-D371)/D371*100</f>
        <v>-0.467608675720009</v>
      </c>
    </row>
    <row r="372" customFormat="false" ht="15" hidden="false" customHeight="false" outlineLevel="0" collapsed="false">
      <c r="A372" s="12" t="n">
        <v>42543</v>
      </c>
      <c r="B372" s="15" t="n">
        <v>49.13</v>
      </c>
      <c r="C372" s="15" t="n">
        <v>49.88</v>
      </c>
      <c r="D372" s="14" t="n">
        <f aca="false">AVERAGE(B353:B372)</f>
        <v>49.105</v>
      </c>
      <c r="E372" s="14" t="n">
        <f aca="false">(B372-D372)/D372*100</f>
        <v>0.0509113124936332</v>
      </c>
    </row>
    <row r="373" customFormat="false" ht="15" hidden="false" customHeight="false" outlineLevel="0" collapsed="false">
      <c r="A373" s="12" t="n">
        <v>42544</v>
      </c>
      <c r="B373" s="15" t="n">
        <v>50.11</v>
      </c>
      <c r="C373" s="15" t="n">
        <v>50.91</v>
      </c>
      <c r="D373" s="14" t="n">
        <f aca="false">AVERAGE(B354:B373)</f>
        <v>49.1325</v>
      </c>
      <c r="E373" s="14" t="n">
        <f aca="false">(B373-D373)/D373*100</f>
        <v>1.98951813972421</v>
      </c>
    </row>
    <row r="374" customFormat="false" ht="15" hidden="false" customHeight="false" outlineLevel="0" collapsed="false">
      <c r="A374" s="12" t="n">
        <v>42545</v>
      </c>
      <c r="B374" s="15" t="n">
        <v>47.64</v>
      </c>
      <c r="C374" s="15" t="n">
        <v>48.41</v>
      </c>
      <c r="D374" s="14" t="n">
        <f aca="false">AVERAGE(B355:B374)</f>
        <v>49.0405</v>
      </c>
      <c r="E374" s="14" t="n">
        <f aca="false">(B374-D374)/D374*100</f>
        <v>-2.85580285682241</v>
      </c>
    </row>
    <row r="375" customFormat="false" ht="15" hidden="false" customHeight="false" outlineLevel="0" collapsed="false">
      <c r="A375" s="12" t="n">
        <v>42548</v>
      </c>
      <c r="B375" s="15" t="n">
        <v>46.33</v>
      </c>
      <c r="C375" s="15" t="n">
        <v>47.16</v>
      </c>
      <c r="D375" s="14" t="n">
        <f aca="false">AVERAGE(B356:B375)</f>
        <v>48.8905</v>
      </c>
      <c r="E375" s="14" t="n">
        <f aca="false">(B375-D375)/D375*100</f>
        <v>-5.237213773637</v>
      </c>
    </row>
    <row r="376" customFormat="false" ht="15" hidden="false" customHeight="false" outlineLevel="0" collapsed="false">
      <c r="A376" s="12" t="n">
        <v>42549</v>
      </c>
      <c r="B376" s="15" t="n">
        <v>47.85</v>
      </c>
      <c r="C376" s="15" t="n">
        <v>48.58</v>
      </c>
      <c r="D376" s="14" t="n">
        <f aca="false">AVERAGE(B357:B376)</f>
        <v>48.828</v>
      </c>
      <c r="E376" s="14" t="n">
        <f aca="false">(B376-D376)/D376*100</f>
        <v>-2.00294912754976</v>
      </c>
    </row>
    <row r="377" customFormat="false" ht="15" hidden="false" customHeight="false" outlineLevel="0" collapsed="false">
      <c r="A377" s="12" t="n">
        <v>42550</v>
      </c>
      <c r="B377" s="15" t="n">
        <v>49.88</v>
      </c>
      <c r="C377" s="15" t="n">
        <v>50.61</v>
      </c>
      <c r="D377" s="14" t="n">
        <f aca="false">AVERAGE(B358:B377)</f>
        <v>48.8715</v>
      </c>
      <c r="E377" s="14" t="n">
        <f aca="false">(B377-D377)/D377*100</f>
        <v>2.06357488515803</v>
      </c>
    </row>
    <row r="378" customFormat="false" ht="15" hidden="false" customHeight="false" outlineLevel="0" collapsed="false">
      <c r="A378" s="12" t="n">
        <v>42551</v>
      </c>
      <c r="B378" s="15" t="n">
        <v>48.33</v>
      </c>
      <c r="C378" s="15" t="n">
        <v>49.68</v>
      </c>
      <c r="D378" s="14" t="n">
        <f aca="false">AVERAGE(B359:B378)</f>
        <v>48.8295</v>
      </c>
      <c r="E378" s="14" t="n">
        <f aca="false">(B378-D378)/D378*100</f>
        <v>-1.02294719380703</v>
      </c>
    </row>
    <row r="379" customFormat="false" ht="15" hidden="false" customHeight="false" outlineLevel="0" collapsed="false">
      <c r="A379" s="12" t="n">
        <v>42552</v>
      </c>
      <c r="B379" s="15" t="n">
        <v>48.99</v>
      </c>
      <c r="C379" s="15" t="n">
        <v>49.84</v>
      </c>
      <c r="D379" s="14" t="n">
        <f aca="false">AVERAGE(B360:B379)</f>
        <v>48.848</v>
      </c>
      <c r="E379" s="14" t="n">
        <f aca="false">(B379-D379)/D379*100</f>
        <v>0.290697674418611</v>
      </c>
    </row>
    <row r="380" customFormat="false" ht="15" hidden="false" customHeight="false" outlineLevel="0" collapsed="false">
      <c r="A380" s="12" t="n">
        <v>42556</v>
      </c>
      <c r="B380" s="15" t="n">
        <v>46.6</v>
      </c>
      <c r="C380" s="15" t="n">
        <v>47.96</v>
      </c>
      <c r="D380" s="14" t="n">
        <f aca="false">AVERAGE(B361:B380)</f>
        <v>48.6935</v>
      </c>
      <c r="E380" s="14" t="n">
        <f aca="false">(B380-D380)/D380*100</f>
        <v>-4.29934180126711</v>
      </c>
    </row>
    <row r="381" customFormat="false" ht="15" hidden="false" customHeight="false" outlineLevel="0" collapsed="false">
      <c r="A381" s="12" t="n">
        <v>42557</v>
      </c>
      <c r="B381" s="15" t="n">
        <v>47.43</v>
      </c>
      <c r="C381" s="15" t="n">
        <v>48.8</v>
      </c>
      <c r="D381" s="14" t="n">
        <f aca="false">AVERAGE(B362:B381)</f>
        <v>48.547</v>
      </c>
      <c r="E381" s="14" t="n">
        <f aca="false">(B381-D381)/D381*100</f>
        <v>-2.30086308113788</v>
      </c>
    </row>
    <row r="382" customFormat="false" ht="15" hidden="false" customHeight="false" outlineLevel="0" collapsed="false">
      <c r="A382" s="12" t="n">
        <v>42558</v>
      </c>
      <c r="B382" s="15" t="n">
        <v>45.14</v>
      </c>
      <c r="C382" s="15" t="n">
        <v>46.4</v>
      </c>
      <c r="D382" s="14" t="n">
        <f aca="false">AVERAGE(B363:B382)</f>
        <v>48.2425</v>
      </c>
      <c r="E382" s="14" t="n">
        <f aca="false">(B382-D382)/D382*100</f>
        <v>-6.43105145877598</v>
      </c>
    </row>
    <row r="383" customFormat="false" ht="15" hidden="false" customHeight="false" outlineLevel="0" collapsed="false">
      <c r="A383" s="12" t="n">
        <v>42559</v>
      </c>
      <c r="B383" s="15" t="n">
        <v>45.41</v>
      </c>
      <c r="C383" s="15" t="n">
        <v>46.76</v>
      </c>
      <c r="D383" s="14" t="n">
        <f aca="false">AVERAGE(B364:B383)</f>
        <v>47.985</v>
      </c>
      <c r="E383" s="14" t="n">
        <f aca="false">(B383-D383)/D383*100</f>
        <v>-5.36626028967386</v>
      </c>
    </row>
    <row r="384" customFormat="false" ht="15" hidden="false" customHeight="false" outlineLevel="0" collapsed="false">
      <c r="A384" s="12" t="n">
        <v>42562</v>
      </c>
      <c r="B384" s="15" t="n">
        <v>44.76</v>
      </c>
      <c r="C384" s="15" t="n">
        <v>46.25</v>
      </c>
      <c r="D384" s="14" t="n">
        <f aca="false">AVERAGE(B365:B384)</f>
        <v>47.7695</v>
      </c>
      <c r="E384" s="14" t="n">
        <f aca="false">(B384-D384)/D384*100</f>
        <v>-6.30004500779787</v>
      </c>
    </row>
    <row r="385" customFormat="false" ht="15" hidden="false" customHeight="false" outlineLevel="0" collapsed="false">
      <c r="A385" s="12" t="n">
        <v>42563</v>
      </c>
      <c r="B385" s="15" t="n">
        <v>46.8</v>
      </c>
      <c r="C385" s="15" t="n">
        <v>48.47</v>
      </c>
      <c r="D385" s="14" t="n">
        <f aca="false">AVERAGE(B366:B385)</f>
        <v>47.6655</v>
      </c>
      <c r="E385" s="14" t="n">
        <f aca="false">(B385-D385)/D385*100</f>
        <v>-1.81577870787047</v>
      </c>
    </row>
    <row r="386" customFormat="false" ht="15" hidden="false" customHeight="false" outlineLevel="0" collapsed="false">
      <c r="A386" s="12" t="n">
        <v>42564</v>
      </c>
      <c r="B386" s="15" t="n">
        <v>44.75</v>
      </c>
      <c r="C386" s="15" t="n">
        <v>46.26</v>
      </c>
      <c r="D386" s="14" t="n">
        <f aca="false">AVERAGE(B367:B386)</f>
        <v>47.4785</v>
      </c>
      <c r="E386" s="14" t="n">
        <f aca="false">(B386-D386)/D386*100</f>
        <v>-5.74681171477616</v>
      </c>
    </row>
    <row r="387" customFormat="false" ht="15" hidden="false" customHeight="false" outlineLevel="0" collapsed="false">
      <c r="A387" s="12" t="n">
        <v>42565</v>
      </c>
      <c r="B387" s="15" t="n">
        <v>45.68</v>
      </c>
      <c r="C387" s="15" t="n">
        <v>47.37</v>
      </c>
      <c r="D387" s="14" t="n">
        <f aca="false">AVERAGE(B368:B387)</f>
        <v>47.362</v>
      </c>
      <c r="E387" s="14" t="n">
        <f aca="false">(B387-D387)/D387*100</f>
        <v>-3.55137029686247</v>
      </c>
    </row>
    <row r="388" customFormat="false" ht="15" hidden="false" customHeight="false" outlineLevel="0" collapsed="false">
      <c r="A388" s="12" t="n">
        <v>42566</v>
      </c>
      <c r="B388" s="15" t="n">
        <v>45.95</v>
      </c>
      <c r="C388" s="15" t="n">
        <v>47.61</v>
      </c>
      <c r="D388" s="14" t="n">
        <f aca="false">AVERAGE(B369:B388)</f>
        <v>47.349</v>
      </c>
      <c r="E388" s="14" t="n">
        <f aca="false">(B388-D388)/D388*100</f>
        <v>-2.95465585334432</v>
      </c>
    </row>
    <row r="389" customFormat="false" ht="15" hidden="false" customHeight="false" outlineLevel="0" collapsed="false">
      <c r="A389" s="12" t="n">
        <v>42569</v>
      </c>
      <c r="B389" s="15" t="n">
        <v>45.24</v>
      </c>
      <c r="C389" s="15" t="n">
        <v>46.96</v>
      </c>
      <c r="D389" s="14" t="n">
        <f aca="false">AVERAGE(B370:B389)</f>
        <v>47.212</v>
      </c>
      <c r="E389" s="14" t="n">
        <f aca="false">(B389-D389)/D389*100</f>
        <v>-4.17690417690418</v>
      </c>
    </row>
    <row r="390" customFormat="false" ht="15" hidden="false" customHeight="false" outlineLevel="0" collapsed="false">
      <c r="A390" s="12" t="n">
        <v>42570</v>
      </c>
      <c r="B390" s="15" t="n">
        <v>44.65</v>
      </c>
      <c r="C390" s="15" t="n">
        <v>46.66</v>
      </c>
      <c r="D390" s="14" t="n">
        <f aca="false">AVERAGE(B371:B390)</f>
        <v>46.976</v>
      </c>
      <c r="E390" s="14" t="n">
        <f aca="false">(B390-D390)/D390*100</f>
        <v>-4.95146457765668</v>
      </c>
    </row>
    <row r="391" customFormat="false" ht="15" hidden="false" customHeight="false" outlineLevel="0" collapsed="false">
      <c r="A391" s="12" t="n">
        <v>42571</v>
      </c>
      <c r="B391" s="15" t="n">
        <v>44.94</v>
      </c>
      <c r="C391" s="15" t="n">
        <v>47.17</v>
      </c>
      <c r="D391" s="14" t="n">
        <f aca="false">AVERAGE(B372:B391)</f>
        <v>46.7805</v>
      </c>
      <c r="E391" s="14" t="n">
        <f aca="false">(B391-D391)/D391*100</f>
        <v>-3.93433161253087</v>
      </c>
    </row>
    <row r="392" customFormat="false" ht="15" hidden="false" customHeight="false" outlineLevel="0" collapsed="false">
      <c r="A392" s="12" t="n">
        <v>42572</v>
      </c>
      <c r="B392" s="15" t="n">
        <v>44.75</v>
      </c>
      <c r="C392" s="15" t="n">
        <v>46.2</v>
      </c>
      <c r="D392" s="14" t="n">
        <f aca="false">AVERAGE(B373:B392)</f>
        <v>46.5615</v>
      </c>
      <c r="E392" s="14" t="n">
        <f aca="false">(B392-D392)/D392*100</f>
        <v>-3.890553354166</v>
      </c>
    </row>
    <row r="393" customFormat="false" ht="15" hidden="false" customHeight="false" outlineLevel="0" collapsed="false">
      <c r="A393" s="12" t="n">
        <v>42573</v>
      </c>
      <c r="B393" s="15" t="n">
        <v>44.19</v>
      </c>
      <c r="C393" s="15" t="n">
        <v>45.69</v>
      </c>
      <c r="D393" s="14" t="n">
        <f aca="false">AVERAGE(B374:B393)</f>
        <v>46.2655</v>
      </c>
      <c r="E393" s="14" t="n">
        <f aca="false">(B393-D393)/D393*100</f>
        <v>-4.48606412985918</v>
      </c>
    </row>
    <row r="394" customFormat="false" ht="15" hidden="false" customHeight="false" outlineLevel="0" collapsed="false">
      <c r="A394" s="12" t="n">
        <v>42576</v>
      </c>
      <c r="B394" s="15" t="n">
        <v>43.13</v>
      </c>
      <c r="C394" s="15" t="n">
        <v>44.72</v>
      </c>
      <c r="D394" s="14" t="n">
        <f aca="false">AVERAGE(B375:B394)</f>
        <v>46.04</v>
      </c>
      <c r="E394" s="14" t="n">
        <f aca="false">(B394-D394)/D394*100</f>
        <v>-6.32059079061685</v>
      </c>
    </row>
    <row r="395" customFormat="false" ht="15" hidden="false" customHeight="false" outlineLevel="0" collapsed="false">
      <c r="A395" s="12" t="n">
        <v>42577</v>
      </c>
      <c r="B395" s="15" t="n">
        <v>42.92</v>
      </c>
      <c r="C395" s="15" t="n">
        <v>44.87</v>
      </c>
      <c r="D395" s="14" t="n">
        <f aca="false">AVERAGE(B376:B395)</f>
        <v>45.8695</v>
      </c>
      <c r="E395" s="14" t="n">
        <f aca="false">(B395-D395)/D395*100</f>
        <v>-6.43019871592235</v>
      </c>
    </row>
    <row r="396" customFormat="false" ht="15" hidden="false" customHeight="false" outlineLevel="0" collapsed="false">
      <c r="A396" s="12" t="n">
        <v>42578</v>
      </c>
      <c r="B396" s="15" t="n">
        <v>41.92</v>
      </c>
      <c r="C396" s="15" t="n">
        <v>43.47</v>
      </c>
      <c r="D396" s="14" t="n">
        <f aca="false">AVERAGE(B377:B396)</f>
        <v>45.573</v>
      </c>
      <c r="E396" s="14" t="n">
        <f aca="false">(B396-D396)/D396*100</f>
        <v>-8.01571105698549</v>
      </c>
    </row>
    <row r="397" customFormat="false" ht="15" hidden="false" customHeight="false" outlineLevel="0" collapsed="false">
      <c r="A397" s="12" t="n">
        <v>42579</v>
      </c>
      <c r="B397" s="15" t="n">
        <v>41.14</v>
      </c>
      <c r="C397" s="15" t="n">
        <v>42.7</v>
      </c>
      <c r="D397" s="14" t="n">
        <f aca="false">AVERAGE(B378:B397)</f>
        <v>45.136</v>
      </c>
      <c r="E397" s="14" t="n">
        <f aca="false">(B397-D397)/D397*100</f>
        <v>-8.85324353066289</v>
      </c>
    </row>
    <row r="398" customFormat="false" ht="15" hidden="false" customHeight="false" outlineLevel="0" collapsed="false">
      <c r="A398" s="12" t="n">
        <v>42580</v>
      </c>
      <c r="B398" s="15" t="n">
        <v>41.6</v>
      </c>
      <c r="C398" s="15" t="n">
        <v>42.46</v>
      </c>
      <c r="D398" s="14" t="n">
        <f aca="false">AVERAGE(B379:B398)</f>
        <v>44.7995</v>
      </c>
      <c r="E398" s="14" t="n">
        <f aca="false">(B398-D398)/D398*100</f>
        <v>-7.14182077924977</v>
      </c>
    </row>
    <row r="399" customFormat="false" ht="15" hidden="false" customHeight="false" outlineLevel="0" collapsed="false">
      <c r="A399" s="12" t="n">
        <v>42583</v>
      </c>
      <c r="B399" s="15" t="n">
        <v>40.06</v>
      </c>
      <c r="C399" s="15" t="n">
        <v>42.45</v>
      </c>
      <c r="D399" s="14" t="n">
        <f aca="false">AVERAGE(B380:B399)</f>
        <v>44.353</v>
      </c>
      <c r="E399" s="14" t="n">
        <f aca="false">(B399-D399)/D399*100</f>
        <v>-9.67916488174417</v>
      </c>
    </row>
    <row r="400" customFormat="false" ht="15" hidden="false" customHeight="false" outlineLevel="0" collapsed="false">
      <c r="A400" s="12" t="n">
        <v>42584</v>
      </c>
      <c r="B400" s="15" t="n">
        <v>39.51</v>
      </c>
      <c r="C400" s="15" t="n">
        <v>41.8</v>
      </c>
      <c r="D400" s="14" t="n">
        <f aca="false">AVERAGE(B381:B400)</f>
        <v>43.9985</v>
      </c>
      <c r="E400" s="14" t="n">
        <f aca="false">(B400-D400)/D400*100</f>
        <v>-10.2014841415048</v>
      </c>
    </row>
    <row r="401" customFormat="false" ht="15" hidden="false" customHeight="false" outlineLevel="0" collapsed="false">
      <c r="A401" s="12" t="n">
        <v>42585</v>
      </c>
      <c r="B401" s="15" t="n">
        <v>40.83</v>
      </c>
      <c r="C401" s="15" t="n">
        <v>43.1</v>
      </c>
      <c r="D401" s="14" t="n">
        <f aca="false">AVERAGE(B382:B401)</f>
        <v>43.6685</v>
      </c>
      <c r="E401" s="14" t="n">
        <f aca="false">(B401-D401)/D401*100</f>
        <v>-6.50010877405911</v>
      </c>
    </row>
    <row r="402" customFormat="false" ht="15" hidden="false" customHeight="false" outlineLevel="0" collapsed="false">
      <c r="A402" s="12" t="n">
        <v>42586</v>
      </c>
      <c r="B402" s="15" t="n">
        <v>41.93</v>
      </c>
      <c r="C402" s="15" t="n">
        <v>44.29</v>
      </c>
      <c r="D402" s="14" t="n">
        <f aca="false">AVERAGE(B383:B402)</f>
        <v>43.508</v>
      </c>
      <c r="E402" s="14" t="n">
        <f aca="false">(B402-D402)/D402*100</f>
        <v>-3.62691918727589</v>
      </c>
    </row>
    <row r="403" customFormat="false" ht="15" hidden="false" customHeight="false" outlineLevel="0" collapsed="false">
      <c r="A403" s="12" t="n">
        <v>42587</v>
      </c>
      <c r="B403" s="15" t="n">
        <v>41.8</v>
      </c>
      <c r="C403" s="15" t="n">
        <v>44.27</v>
      </c>
      <c r="D403" s="14" t="n">
        <f aca="false">AVERAGE(B384:B403)</f>
        <v>43.3275</v>
      </c>
      <c r="E403" s="14" t="n">
        <f aca="false">(B403-D403)/D403*100</f>
        <v>-3.52547458311697</v>
      </c>
    </row>
    <row r="404" customFormat="false" ht="15" hidden="false" customHeight="false" outlineLevel="0" collapsed="false">
      <c r="A404" s="12" t="n">
        <v>42590</v>
      </c>
      <c r="B404" s="15" t="n">
        <v>43.02</v>
      </c>
      <c r="C404" s="15" t="n">
        <v>45.39</v>
      </c>
      <c r="D404" s="14" t="n">
        <f aca="false">AVERAGE(B385:B404)</f>
        <v>43.2405</v>
      </c>
      <c r="E404" s="14" t="n">
        <f aca="false">(B404-D404)/D404*100</f>
        <v>-0.509938599229875</v>
      </c>
    </row>
    <row r="405" customFormat="false" ht="15" hidden="false" customHeight="false" outlineLevel="0" collapsed="false">
      <c r="A405" s="12" t="n">
        <v>42591</v>
      </c>
      <c r="B405" s="15" t="n">
        <v>42.77</v>
      </c>
      <c r="C405" s="15" t="n">
        <v>44.98</v>
      </c>
      <c r="D405" s="14" t="n">
        <f aca="false">AVERAGE(B386:B405)</f>
        <v>43.039</v>
      </c>
      <c r="E405" s="14" t="n">
        <f aca="false">(B405-D405)/D405*100</f>
        <v>-0.625014521712861</v>
      </c>
    </row>
    <row r="406" customFormat="false" ht="15" hidden="false" customHeight="false" outlineLevel="0" collapsed="false">
      <c r="A406" s="12" t="n">
        <v>42592</v>
      </c>
      <c r="B406" s="15" t="n">
        <v>41.71</v>
      </c>
      <c r="C406" s="15" t="n">
        <v>44.05</v>
      </c>
      <c r="D406" s="14" t="n">
        <f aca="false">AVERAGE(B387:B406)</f>
        <v>42.887</v>
      </c>
      <c r="E406" s="14" t="n">
        <f aca="false">(B406-D406)/D406*100</f>
        <v>-2.74442138643412</v>
      </c>
    </row>
    <row r="407" customFormat="false" ht="15" hidden="false" customHeight="false" outlineLevel="0" collapsed="false">
      <c r="A407" s="12" t="n">
        <v>42593</v>
      </c>
      <c r="B407" s="15" t="n">
        <v>43.49</v>
      </c>
      <c r="C407" s="15" t="n">
        <v>46.04</v>
      </c>
      <c r="D407" s="14" t="n">
        <f aca="false">AVERAGE(B388:B407)</f>
        <v>42.7775</v>
      </c>
      <c r="E407" s="14" t="n">
        <f aca="false">(B407-D407)/D407*100</f>
        <v>1.66559523113788</v>
      </c>
    </row>
    <row r="408" customFormat="false" ht="15" hidden="false" customHeight="false" outlineLevel="0" collapsed="false">
      <c r="A408" s="12" t="n">
        <v>42594</v>
      </c>
      <c r="B408" s="15" t="n">
        <v>44.49</v>
      </c>
      <c r="C408" s="15" t="n">
        <v>46.97</v>
      </c>
      <c r="D408" s="14" t="n">
        <f aca="false">AVERAGE(B389:B408)</f>
        <v>42.7045</v>
      </c>
      <c r="E408" s="14" t="n">
        <f aca="false">(B408-D408)/D408*100</f>
        <v>4.18105820229718</v>
      </c>
    </row>
    <row r="409" customFormat="false" ht="15" hidden="false" customHeight="false" outlineLevel="0" collapsed="false">
      <c r="A409" s="12" t="n">
        <v>42597</v>
      </c>
      <c r="B409" s="15" t="n">
        <v>45.74</v>
      </c>
      <c r="C409" s="15" t="n">
        <v>48.35</v>
      </c>
      <c r="D409" s="14" t="n">
        <f aca="false">AVERAGE(B390:B409)</f>
        <v>42.7295</v>
      </c>
      <c r="E409" s="14" t="n">
        <f aca="false">(B409-D409)/D409*100</f>
        <v>7.04548379924876</v>
      </c>
    </row>
    <row r="410" customFormat="false" ht="15" hidden="false" customHeight="false" outlineLevel="0" collapsed="false">
      <c r="A410" s="12" t="n">
        <v>42598</v>
      </c>
      <c r="B410" s="15" t="n">
        <v>46.58</v>
      </c>
      <c r="C410" s="15" t="n">
        <v>49.23</v>
      </c>
      <c r="D410" s="14" t="n">
        <f aca="false">AVERAGE(B391:B410)</f>
        <v>42.826</v>
      </c>
      <c r="E410" s="14" t="n">
        <f aca="false">(B410-D410)/D410*100</f>
        <v>8.7657030775697</v>
      </c>
    </row>
    <row r="411" customFormat="false" ht="15" hidden="false" customHeight="false" outlineLevel="0" collapsed="false">
      <c r="A411" s="12" t="n">
        <v>42599</v>
      </c>
      <c r="B411" s="15" t="n">
        <v>46.79</v>
      </c>
      <c r="C411" s="15" t="n">
        <v>49.85</v>
      </c>
      <c r="D411" s="14" t="n">
        <f aca="false">AVERAGE(B392:B411)</f>
        <v>42.9185</v>
      </c>
      <c r="E411" s="14" t="n">
        <f aca="false">(B411-D411)/D411*100</f>
        <v>9.02058552838519</v>
      </c>
    </row>
    <row r="412" customFormat="false" ht="15" hidden="false" customHeight="false" outlineLevel="0" collapsed="false">
      <c r="A412" s="12" t="n">
        <v>42600</v>
      </c>
      <c r="B412" s="15" t="n">
        <v>48.22</v>
      </c>
      <c r="C412" s="15" t="n">
        <v>50.89</v>
      </c>
      <c r="D412" s="14" t="n">
        <f aca="false">AVERAGE(B393:B412)</f>
        <v>43.092</v>
      </c>
      <c r="E412" s="14" t="n">
        <f aca="false">(B412-D412)/D412*100</f>
        <v>11.9001206720505</v>
      </c>
    </row>
    <row r="413" customFormat="false" ht="15" hidden="false" customHeight="false" outlineLevel="0" collapsed="false">
      <c r="A413" s="12" t="n">
        <v>42601</v>
      </c>
      <c r="B413" s="15" t="n">
        <v>48.52</v>
      </c>
      <c r="C413" s="15" t="n">
        <v>50.88</v>
      </c>
      <c r="D413" s="14" t="n">
        <f aca="false">AVERAGE(B394:B413)</f>
        <v>43.3085</v>
      </c>
      <c r="E413" s="14" t="n">
        <f aca="false">(B413-D413)/D413*100</f>
        <v>12.0334345451817</v>
      </c>
    </row>
    <row r="414" customFormat="false" ht="15" hidden="false" customHeight="false" outlineLevel="0" collapsed="false">
      <c r="A414" s="12" t="n">
        <v>42604</v>
      </c>
      <c r="B414" s="15" t="n">
        <v>47.05</v>
      </c>
      <c r="C414" s="15" t="n">
        <v>49.16</v>
      </c>
      <c r="D414" s="14" t="n">
        <f aca="false">AVERAGE(B395:B414)</f>
        <v>43.5045</v>
      </c>
      <c r="E414" s="14" t="n">
        <f aca="false">(B414-D414)/D414*100</f>
        <v>8.14973163695709</v>
      </c>
    </row>
    <row r="415" customFormat="false" ht="15" hidden="false" customHeight="false" outlineLevel="0" collapsed="false">
      <c r="A415" s="12" t="n">
        <v>42605</v>
      </c>
      <c r="B415" s="15" t="n">
        <v>48.1</v>
      </c>
      <c r="C415" s="15" t="n">
        <v>49.96</v>
      </c>
      <c r="D415" s="14" t="n">
        <f aca="false">AVERAGE(B396:B415)</f>
        <v>43.7635</v>
      </c>
      <c r="E415" s="14" t="n">
        <f aca="false">(B415-D415)/D415*100</f>
        <v>9.9089423834931</v>
      </c>
    </row>
    <row r="416" customFormat="false" ht="15" hidden="false" customHeight="false" outlineLevel="0" collapsed="false">
      <c r="A416" s="12" t="n">
        <v>42606</v>
      </c>
      <c r="B416" s="15" t="n">
        <v>46.77</v>
      </c>
      <c r="C416" s="15" t="n">
        <v>49.05</v>
      </c>
      <c r="D416" s="14" t="n">
        <f aca="false">AVERAGE(B397:B416)</f>
        <v>44.006</v>
      </c>
      <c r="E416" s="14" t="n">
        <f aca="false">(B416-D416)/D416*100</f>
        <v>6.28096168704268</v>
      </c>
    </row>
    <row r="417" customFormat="false" ht="15" hidden="false" customHeight="false" outlineLevel="0" collapsed="false">
      <c r="A417" s="12" t="n">
        <v>42607</v>
      </c>
      <c r="B417" s="15" t="n">
        <v>47.33</v>
      </c>
      <c r="C417" s="15" t="n">
        <v>49.67</v>
      </c>
      <c r="D417" s="14" t="n">
        <f aca="false">AVERAGE(B398:B417)</f>
        <v>44.3155</v>
      </c>
      <c r="E417" s="14" t="n">
        <f aca="false">(B417-D417)/D417*100</f>
        <v>6.80236034795951</v>
      </c>
    </row>
    <row r="418" customFormat="false" ht="15" hidden="false" customHeight="false" outlineLevel="0" collapsed="false">
      <c r="A418" s="12" t="n">
        <v>42608</v>
      </c>
      <c r="B418" s="15" t="n">
        <v>47.64</v>
      </c>
      <c r="C418" s="15" t="n">
        <v>49.92</v>
      </c>
      <c r="D418" s="14" t="n">
        <f aca="false">AVERAGE(B399:B418)</f>
        <v>44.6175</v>
      </c>
      <c r="E418" s="14" t="n">
        <f aca="false">(B418-D418)/D418*100</f>
        <v>6.77424777273492</v>
      </c>
    </row>
    <row r="419" customFormat="false" ht="15" hidden="false" customHeight="false" outlineLevel="0" collapsed="false">
      <c r="A419" s="12" t="n">
        <v>42611</v>
      </c>
      <c r="B419" s="15" t="n">
        <v>46.98</v>
      </c>
      <c r="C419" s="15" t="n">
        <v>49.26</v>
      </c>
      <c r="D419" s="14" t="n">
        <f aca="false">AVERAGE(B400:B419)</f>
        <v>44.9635</v>
      </c>
      <c r="E419" s="14" t="n">
        <f aca="false">(B419-D419)/D419*100</f>
        <v>4.48474874064519</v>
      </c>
    </row>
    <row r="420" customFormat="false" ht="15" hidden="false" customHeight="false" outlineLevel="0" collapsed="false">
      <c r="A420" s="12" t="n">
        <v>42612</v>
      </c>
      <c r="B420" s="15" t="n">
        <v>46.35</v>
      </c>
      <c r="C420" s="15" t="n">
        <v>48.37</v>
      </c>
      <c r="D420" s="14" t="n">
        <f aca="false">AVERAGE(B401:B420)</f>
        <v>45.3055</v>
      </c>
      <c r="E420" s="14" t="n">
        <f aca="false">(B420-D420)/D420*100</f>
        <v>2.30545960203507</v>
      </c>
    </row>
    <row r="421" customFormat="false" ht="15" hidden="false" customHeight="false" outlineLevel="0" collapsed="false">
      <c r="A421" s="12" t="n">
        <v>42613</v>
      </c>
      <c r="B421" s="15" t="n">
        <v>44.7</v>
      </c>
      <c r="C421" s="15" t="n">
        <v>47.04</v>
      </c>
      <c r="D421" s="14" t="n">
        <f aca="false">AVERAGE(B402:B421)</f>
        <v>45.499</v>
      </c>
      <c r="E421" s="14" t="n">
        <f aca="false">(B421-D421)/D421*100</f>
        <v>-1.75608255126486</v>
      </c>
    </row>
    <row r="422" customFormat="false" ht="15" hidden="false" customHeight="false" outlineLevel="0" collapsed="false">
      <c r="A422" s="12" t="n">
        <v>42614</v>
      </c>
      <c r="B422" s="15" t="n">
        <v>43.16</v>
      </c>
      <c r="C422" s="15" t="n">
        <v>47.05</v>
      </c>
      <c r="D422" s="14" t="n">
        <f aca="false">AVERAGE(B403:B422)</f>
        <v>45.5605</v>
      </c>
      <c r="E422" s="14" t="n">
        <f aca="false">(B422-D422)/D422*100</f>
        <v>-5.26881838434611</v>
      </c>
    </row>
    <row r="423" customFormat="false" ht="15" hidden="false" customHeight="false" outlineLevel="0" collapsed="false">
      <c r="A423" s="12" t="n">
        <v>42615</v>
      </c>
      <c r="B423" s="15" t="n">
        <v>44.44</v>
      </c>
      <c r="C423" s="15" t="n">
        <v>46.83</v>
      </c>
      <c r="D423" s="14" t="n">
        <f aca="false">AVERAGE(B404:B423)</f>
        <v>45.6925</v>
      </c>
      <c r="E423" s="14" t="n">
        <f aca="false">(B423-D423)/D423*100</f>
        <v>-2.74115007933469</v>
      </c>
    </row>
    <row r="424" customFormat="false" ht="15" hidden="false" customHeight="false" outlineLevel="0" collapsed="false">
      <c r="A424" s="12" t="n">
        <v>42619</v>
      </c>
      <c r="B424" s="15" t="n">
        <v>44.83</v>
      </c>
      <c r="C424" s="15" t="n">
        <v>47.26</v>
      </c>
      <c r="D424" s="14" t="n">
        <f aca="false">AVERAGE(B405:B424)</f>
        <v>45.783</v>
      </c>
      <c r="E424" s="14" t="n">
        <f aca="false">(B424-D424)/D424*100</f>
        <v>-2.08155865714349</v>
      </c>
    </row>
    <row r="425" customFormat="false" ht="15" hidden="false" customHeight="false" outlineLevel="0" collapsed="false">
      <c r="A425" s="12" t="n">
        <v>42620</v>
      </c>
      <c r="B425" s="15" t="n">
        <v>45.5</v>
      </c>
      <c r="C425" s="15" t="n">
        <v>47.98</v>
      </c>
      <c r="D425" s="14" t="n">
        <f aca="false">AVERAGE(B406:B425)</f>
        <v>45.9195</v>
      </c>
      <c r="E425" s="14" t="n">
        <f aca="false">(B425-D425)/D425*100</f>
        <v>-0.913555243415105</v>
      </c>
    </row>
    <row r="426" customFormat="false" ht="15" hidden="false" customHeight="false" outlineLevel="0" collapsed="false">
      <c r="A426" s="12" t="n">
        <v>42621</v>
      </c>
      <c r="B426" s="15" t="n">
        <v>47.62</v>
      </c>
      <c r="C426" s="15" t="n">
        <v>49.99</v>
      </c>
      <c r="D426" s="14" t="n">
        <f aca="false">AVERAGE(B407:B426)</f>
        <v>46.215</v>
      </c>
      <c r="E426" s="14" t="n">
        <f aca="false">(B426-D426)/D426*100</f>
        <v>3.04013848317646</v>
      </c>
    </row>
    <row r="427" customFormat="false" ht="15" hidden="false" customHeight="false" outlineLevel="0" collapsed="false">
      <c r="A427" s="12" t="n">
        <v>42622</v>
      </c>
      <c r="B427" s="15" t="n">
        <v>45.88</v>
      </c>
      <c r="C427" s="15" t="n">
        <v>48.01</v>
      </c>
      <c r="D427" s="14" t="n">
        <f aca="false">AVERAGE(B408:B427)</f>
        <v>46.3345</v>
      </c>
      <c r="E427" s="14" t="n">
        <f aca="false">(B427-D427)/D427*100</f>
        <v>-0.980910552611991</v>
      </c>
    </row>
    <row r="428" customFormat="false" ht="15" hidden="false" customHeight="false" outlineLevel="0" collapsed="false">
      <c r="A428" s="12" t="n">
        <v>42625</v>
      </c>
      <c r="B428" s="15" t="n">
        <v>46.29</v>
      </c>
      <c r="C428" s="15" t="n">
        <v>48.32</v>
      </c>
      <c r="D428" s="14" t="n">
        <f aca="false">AVERAGE(B409:B428)</f>
        <v>46.4245</v>
      </c>
      <c r="E428" s="14" t="n">
        <f aca="false">(B428-D428)/D428*100</f>
        <v>-0.289717713707208</v>
      </c>
    </row>
    <row r="429" customFormat="false" ht="15" hidden="false" customHeight="false" outlineLevel="0" collapsed="false">
      <c r="A429" s="12" t="n">
        <v>42626</v>
      </c>
      <c r="B429" s="15" t="n">
        <v>44.9</v>
      </c>
      <c r="C429" s="15" t="n">
        <v>47.1</v>
      </c>
      <c r="D429" s="14" t="n">
        <f aca="false">AVERAGE(B410:B429)</f>
        <v>46.3825</v>
      </c>
      <c r="E429" s="14" t="n">
        <f aca="false">(B429-D429)/D429*100</f>
        <v>-3.19624858513448</v>
      </c>
    </row>
    <row r="430" customFormat="false" ht="15" hidden="false" customHeight="false" outlineLevel="0" collapsed="false">
      <c r="A430" s="12" t="n">
        <v>42627</v>
      </c>
      <c r="B430" s="15" t="n">
        <v>43.58</v>
      </c>
      <c r="C430" s="15" t="n">
        <v>45.85</v>
      </c>
      <c r="D430" s="14" t="n">
        <f aca="false">AVERAGE(B411:B430)</f>
        <v>46.2325</v>
      </c>
      <c r="E430" s="14" t="n">
        <f aca="false">(B430-D430)/D430*100</f>
        <v>-5.73730600767859</v>
      </c>
    </row>
    <row r="431" customFormat="false" ht="15" hidden="false" customHeight="false" outlineLevel="0" collapsed="false">
      <c r="A431" s="12" t="n">
        <v>42628</v>
      </c>
      <c r="B431" s="15" t="n">
        <v>43.91</v>
      </c>
      <c r="C431" s="15" t="n">
        <v>46.59</v>
      </c>
      <c r="D431" s="14" t="n">
        <f aca="false">AVERAGE(B412:B431)</f>
        <v>46.0885</v>
      </c>
      <c r="E431" s="14" t="n">
        <f aca="false">(B431-D431)/D431*100</f>
        <v>-4.72677565987177</v>
      </c>
    </row>
    <row r="432" customFormat="false" ht="15" hidden="false" customHeight="false" outlineLevel="0" collapsed="false">
      <c r="A432" s="12" t="n">
        <v>42629</v>
      </c>
      <c r="B432" s="15" t="n">
        <v>43.03</v>
      </c>
      <c r="C432" s="15" t="n">
        <v>45.77</v>
      </c>
      <c r="D432" s="14" t="n">
        <f aca="false">AVERAGE(B413:B432)</f>
        <v>45.829</v>
      </c>
      <c r="E432" s="14" t="n">
        <f aca="false">(B432-D432)/D432*100</f>
        <v>-6.10748652599882</v>
      </c>
    </row>
    <row r="433" customFormat="false" ht="15" hidden="false" customHeight="false" outlineLevel="0" collapsed="false">
      <c r="A433" s="12" t="n">
        <v>42632</v>
      </c>
      <c r="B433" s="15" t="n">
        <v>43.3</v>
      </c>
      <c r="C433" s="15" t="n">
        <v>45.95</v>
      </c>
      <c r="D433" s="14" t="n">
        <f aca="false">AVERAGE(B414:B433)</f>
        <v>45.568</v>
      </c>
      <c r="E433" s="14" t="n">
        <f aca="false">(B433-D433)/D433*100</f>
        <v>-4.97717696629214</v>
      </c>
    </row>
    <row r="434" customFormat="false" ht="15" hidden="false" customHeight="false" outlineLevel="0" collapsed="false">
      <c r="A434" s="12" t="n">
        <v>42633</v>
      </c>
      <c r="B434" s="15" t="n">
        <v>43.44</v>
      </c>
      <c r="C434" s="15" t="n">
        <v>45.88</v>
      </c>
      <c r="D434" s="14" t="n">
        <f aca="false">AVERAGE(B415:B434)</f>
        <v>45.3875</v>
      </c>
      <c r="E434" s="14" t="n">
        <f aca="false">(B434-D434)/D434*100</f>
        <v>-4.2908289727348</v>
      </c>
    </row>
    <row r="435" customFormat="false" ht="15" hidden="false" customHeight="false" outlineLevel="0" collapsed="false">
      <c r="A435" s="12" t="n">
        <v>42634</v>
      </c>
      <c r="B435" s="15" t="n">
        <v>45.34</v>
      </c>
      <c r="C435" s="15" t="n">
        <v>46.83</v>
      </c>
      <c r="D435" s="14" t="n">
        <f aca="false">AVERAGE(B416:B435)</f>
        <v>45.2495</v>
      </c>
      <c r="E435" s="14" t="n">
        <f aca="false">(B435-D435)/D435*100</f>
        <v>0.200002209969184</v>
      </c>
    </row>
    <row r="436" customFormat="false" ht="15" hidden="false" customHeight="false" outlineLevel="0" collapsed="false">
      <c r="A436" s="12" t="n">
        <v>42635</v>
      </c>
      <c r="B436" s="15" t="n">
        <v>46.32</v>
      </c>
      <c r="C436" s="15" t="n">
        <v>47.65</v>
      </c>
      <c r="D436" s="14" t="n">
        <f aca="false">AVERAGE(B417:B436)</f>
        <v>45.227</v>
      </c>
      <c r="E436" s="14" t="n">
        <f aca="false">(B436-D436)/D436*100</f>
        <v>2.41669799013864</v>
      </c>
    </row>
    <row r="437" customFormat="false" ht="15" hidden="false" customHeight="false" outlineLevel="0" collapsed="false">
      <c r="A437" s="12" t="n">
        <v>42636</v>
      </c>
      <c r="B437" s="15" t="n">
        <v>44.48</v>
      </c>
      <c r="C437" s="15" t="n">
        <v>45.89</v>
      </c>
      <c r="D437" s="14" t="n">
        <f aca="false">AVERAGE(B418:B437)</f>
        <v>45.0845</v>
      </c>
      <c r="E437" s="14" t="n">
        <f aca="false">(B437-D437)/D437*100</f>
        <v>-1.3408155796338</v>
      </c>
    </row>
    <row r="438" customFormat="false" ht="15" hidden="false" customHeight="false" outlineLevel="0" collapsed="false">
      <c r="A438" s="12" t="n">
        <v>42639</v>
      </c>
      <c r="B438" s="15" t="n">
        <v>45.93</v>
      </c>
      <c r="C438" s="15" t="n">
        <v>47.35</v>
      </c>
      <c r="D438" s="14" t="n">
        <f aca="false">AVERAGE(B419:B438)</f>
        <v>44.999</v>
      </c>
      <c r="E438" s="14" t="n">
        <f aca="false">(B438-D438)/D438*100</f>
        <v>2.06893486521922</v>
      </c>
    </row>
    <row r="439" customFormat="false" ht="15" hidden="false" customHeight="false" outlineLevel="0" collapsed="false">
      <c r="A439" s="12" t="n">
        <v>42640</v>
      </c>
      <c r="B439" s="15" t="n">
        <v>44.67</v>
      </c>
      <c r="C439" s="15" t="n">
        <v>45.97</v>
      </c>
      <c r="D439" s="14" t="n">
        <f aca="false">AVERAGE(B420:B439)</f>
        <v>44.8835</v>
      </c>
      <c r="E439" s="14" t="n">
        <f aca="false">(B439-D439)/D439*100</f>
        <v>-0.475675916539477</v>
      </c>
    </row>
    <row r="440" customFormat="false" ht="15" hidden="false" customHeight="false" outlineLevel="0" collapsed="false">
      <c r="A440" s="12" t="n">
        <v>42641</v>
      </c>
      <c r="B440" s="15" t="n">
        <v>47.05</v>
      </c>
      <c r="C440" s="15" t="n">
        <v>48.69</v>
      </c>
      <c r="D440" s="14" t="n">
        <f aca="false">AVERAGE(B421:B440)</f>
        <v>44.9185</v>
      </c>
      <c r="E440" s="14" t="n">
        <f aca="false">(B440-D440)/D440*100</f>
        <v>4.74526086133775</v>
      </c>
    </row>
    <row r="441" customFormat="false" ht="15" hidden="false" customHeight="false" outlineLevel="0" collapsed="false">
      <c r="A441" s="12" t="n">
        <v>42642</v>
      </c>
      <c r="B441" s="15" t="n">
        <v>47.83</v>
      </c>
      <c r="C441" s="15" t="n">
        <v>49.24</v>
      </c>
      <c r="D441" s="14" t="n">
        <f aca="false">AVERAGE(B422:B441)</f>
        <v>45.075</v>
      </c>
      <c r="E441" s="14" t="n">
        <f aca="false">(B441-D441)/D441*100</f>
        <v>6.11203549639489</v>
      </c>
    </row>
    <row r="442" customFormat="false" ht="15" hidden="false" customHeight="false" outlineLevel="0" collapsed="false">
      <c r="A442" s="12" t="n">
        <v>42643</v>
      </c>
      <c r="B442" s="15" t="n">
        <v>48.24</v>
      </c>
      <c r="C442" s="15" t="n">
        <v>49.06</v>
      </c>
      <c r="D442" s="14" t="n">
        <f aca="false">AVERAGE(B423:B442)</f>
        <v>45.329</v>
      </c>
      <c r="E442" s="14" t="n">
        <f aca="false">(B442-D442)/D442*100</f>
        <v>6.42193739107417</v>
      </c>
    </row>
    <row r="443" customFormat="false" ht="15" hidden="false" customHeight="false" outlineLevel="0" collapsed="false">
      <c r="A443" s="12" t="n">
        <v>42646</v>
      </c>
      <c r="B443" s="15" t="n">
        <v>48.81</v>
      </c>
      <c r="C443" s="15" t="n">
        <v>49.1</v>
      </c>
      <c r="D443" s="14" t="n">
        <f aca="false">AVERAGE(B424:B443)</f>
        <v>45.5475</v>
      </c>
      <c r="E443" s="14" t="n">
        <f aca="false">(B443-D443)/D443*100</f>
        <v>7.16285196772601</v>
      </c>
    </row>
    <row r="444" customFormat="false" ht="15" hidden="false" customHeight="false" outlineLevel="0" collapsed="false">
      <c r="A444" s="12" t="n">
        <v>42647</v>
      </c>
      <c r="B444" s="15" t="n">
        <v>48.69</v>
      </c>
      <c r="C444" s="15" t="n">
        <v>50.87</v>
      </c>
      <c r="D444" s="14" t="n">
        <f aca="false">AVERAGE(B425:B444)</f>
        <v>45.7405</v>
      </c>
      <c r="E444" s="14" t="n">
        <f aca="false">(B444-D444)/D444*100</f>
        <v>6.44833353373925</v>
      </c>
    </row>
    <row r="445" customFormat="false" ht="15" hidden="false" customHeight="false" outlineLevel="0" collapsed="false">
      <c r="A445" s="12" t="n">
        <v>42648</v>
      </c>
      <c r="B445" s="15" t="n">
        <v>49.83</v>
      </c>
      <c r="C445" s="15" t="n">
        <v>51.86</v>
      </c>
      <c r="D445" s="14" t="n">
        <f aca="false">AVERAGE(B426:B445)</f>
        <v>45.957</v>
      </c>
      <c r="E445" s="14" t="n">
        <f aca="false">(B445-D445)/D445*100</f>
        <v>8.42744304458515</v>
      </c>
    </row>
    <row r="446" customFormat="false" ht="15" hidden="false" customHeight="false" outlineLevel="0" collapsed="false">
      <c r="A446" s="12" t="n">
        <v>42649</v>
      </c>
      <c r="B446" s="15" t="n">
        <v>50.44</v>
      </c>
      <c r="C446" s="15" t="n">
        <v>52.51</v>
      </c>
      <c r="D446" s="14" t="n">
        <f aca="false">AVERAGE(B427:B446)</f>
        <v>46.098</v>
      </c>
      <c r="E446" s="14" t="n">
        <f aca="false">(B446-D446)/D446*100</f>
        <v>9.41906373378454</v>
      </c>
    </row>
    <row r="447" customFormat="false" ht="15" hidden="false" customHeight="false" outlineLevel="0" collapsed="false">
      <c r="A447" s="12" t="n">
        <v>42650</v>
      </c>
      <c r="B447" s="15" t="n">
        <v>49.81</v>
      </c>
      <c r="C447" s="15" t="n">
        <v>51.93</v>
      </c>
      <c r="D447" s="14" t="n">
        <f aca="false">AVERAGE(B428:B447)</f>
        <v>46.2945</v>
      </c>
      <c r="E447" s="14" t="n">
        <f aca="false">(B447-D447)/D447*100</f>
        <v>7.59377463845598</v>
      </c>
    </row>
    <row r="448" customFormat="false" ht="15" hidden="false" customHeight="false" outlineLevel="0" collapsed="false">
      <c r="A448" s="12" t="n">
        <v>42654</v>
      </c>
      <c r="B448" s="15" t="n">
        <v>50.79</v>
      </c>
      <c r="C448" s="15" t="n">
        <v>52.41</v>
      </c>
      <c r="D448" s="14" t="n">
        <f aca="false">AVERAGE(B429:B448)</f>
        <v>46.5195</v>
      </c>
      <c r="E448" s="14" t="n">
        <f aca="false">(B448-D448)/D448*100</f>
        <v>9.18002128139812</v>
      </c>
    </row>
    <row r="449" customFormat="false" ht="15" hidden="false" customHeight="false" outlineLevel="0" collapsed="false">
      <c r="A449" s="12" t="n">
        <v>42655</v>
      </c>
      <c r="B449" s="15" t="n">
        <v>50.18</v>
      </c>
      <c r="C449" s="15" t="n">
        <v>51.81</v>
      </c>
      <c r="D449" s="14" t="n">
        <f aca="false">AVERAGE(B430:B449)</f>
        <v>46.7835</v>
      </c>
      <c r="E449" s="14" t="n">
        <f aca="false">(B449-D449)/D449*100</f>
        <v>7.26003826135283</v>
      </c>
    </row>
    <row r="450" customFormat="false" ht="15" hidden="false" customHeight="false" outlineLevel="0" collapsed="false">
      <c r="A450" s="12" t="n">
        <v>42656</v>
      </c>
      <c r="B450" s="15" t="n">
        <v>50.44</v>
      </c>
      <c r="C450" s="15" t="n">
        <v>52.03</v>
      </c>
      <c r="D450" s="14" t="n">
        <f aca="false">AVERAGE(B431:B450)</f>
        <v>47.1265</v>
      </c>
      <c r="E450" s="14" t="n">
        <f aca="false">(B450-D450)/D450*100</f>
        <v>7.03107593392252</v>
      </c>
    </row>
    <row r="451" customFormat="false" ht="15" hidden="false" customHeight="false" outlineLevel="0" collapsed="false">
      <c r="A451" s="12" t="n">
        <v>42657</v>
      </c>
      <c r="B451" s="15" t="n">
        <v>50.35</v>
      </c>
      <c r="C451" s="15" t="n">
        <v>51.95</v>
      </c>
      <c r="D451" s="14" t="n">
        <f aca="false">AVERAGE(B432:B451)</f>
        <v>47.4485</v>
      </c>
      <c r="E451" s="14" t="n">
        <f aca="false">(B451-D451)/D451*100</f>
        <v>6.11505105535475</v>
      </c>
    </row>
    <row r="452" customFormat="false" ht="15" hidden="false" customHeight="false" outlineLevel="0" collapsed="false">
      <c r="A452" s="12" t="n">
        <v>42660</v>
      </c>
      <c r="B452" s="15" t="n">
        <v>49.94</v>
      </c>
      <c r="C452" s="15" t="n">
        <v>51.52</v>
      </c>
      <c r="D452" s="14" t="n">
        <f aca="false">AVERAGE(B433:B452)</f>
        <v>47.794</v>
      </c>
      <c r="E452" s="14" t="n">
        <f aca="false">(B452-D452)/D452*100</f>
        <v>4.49010336025443</v>
      </c>
    </row>
    <row r="453" customFormat="false" ht="15" hidden="false" customHeight="false" outlineLevel="0" collapsed="false">
      <c r="A453" s="12" t="n">
        <v>42661</v>
      </c>
      <c r="B453" s="15" t="n">
        <v>50.29</v>
      </c>
      <c r="C453" s="15" t="n">
        <v>51.68</v>
      </c>
      <c r="D453" s="14" t="n">
        <f aca="false">AVERAGE(B434:B453)</f>
        <v>48.1435</v>
      </c>
      <c r="E453" s="14" t="n">
        <f aca="false">(B453-D453)/D453*100</f>
        <v>4.45854580576816</v>
      </c>
    </row>
    <row r="454" customFormat="false" ht="15" hidden="false" customHeight="false" outlineLevel="0" collapsed="false">
      <c r="A454" s="12" t="n">
        <v>42662</v>
      </c>
      <c r="B454" s="15" t="n">
        <v>51.6</v>
      </c>
      <c r="C454" s="15" t="n">
        <v>52.67</v>
      </c>
      <c r="D454" s="14" t="n">
        <f aca="false">AVERAGE(B435:B454)</f>
        <v>48.5515</v>
      </c>
      <c r="E454" s="14" t="n">
        <f aca="false">(B454-D454)/D454*100</f>
        <v>6.27889972503425</v>
      </c>
    </row>
    <row r="455" customFormat="false" ht="15" hidden="false" customHeight="false" outlineLevel="0" collapsed="false">
      <c r="A455" s="12" t="n">
        <v>42663</v>
      </c>
      <c r="B455" s="15" t="n">
        <v>50.43</v>
      </c>
      <c r="C455" s="15" t="n">
        <v>51.38</v>
      </c>
      <c r="D455" s="14" t="n">
        <f aca="false">AVERAGE(B436:B455)</f>
        <v>48.806</v>
      </c>
      <c r="E455" s="14" t="n">
        <f aca="false">(B455-D455)/D455*100</f>
        <v>3.32745973855674</v>
      </c>
    </row>
    <row r="456" customFormat="false" ht="15" hidden="false" customHeight="false" outlineLevel="0" collapsed="false">
      <c r="A456" s="12" t="n">
        <v>42664</v>
      </c>
      <c r="B456" s="15" t="n">
        <v>50.85</v>
      </c>
      <c r="C456" s="15" t="n">
        <v>51.78</v>
      </c>
      <c r="D456" s="14" t="n">
        <f aca="false">AVERAGE(B437:B456)</f>
        <v>49.0325</v>
      </c>
      <c r="E456" s="14" t="n">
        <f aca="false">(B456-D456)/D456*100</f>
        <v>3.70672513129048</v>
      </c>
    </row>
    <row r="457" customFormat="false" ht="15" hidden="false" customHeight="false" outlineLevel="0" collapsed="false">
      <c r="A457" s="12" t="n">
        <v>42667</v>
      </c>
      <c r="B457" s="15" t="n">
        <v>50.52</v>
      </c>
      <c r="C457" s="15" t="n">
        <v>51.46</v>
      </c>
      <c r="D457" s="14" t="n">
        <f aca="false">AVERAGE(B438:B457)</f>
        <v>49.3345</v>
      </c>
      <c r="E457" s="14" t="n">
        <f aca="false">(B457-D457)/D457*100</f>
        <v>2.40298371322299</v>
      </c>
    </row>
    <row r="458" customFormat="false" ht="15" hidden="false" customHeight="false" outlineLevel="0" collapsed="false">
      <c r="A458" s="12" t="n">
        <v>42668</v>
      </c>
      <c r="B458" s="15" t="n">
        <v>49.96</v>
      </c>
      <c r="C458" s="15" t="n">
        <v>50.79</v>
      </c>
      <c r="D458" s="14" t="n">
        <f aca="false">AVERAGE(B439:B458)</f>
        <v>49.536</v>
      </c>
      <c r="E458" s="14" t="n">
        <f aca="false">(B458-D458)/D458*100</f>
        <v>0.855943152454779</v>
      </c>
    </row>
    <row r="459" customFormat="false" ht="15" hidden="false" customHeight="false" outlineLevel="0" collapsed="false">
      <c r="A459" s="12" t="n">
        <v>42669</v>
      </c>
      <c r="B459" s="15" t="n">
        <v>49.18</v>
      </c>
      <c r="C459" s="15" t="n">
        <v>49.98</v>
      </c>
      <c r="D459" s="14" t="n">
        <f aca="false">AVERAGE(B440:B459)</f>
        <v>49.7615</v>
      </c>
      <c r="E459" s="14" t="n">
        <f aca="false">(B459-D459)/D459*100</f>
        <v>-1.1685740984496</v>
      </c>
    </row>
    <row r="460" customFormat="false" ht="15" hidden="false" customHeight="false" outlineLevel="0" collapsed="false">
      <c r="A460" s="12" t="n">
        <v>42670</v>
      </c>
      <c r="B460" s="15" t="n">
        <v>49.72</v>
      </c>
      <c r="C460" s="15" t="n">
        <v>50.47</v>
      </c>
      <c r="D460" s="14" t="n">
        <f aca="false">AVERAGE(B441:B460)</f>
        <v>49.895</v>
      </c>
      <c r="E460" s="14" t="n">
        <f aca="false">(B460-D460)/D460*100</f>
        <v>-0.350736546748166</v>
      </c>
    </row>
    <row r="461" customFormat="false" ht="15" hidden="false" customHeight="false" outlineLevel="0" collapsed="false">
      <c r="A461" s="12" t="n">
        <v>42671</v>
      </c>
      <c r="B461" s="15" t="n">
        <v>48.7</v>
      </c>
      <c r="C461" s="15" t="n">
        <v>49.71</v>
      </c>
      <c r="D461" s="14" t="n">
        <f aca="false">AVERAGE(B442:B461)</f>
        <v>49.9385</v>
      </c>
      <c r="E461" s="14" t="n">
        <f aca="false">(B461-D461)/D461*100</f>
        <v>-2.48005046206833</v>
      </c>
    </row>
    <row r="462" customFormat="false" ht="15" hidden="false" customHeight="false" outlineLevel="0" collapsed="false">
      <c r="A462" s="12" t="n">
        <v>42674</v>
      </c>
      <c r="B462" s="15" t="n">
        <v>46.86</v>
      </c>
      <c r="C462" s="15" t="n">
        <v>48.3</v>
      </c>
      <c r="D462" s="14" t="n">
        <f aca="false">AVERAGE(B443:B462)</f>
        <v>49.8695</v>
      </c>
      <c r="E462" s="14" t="n">
        <f aca="false">(B462-D462)/D462*100</f>
        <v>-6.03475069932524</v>
      </c>
    </row>
    <row r="463" customFormat="false" ht="15" hidden="false" customHeight="false" outlineLevel="0" collapsed="false">
      <c r="A463" s="12" t="n">
        <v>42675</v>
      </c>
      <c r="B463" s="15" t="n">
        <v>46.67</v>
      </c>
      <c r="C463" s="15" t="n">
        <v>48.33</v>
      </c>
      <c r="D463" s="14" t="n">
        <f aca="false">AVERAGE(B444:B463)</f>
        <v>49.7625</v>
      </c>
      <c r="E463" s="14" t="n">
        <f aca="false">(B463-D463)/D463*100</f>
        <v>-6.21451896508415</v>
      </c>
    </row>
    <row r="464" customFormat="false" ht="15" hidden="false" customHeight="false" outlineLevel="0" collapsed="false">
      <c r="A464" s="12" t="n">
        <v>42676</v>
      </c>
      <c r="B464" s="15" t="n">
        <v>45.34</v>
      </c>
      <c r="C464" s="15" t="n">
        <v>46.86</v>
      </c>
      <c r="D464" s="14" t="n">
        <f aca="false">AVERAGE(B445:B464)</f>
        <v>49.595</v>
      </c>
      <c r="E464" s="14" t="n">
        <f aca="false">(B464-D464)/D464*100</f>
        <v>-8.57949390059481</v>
      </c>
    </row>
    <row r="465" customFormat="false" ht="15" hidden="false" customHeight="false" outlineLevel="0" collapsed="false">
      <c r="A465" s="12" t="n">
        <v>42677</v>
      </c>
      <c r="B465" s="15" t="n">
        <v>44.66</v>
      </c>
      <c r="C465" s="15" t="n">
        <v>46.35</v>
      </c>
      <c r="D465" s="14" t="n">
        <f aca="false">AVERAGE(B446:B465)</f>
        <v>49.3365</v>
      </c>
      <c r="E465" s="14" t="n">
        <f aca="false">(B465-D465)/D465*100</f>
        <v>-9.47878345646733</v>
      </c>
    </row>
    <row r="466" customFormat="false" ht="15" hidden="false" customHeight="false" outlineLevel="0" collapsed="false">
      <c r="A466" s="12" t="n">
        <v>42678</v>
      </c>
      <c r="B466" s="15" t="n">
        <v>44.07</v>
      </c>
      <c r="C466" s="15" t="n">
        <v>45.58</v>
      </c>
      <c r="D466" s="14" t="n">
        <f aca="false">AVERAGE(B447:B466)</f>
        <v>49.018</v>
      </c>
      <c r="E466" s="14" t="n">
        <f aca="false">(B466-D466)/D466*100</f>
        <v>-10.0942510914358</v>
      </c>
    </row>
    <row r="467" customFormat="false" ht="15" hidden="false" customHeight="false" outlineLevel="0" collapsed="false">
      <c r="A467" s="12" t="n">
        <v>42681</v>
      </c>
      <c r="B467" s="15" t="n">
        <v>44.89</v>
      </c>
      <c r="C467" s="15" t="n">
        <v>46.15</v>
      </c>
      <c r="D467" s="14" t="n">
        <f aca="false">AVERAGE(B448:B467)</f>
        <v>48.772</v>
      </c>
      <c r="E467" s="14" t="n">
        <f aca="false">(B467-D467)/D467*100</f>
        <v>-7.95948495038138</v>
      </c>
    </row>
    <row r="468" customFormat="false" ht="15" hidden="false" customHeight="false" outlineLevel="0" collapsed="false">
      <c r="A468" s="12" t="n">
        <v>42682</v>
      </c>
      <c r="B468" s="15" t="n">
        <v>44.98</v>
      </c>
      <c r="C468" s="15" t="n">
        <v>46.04</v>
      </c>
      <c r="D468" s="14" t="n">
        <f aca="false">AVERAGE(B449:B468)</f>
        <v>48.4815</v>
      </c>
      <c r="E468" s="14" t="n">
        <f aca="false">(B468-D468)/D468*100</f>
        <v>-7.22234254303188</v>
      </c>
    </row>
    <row r="469" customFormat="false" ht="15" hidden="false" customHeight="false" outlineLevel="0" collapsed="false">
      <c r="A469" s="12" t="n">
        <v>42683</v>
      </c>
      <c r="B469" s="15" t="n">
        <v>45.27</v>
      </c>
      <c r="C469" s="15" t="n">
        <v>46.36</v>
      </c>
      <c r="D469" s="14" t="n">
        <f aca="false">AVERAGE(B450:B469)</f>
        <v>48.236</v>
      </c>
      <c r="E469" s="14" t="n">
        <f aca="false">(B469-D469)/D469*100</f>
        <v>-6.14893440583797</v>
      </c>
    </row>
    <row r="470" customFormat="false" ht="15" hidden="false" customHeight="false" outlineLevel="0" collapsed="false">
      <c r="A470" s="12" t="n">
        <v>42684</v>
      </c>
      <c r="B470" s="15" t="n">
        <v>44.66</v>
      </c>
      <c r="C470" s="15" t="n">
        <v>45.84</v>
      </c>
      <c r="D470" s="14" t="n">
        <f aca="false">AVERAGE(B451:B470)</f>
        <v>47.947</v>
      </c>
      <c r="E470" s="14" t="n">
        <f aca="false">(B470-D470)/D470*100</f>
        <v>-6.85548626608548</v>
      </c>
    </row>
    <row r="471" customFormat="false" ht="15" hidden="false" customHeight="false" outlineLevel="0" collapsed="false">
      <c r="A471" s="12" t="n">
        <v>42688</v>
      </c>
      <c r="B471" s="15" t="n">
        <v>43.32</v>
      </c>
      <c r="C471" s="15" t="n">
        <v>44.43</v>
      </c>
      <c r="D471" s="14" t="n">
        <f aca="false">AVERAGE(B452:B471)</f>
        <v>47.5955</v>
      </c>
      <c r="E471" s="14" t="n">
        <f aca="false">(B471-D471)/D471*100</f>
        <v>-8.9829920895883</v>
      </c>
    </row>
    <row r="472" customFormat="false" ht="15" hidden="false" customHeight="false" outlineLevel="0" collapsed="false">
      <c r="A472" s="12" t="n">
        <v>42689</v>
      </c>
      <c r="B472" s="15" t="n">
        <v>45.81</v>
      </c>
      <c r="C472" s="15" t="n">
        <v>46.95</v>
      </c>
      <c r="D472" s="14" t="n">
        <f aca="false">AVERAGE(B453:B472)</f>
        <v>47.389</v>
      </c>
      <c r="E472" s="14" t="n">
        <f aca="false">(B472-D472)/D472*100</f>
        <v>-3.33199687691235</v>
      </c>
    </row>
    <row r="473" customFormat="false" ht="15" hidden="false" customHeight="false" outlineLevel="0" collapsed="false">
      <c r="A473" s="12" t="n">
        <v>42690</v>
      </c>
      <c r="B473" s="15" t="n">
        <v>45.57</v>
      </c>
      <c r="C473" s="15" t="n">
        <v>46.63</v>
      </c>
      <c r="D473" s="14" t="n">
        <f aca="false">AVERAGE(B454:B473)</f>
        <v>47.153</v>
      </c>
      <c r="E473" s="14" t="n">
        <f aca="false">(B473-D473)/D473*100</f>
        <v>-3.35715649057325</v>
      </c>
    </row>
    <row r="474" customFormat="false" ht="15" hidden="false" customHeight="false" outlineLevel="0" collapsed="false">
      <c r="A474" s="12" t="n">
        <v>42691</v>
      </c>
      <c r="B474" s="15" t="n">
        <v>45.42</v>
      </c>
      <c r="C474" s="15" t="n">
        <v>46.49</v>
      </c>
      <c r="D474" s="14" t="n">
        <f aca="false">AVERAGE(B455:B474)</f>
        <v>46.844</v>
      </c>
      <c r="E474" s="14" t="n">
        <f aca="false">(B474-D474)/D474*100</f>
        <v>-3.03987703868158</v>
      </c>
    </row>
    <row r="475" customFormat="false" ht="15" hidden="false" customHeight="false" outlineLevel="0" collapsed="false">
      <c r="A475" s="12" t="n">
        <v>42692</v>
      </c>
      <c r="B475" s="15" t="n">
        <v>45.69</v>
      </c>
      <c r="C475" s="15" t="n">
        <v>46.86</v>
      </c>
      <c r="D475" s="14" t="n">
        <f aca="false">AVERAGE(B456:B475)</f>
        <v>46.607</v>
      </c>
      <c r="E475" s="14" t="n">
        <f aca="false">(B475-D475)/D475*100</f>
        <v>-1.96751560924325</v>
      </c>
    </row>
    <row r="476" customFormat="false" ht="15" hidden="false" customHeight="false" outlineLevel="0" collapsed="false">
      <c r="A476" s="12" t="n">
        <v>42695</v>
      </c>
      <c r="B476" s="15" t="n">
        <v>47.49</v>
      </c>
      <c r="C476" s="15" t="n">
        <v>48.9</v>
      </c>
      <c r="D476" s="14" t="n">
        <f aca="false">AVERAGE(B457:B476)</f>
        <v>46.439</v>
      </c>
      <c r="E476" s="14" t="n">
        <f aca="false">(B476-D476)/D476*100</f>
        <v>2.26318396175629</v>
      </c>
    </row>
    <row r="477" customFormat="false" ht="15" hidden="false" customHeight="false" outlineLevel="0" collapsed="false">
      <c r="A477" s="12" t="n">
        <v>42696</v>
      </c>
      <c r="B477" s="15" t="n">
        <v>48.03</v>
      </c>
      <c r="C477" s="15" t="n">
        <v>49.12</v>
      </c>
      <c r="D477" s="14" t="n">
        <f aca="false">AVERAGE(B458:B477)</f>
        <v>46.3145</v>
      </c>
      <c r="E477" s="14" t="n">
        <f aca="false">(B477-D477)/D477*100</f>
        <v>3.70402357792917</v>
      </c>
    </row>
    <row r="478" customFormat="false" ht="15" hidden="false" customHeight="false" outlineLevel="0" collapsed="false">
      <c r="A478" s="12" t="n">
        <v>42697</v>
      </c>
      <c r="B478" s="15" t="n">
        <v>47.96</v>
      </c>
      <c r="C478" s="15" t="n">
        <v>48.95</v>
      </c>
      <c r="D478" s="14" t="n">
        <f aca="false">AVERAGE(B459:B478)</f>
        <v>46.2145</v>
      </c>
      <c r="E478" s="14" t="n">
        <f aca="false">(B478-D478)/D478*100</f>
        <v>3.77695312077378</v>
      </c>
    </row>
    <row r="479" customFormat="false" ht="15" hidden="false" customHeight="false" outlineLevel="0" collapsed="false">
      <c r="A479" s="12" t="n">
        <v>42699</v>
      </c>
      <c r="B479" s="15" t="n">
        <v>46.06</v>
      </c>
      <c r="C479" s="15" t="n">
        <v>47.24</v>
      </c>
      <c r="D479" s="14" t="n">
        <f aca="false">AVERAGE(B460:B479)</f>
        <v>46.0585</v>
      </c>
      <c r="E479" s="14" t="n">
        <f aca="false">(B479-D479)/D479*100</f>
        <v>0.00325672785698006</v>
      </c>
    </row>
    <row r="480" customFormat="false" ht="15" hidden="false" customHeight="false" outlineLevel="0" collapsed="false">
      <c r="A480" s="12" t="n">
        <v>42702</v>
      </c>
      <c r="B480" s="15" t="n">
        <v>47.08</v>
      </c>
      <c r="C480" s="15" t="n">
        <v>48.24</v>
      </c>
      <c r="D480" s="14" t="n">
        <f aca="false">AVERAGE(B461:B480)</f>
        <v>45.9265</v>
      </c>
      <c r="E480" s="14" t="n">
        <f aca="false">(B480-D480)/D480*100</f>
        <v>2.51162183053357</v>
      </c>
    </row>
    <row r="481" customFormat="false" ht="15" hidden="false" customHeight="false" outlineLevel="0" collapsed="false">
      <c r="A481" s="12" t="n">
        <v>42703</v>
      </c>
      <c r="B481" s="15" t="n">
        <v>45.23</v>
      </c>
      <c r="C481" s="15" t="n">
        <v>46.38</v>
      </c>
      <c r="D481" s="14" t="n">
        <f aca="false">AVERAGE(B462:B481)</f>
        <v>45.753</v>
      </c>
      <c r="E481" s="14" t="n">
        <f aca="false">(B481-D481)/D481*100</f>
        <v>-1.14309444189453</v>
      </c>
    </row>
    <row r="482" customFormat="false" ht="15" hidden="false" customHeight="false" outlineLevel="0" collapsed="false">
      <c r="A482" s="12" t="n">
        <v>42704</v>
      </c>
      <c r="B482" s="15" t="n">
        <v>49.44</v>
      </c>
      <c r="C482" s="15" t="n">
        <v>50.47</v>
      </c>
      <c r="D482" s="14" t="n">
        <f aca="false">AVERAGE(B463:B482)</f>
        <v>45.882</v>
      </c>
      <c r="E482" s="14" t="n">
        <f aca="false">(B482-D482)/D482*100</f>
        <v>7.75467503596182</v>
      </c>
    </row>
    <row r="483" customFormat="false" ht="15" hidden="false" customHeight="false" outlineLevel="0" collapsed="false">
      <c r="A483" s="12" t="n">
        <v>42705</v>
      </c>
      <c r="B483" s="15" t="n">
        <v>51.06</v>
      </c>
      <c r="C483" s="15" t="n">
        <v>50.46</v>
      </c>
      <c r="D483" s="14" t="n">
        <f aca="false">AVERAGE(B464:B483)</f>
        <v>46.1015</v>
      </c>
      <c r="E483" s="14" t="n">
        <f aca="false">(B483-D483)/D483*100</f>
        <v>10.7556153270501</v>
      </c>
    </row>
    <row r="484" customFormat="false" ht="15" hidden="false" customHeight="false" outlineLevel="0" collapsed="false">
      <c r="A484" s="12" t="n">
        <v>42706</v>
      </c>
      <c r="B484" s="15" t="n">
        <v>51.68</v>
      </c>
      <c r="C484" s="15" t="n">
        <v>54.46</v>
      </c>
      <c r="D484" s="14" t="n">
        <f aca="false">AVERAGE(B465:B484)</f>
        <v>46.4185</v>
      </c>
      <c r="E484" s="14" t="n">
        <f aca="false">(B484-D484)/D484*100</f>
        <v>11.3349203442593</v>
      </c>
    </row>
    <row r="485" customFormat="false" ht="15" hidden="false" customHeight="false" outlineLevel="0" collapsed="false">
      <c r="A485" s="12" t="n">
        <v>42709</v>
      </c>
      <c r="B485" s="15" t="n">
        <v>51.79</v>
      </c>
      <c r="C485" s="15" t="n">
        <v>54.94</v>
      </c>
      <c r="D485" s="14" t="n">
        <f aca="false">AVERAGE(B466:B485)</f>
        <v>46.775</v>
      </c>
      <c r="E485" s="14" t="n">
        <f aca="false">(B485-D485)/D485*100</f>
        <v>10.7215392838055</v>
      </c>
    </row>
    <row r="486" customFormat="false" ht="15" hidden="false" customHeight="false" outlineLevel="0" collapsed="false">
      <c r="A486" s="12" t="n">
        <v>42710</v>
      </c>
      <c r="B486" s="15" t="n">
        <v>50.93</v>
      </c>
      <c r="C486" s="15" t="n">
        <v>53.93</v>
      </c>
      <c r="D486" s="14" t="n">
        <f aca="false">AVERAGE(B467:B486)</f>
        <v>47.118</v>
      </c>
      <c r="E486" s="14" t="n">
        <f aca="false">(B486-D486)/D486*100</f>
        <v>8.09032641453372</v>
      </c>
    </row>
    <row r="487" customFormat="false" ht="15" hidden="false" customHeight="false" outlineLevel="0" collapsed="false">
      <c r="A487" s="12" t="n">
        <v>42711</v>
      </c>
      <c r="B487" s="15" t="n">
        <v>49.77</v>
      </c>
      <c r="C487" s="15" t="n">
        <v>53</v>
      </c>
      <c r="D487" s="14" t="n">
        <f aca="false">AVERAGE(B468:B487)</f>
        <v>47.362</v>
      </c>
      <c r="E487" s="14" t="n">
        <f aca="false">(B487-D487)/D487*100</f>
        <v>5.08424475317766</v>
      </c>
    </row>
    <row r="488" customFormat="false" ht="15" hidden="false" customHeight="false" outlineLevel="0" collapsed="false">
      <c r="A488" s="12" t="n">
        <v>42712</v>
      </c>
      <c r="B488" s="15" t="n">
        <v>50.84</v>
      </c>
      <c r="C488" s="15" t="n">
        <v>53.89</v>
      </c>
      <c r="D488" s="14" t="n">
        <f aca="false">AVERAGE(B469:B488)</f>
        <v>47.655</v>
      </c>
      <c r="E488" s="14" t="n">
        <f aca="false">(B488-D488)/D488*100</f>
        <v>6.68345399223587</v>
      </c>
    </row>
    <row r="489" customFormat="false" ht="15" hidden="false" customHeight="false" outlineLevel="0" collapsed="false">
      <c r="A489" s="12" t="n">
        <v>42713</v>
      </c>
      <c r="B489" s="15" t="n">
        <v>51.5</v>
      </c>
      <c r="C489" s="15" t="n">
        <v>54.33</v>
      </c>
      <c r="D489" s="14" t="n">
        <f aca="false">AVERAGE(B470:B489)</f>
        <v>47.9665</v>
      </c>
      <c r="E489" s="14" t="n">
        <f aca="false">(B489-D489)/D489*100</f>
        <v>7.366599605975</v>
      </c>
    </row>
    <row r="490" customFormat="false" ht="15" hidden="false" customHeight="false" outlineLevel="0" collapsed="false">
      <c r="A490" s="12" t="n">
        <v>42716</v>
      </c>
      <c r="B490" s="15" t="n">
        <v>52.83</v>
      </c>
      <c r="C490" s="15" t="n">
        <v>55.69</v>
      </c>
      <c r="D490" s="14" t="n">
        <f aca="false">AVERAGE(B471:B490)</f>
        <v>48.375</v>
      </c>
      <c r="E490" s="14" t="n">
        <f aca="false">(B490-D490)/D490*100</f>
        <v>9.20930232558139</v>
      </c>
    </row>
    <row r="491" customFormat="false" ht="15" hidden="false" customHeight="false" outlineLevel="0" collapsed="false">
      <c r="A491" s="12" t="n">
        <v>42717</v>
      </c>
      <c r="B491" s="15" t="n">
        <v>52.98</v>
      </c>
      <c r="C491" s="15" t="n">
        <v>55.72</v>
      </c>
      <c r="D491" s="14" t="n">
        <f aca="false">AVERAGE(B472:B491)</f>
        <v>48.858</v>
      </c>
      <c r="E491" s="14" t="n">
        <f aca="false">(B491-D491)/D491*100</f>
        <v>8.43669409308609</v>
      </c>
    </row>
    <row r="492" customFormat="false" ht="15" hidden="false" customHeight="false" outlineLevel="0" collapsed="false">
      <c r="A492" s="12" t="n">
        <v>42718</v>
      </c>
      <c r="B492" s="15" t="n">
        <v>51.04</v>
      </c>
      <c r="C492" s="15" t="n">
        <v>53.9</v>
      </c>
      <c r="D492" s="14" t="n">
        <f aca="false">AVERAGE(B473:B492)</f>
        <v>49.1195</v>
      </c>
      <c r="E492" s="14" t="n">
        <f aca="false">(B492-D492)/D492*100</f>
        <v>3.90985250257026</v>
      </c>
    </row>
    <row r="493" customFormat="false" ht="15" hidden="false" customHeight="false" outlineLevel="0" collapsed="false">
      <c r="A493" s="12" t="n">
        <v>42719</v>
      </c>
      <c r="B493" s="15" t="n">
        <v>50.9</v>
      </c>
      <c r="C493" s="15" t="n">
        <v>54.02</v>
      </c>
      <c r="D493" s="14" t="n">
        <f aca="false">AVERAGE(B474:B493)</f>
        <v>49.386</v>
      </c>
      <c r="E493" s="14" t="n">
        <f aca="false">(B493-D493)/D493*100</f>
        <v>3.06564613453204</v>
      </c>
    </row>
    <row r="494" customFormat="false" ht="15" hidden="false" customHeight="false" outlineLevel="0" collapsed="false">
      <c r="A494" s="12" t="n">
        <v>42720</v>
      </c>
      <c r="B494" s="15" t="n">
        <v>51.9</v>
      </c>
      <c r="C494" s="15" t="n">
        <v>55.21</v>
      </c>
      <c r="D494" s="14" t="n">
        <f aca="false">AVERAGE(B475:B494)</f>
        <v>49.71</v>
      </c>
      <c r="E494" s="14" t="n">
        <f aca="false">(B494-D494)/D494*100</f>
        <v>4.4055522027761</v>
      </c>
    </row>
    <row r="495" customFormat="false" ht="15" hidden="false" customHeight="false" outlineLevel="0" collapsed="false">
      <c r="A495" s="12" t="n">
        <v>42723</v>
      </c>
      <c r="B495" s="15" t="n">
        <v>52.12</v>
      </c>
      <c r="C495" s="15" t="n">
        <v>54.92</v>
      </c>
      <c r="D495" s="14" t="n">
        <f aca="false">AVERAGE(B476:B495)</f>
        <v>50.0315</v>
      </c>
      <c r="E495" s="14" t="n">
        <f aca="false">(B495-D495)/D495*100</f>
        <v>4.1743701468075</v>
      </c>
    </row>
    <row r="496" customFormat="false" ht="15" hidden="false" customHeight="false" outlineLevel="0" collapsed="false">
      <c r="A496" s="12" t="n">
        <v>42724</v>
      </c>
      <c r="B496" s="15" t="n">
        <v>52.23</v>
      </c>
      <c r="C496" s="15" t="n">
        <v>55.35</v>
      </c>
      <c r="D496" s="14" t="n">
        <f aca="false">AVERAGE(B477:B496)</f>
        <v>50.2685</v>
      </c>
      <c r="E496" s="14" t="n">
        <f aca="false">(B496-D496)/D496*100</f>
        <v>3.90204601291066</v>
      </c>
    </row>
    <row r="497" customFormat="false" ht="15" hidden="false" customHeight="false" outlineLevel="0" collapsed="false">
      <c r="A497" s="12" t="n">
        <v>42725</v>
      </c>
      <c r="B497" s="15" t="n">
        <v>52.49</v>
      </c>
      <c r="C497" s="15" t="n">
        <v>54.46</v>
      </c>
      <c r="D497" s="14" t="n">
        <f aca="false">AVERAGE(B478:B497)</f>
        <v>50.4915</v>
      </c>
      <c r="E497" s="14" t="n">
        <f aca="false">(B497-D497)/D497*100</f>
        <v>3.95809195607181</v>
      </c>
    </row>
    <row r="498" customFormat="false" ht="15" hidden="false" customHeight="false" outlineLevel="0" collapsed="false">
      <c r="A498" s="12" t="n">
        <v>42726</v>
      </c>
      <c r="B498" s="15" t="n">
        <v>52.95</v>
      </c>
      <c r="C498" s="15" t="n">
        <v>55.05</v>
      </c>
      <c r="D498" s="14" t="n">
        <f aca="false">AVERAGE(B479:B498)</f>
        <v>50.741</v>
      </c>
      <c r="E498" s="14" t="n">
        <f aca="false">(B498-D498)/D498*100</f>
        <v>4.35348140556947</v>
      </c>
    </row>
    <row r="499" customFormat="false" ht="15" hidden="false" customHeight="false" outlineLevel="0" collapsed="false">
      <c r="A499" s="12" t="n">
        <v>42727</v>
      </c>
      <c r="B499" s="15" t="n">
        <v>53.02</v>
      </c>
      <c r="C499" s="15" t="n">
        <v>55.16</v>
      </c>
      <c r="D499" s="14" t="n">
        <f aca="false">AVERAGE(B480:B499)</f>
        <v>51.089</v>
      </c>
      <c r="E499" s="14" t="n">
        <f aca="false">(B499-D499)/D499*100</f>
        <v>3.77967860009005</v>
      </c>
    </row>
    <row r="500" customFormat="false" ht="15" hidden="false" customHeight="false" outlineLevel="0" collapsed="false">
      <c r="A500" s="12" t="n">
        <v>42731</v>
      </c>
      <c r="B500" s="15" t="n">
        <v>53.9</v>
      </c>
      <c r="C500" s="15" t="n">
        <v>56.09</v>
      </c>
      <c r="D500" s="14" t="n">
        <f aca="false">AVERAGE(B481:B500)</f>
        <v>51.43</v>
      </c>
      <c r="E500" s="14" t="n">
        <f aca="false">(B500-D500)/D500*100</f>
        <v>4.80264437098971</v>
      </c>
    </row>
    <row r="501" customFormat="false" ht="15" hidden="false" customHeight="false" outlineLevel="0" collapsed="false">
      <c r="A501" s="12" t="n">
        <v>42732</v>
      </c>
      <c r="B501" s="15" t="n">
        <v>54.06</v>
      </c>
      <c r="C501" s="15" t="n">
        <v>56.22</v>
      </c>
      <c r="D501" s="14" t="n">
        <f aca="false">AVERAGE(B482:B501)</f>
        <v>51.8715</v>
      </c>
      <c r="E501" s="14" t="n">
        <f aca="false">(B501-D501)/D501*100</f>
        <v>4.21907984153147</v>
      </c>
    </row>
    <row r="502" customFormat="false" ht="15" hidden="false" customHeight="false" outlineLevel="0" collapsed="false">
      <c r="A502" s="12" t="n">
        <v>42733</v>
      </c>
      <c r="B502" s="15" t="n">
        <v>53.77</v>
      </c>
      <c r="C502" s="15" t="n">
        <v>56.14</v>
      </c>
      <c r="D502" s="14" t="n">
        <f aca="false">AVERAGE(B483:B502)</f>
        <v>52.088</v>
      </c>
      <c r="E502" s="14" t="n">
        <f aca="false">(B502-D502)/D502*100</f>
        <v>3.22915066810014</v>
      </c>
    </row>
    <row r="503" customFormat="false" ht="15" hidden="false" customHeight="false" outlineLevel="0" collapsed="false">
      <c r="A503" s="12" t="n">
        <v>42734</v>
      </c>
      <c r="B503" s="15" t="n">
        <v>53.72</v>
      </c>
      <c r="C503" s="15" t="n">
        <v>56.13</v>
      </c>
      <c r="D503" s="14" t="n">
        <f aca="false">AVERAGE(B484:B503)</f>
        <v>52.221</v>
      </c>
      <c r="E503" s="14" t="n">
        <f aca="false">(B503-D503)/D503*100</f>
        <v>2.87049271365925</v>
      </c>
    </row>
    <row r="504" customFormat="false" ht="15" hidden="false" customHeight="false" outlineLevel="0" collapsed="false">
      <c r="A504" s="12" t="n">
        <v>42738</v>
      </c>
      <c r="B504" s="15" t="n">
        <v>52.33</v>
      </c>
      <c r="C504" s="15" t="n">
        <v>55.47</v>
      </c>
      <c r="D504" s="14" t="n">
        <f aca="false">AVERAGE(B485:B504)</f>
        <v>52.2535</v>
      </c>
      <c r="E504" s="14" t="n">
        <f aca="false">(B504-D504)/D504*100</f>
        <v>0.146401676442732</v>
      </c>
    </row>
    <row r="505" customFormat="false" ht="15" hidden="false" customHeight="false" outlineLevel="0" collapsed="false">
      <c r="A505" s="12" t="n">
        <v>42739</v>
      </c>
      <c r="B505" s="15" t="n">
        <v>53.26</v>
      </c>
      <c r="C505" s="15" t="n">
        <v>56.46</v>
      </c>
      <c r="D505" s="14" t="n">
        <f aca="false">AVERAGE(B486:B505)</f>
        <v>52.327</v>
      </c>
      <c r="E505" s="14" t="n">
        <f aca="false">(B505-D505)/D505*100</f>
        <v>1.78301832705869</v>
      </c>
    </row>
    <row r="506" customFormat="false" ht="15" hidden="false" customHeight="false" outlineLevel="0" collapsed="false">
      <c r="A506" s="12" t="n">
        <v>42740</v>
      </c>
      <c r="B506" s="15" t="n">
        <v>53.76</v>
      </c>
      <c r="C506" s="15" t="n">
        <v>56.89</v>
      </c>
      <c r="D506" s="14" t="n">
        <f aca="false">AVERAGE(B487:B506)</f>
        <v>52.4685</v>
      </c>
      <c r="E506" s="14" t="n">
        <f aca="false">(B506-D506)/D506*100</f>
        <v>2.46147688613169</v>
      </c>
    </row>
    <row r="507" customFormat="false" ht="15" hidden="false" customHeight="false" outlineLevel="0" collapsed="false">
      <c r="A507" s="12" t="n">
        <v>42741</v>
      </c>
      <c r="B507" s="15" t="n">
        <v>53.99</v>
      </c>
      <c r="C507" s="15" t="n">
        <v>57.1</v>
      </c>
      <c r="D507" s="14" t="n">
        <f aca="false">AVERAGE(B488:B507)</f>
        <v>52.6795</v>
      </c>
      <c r="E507" s="14" t="n">
        <f aca="false">(B507-D507)/D507*100</f>
        <v>2.48768496284134</v>
      </c>
    </row>
    <row r="508" customFormat="false" ht="15" hidden="false" customHeight="false" outlineLevel="0" collapsed="false">
      <c r="A508" s="12" t="n">
        <v>42744</v>
      </c>
      <c r="B508" s="15" t="n">
        <v>51.96</v>
      </c>
      <c r="C508" s="15" t="n">
        <v>54.94</v>
      </c>
      <c r="D508" s="14" t="n">
        <f aca="false">AVERAGE(B489:B508)</f>
        <v>52.7355</v>
      </c>
      <c r="E508" s="14" t="n">
        <f aca="false">(B508-D508)/D508*100</f>
        <v>-1.47054640612112</v>
      </c>
    </row>
    <row r="509" customFormat="false" ht="15" hidden="false" customHeight="false" outlineLevel="0" collapsed="false">
      <c r="A509" s="12" t="n">
        <v>42745</v>
      </c>
      <c r="B509" s="15" t="n">
        <v>50.82</v>
      </c>
      <c r="C509" s="15" t="n">
        <v>53.64</v>
      </c>
      <c r="D509" s="14" t="n">
        <f aca="false">AVERAGE(B490:B509)</f>
        <v>52.7015</v>
      </c>
      <c r="E509" s="14" t="n">
        <f aca="false">(B509-D509)/D509*100</f>
        <v>-3.57010711270077</v>
      </c>
    </row>
    <row r="510" customFormat="false" ht="15" hidden="false" customHeight="false" outlineLevel="0" collapsed="false">
      <c r="A510" s="12" t="n">
        <v>42746</v>
      </c>
      <c r="B510" s="15" t="n">
        <v>52.25</v>
      </c>
      <c r="C510" s="15" t="n">
        <v>55.1</v>
      </c>
      <c r="D510" s="14" t="n">
        <f aca="false">AVERAGE(B491:B510)</f>
        <v>52.6725</v>
      </c>
      <c r="E510" s="14" t="n">
        <f aca="false">(B510-D510)/D510*100</f>
        <v>-0.802126346765389</v>
      </c>
    </row>
    <row r="511" customFormat="false" ht="15" hidden="false" customHeight="false" outlineLevel="0" collapsed="false">
      <c r="A511" s="12" t="n">
        <v>42747</v>
      </c>
      <c r="B511" s="15" t="n">
        <v>53.01</v>
      </c>
      <c r="C511" s="15" t="n">
        <v>56.01</v>
      </c>
      <c r="D511" s="14" t="n">
        <f aca="false">AVERAGE(B492:B511)</f>
        <v>52.674</v>
      </c>
      <c r="E511" s="14" t="n">
        <f aca="false">(B511-D511)/D511*100</f>
        <v>0.637885863993618</v>
      </c>
    </row>
    <row r="512" customFormat="false" ht="15" hidden="false" customHeight="false" outlineLevel="0" collapsed="false">
      <c r="A512" s="12" t="n">
        <v>42748</v>
      </c>
      <c r="B512" s="15" t="n">
        <v>52.37</v>
      </c>
      <c r="C512" s="15" t="n">
        <v>55.45</v>
      </c>
      <c r="D512" s="14" t="n">
        <f aca="false">AVERAGE(B493:B512)</f>
        <v>52.7405</v>
      </c>
      <c r="E512" s="14" t="n">
        <f aca="false">(B512-D512)/D512*100</f>
        <v>-0.702496184146908</v>
      </c>
    </row>
    <row r="513" customFormat="false" ht="15" hidden="false" customHeight="false" outlineLevel="0" collapsed="false">
      <c r="A513" s="12" t="n">
        <v>42752</v>
      </c>
      <c r="B513" s="15" t="n">
        <v>52.48</v>
      </c>
      <c r="C513" s="15" t="n">
        <v>55.47</v>
      </c>
      <c r="D513" s="14" t="n">
        <f aca="false">AVERAGE(B494:B513)</f>
        <v>52.8195</v>
      </c>
      <c r="E513" s="14" t="n">
        <f aca="false">(B513-D513)/D513*100</f>
        <v>-0.642755043118561</v>
      </c>
    </row>
    <row r="514" customFormat="false" ht="15" hidden="false" customHeight="false" outlineLevel="0" collapsed="false">
      <c r="A514" s="12" t="n">
        <v>42753</v>
      </c>
      <c r="B514" s="15" t="n">
        <v>51.08</v>
      </c>
      <c r="C514" s="15" t="n">
        <v>53.92</v>
      </c>
      <c r="D514" s="14" t="n">
        <f aca="false">AVERAGE(B495:B514)</f>
        <v>52.7785</v>
      </c>
      <c r="E514" s="14" t="n">
        <f aca="false">(B514-D514)/D514*100</f>
        <v>-3.21816648824805</v>
      </c>
    </row>
    <row r="515" customFormat="false" ht="15" hidden="false" customHeight="false" outlineLevel="0" collapsed="false">
      <c r="A515" s="12" t="n">
        <v>42754</v>
      </c>
      <c r="B515" s="15" t="n">
        <v>51.37</v>
      </c>
      <c r="C515" s="15" t="n">
        <v>54.16</v>
      </c>
      <c r="D515" s="14" t="n">
        <f aca="false">AVERAGE(B496:B515)</f>
        <v>52.741</v>
      </c>
      <c r="E515" s="14" t="n">
        <f aca="false">(B515-D515)/D515*100</f>
        <v>-2.59949564854668</v>
      </c>
    </row>
    <row r="516" customFormat="false" ht="15" hidden="false" customHeight="false" outlineLevel="0" collapsed="false">
      <c r="A516" s="12" t="n">
        <v>42755</v>
      </c>
      <c r="B516" s="15" t="n">
        <v>52.42</v>
      </c>
      <c r="C516" s="15" t="n">
        <v>55.49</v>
      </c>
      <c r="D516" s="14" t="n">
        <f aca="false">AVERAGE(B497:B516)</f>
        <v>52.7505</v>
      </c>
      <c r="E516" s="14" t="n">
        <f aca="false">(B516-D516)/D516*100</f>
        <v>-0.626534345646014</v>
      </c>
    </row>
    <row r="517" customFormat="false" ht="15" hidden="false" customHeight="false" outlineLevel="0" collapsed="false">
      <c r="A517" s="12" t="n">
        <v>42758</v>
      </c>
      <c r="B517" s="15" t="n">
        <v>52.75</v>
      </c>
      <c r="C517" s="15" t="n">
        <v>55.23</v>
      </c>
      <c r="D517" s="14" t="n">
        <f aca="false">AVERAGE(B498:B517)</f>
        <v>52.7635</v>
      </c>
      <c r="E517" s="14" t="n">
        <f aca="false">(B517-D517)/D517*100</f>
        <v>-0.0255858690193041</v>
      </c>
    </row>
    <row r="518" customFormat="false" ht="15" hidden="false" customHeight="false" outlineLevel="0" collapsed="false">
      <c r="A518" s="12" t="n">
        <v>42759</v>
      </c>
      <c r="B518" s="15" t="n">
        <v>53.18</v>
      </c>
      <c r="C518" s="15" t="n">
        <v>55.44</v>
      </c>
      <c r="D518" s="14" t="n">
        <f aca="false">AVERAGE(B499:B518)</f>
        <v>52.775</v>
      </c>
      <c r="E518" s="14" t="n">
        <f aca="false">(B518-D518)/D518*100</f>
        <v>0.767408810990054</v>
      </c>
    </row>
    <row r="519" customFormat="false" ht="15" hidden="false" customHeight="false" outlineLevel="0" collapsed="false">
      <c r="A519" s="12" t="n">
        <v>42760</v>
      </c>
      <c r="B519" s="15" t="n">
        <v>52.75</v>
      </c>
      <c r="C519" s="15" t="n">
        <v>55.08</v>
      </c>
      <c r="D519" s="14" t="n">
        <f aca="false">AVERAGE(B500:B519)</f>
        <v>52.7615</v>
      </c>
      <c r="E519" s="14" t="n">
        <f aca="false">(B519-D519)/D519*100</f>
        <v>-0.0217961960899483</v>
      </c>
    </row>
    <row r="520" customFormat="false" ht="15" hidden="false" customHeight="false" outlineLevel="0" collapsed="false">
      <c r="A520" s="12" t="n">
        <v>42761</v>
      </c>
      <c r="B520" s="15" t="n">
        <v>53.78</v>
      </c>
      <c r="C520" s="15" t="n">
        <v>56.24</v>
      </c>
      <c r="D520" s="14" t="n">
        <f aca="false">AVERAGE(B501:B520)</f>
        <v>52.7555</v>
      </c>
      <c r="E520" s="14" t="n">
        <f aca="false">(B520-D520)/D520*100</f>
        <v>1.94197761370853</v>
      </c>
    </row>
    <row r="521" customFormat="false" ht="15" hidden="false" customHeight="false" outlineLevel="0" collapsed="false">
      <c r="A521" s="12" t="n">
        <v>42762</v>
      </c>
      <c r="B521" s="15" t="n">
        <v>53.17</v>
      </c>
      <c r="C521" s="15" t="n">
        <v>55.52</v>
      </c>
      <c r="D521" s="14" t="n">
        <f aca="false">AVERAGE(B502:B521)</f>
        <v>52.711</v>
      </c>
      <c r="E521" s="14" t="n">
        <f aca="false">(B521-D521)/D521*100</f>
        <v>0.870785983950225</v>
      </c>
    </row>
    <row r="522" customFormat="false" ht="15" hidden="false" customHeight="false" outlineLevel="0" collapsed="false">
      <c r="A522" s="12" t="n">
        <v>42765</v>
      </c>
      <c r="B522" s="15" t="n">
        <v>52.63</v>
      </c>
      <c r="C522" s="15" t="n">
        <v>55.23</v>
      </c>
      <c r="D522" s="14" t="n">
        <f aca="false">AVERAGE(B503:B522)</f>
        <v>52.654</v>
      </c>
      <c r="E522" s="14" t="n">
        <f aca="false">(B522-D522)/D522*100</f>
        <v>-0.0455805826717701</v>
      </c>
    </row>
    <row r="523" customFormat="false" ht="15" hidden="false" customHeight="false" outlineLevel="0" collapsed="false">
      <c r="A523" s="12" t="n">
        <v>42766</v>
      </c>
      <c r="B523" s="15" t="n">
        <v>52.81</v>
      </c>
      <c r="C523" s="15" t="n">
        <v>55.7</v>
      </c>
      <c r="D523" s="14" t="n">
        <f aca="false">AVERAGE(B504:B523)</f>
        <v>52.6085</v>
      </c>
      <c r="E523" s="14" t="n">
        <f aca="false">(B523-D523)/D523*100</f>
        <v>0.383017953372546</v>
      </c>
    </row>
    <row r="524" customFormat="false" ht="15" hidden="false" customHeight="false" outlineLevel="0" collapsed="false">
      <c r="A524" s="12" t="n">
        <v>42767</v>
      </c>
      <c r="B524" s="15" t="n">
        <v>53.88</v>
      </c>
      <c r="C524" s="15" t="n">
        <v>55.66</v>
      </c>
      <c r="D524" s="14" t="n">
        <f aca="false">AVERAGE(B505:B524)</f>
        <v>52.686</v>
      </c>
      <c r="E524" s="14" t="n">
        <f aca="false">(B524-D524)/D524*100</f>
        <v>2.26625669058194</v>
      </c>
    </row>
    <row r="525" customFormat="false" ht="15" hidden="false" customHeight="false" outlineLevel="0" collapsed="false">
      <c r="A525" s="12" t="n">
        <v>42768</v>
      </c>
      <c r="B525" s="15" t="n">
        <v>53.54</v>
      </c>
      <c r="C525" s="15" t="n">
        <v>56.56</v>
      </c>
      <c r="D525" s="14" t="n">
        <f aca="false">AVERAGE(B506:B525)</f>
        <v>52.7</v>
      </c>
      <c r="E525" s="14" t="n">
        <f aca="false">(B525-D525)/D525*100</f>
        <v>1.59392789373813</v>
      </c>
    </row>
    <row r="526" customFormat="false" ht="15" hidden="false" customHeight="false" outlineLevel="0" collapsed="false">
      <c r="A526" s="12" t="n">
        <v>42769</v>
      </c>
      <c r="B526" s="15" t="n">
        <v>53.83</v>
      </c>
      <c r="C526" s="15" t="n">
        <v>56.81</v>
      </c>
      <c r="D526" s="14" t="n">
        <f aca="false">AVERAGE(B507:B526)</f>
        <v>52.7035</v>
      </c>
      <c r="E526" s="14" t="n">
        <f aca="false">(B526-D526)/D526*100</f>
        <v>2.13742920299411</v>
      </c>
    </row>
    <row r="527" customFormat="false" ht="15" hidden="false" customHeight="false" outlineLevel="0" collapsed="false">
      <c r="A527" s="12" t="n">
        <v>42772</v>
      </c>
      <c r="B527" s="15" t="n">
        <v>53.01</v>
      </c>
      <c r="C527" s="15" t="n">
        <v>55.72</v>
      </c>
      <c r="D527" s="14" t="n">
        <f aca="false">AVERAGE(B508:B527)</f>
        <v>52.6545</v>
      </c>
      <c r="E527" s="14" t="n">
        <f aca="false">(B527-D527)/D527*100</f>
        <v>0.675155969575249</v>
      </c>
    </row>
    <row r="528" customFormat="false" ht="15" hidden="false" customHeight="false" outlineLevel="0" collapsed="false">
      <c r="A528" s="12" t="n">
        <v>42773</v>
      </c>
      <c r="B528" s="15" t="n">
        <v>52.17</v>
      </c>
      <c r="C528" s="15" t="n">
        <v>55.05</v>
      </c>
      <c r="D528" s="14" t="n">
        <f aca="false">AVERAGE(B509:B528)</f>
        <v>52.665</v>
      </c>
      <c r="E528" s="14" t="n">
        <f aca="false">(B528-D528)/D528*100</f>
        <v>-0.939903161492448</v>
      </c>
    </row>
    <row r="529" customFormat="false" ht="15" hidden="false" customHeight="false" outlineLevel="0" collapsed="false">
      <c r="A529" s="12" t="n">
        <v>42774</v>
      </c>
      <c r="B529" s="15" t="n">
        <v>52.34</v>
      </c>
      <c r="C529" s="15" t="n">
        <v>55.12</v>
      </c>
      <c r="D529" s="14" t="n">
        <f aca="false">AVERAGE(B510:B529)</f>
        <v>52.741</v>
      </c>
      <c r="E529" s="14" t="n">
        <f aca="false">(B529-D529)/D529*100</f>
        <v>-0.760319296183228</v>
      </c>
    </row>
    <row r="530" customFormat="false" ht="15" hidden="false" customHeight="false" outlineLevel="0" collapsed="false">
      <c r="A530" s="12" t="n">
        <v>42775</v>
      </c>
      <c r="B530" s="15" t="n">
        <v>53</v>
      </c>
      <c r="C530" s="15" t="n">
        <v>55.63</v>
      </c>
      <c r="D530" s="14" t="n">
        <f aca="false">AVERAGE(B511:B530)</f>
        <v>52.7785</v>
      </c>
      <c r="E530" s="14" t="n">
        <f aca="false">(B530-D530)/D530*100</f>
        <v>0.419678467557824</v>
      </c>
    </row>
    <row r="531" customFormat="false" ht="15" hidden="false" customHeight="false" outlineLevel="0" collapsed="false">
      <c r="A531" s="12" t="n">
        <v>42776</v>
      </c>
      <c r="B531" s="15" t="n">
        <v>53.86</v>
      </c>
      <c r="C531" s="15" t="n">
        <v>56.7</v>
      </c>
      <c r="D531" s="14" t="n">
        <f aca="false">AVERAGE(B512:B531)</f>
        <v>52.821</v>
      </c>
      <c r="E531" s="14" t="n">
        <f aca="false">(B531-D531)/D531*100</f>
        <v>1.96702069252758</v>
      </c>
    </row>
    <row r="532" customFormat="false" ht="15" hidden="false" customHeight="false" outlineLevel="0" collapsed="false">
      <c r="A532" s="12" t="n">
        <v>42779</v>
      </c>
      <c r="B532" s="15" t="n">
        <v>52.93</v>
      </c>
      <c r="C532" s="15" t="n">
        <v>55.59</v>
      </c>
      <c r="D532" s="14" t="n">
        <f aca="false">AVERAGE(B513:B532)</f>
        <v>52.849</v>
      </c>
      <c r="E532" s="14" t="n">
        <f aca="false">(B532-D532)/D532*100</f>
        <v>0.153266854623542</v>
      </c>
    </row>
    <row r="533" customFormat="false" ht="15" hidden="false" customHeight="false" outlineLevel="0" collapsed="false">
      <c r="A533" s="12" t="n">
        <v>42780</v>
      </c>
      <c r="B533" s="15" t="n">
        <v>53.2</v>
      </c>
      <c r="C533" s="15" t="n">
        <v>55.97</v>
      </c>
      <c r="D533" s="14" t="n">
        <f aca="false">AVERAGE(B514:B533)</f>
        <v>52.885</v>
      </c>
      <c r="E533" s="14" t="n">
        <f aca="false">(B533-D533)/D533*100</f>
        <v>0.595632031767037</v>
      </c>
    </row>
    <row r="534" customFormat="false" ht="15" hidden="false" customHeight="false" outlineLevel="0" collapsed="false">
      <c r="A534" s="12" t="n">
        <v>42781</v>
      </c>
      <c r="B534" s="15" t="n">
        <v>53.11</v>
      </c>
      <c r="C534" s="15" t="n">
        <v>55.75</v>
      </c>
      <c r="D534" s="14" t="n">
        <f aca="false">AVERAGE(B515:B534)</f>
        <v>52.9865</v>
      </c>
      <c r="E534" s="14" t="n">
        <f aca="false">(B534-D534)/D534*100</f>
        <v>0.233078236909401</v>
      </c>
    </row>
    <row r="535" customFormat="false" ht="15" hidden="false" customHeight="false" outlineLevel="0" collapsed="false">
      <c r="A535" s="12" t="n">
        <v>42782</v>
      </c>
      <c r="B535" s="15" t="n">
        <v>53.36</v>
      </c>
      <c r="C535" s="15" t="n">
        <v>55.65</v>
      </c>
      <c r="D535" s="14" t="n">
        <f aca="false">AVERAGE(B516:B535)</f>
        <v>53.086</v>
      </c>
      <c r="E535" s="14" t="n">
        <f aca="false">(B535-D535)/D535*100</f>
        <v>0.516143616019291</v>
      </c>
    </row>
    <row r="536" customFormat="false" ht="15" hidden="false" customHeight="false" outlineLevel="0" collapsed="false">
      <c r="A536" s="12" t="n">
        <v>42783</v>
      </c>
      <c r="B536" s="15" t="n">
        <v>53.4</v>
      </c>
      <c r="C536" s="15" t="n">
        <v>55.81</v>
      </c>
      <c r="D536" s="14" t="n">
        <f aca="false">AVERAGE(B517:B536)</f>
        <v>53.135</v>
      </c>
      <c r="E536" s="14" t="n">
        <f aca="false">(B536-D536)/D536*100</f>
        <v>0.498729650889232</v>
      </c>
    </row>
    <row r="537" customFormat="false" ht="15" hidden="false" customHeight="false" outlineLevel="0" collapsed="false">
      <c r="A537" s="12" t="n">
        <v>42787</v>
      </c>
      <c r="B537" s="15" t="n">
        <v>54.06</v>
      </c>
      <c r="C537" s="15" t="n">
        <v>56.66</v>
      </c>
      <c r="D537" s="14" t="n">
        <f aca="false">AVERAGE(B518:B537)</f>
        <v>53.2005</v>
      </c>
      <c r="E537" s="14" t="n">
        <f aca="false">(B537-D537)/D537*100</f>
        <v>1.61558631967745</v>
      </c>
    </row>
    <row r="538" customFormat="false" ht="15" hidden="false" customHeight="false" outlineLevel="0" collapsed="false">
      <c r="A538" s="12" t="n">
        <v>42788</v>
      </c>
      <c r="B538" s="15" t="n">
        <v>53.59</v>
      </c>
      <c r="C538" s="15" t="n">
        <v>55.84</v>
      </c>
      <c r="D538" s="14" t="n">
        <f aca="false">AVERAGE(B519:B538)</f>
        <v>53.221</v>
      </c>
      <c r="E538" s="14" t="n">
        <f aca="false">(B538-D538)/D538*100</f>
        <v>0.693335337554724</v>
      </c>
    </row>
    <row r="539" customFormat="false" ht="15" hidden="false" customHeight="false" outlineLevel="0" collapsed="false">
      <c r="A539" s="12" t="n">
        <v>42789</v>
      </c>
      <c r="B539" s="15" t="n">
        <v>54.45</v>
      </c>
      <c r="C539" s="15" t="n">
        <v>56.58</v>
      </c>
      <c r="D539" s="14" t="n">
        <f aca="false">AVERAGE(B520:B539)</f>
        <v>53.306</v>
      </c>
      <c r="E539" s="14" t="n">
        <f aca="false">(B539-D539)/D539*100</f>
        <v>2.14609987618654</v>
      </c>
    </row>
    <row r="540" customFormat="false" ht="15" hidden="false" customHeight="false" outlineLevel="0" collapsed="false">
      <c r="A540" s="12" t="n">
        <v>42790</v>
      </c>
      <c r="B540" s="15" t="n">
        <v>53.99</v>
      </c>
      <c r="C540" s="15" t="n">
        <v>55.99</v>
      </c>
      <c r="D540" s="14" t="n">
        <f aca="false">AVERAGE(B521:B540)</f>
        <v>53.3165</v>
      </c>
      <c r="E540" s="14" t="n">
        <f aca="false">(B540-D540)/D540*100</f>
        <v>1.26321120103533</v>
      </c>
    </row>
    <row r="541" customFormat="false" ht="15" hidden="false" customHeight="false" outlineLevel="0" collapsed="false">
      <c r="A541" s="12" t="n">
        <v>42793</v>
      </c>
      <c r="B541" s="15" t="n">
        <v>54.05</v>
      </c>
      <c r="C541" s="15" t="n">
        <v>55.93</v>
      </c>
      <c r="D541" s="14" t="n">
        <f aca="false">AVERAGE(B522:B541)</f>
        <v>53.3605</v>
      </c>
      <c r="E541" s="14" t="n">
        <f aca="false">(B541-D541)/D541*100</f>
        <v>1.2921543088989</v>
      </c>
    </row>
    <row r="542" customFormat="false" ht="15" hidden="false" customHeight="false" outlineLevel="0" collapsed="false">
      <c r="A542" s="12" t="n">
        <v>42794</v>
      </c>
      <c r="B542" s="15" t="n">
        <v>54.01</v>
      </c>
      <c r="C542" s="15" t="n">
        <v>55.59</v>
      </c>
      <c r="D542" s="14" t="n">
        <f aca="false">AVERAGE(B523:B542)</f>
        <v>53.4295</v>
      </c>
      <c r="E542" s="14" t="n">
        <f aca="false">(B542-D542)/D542*100</f>
        <v>1.08647844355646</v>
      </c>
    </row>
    <row r="543" customFormat="false" ht="15" hidden="false" customHeight="false" outlineLevel="0" collapsed="false">
      <c r="A543" s="12" t="n">
        <v>42795</v>
      </c>
      <c r="B543" s="15" t="n">
        <v>53.83</v>
      </c>
      <c r="C543" s="15" t="n">
        <v>55.6</v>
      </c>
      <c r="D543" s="14" t="n">
        <f aca="false">AVERAGE(B524:B543)</f>
        <v>53.4805</v>
      </c>
      <c r="E543" s="14" t="n">
        <f aca="false">(B543-D543)/D543*100</f>
        <v>0.65350922298783</v>
      </c>
    </row>
    <row r="544" customFormat="false" ht="15" hidden="false" customHeight="false" outlineLevel="0" collapsed="false">
      <c r="A544" s="12" t="n">
        <v>42796</v>
      </c>
      <c r="B544" s="15" t="n">
        <v>52.61</v>
      </c>
      <c r="C544" s="15" t="n">
        <v>55.08</v>
      </c>
      <c r="D544" s="14" t="n">
        <f aca="false">AVERAGE(B525:B544)</f>
        <v>53.417</v>
      </c>
      <c r="E544" s="14" t="n">
        <f aca="false">(B544-D544)/D544*100</f>
        <v>-1.5107550030889</v>
      </c>
    </row>
    <row r="545" customFormat="false" ht="15" hidden="false" customHeight="false" outlineLevel="0" collapsed="false">
      <c r="A545" s="12" t="n">
        <v>42797</v>
      </c>
      <c r="B545" s="15" t="n">
        <v>53.33</v>
      </c>
      <c r="C545" s="15" t="n">
        <v>55.9</v>
      </c>
      <c r="D545" s="14" t="n">
        <f aca="false">AVERAGE(B526:B545)</f>
        <v>53.4065</v>
      </c>
      <c r="E545" s="14" t="n">
        <f aca="false">(B545-D545)/D545*100</f>
        <v>-0.143240991265127</v>
      </c>
    </row>
    <row r="546" customFormat="false" ht="15" hidden="false" customHeight="false" outlineLevel="0" collapsed="false">
      <c r="A546" s="12" t="n">
        <v>42800</v>
      </c>
      <c r="B546" s="15" t="n">
        <v>53.2</v>
      </c>
      <c r="C546" s="15" t="n">
        <v>56.01</v>
      </c>
      <c r="D546" s="14" t="n">
        <f aca="false">AVERAGE(B527:B546)</f>
        <v>53.375</v>
      </c>
      <c r="E546" s="14" t="n">
        <f aca="false">(B546-D546)/D546*100</f>
        <v>-0.327868852459011</v>
      </c>
    </row>
    <row r="547" customFormat="false" ht="15" hidden="false" customHeight="false" outlineLevel="0" collapsed="false">
      <c r="A547" s="12" t="n">
        <v>42801</v>
      </c>
      <c r="B547" s="15" t="n">
        <v>53.14</v>
      </c>
      <c r="C547" s="15" t="n">
        <v>55.92</v>
      </c>
      <c r="D547" s="14" t="n">
        <f aca="false">AVERAGE(B528:B547)</f>
        <v>53.3815</v>
      </c>
      <c r="E547" s="14" t="n">
        <f aca="false">(B547-D547)/D547*100</f>
        <v>-0.452403922707309</v>
      </c>
    </row>
    <row r="548" customFormat="false" ht="15" hidden="false" customHeight="false" outlineLevel="0" collapsed="false">
      <c r="A548" s="12" t="n">
        <v>42802</v>
      </c>
      <c r="B548" s="15" t="n">
        <v>50.28</v>
      </c>
      <c r="C548" s="15" t="n">
        <v>53.11</v>
      </c>
      <c r="D548" s="14" t="n">
        <f aca="false">AVERAGE(B529:B548)</f>
        <v>53.287</v>
      </c>
      <c r="E548" s="14" t="n">
        <f aca="false">(B548-D548)/D548*100</f>
        <v>-5.6430273800364</v>
      </c>
    </row>
    <row r="549" customFormat="false" ht="15" hidden="false" customHeight="false" outlineLevel="0" collapsed="false">
      <c r="A549" s="12" t="n">
        <v>42803</v>
      </c>
      <c r="B549" s="15" t="n">
        <v>49.28</v>
      </c>
      <c r="C549" s="15" t="n">
        <v>52.19</v>
      </c>
      <c r="D549" s="14" t="n">
        <f aca="false">AVERAGE(B530:B549)</f>
        <v>53.134</v>
      </c>
      <c r="E549" s="14" t="n">
        <f aca="false">(B549-D549)/D549*100</f>
        <v>-7.25335943087289</v>
      </c>
    </row>
    <row r="550" customFormat="false" ht="15" hidden="false" customHeight="false" outlineLevel="0" collapsed="false">
      <c r="A550" s="12" t="n">
        <v>42804</v>
      </c>
      <c r="B550" s="15" t="n">
        <v>48.49</v>
      </c>
      <c r="C550" s="15" t="n">
        <v>51.37</v>
      </c>
      <c r="D550" s="14" t="n">
        <f aca="false">AVERAGE(B531:B550)</f>
        <v>52.9085</v>
      </c>
      <c r="E550" s="14" t="n">
        <f aca="false">(B550-D550)/D550*100</f>
        <v>-8.35121010801667</v>
      </c>
    </row>
    <row r="551" customFormat="false" ht="15" hidden="false" customHeight="false" outlineLevel="0" collapsed="false">
      <c r="A551" s="12" t="n">
        <v>42807</v>
      </c>
      <c r="B551" s="15" t="n">
        <v>48.4</v>
      </c>
      <c r="C551" s="15" t="n">
        <v>51.35</v>
      </c>
      <c r="D551" s="14" t="n">
        <f aca="false">AVERAGE(B532:B551)</f>
        <v>52.6355</v>
      </c>
      <c r="E551" s="14" t="n">
        <f aca="false">(B551-D551)/D551*100</f>
        <v>-8.04685050963704</v>
      </c>
    </row>
    <row r="552" customFormat="false" ht="15" hidden="false" customHeight="false" outlineLevel="0" collapsed="false">
      <c r="A552" s="12" t="n">
        <v>42808</v>
      </c>
      <c r="B552" s="15" t="n">
        <v>47.72</v>
      </c>
      <c r="C552" s="15" t="n">
        <v>50.92</v>
      </c>
      <c r="D552" s="14" t="n">
        <f aca="false">AVERAGE(B533:B552)</f>
        <v>52.375</v>
      </c>
      <c r="E552" s="14" t="n">
        <f aca="false">(B552-D552)/D552*100</f>
        <v>-8.88782816229117</v>
      </c>
    </row>
    <row r="553" customFormat="false" ht="15" hidden="false" customHeight="false" outlineLevel="0" collapsed="false">
      <c r="A553" s="12" t="n">
        <v>42809</v>
      </c>
      <c r="B553" s="15" t="n">
        <v>48.86</v>
      </c>
      <c r="C553" s="15" t="n">
        <v>51.81</v>
      </c>
      <c r="D553" s="14" t="n">
        <f aca="false">AVERAGE(B534:B553)</f>
        <v>52.158</v>
      </c>
      <c r="E553" s="14" t="n">
        <f aca="false">(B553-D553)/D553*100</f>
        <v>-6.32309521070594</v>
      </c>
    </row>
    <row r="554" customFormat="false" ht="15" hidden="false" customHeight="false" outlineLevel="0" collapsed="false">
      <c r="A554" s="12" t="n">
        <v>42810</v>
      </c>
      <c r="B554" s="15" t="n">
        <v>48.75</v>
      </c>
      <c r="C554" s="15" t="n">
        <v>51.74</v>
      </c>
      <c r="D554" s="14" t="n">
        <f aca="false">AVERAGE(B535:B554)</f>
        <v>51.94</v>
      </c>
      <c r="E554" s="14" t="n">
        <f aca="false">(B554-D554)/D554*100</f>
        <v>-6.14170196380439</v>
      </c>
    </row>
    <row r="555" customFormat="false" ht="15" hidden="false" customHeight="false" outlineLevel="0" collapsed="false">
      <c r="A555" s="12" t="n">
        <v>42811</v>
      </c>
      <c r="B555" s="15" t="n">
        <v>48.78</v>
      </c>
      <c r="C555" s="15" t="n">
        <v>51.76</v>
      </c>
      <c r="D555" s="14" t="n">
        <f aca="false">AVERAGE(B536:B555)</f>
        <v>51.711</v>
      </c>
      <c r="E555" s="14" t="n">
        <f aca="false">(B555-D555)/D555*100</f>
        <v>-5.66803968207924</v>
      </c>
    </row>
    <row r="556" customFormat="false" ht="15" hidden="false" customHeight="false" outlineLevel="0" collapsed="false">
      <c r="A556" s="12" t="n">
        <v>42814</v>
      </c>
      <c r="B556" s="15" t="n">
        <v>48.22</v>
      </c>
      <c r="C556" s="15" t="n">
        <v>51.62</v>
      </c>
      <c r="D556" s="14" t="n">
        <f aca="false">AVERAGE(B537:B556)</f>
        <v>51.452</v>
      </c>
      <c r="E556" s="14" t="n">
        <f aca="false">(B556-D556)/D556*100</f>
        <v>-6.28158283448651</v>
      </c>
    </row>
    <row r="557" customFormat="false" ht="15" hidden="false" customHeight="false" outlineLevel="0" collapsed="false">
      <c r="A557" s="12" t="n">
        <v>42815</v>
      </c>
      <c r="B557" s="15" t="n">
        <v>47.34</v>
      </c>
      <c r="C557" s="15" t="n">
        <v>50.96</v>
      </c>
      <c r="D557" s="14" t="n">
        <f aca="false">AVERAGE(B538:B557)</f>
        <v>51.116</v>
      </c>
      <c r="E557" s="14" t="n">
        <f aca="false">(B557-D557)/D557*100</f>
        <v>-7.38711949291806</v>
      </c>
    </row>
    <row r="558" customFormat="false" ht="15" hidden="false" customHeight="false" outlineLevel="0" collapsed="false">
      <c r="A558" s="12" t="n">
        <v>42816</v>
      </c>
      <c r="B558" s="15" t="n">
        <v>48.04</v>
      </c>
      <c r="C558" s="15" t="n">
        <v>50.64</v>
      </c>
      <c r="D558" s="14" t="n">
        <f aca="false">AVERAGE(B539:B558)</f>
        <v>50.8385</v>
      </c>
      <c r="E558" s="14" t="n">
        <f aca="false">(B558-D558)/D558*100</f>
        <v>-5.50468640892237</v>
      </c>
    </row>
    <row r="559" customFormat="false" ht="15" hidden="false" customHeight="false" outlineLevel="0" collapsed="false">
      <c r="A559" s="12" t="n">
        <v>42817</v>
      </c>
      <c r="B559" s="15" t="n">
        <v>47.7</v>
      </c>
      <c r="C559" s="15" t="n">
        <v>50.56</v>
      </c>
      <c r="D559" s="14" t="n">
        <f aca="false">AVERAGE(B540:B559)</f>
        <v>50.501</v>
      </c>
      <c r="E559" s="14" t="n">
        <f aca="false">(B559-D559)/D559*100</f>
        <v>-5.54642482327082</v>
      </c>
    </row>
    <row r="560" customFormat="false" ht="15" hidden="false" customHeight="false" outlineLevel="0" collapsed="false">
      <c r="A560" s="12" t="n">
        <v>42818</v>
      </c>
      <c r="B560" s="15" t="n">
        <v>47.97</v>
      </c>
      <c r="C560" s="15" t="n">
        <v>50.8</v>
      </c>
      <c r="D560" s="14" t="n">
        <f aca="false">AVERAGE(B541:B560)</f>
        <v>50.2</v>
      </c>
      <c r="E560" s="14" t="n">
        <f aca="false">(B560-D560)/D560*100</f>
        <v>-4.44223107569722</v>
      </c>
    </row>
    <row r="561" customFormat="false" ht="15" hidden="false" customHeight="false" outlineLevel="0" collapsed="false">
      <c r="A561" s="12" t="n">
        <v>42821</v>
      </c>
      <c r="B561" s="15" t="n">
        <v>47.73</v>
      </c>
      <c r="C561" s="15" t="n">
        <v>50.75</v>
      </c>
      <c r="D561" s="14" t="n">
        <f aca="false">AVERAGE(B542:B561)</f>
        <v>49.884</v>
      </c>
      <c r="E561" s="14" t="n">
        <f aca="false">(B561-D561)/D561*100</f>
        <v>-4.31801780129902</v>
      </c>
    </row>
    <row r="562" customFormat="false" ht="15" hidden="false" customHeight="false" outlineLevel="0" collapsed="false">
      <c r="A562" s="12" t="n">
        <v>42822</v>
      </c>
      <c r="B562" s="15" t="n">
        <v>48.37</v>
      </c>
      <c r="C562" s="15" t="n">
        <v>51.33</v>
      </c>
      <c r="D562" s="14" t="n">
        <f aca="false">AVERAGE(B543:B562)</f>
        <v>49.602</v>
      </c>
      <c r="E562" s="14" t="n">
        <f aca="false">(B562-D562)/D562*100</f>
        <v>-2.48377081569291</v>
      </c>
    </row>
    <row r="563" customFormat="false" ht="15" hidden="false" customHeight="false" outlineLevel="0" collapsed="false">
      <c r="A563" s="12" t="n">
        <v>42823</v>
      </c>
      <c r="B563" s="15" t="n">
        <v>49.51</v>
      </c>
      <c r="C563" s="15" t="n">
        <v>52.42</v>
      </c>
      <c r="D563" s="14" t="n">
        <f aca="false">AVERAGE(B544:B563)</f>
        <v>49.386</v>
      </c>
      <c r="E563" s="14" t="n">
        <f aca="false">(B563-D563)/D563*100</f>
        <v>0.251083302960343</v>
      </c>
    </row>
    <row r="564" customFormat="false" ht="15" hidden="false" customHeight="false" outlineLevel="0" collapsed="false">
      <c r="A564" s="12" t="n">
        <v>42824</v>
      </c>
      <c r="B564" s="15" t="n">
        <v>50.35</v>
      </c>
      <c r="C564" s="15" t="n">
        <v>52.96</v>
      </c>
      <c r="D564" s="14" t="n">
        <f aca="false">AVERAGE(B545:B564)</f>
        <v>49.273</v>
      </c>
      <c r="E564" s="14" t="n">
        <f aca="false">(B564-D564)/D564*100</f>
        <v>2.18578125951332</v>
      </c>
    </row>
    <row r="565" customFormat="false" ht="15" hidden="false" customHeight="false" outlineLevel="0" collapsed="false">
      <c r="A565" s="12" t="n">
        <v>42825</v>
      </c>
      <c r="B565" s="15" t="n">
        <v>50.6</v>
      </c>
      <c r="C565" s="15" t="n">
        <v>52.83</v>
      </c>
      <c r="D565" s="14" t="n">
        <f aca="false">AVERAGE(B546:B565)</f>
        <v>49.1365</v>
      </c>
      <c r="E565" s="14" t="n">
        <f aca="false">(B565-D565)/D565*100</f>
        <v>2.97843761765694</v>
      </c>
    </row>
    <row r="566" customFormat="false" ht="15" hidden="false" customHeight="false" outlineLevel="0" collapsed="false">
      <c r="A566" s="12" t="n">
        <v>42828</v>
      </c>
      <c r="B566" s="15" t="n">
        <v>50.24</v>
      </c>
      <c r="C566" s="15" t="n">
        <v>53.12</v>
      </c>
      <c r="D566" s="14" t="n">
        <f aca="false">AVERAGE(B547:B566)</f>
        <v>48.9885</v>
      </c>
      <c r="E566" s="14" t="n">
        <f aca="false">(B566-D566)/D566*100</f>
        <v>2.55468120068996</v>
      </c>
    </row>
    <row r="567" customFormat="false" ht="15" hidden="false" customHeight="false" outlineLevel="0" collapsed="false">
      <c r="A567" s="12" t="n">
        <v>42829</v>
      </c>
      <c r="B567" s="15" t="n">
        <v>51.03</v>
      </c>
      <c r="C567" s="15" t="n">
        <v>54.17</v>
      </c>
      <c r="D567" s="14" t="n">
        <f aca="false">AVERAGE(B548:B567)</f>
        <v>48.883</v>
      </c>
      <c r="E567" s="14" t="n">
        <f aca="false">(B567-D567)/D567*100</f>
        <v>4.39211995990427</v>
      </c>
    </row>
    <row r="568" customFormat="false" ht="15" hidden="false" customHeight="false" outlineLevel="0" collapsed="false">
      <c r="A568" s="12" t="n">
        <v>42830</v>
      </c>
      <c r="B568" s="15" t="n">
        <v>51.15</v>
      </c>
      <c r="C568" s="15" t="n">
        <v>54.36</v>
      </c>
      <c r="D568" s="14" t="n">
        <f aca="false">AVERAGE(B549:B568)</f>
        <v>48.9265</v>
      </c>
      <c r="E568" s="14" t="n">
        <f aca="false">(B568-D568)/D568*100</f>
        <v>4.54457195998079</v>
      </c>
    </row>
    <row r="569" customFormat="false" ht="15" hidden="false" customHeight="false" outlineLevel="0" collapsed="false">
      <c r="A569" s="12" t="n">
        <v>42831</v>
      </c>
      <c r="B569" s="15" t="n">
        <v>51.7</v>
      </c>
      <c r="C569" s="15" t="n">
        <v>54.89</v>
      </c>
      <c r="D569" s="14" t="n">
        <f aca="false">AVERAGE(B550:B569)</f>
        <v>49.0475</v>
      </c>
      <c r="E569" s="14" t="n">
        <f aca="false">(B569-D569)/D569*100</f>
        <v>5.40802283500689</v>
      </c>
    </row>
    <row r="570" customFormat="false" ht="15" hidden="false" customHeight="false" outlineLevel="0" collapsed="false">
      <c r="A570" s="12" t="n">
        <v>42832</v>
      </c>
      <c r="B570" s="15" t="n">
        <v>52.24</v>
      </c>
      <c r="C570" s="15" t="n">
        <v>55.24</v>
      </c>
      <c r="D570" s="14" t="n">
        <f aca="false">AVERAGE(B551:B570)</f>
        <v>49.235</v>
      </c>
      <c r="E570" s="14" t="n">
        <f aca="false">(B570-D570)/D570*100</f>
        <v>6.10338174063167</v>
      </c>
    </row>
    <row r="571" customFormat="false" ht="15" hidden="false" customHeight="false" outlineLevel="0" collapsed="false">
      <c r="A571" s="12" t="n">
        <v>42835</v>
      </c>
      <c r="B571" s="15" t="n">
        <v>53.08</v>
      </c>
      <c r="C571" s="15" t="n">
        <v>55.98</v>
      </c>
      <c r="D571" s="14" t="n">
        <f aca="false">AVERAGE(B552:B571)</f>
        <v>49.469</v>
      </c>
      <c r="E571" s="14" t="n">
        <f aca="false">(B571-D571)/D571*100</f>
        <v>7.29952091208635</v>
      </c>
    </row>
    <row r="572" customFormat="false" ht="15" hidden="false" customHeight="false" outlineLevel="0" collapsed="false">
      <c r="A572" s="12" t="n">
        <v>42836</v>
      </c>
      <c r="B572" s="15" t="n">
        <v>53.4</v>
      </c>
      <c r="C572" s="15" t="n">
        <v>56.23</v>
      </c>
      <c r="D572" s="14" t="n">
        <f aca="false">AVERAGE(B553:B572)</f>
        <v>49.753</v>
      </c>
      <c r="E572" s="14" t="n">
        <f aca="false">(B572-D572)/D572*100</f>
        <v>7.3302112435431</v>
      </c>
    </row>
    <row r="573" customFormat="false" ht="15" hidden="false" customHeight="false" outlineLevel="0" collapsed="false">
      <c r="A573" s="12" t="n">
        <v>42837</v>
      </c>
      <c r="B573" s="15" t="n">
        <v>53.11</v>
      </c>
      <c r="C573" s="15" t="n">
        <v>55.86</v>
      </c>
      <c r="D573" s="14" t="n">
        <f aca="false">AVERAGE(B554:B573)</f>
        <v>49.9655</v>
      </c>
      <c r="E573" s="14" t="n">
        <f aca="false">(B573-D573)/D573*100</f>
        <v>6.29334240626032</v>
      </c>
    </row>
    <row r="574" customFormat="false" ht="15" hidden="false" customHeight="false" outlineLevel="0" collapsed="false">
      <c r="A574" s="12" t="n">
        <v>42838</v>
      </c>
      <c r="B574" s="15" t="n">
        <v>53.18</v>
      </c>
      <c r="C574" s="15" t="n">
        <v>55.89</v>
      </c>
      <c r="D574" s="14" t="n">
        <f aca="false">AVERAGE(B555:B574)</f>
        <v>50.187</v>
      </c>
      <c r="E574" s="14" t="n">
        <f aca="false">(B574-D574)/D574*100</f>
        <v>5.96369577779107</v>
      </c>
    </row>
    <row r="575" customFormat="false" ht="15" hidden="false" customHeight="false" outlineLevel="0" collapsed="false">
      <c r="A575" s="12" t="n">
        <v>42842</v>
      </c>
      <c r="B575" s="15" t="n">
        <v>52.65</v>
      </c>
      <c r="C575" s="15" t="n">
        <v>55.36</v>
      </c>
      <c r="D575" s="14" t="n">
        <f aca="false">AVERAGE(B556:B575)</f>
        <v>50.3805</v>
      </c>
      <c r="E575" s="14" t="n">
        <f aca="false">(B575-D575)/D575*100</f>
        <v>4.50471908774228</v>
      </c>
    </row>
    <row r="576" customFormat="false" ht="15" hidden="false" customHeight="false" outlineLevel="0" collapsed="false">
      <c r="A576" s="12" t="n">
        <v>42843</v>
      </c>
      <c r="B576" s="15" t="n">
        <v>52.41</v>
      </c>
      <c r="C576" s="15" t="n">
        <v>54.89</v>
      </c>
      <c r="D576" s="14" t="n">
        <f aca="false">AVERAGE(B557:B576)</f>
        <v>50.59</v>
      </c>
      <c r="E576" s="14" t="n">
        <f aca="false">(B576-D576)/D576*100</f>
        <v>3.597548922712</v>
      </c>
    </row>
    <row r="577" customFormat="false" ht="15" hidden="false" customHeight="false" outlineLevel="0" collapsed="false">
      <c r="A577" s="12" t="n">
        <v>42844</v>
      </c>
      <c r="B577" s="15" t="n">
        <v>50.44</v>
      </c>
      <c r="C577" s="15" t="n">
        <v>52.93</v>
      </c>
      <c r="D577" s="14" t="n">
        <f aca="false">AVERAGE(B558:B577)</f>
        <v>50.745</v>
      </c>
      <c r="E577" s="14" t="n">
        <f aca="false">(B577-D577)/D577*100</f>
        <v>-0.601044437875652</v>
      </c>
    </row>
    <row r="578" customFormat="false" ht="15" hidden="false" customHeight="false" outlineLevel="0" collapsed="false">
      <c r="A578" s="12" t="n">
        <v>42845</v>
      </c>
      <c r="B578" s="15" t="n">
        <v>50.27</v>
      </c>
      <c r="C578" s="15" t="n">
        <v>52.99</v>
      </c>
      <c r="D578" s="14" t="n">
        <f aca="false">AVERAGE(B559:B578)</f>
        <v>50.8565</v>
      </c>
      <c r="E578" s="14" t="n">
        <f aca="false">(B578-D578)/D578*100</f>
        <v>-1.15324491461267</v>
      </c>
    </row>
    <row r="579" customFormat="false" ht="15" hidden="false" customHeight="false" outlineLevel="0" collapsed="false">
      <c r="A579" s="12" t="n">
        <v>42846</v>
      </c>
      <c r="B579" s="15" t="n">
        <v>49.62</v>
      </c>
      <c r="C579" s="15" t="n">
        <v>51.96</v>
      </c>
      <c r="D579" s="14" t="n">
        <f aca="false">AVERAGE(B560:B579)</f>
        <v>50.9525</v>
      </c>
      <c r="E579" s="14" t="n">
        <f aca="false">(B579-D579)/D579*100</f>
        <v>-2.61518080565233</v>
      </c>
    </row>
    <row r="580" customFormat="false" ht="15" hidden="false" customHeight="false" outlineLevel="0" collapsed="false">
      <c r="A580" s="12" t="n">
        <v>42849</v>
      </c>
      <c r="B580" s="15" t="n">
        <v>49.23</v>
      </c>
      <c r="C580" s="15" t="n">
        <v>51.6</v>
      </c>
      <c r="D580" s="14" t="n">
        <f aca="false">AVERAGE(B561:B580)</f>
        <v>51.0155</v>
      </c>
      <c r="E580" s="14" t="n">
        <f aca="false">(B580-D580)/D580*100</f>
        <v>-3.49991669198577</v>
      </c>
    </row>
    <row r="581" customFormat="false" ht="15" hidden="false" customHeight="false" outlineLevel="0" collapsed="false">
      <c r="A581" s="12" t="n">
        <v>42850</v>
      </c>
      <c r="B581" s="15" t="n">
        <v>49.56</v>
      </c>
      <c r="C581" s="15" t="n">
        <v>52.1</v>
      </c>
      <c r="D581" s="14" t="n">
        <f aca="false">AVERAGE(B562:B581)</f>
        <v>51.107</v>
      </c>
      <c r="E581" s="14" t="n">
        <f aca="false">(B581-D581)/D581*100</f>
        <v>-3.02698260512258</v>
      </c>
    </row>
    <row r="582" customFormat="false" ht="15" hidden="false" customHeight="false" outlineLevel="0" collapsed="false">
      <c r="A582" s="12" t="n">
        <v>42851</v>
      </c>
      <c r="B582" s="15" t="n">
        <v>49.62</v>
      </c>
      <c r="C582" s="15" t="n">
        <v>51.82</v>
      </c>
      <c r="D582" s="14" t="n">
        <f aca="false">AVERAGE(B563:B582)</f>
        <v>51.1695</v>
      </c>
      <c r="E582" s="14" t="n">
        <f aca="false">(B582-D582)/D582*100</f>
        <v>-3.02817107847449</v>
      </c>
    </row>
    <row r="583" customFormat="false" ht="15" hidden="false" customHeight="false" outlineLevel="0" collapsed="false">
      <c r="A583" s="12" t="n">
        <v>42852</v>
      </c>
      <c r="B583" s="15" t="n">
        <v>48.97</v>
      </c>
      <c r="C583" s="15" t="n">
        <v>51.44</v>
      </c>
      <c r="D583" s="14" t="n">
        <f aca="false">AVERAGE(B564:B583)</f>
        <v>51.1425</v>
      </c>
      <c r="E583" s="14" t="n">
        <f aca="false">(B583-D583)/D583*100</f>
        <v>-4.24793469228137</v>
      </c>
    </row>
    <row r="584" customFormat="false" ht="15" hidden="false" customHeight="false" outlineLevel="0" collapsed="false">
      <c r="A584" s="12" t="n">
        <v>42853</v>
      </c>
      <c r="B584" s="15" t="n">
        <v>49.33</v>
      </c>
      <c r="C584" s="15" t="n">
        <v>51.73</v>
      </c>
      <c r="D584" s="14" t="n">
        <f aca="false">AVERAGE(B565:B584)</f>
        <v>51.0915</v>
      </c>
      <c r="E584" s="14" t="n">
        <f aca="false">(B584-D584)/D584*100</f>
        <v>-3.44773592476245</v>
      </c>
    </row>
    <row r="585" customFormat="false" ht="15" hidden="false" customHeight="false" outlineLevel="0" collapsed="false">
      <c r="A585" s="12" t="n">
        <v>42856</v>
      </c>
      <c r="B585" s="15" t="n">
        <v>48.84</v>
      </c>
      <c r="C585" s="15" t="n">
        <v>51.52</v>
      </c>
      <c r="D585" s="14" t="n">
        <f aca="false">AVERAGE(B566:B585)</f>
        <v>51.0035</v>
      </c>
      <c r="E585" s="14" t="n">
        <f aca="false">(B585-D585)/D585*100</f>
        <v>-4.24186575431096</v>
      </c>
    </row>
    <row r="586" customFormat="false" ht="15" hidden="false" customHeight="false" outlineLevel="0" collapsed="false">
      <c r="A586" s="12" t="n">
        <v>42857</v>
      </c>
      <c r="B586" s="15" t="n">
        <v>47.66</v>
      </c>
      <c r="C586" s="15" t="n">
        <v>50.46</v>
      </c>
      <c r="D586" s="14" t="n">
        <f aca="false">AVERAGE(B567:B586)</f>
        <v>50.8745</v>
      </c>
      <c r="E586" s="14" t="n">
        <f aca="false">(B586-D586)/D586*100</f>
        <v>-6.31848961660557</v>
      </c>
    </row>
    <row r="587" customFormat="false" ht="15" hidden="false" customHeight="false" outlineLevel="0" collapsed="false">
      <c r="A587" s="12" t="n">
        <v>42858</v>
      </c>
      <c r="B587" s="15" t="n">
        <v>47.82</v>
      </c>
      <c r="C587" s="15" t="n">
        <v>50.79</v>
      </c>
      <c r="D587" s="14" t="n">
        <f aca="false">AVERAGE(B568:B587)</f>
        <v>50.714</v>
      </c>
      <c r="E587" s="14" t="n">
        <f aca="false">(B587-D587)/D587*100</f>
        <v>-5.70651102259731</v>
      </c>
    </row>
    <row r="588" customFormat="false" ht="15" hidden="false" customHeight="false" outlineLevel="0" collapsed="false">
      <c r="A588" s="12" t="n">
        <v>42859</v>
      </c>
      <c r="B588" s="15" t="n">
        <v>45.52</v>
      </c>
      <c r="C588" s="15" t="n">
        <v>48.38</v>
      </c>
      <c r="D588" s="14" t="n">
        <f aca="false">AVERAGE(B569:B588)</f>
        <v>50.4325</v>
      </c>
      <c r="E588" s="14" t="n">
        <f aca="false">(B588-D588)/D588*100</f>
        <v>-9.74074257671144</v>
      </c>
    </row>
    <row r="589" customFormat="false" ht="15" hidden="false" customHeight="false" outlineLevel="0" collapsed="false">
      <c r="A589" s="12" t="n">
        <v>42860</v>
      </c>
      <c r="B589" s="15" t="n">
        <v>46.22</v>
      </c>
      <c r="C589" s="15" t="n">
        <v>49.1</v>
      </c>
      <c r="D589" s="14" t="n">
        <f aca="false">AVERAGE(B570:B589)</f>
        <v>50.1585</v>
      </c>
      <c r="E589" s="14" t="n">
        <f aca="false">(B589-D589)/D589*100</f>
        <v>-7.85210881505627</v>
      </c>
    </row>
    <row r="590" customFormat="false" ht="15" hidden="false" customHeight="false" outlineLevel="0" collapsed="false">
      <c r="A590" s="12" t="n">
        <v>42863</v>
      </c>
      <c r="B590" s="15" t="n">
        <v>46.43</v>
      </c>
      <c r="C590" s="15" t="n">
        <v>49.34</v>
      </c>
      <c r="D590" s="14" t="n">
        <f aca="false">AVERAGE(B571:B590)</f>
        <v>49.868</v>
      </c>
      <c r="E590" s="14" t="n">
        <f aca="false">(B590-D590)/D590*100</f>
        <v>-6.89420068982113</v>
      </c>
    </row>
    <row r="591" customFormat="false" ht="15" hidden="false" customHeight="false" outlineLevel="0" collapsed="false">
      <c r="A591" s="12" t="n">
        <v>42864</v>
      </c>
      <c r="B591" s="15" t="n">
        <v>45.88</v>
      </c>
      <c r="C591" s="15" t="n">
        <v>48.73</v>
      </c>
      <c r="D591" s="14" t="n">
        <f aca="false">AVERAGE(B572:B591)</f>
        <v>49.508</v>
      </c>
      <c r="E591" s="14" t="n">
        <f aca="false">(B591-D591)/D591*100</f>
        <v>-7.32810858851093</v>
      </c>
    </row>
    <row r="592" customFormat="false" ht="15" hidden="false" customHeight="false" outlineLevel="0" collapsed="false">
      <c r="A592" s="12" t="n">
        <v>42865</v>
      </c>
      <c r="B592" s="15" t="n">
        <v>47.33</v>
      </c>
      <c r="C592" s="15" t="n">
        <v>50.22</v>
      </c>
      <c r="D592" s="14" t="n">
        <f aca="false">AVERAGE(B573:B592)</f>
        <v>49.2045</v>
      </c>
      <c r="E592" s="14" t="n">
        <f aca="false">(B592-D592)/D592*100</f>
        <v>-3.80961090957129</v>
      </c>
    </row>
    <row r="593" customFormat="false" ht="15" hidden="false" customHeight="false" outlineLevel="0" collapsed="false">
      <c r="A593" s="12" t="n">
        <v>42866</v>
      </c>
      <c r="B593" s="15" t="n">
        <v>47.83</v>
      </c>
      <c r="C593" s="15" t="n">
        <v>50.77</v>
      </c>
      <c r="D593" s="14" t="n">
        <f aca="false">AVERAGE(B574:B593)</f>
        <v>48.9405</v>
      </c>
      <c r="E593" s="14" t="n">
        <f aca="false">(B593-D593)/D593*100</f>
        <v>-2.2690818442803</v>
      </c>
    </row>
    <row r="594" customFormat="false" ht="15" hidden="false" customHeight="false" outlineLevel="0" collapsed="false">
      <c r="A594" s="12" t="n">
        <v>42867</v>
      </c>
      <c r="B594" s="15" t="n">
        <v>47.84</v>
      </c>
      <c r="C594" s="15" t="n">
        <v>50.84</v>
      </c>
      <c r="D594" s="14" t="n">
        <f aca="false">AVERAGE(B575:B594)</f>
        <v>48.6735</v>
      </c>
      <c r="E594" s="14" t="n">
        <f aca="false">(B594-D594)/D594*100</f>
        <v>-1.7124307888276</v>
      </c>
    </row>
    <row r="595" customFormat="false" ht="15" hidden="false" customHeight="false" outlineLevel="0" collapsed="false">
      <c r="A595" s="12" t="n">
        <v>42870</v>
      </c>
      <c r="B595" s="15" t="n">
        <v>48.85</v>
      </c>
      <c r="C595" s="15" t="n">
        <v>51.82</v>
      </c>
      <c r="D595" s="14" t="n">
        <f aca="false">AVERAGE(B576:B595)</f>
        <v>48.4835</v>
      </c>
      <c r="E595" s="14" t="n">
        <f aca="false">(B595-D595)/D595*100</f>
        <v>0.755927274227319</v>
      </c>
    </row>
    <row r="596" customFormat="false" ht="15" hidden="false" customHeight="false" outlineLevel="0" collapsed="false">
      <c r="A596" s="12" t="n">
        <v>42871</v>
      </c>
      <c r="B596" s="15" t="n">
        <v>48.66</v>
      </c>
      <c r="C596" s="15" t="n">
        <v>51.65</v>
      </c>
      <c r="D596" s="14" t="n">
        <f aca="false">AVERAGE(B577:B596)</f>
        <v>48.296</v>
      </c>
      <c r="E596" s="14" t="n">
        <f aca="false">(B596-D596)/D596*100</f>
        <v>0.753685605433156</v>
      </c>
    </row>
    <row r="597" customFormat="false" ht="15" hidden="false" customHeight="false" outlineLevel="0" collapsed="false">
      <c r="A597" s="12" t="n">
        <v>42872</v>
      </c>
      <c r="B597" s="15" t="n">
        <v>49.07</v>
      </c>
      <c r="C597" s="15" t="n">
        <v>52.21</v>
      </c>
      <c r="D597" s="14" t="n">
        <f aca="false">AVERAGE(B578:B597)</f>
        <v>48.2275</v>
      </c>
      <c r="E597" s="14" t="n">
        <f aca="false">(B597-D597)/D597*100</f>
        <v>1.74692861956353</v>
      </c>
    </row>
    <row r="598" customFormat="false" ht="15" hidden="false" customHeight="false" outlineLevel="0" collapsed="false">
      <c r="A598" s="12" t="n">
        <v>42873</v>
      </c>
      <c r="B598" s="15" t="n">
        <v>49.35</v>
      </c>
      <c r="C598" s="15" t="n">
        <v>52.51</v>
      </c>
      <c r="D598" s="14" t="n">
        <f aca="false">AVERAGE(B579:B598)</f>
        <v>48.1815</v>
      </c>
      <c r="E598" s="14" t="n">
        <f aca="false">(B598-D598)/D598*100</f>
        <v>2.42520469474799</v>
      </c>
    </row>
    <row r="599" customFormat="false" ht="15" hidden="false" customHeight="false" outlineLevel="0" collapsed="false">
      <c r="A599" s="12" t="n">
        <v>42874</v>
      </c>
      <c r="B599" s="15" t="n">
        <v>50.33</v>
      </c>
      <c r="C599" s="15" t="n">
        <v>53.61</v>
      </c>
      <c r="D599" s="14" t="n">
        <f aca="false">AVERAGE(B580:B599)</f>
        <v>48.217</v>
      </c>
      <c r="E599" s="14" t="n">
        <f aca="false">(B599-D599)/D599*100</f>
        <v>4.38227181284609</v>
      </c>
    </row>
    <row r="600" customFormat="false" ht="15" hidden="false" customHeight="false" outlineLevel="0" collapsed="false">
      <c r="A600" s="12" t="n">
        <v>42877</v>
      </c>
      <c r="B600" s="15" t="n">
        <v>50.73</v>
      </c>
      <c r="C600" s="15" t="n">
        <v>53.87</v>
      </c>
      <c r="D600" s="14" t="n">
        <f aca="false">AVERAGE(B581:B600)</f>
        <v>48.292</v>
      </c>
      <c r="E600" s="14" t="n">
        <f aca="false">(B600-D600)/D600*100</f>
        <v>5.04845523068002</v>
      </c>
    </row>
    <row r="601" customFormat="false" ht="15" hidden="false" customHeight="false" outlineLevel="0" collapsed="false">
      <c r="A601" s="12" t="n">
        <v>42878</v>
      </c>
      <c r="B601" s="15" t="n">
        <v>51.47</v>
      </c>
      <c r="C601" s="15" t="n">
        <v>54.15</v>
      </c>
      <c r="D601" s="14" t="n">
        <f aca="false">AVERAGE(B582:B601)</f>
        <v>48.3875</v>
      </c>
      <c r="E601" s="14" t="n">
        <f aca="false">(B601-D601)/D601*100</f>
        <v>6.37044691294238</v>
      </c>
    </row>
    <row r="602" customFormat="false" ht="15" hidden="false" customHeight="false" outlineLevel="0" collapsed="false">
      <c r="A602" s="12" t="n">
        <v>42879</v>
      </c>
      <c r="B602" s="15" t="n">
        <v>51.36</v>
      </c>
      <c r="C602" s="15" t="n">
        <v>53.96</v>
      </c>
      <c r="D602" s="14" t="n">
        <f aca="false">AVERAGE(B583:B602)</f>
        <v>48.4745</v>
      </c>
      <c r="E602" s="14" t="n">
        <f aca="false">(B602-D602)/D602*100</f>
        <v>5.95261426110636</v>
      </c>
    </row>
    <row r="603" customFormat="false" ht="15" hidden="false" customHeight="false" outlineLevel="0" collapsed="false">
      <c r="A603" s="12" t="n">
        <v>42880</v>
      </c>
      <c r="B603" s="15" t="n">
        <v>48.9</v>
      </c>
      <c r="C603" s="15" t="n">
        <v>51.46</v>
      </c>
      <c r="D603" s="14" t="n">
        <f aca="false">AVERAGE(B584:B603)</f>
        <v>48.471</v>
      </c>
      <c r="E603" s="14" t="n">
        <f aca="false">(B603-D603)/D603*100</f>
        <v>0.885065296775396</v>
      </c>
    </row>
    <row r="604" customFormat="false" ht="15" hidden="false" customHeight="false" outlineLevel="0" collapsed="false">
      <c r="A604" s="12" t="n">
        <v>42881</v>
      </c>
      <c r="B604" s="15" t="n">
        <v>49.8</v>
      </c>
      <c r="C604" s="15" t="n">
        <v>52.15</v>
      </c>
      <c r="D604" s="14" t="n">
        <f aca="false">AVERAGE(B585:B604)</f>
        <v>48.4945</v>
      </c>
      <c r="E604" s="14" t="n">
        <f aca="false">(B604-D604)/D604*100</f>
        <v>2.69205786223179</v>
      </c>
    </row>
    <row r="605" customFormat="false" ht="15" hidden="false" customHeight="false" outlineLevel="0" collapsed="false">
      <c r="A605" s="12" t="n">
        <v>42885</v>
      </c>
      <c r="B605" s="15" t="n">
        <v>49.66</v>
      </c>
      <c r="C605" s="15" t="n">
        <v>51.84</v>
      </c>
      <c r="D605" s="14" t="n">
        <f aca="false">AVERAGE(B586:B605)</f>
        <v>48.5355</v>
      </c>
      <c r="E605" s="14" t="n">
        <f aca="false">(B605-D605)/D605*100</f>
        <v>2.31686085442614</v>
      </c>
    </row>
    <row r="606" customFormat="false" ht="15" hidden="false" customHeight="false" outlineLevel="0" collapsed="false">
      <c r="A606" s="12" t="n">
        <v>42886</v>
      </c>
      <c r="B606" s="15" t="n">
        <v>48.32</v>
      </c>
      <c r="C606" s="15" t="n">
        <v>50.31</v>
      </c>
      <c r="D606" s="14" t="n">
        <f aca="false">AVERAGE(B587:B606)</f>
        <v>48.5685</v>
      </c>
      <c r="E606" s="14" t="n">
        <f aca="false">(B606-D606)/D606*100</f>
        <v>-0.511648496453463</v>
      </c>
    </row>
    <row r="607" customFormat="false" ht="15" hidden="false" customHeight="false" outlineLevel="0" collapsed="false">
      <c r="A607" s="12" t="n">
        <v>42887</v>
      </c>
      <c r="B607" s="15" t="n">
        <v>48.36</v>
      </c>
      <c r="C607" s="15" t="n">
        <v>50.33</v>
      </c>
      <c r="D607" s="14" t="n">
        <f aca="false">AVERAGE(B588:B607)</f>
        <v>48.5955</v>
      </c>
      <c r="E607" s="14" t="n">
        <f aca="false">(B607-D607)/D607*100</f>
        <v>-0.484612772787608</v>
      </c>
    </row>
    <row r="608" customFormat="false" ht="15" hidden="false" customHeight="false" outlineLevel="0" collapsed="false">
      <c r="A608" s="12" t="n">
        <v>42888</v>
      </c>
      <c r="B608" s="15" t="n">
        <v>47.66</v>
      </c>
      <c r="C608" s="15" t="n">
        <v>49.95</v>
      </c>
      <c r="D608" s="14" t="n">
        <f aca="false">AVERAGE(B589:B608)</f>
        <v>48.7025</v>
      </c>
      <c r="E608" s="14" t="n">
        <f aca="false">(B608-D608)/D608*100</f>
        <v>-2.14054719983575</v>
      </c>
    </row>
    <row r="609" customFormat="false" ht="15" hidden="false" customHeight="false" outlineLevel="0" collapsed="false">
      <c r="A609" s="12" t="n">
        <v>42891</v>
      </c>
      <c r="B609" s="15" t="n">
        <v>47.4</v>
      </c>
      <c r="C609" s="15" t="n">
        <v>49.47</v>
      </c>
      <c r="D609" s="14" t="n">
        <f aca="false">AVERAGE(B590:B609)</f>
        <v>48.7615</v>
      </c>
      <c r="E609" s="14" t="n">
        <f aca="false">(B609-D609)/D609*100</f>
        <v>-2.79216184899972</v>
      </c>
    </row>
    <row r="610" customFormat="false" ht="15" hidden="false" customHeight="false" outlineLevel="0" collapsed="false">
      <c r="A610" s="12" t="n">
        <v>42892</v>
      </c>
      <c r="B610" s="15" t="n">
        <v>48.19</v>
      </c>
      <c r="C610" s="15" t="n">
        <v>50.12</v>
      </c>
      <c r="D610" s="14" t="n">
        <f aca="false">AVERAGE(B591:B610)</f>
        <v>48.8495</v>
      </c>
      <c r="E610" s="14" t="n">
        <f aca="false">(B610-D610)/D610*100</f>
        <v>-1.35006499554755</v>
      </c>
    </row>
    <row r="611" customFormat="false" ht="15" hidden="false" customHeight="false" outlineLevel="0" collapsed="false">
      <c r="A611" s="12" t="n">
        <v>42893</v>
      </c>
      <c r="B611" s="15" t="n">
        <v>45.72</v>
      </c>
      <c r="C611" s="15" t="n">
        <v>48.06</v>
      </c>
      <c r="D611" s="14" t="n">
        <f aca="false">AVERAGE(B592:B611)</f>
        <v>48.8415</v>
      </c>
      <c r="E611" s="14" t="n">
        <f aca="false">(B611-D611)/D611*100</f>
        <v>-6.39108135499524</v>
      </c>
    </row>
    <row r="612" customFormat="false" ht="15" hidden="false" customHeight="false" outlineLevel="0" collapsed="false">
      <c r="A612" s="12" t="n">
        <v>42894</v>
      </c>
      <c r="B612" s="15" t="n">
        <v>45.64</v>
      </c>
      <c r="C612" s="15" t="n">
        <v>47.86</v>
      </c>
      <c r="D612" s="14" t="n">
        <f aca="false">AVERAGE(B593:B612)</f>
        <v>48.757</v>
      </c>
      <c r="E612" s="14" t="n">
        <f aca="false">(B612-D612)/D612*100</f>
        <v>-6.39292819492585</v>
      </c>
    </row>
    <row r="613" customFormat="false" ht="15" hidden="false" customHeight="false" outlineLevel="0" collapsed="false">
      <c r="A613" s="12" t="n">
        <v>42895</v>
      </c>
      <c r="B613" s="15" t="n">
        <v>45.83</v>
      </c>
      <c r="C613" s="15" t="n">
        <v>48.15</v>
      </c>
      <c r="D613" s="14" t="n">
        <f aca="false">AVERAGE(B594:B613)</f>
        <v>48.657</v>
      </c>
      <c r="E613" s="14" t="n">
        <f aca="false">(B613-D613)/D613*100</f>
        <v>-5.8100581622377</v>
      </c>
    </row>
    <row r="614" customFormat="false" ht="15" hidden="false" customHeight="false" outlineLevel="0" collapsed="false">
      <c r="A614" s="12" t="n">
        <v>42898</v>
      </c>
      <c r="B614" s="15" t="n">
        <v>46.08</v>
      </c>
      <c r="C614" s="15" t="n">
        <v>48.29</v>
      </c>
      <c r="D614" s="14" t="n">
        <f aca="false">AVERAGE(B595:B614)</f>
        <v>48.569</v>
      </c>
      <c r="E614" s="14" t="n">
        <f aca="false">(B614-D614)/D614*100</f>
        <v>-5.1246679981058</v>
      </c>
    </row>
    <row r="615" customFormat="false" ht="15" hidden="false" customHeight="false" outlineLevel="0" collapsed="false">
      <c r="A615" s="12" t="n">
        <v>42899</v>
      </c>
      <c r="B615" s="15" t="n">
        <v>46.46</v>
      </c>
      <c r="C615" s="15" t="n">
        <v>48.72</v>
      </c>
      <c r="D615" s="14" t="n">
        <f aca="false">AVERAGE(B596:B615)</f>
        <v>48.4495</v>
      </c>
      <c r="E615" s="14" t="n">
        <f aca="false">(B615-D615)/D615*100</f>
        <v>-4.10633752670306</v>
      </c>
    </row>
    <row r="616" customFormat="false" ht="15" hidden="false" customHeight="false" outlineLevel="0" collapsed="false">
      <c r="A616" s="12" t="n">
        <v>42900</v>
      </c>
      <c r="B616" s="15" t="n">
        <v>44.73</v>
      </c>
      <c r="C616" s="15" t="n">
        <v>47</v>
      </c>
      <c r="D616" s="14" t="n">
        <f aca="false">AVERAGE(B597:B616)</f>
        <v>48.253</v>
      </c>
      <c r="E616" s="14" t="n">
        <f aca="false">(B616-D616)/D616*100</f>
        <v>-7.30110044971298</v>
      </c>
    </row>
    <row r="617" customFormat="false" ht="15" hidden="false" customHeight="false" outlineLevel="0" collapsed="false">
      <c r="A617" s="12" t="n">
        <v>42901</v>
      </c>
      <c r="B617" s="15" t="n">
        <v>44.46</v>
      </c>
      <c r="C617" s="15" t="n">
        <v>46.92</v>
      </c>
      <c r="D617" s="14" t="n">
        <f aca="false">AVERAGE(B598:B617)</f>
        <v>48.0225</v>
      </c>
      <c r="E617" s="14" t="n">
        <f aca="false">(B617-D617)/D617*100</f>
        <v>-7.41839762611275</v>
      </c>
    </row>
    <row r="618" customFormat="false" ht="15" hidden="false" customHeight="false" outlineLevel="0" collapsed="false">
      <c r="A618" s="12" t="n">
        <v>42902</v>
      </c>
      <c r="B618" s="15" t="n">
        <v>44.74</v>
      </c>
      <c r="C618" s="15" t="n">
        <v>47.37</v>
      </c>
      <c r="D618" s="14" t="n">
        <f aca="false">AVERAGE(B599:B618)</f>
        <v>47.792</v>
      </c>
      <c r="E618" s="14" t="n">
        <f aca="false">(B618-D618)/D618*100</f>
        <v>-6.38600602611314</v>
      </c>
    </row>
    <row r="619" customFormat="false" ht="15" hidden="false" customHeight="false" outlineLevel="0" collapsed="false">
      <c r="A619" s="12" t="n">
        <v>42905</v>
      </c>
      <c r="B619" s="15" t="n">
        <v>44.2</v>
      </c>
      <c r="C619" s="15" t="n">
        <v>46.91</v>
      </c>
      <c r="D619" s="14" t="n">
        <f aca="false">AVERAGE(B600:B619)</f>
        <v>47.4855</v>
      </c>
      <c r="E619" s="14" t="n">
        <f aca="false">(B619-D619)/D619*100</f>
        <v>-6.91895420707374</v>
      </c>
    </row>
    <row r="620" customFormat="false" ht="15" hidden="false" customHeight="false" outlineLevel="0" collapsed="false">
      <c r="A620" s="12" t="n">
        <v>42906</v>
      </c>
      <c r="B620" s="15" t="n">
        <v>43.23</v>
      </c>
      <c r="C620" s="15" t="n">
        <v>46.02</v>
      </c>
      <c r="D620" s="14" t="n">
        <f aca="false">AVERAGE(B601:B620)</f>
        <v>47.1105</v>
      </c>
      <c r="E620" s="14" t="n">
        <f aca="false">(B620-D620)/D620*100</f>
        <v>-8.2370172254593</v>
      </c>
    </row>
    <row r="621" customFormat="false" ht="15" hidden="false" customHeight="false" outlineLevel="0" collapsed="false">
      <c r="A621" s="12" t="n">
        <v>42907</v>
      </c>
      <c r="B621" s="15" t="n">
        <v>42.53</v>
      </c>
      <c r="C621" s="15" t="n">
        <v>44.82</v>
      </c>
      <c r="D621" s="14" t="n">
        <f aca="false">AVERAGE(B602:B621)</f>
        <v>46.6635</v>
      </c>
      <c r="E621" s="14" t="n">
        <f aca="false">(B621-D621)/D621*100</f>
        <v>-8.85810108543079</v>
      </c>
    </row>
    <row r="622" customFormat="false" ht="15" hidden="false" customHeight="false" outlineLevel="0" collapsed="false">
      <c r="A622" s="12" t="n">
        <v>42908</v>
      </c>
      <c r="B622" s="15" t="n">
        <v>42.74</v>
      </c>
      <c r="C622" s="15" t="n">
        <v>45.22</v>
      </c>
      <c r="D622" s="14" t="n">
        <f aca="false">AVERAGE(B603:B622)</f>
        <v>46.2325</v>
      </c>
      <c r="E622" s="14" t="n">
        <f aca="false">(B622-D622)/D622*100</f>
        <v>-7.55420970096793</v>
      </c>
    </row>
    <row r="623" customFormat="false" ht="15" hidden="false" customHeight="false" outlineLevel="0" collapsed="false">
      <c r="A623" s="12" t="n">
        <v>42909</v>
      </c>
      <c r="B623" s="15" t="n">
        <v>43.01</v>
      </c>
      <c r="C623" s="15" t="n">
        <v>45.54</v>
      </c>
      <c r="D623" s="14" t="n">
        <f aca="false">AVERAGE(B604:B623)</f>
        <v>45.938</v>
      </c>
      <c r="E623" s="14" t="n">
        <f aca="false">(B623-D623)/D623*100</f>
        <v>-6.37380817623755</v>
      </c>
    </row>
    <row r="624" customFormat="false" ht="15" hidden="false" customHeight="false" outlineLevel="0" collapsed="false">
      <c r="A624" s="12" t="n">
        <v>42912</v>
      </c>
      <c r="B624" s="15" t="n">
        <v>43.38</v>
      </c>
      <c r="C624" s="15" t="n">
        <v>45.83</v>
      </c>
      <c r="D624" s="14" t="n">
        <f aca="false">AVERAGE(B605:B624)</f>
        <v>45.617</v>
      </c>
      <c r="E624" s="14" t="n">
        <f aca="false">(B624-D624)/D624*100</f>
        <v>-4.90387355591118</v>
      </c>
    </row>
    <row r="625" customFormat="false" ht="15" hidden="false" customHeight="false" outlineLevel="0" collapsed="false">
      <c r="A625" s="12" t="n">
        <v>42913</v>
      </c>
      <c r="B625" s="15" t="n">
        <v>44.24</v>
      </c>
      <c r="C625" s="15" t="n">
        <v>46.65</v>
      </c>
      <c r="D625" s="14" t="n">
        <f aca="false">AVERAGE(B606:B625)</f>
        <v>45.346</v>
      </c>
      <c r="E625" s="14" t="n">
        <f aca="false">(B625-D625)/D625*100</f>
        <v>-2.43902439024389</v>
      </c>
    </row>
    <row r="626" customFormat="false" ht="15" hidden="false" customHeight="false" outlineLevel="0" collapsed="false">
      <c r="A626" s="12" t="n">
        <v>42914</v>
      </c>
      <c r="B626" s="15" t="n">
        <v>44.74</v>
      </c>
      <c r="C626" s="15" t="n">
        <v>47.31</v>
      </c>
      <c r="D626" s="14" t="n">
        <f aca="false">AVERAGE(B607:B626)</f>
        <v>45.167</v>
      </c>
      <c r="E626" s="14" t="n">
        <f aca="false">(B626-D626)/D626*100</f>
        <v>-0.945380476896849</v>
      </c>
    </row>
    <row r="627" customFormat="false" ht="15" hidden="false" customHeight="false" outlineLevel="0" collapsed="false">
      <c r="A627" s="12" t="n">
        <v>42915</v>
      </c>
      <c r="B627" s="15" t="n">
        <v>44.93</v>
      </c>
      <c r="C627" s="15" t="n">
        <v>47.42</v>
      </c>
      <c r="D627" s="14" t="n">
        <f aca="false">AVERAGE(B608:B627)</f>
        <v>44.9955</v>
      </c>
      <c r="E627" s="14" t="n">
        <f aca="false">(B627-D627)/D627*100</f>
        <v>-0.145570112566813</v>
      </c>
    </row>
    <row r="628" customFormat="false" ht="15" hidden="false" customHeight="false" outlineLevel="0" collapsed="false">
      <c r="A628" s="12" t="n">
        <v>42916</v>
      </c>
      <c r="B628" s="15" t="n">
        <v>46.04</v>
      </c>
      <c r="C628" s="15" t="n">
        <v>47.92</v>
      </c>
      <c r="D628" s="14" t="n">
        <f aca="false">AVERAGE(B609:B628)</f>
        <v>44.9145</v>
      </c>
      <c r="E628" s="14" t="n">
        <f aca="false">(B628-D628)/D628*100</f>
        <v>2.50587226842112</v>
      </c>
    </row>
    <row r="629" customFormat="false" ht="15" hidden="false" customHeight="false" outlineLevel="0" collapsed="false">
      <c r="A629" s="12" t="n">
        <v>42919</v>
      </c>
      <c r="B629" s="15" t="n">
        <v>47.07</v>
      </c>
      <c r="C629" s="15" t="n">
        <v>49.68</v>
      </c>
      <c r="D629" s="14" t="n">
        <f aca="false">AVERAGE(B610:B629)</f>
        <v>44.898</v>
      </c>
      <c r="E629" s="14" t="n">
        <f aca="false">(B629-D629)/D629*100</f>
        <v>4.83763196578912</v>
      </c>
    </row>
    <row r="630" customFormat="false" ht="15" hidden="false" customHeight="false" outlineLevel="0" collapsed="false">
      <c r="A630" s="12" t="n">
        <v>42921</v>
      </c>
      <c r="B630" s="15" t="n">
        <v>45.13</v>
      </c>
      <c r="C630" s="15" t="n">
        <v>47.79</v>
      </c>
      <c r="D630" s="14" t="n">
        <f aca="false">AVERAGE(B611:B630)</f>
        <v>44.745</v>
      </c>
      <c r="E630" s="14" t="n">
        <f aca="false">(B630-D630)/D630*100</f>
        <v>0.860431333109856</v>
      </c>
    </row>
    <row r="631" customFormat="false" ht="15" hidden="false" customHeight="false" outlineLevel="0" collapsed="false">
      <c r="A631" s="12" t="n">
        <v>42922</v>
      </c>
      <c r="B631" s="15" t="n">
        <v>45.52</v>
      </c>
      <c r="C631" s="15" t="n">
        <v>48.11</v>
      </c>
      <c r="D631" s="14" t="n">
        <f aca="false">AVERAGE(B612:B631)</f>
        <v>44.735</v>
      </c>
      <c r="E631" s="14" t="n">
        <f aca="false">(B631-D631)/D631*100</f>
        <v>1.75477813792333</v>
      </c>
    </row>
    <row r="632" customFormat="false" ht="15" hidden="false" customHeight="false" outlineLevel="0" collapsed="false">
      <c r="A632" s="12" t="n">
        <v>42923</v>
      </c>
      <c r="B632" s="15" t="n">
        <v>44.23</v>
      </c>
      <c r="C632" s="15" t="n">
        <v>46.71</v>
      </c>
      <c r="D632" s="14" t="n">
        <f aca="false">AVERAGE(B613:B632)</f>
        <v>44.6645</v>
      </c>
      <c r="E632" s="14" t="n">
        <f aca="false">(B632-D632)/D632*100</f>
        <v>-0.972808382496166</v>
      </c>
    </row>
    <row r="633" customFormat="false" ht="15" hidden="false" customHeight="false" outlineLevel="0" collapsed="false">
      <c r="A633" s="12" t="n">
        <v>42926</v>
      </c>
      <c r="B633" s="15" t="n">
        <v>44.4</v>
      </c>
      <c r="C633" s="15" t="n">
        <v>46.88</v>
      </c>
      <c r="D633" s="14" t="n">
        <f aca="false">AVERAGE(B614:B633)</f>
        <v>44.593</v>
      </c>
      <c r="E633" s="14" t="n">
        <f aca="false">(B633-D633)/D633*100</f>
        <v>-0.432803354786637</v>
      </c>
    </row>
    <row r="634" customFormat="false" ht="15" hidden="false" customHeight="false" outlineLevel="0" collapsed="false">
      <c r="A634" s="12" t="n">
        <v>42927</v>
      </c>
      <c r="B634" s="15" t="n">
        <v>45.04</v>
      </c>
      <c r="C634" s="15" t="n">
        <v>47.52</v>
      </c>
      <c r="D634" s="14" t="n">
        <f aca="false">AVERAGE(B615:B634)</f>
        <v>44.541</v>
      </c>
      <c r="E634" s="14" t="n">
        <f aca="false">(B634-D634)/D634*100</f>
        <v>1.12031611324397</v>
      </c>
    </row>
    <row r="635" customFormat="false" ht="15" hidden="false" customHeight="false" outlineLevel="0" collapsed="false">
      <c r="A635" s="12" t="n">
        <v>42928</v>
      </c>
      <c r="B635" s="15" t="n">
        <v>45.49</v>
      </c>
      <c r="C635" s="15" t="n">
        <v>47.74</v>
      </c>
      <c r="D635" s="14" t="n">
        <f aca="false">AVERAGE(B616:B635)</f>
        <v>44.4925</v>
      </c>
      <c r="E635" s="14" t="n">
        <f aca="false">(B635-D635)/D635*100</f>
        <v>2.24195089059954</v>
      </c>
    </row>
    <row r="636" customFormat="false" ht="15" hidden="false" customHeight="false" outlineLevel="0" collapsed="false">
      <c r="A636" s="12" t="n">
        <v>42929</v>
      </c>
      <c r="B636" s="15" t="n">
        <v>46.08</v>
      </c>
      <c r="C636" s="15" t="n">
        <v>48.42</v>
      </c>
      <c r="D636" s="14" t="n">
        <f aca="false">AVERAGE(B617:B636)</f>
        <v>44.56</v>
      </c>
      <c r="E636" s="14" t="n">
        <f aca="false">(B636-D636)/D636*100</f>
        <v>3.41113105924595</v>
      </c>
    </row>
    <row r="637" customFormat="false" ht="15" hidden="false" customHeight="false" outlineLevel="0" collapsed="false">
      <c r="A637" s="12" t="n">
        <v>42930</v>
      </c>
      <c r="B637" s="15" t="n">
        <v>46.54</v>
      </c>
      <c r="C637" s="15" t="n">
        <v>48.91</v>
      </c>
      <c r="D637" s="14" t="n">
        <f aca="false">AVERAGE(B618:B637)</f>
        <v>44.664</v>
      </c>
      <c r="E637" s="14" t="n">
        <f aca="false">(B637-D637)/D637*100</f>
        <v>4.20025076123947</v>
      </c>
    </row>
    <row r="638" customFormat="false" ht="15" hidden="false" customHeight="false" outlineLevel="0" collapsed="false">
      <c r="A638" s="12" t="n">
        <v>42933</v>
      </c>
      <c r="B638" s="15" t="n">
        <v>46.02</v>
      </c>
      <c r="C638" s="15" t="n">
        <v>48.42</v>
      </c>
      <c r="D638" s="14" t="n">
        <f aca="false">AVERAGE(B619:B638)</f>
        <v>44.728</v>
      </c>
      <c r="E638" s="14" t="n">
        <f aca="false">(B638-D638)/D638*100</f>
        <v>2.88857091754606</v>
      </c>
    </row>
    <row r="639" customFormat="false" ht="15" hidden="false" customHeight="false" outlineLevel="0" collapsed="false">
      <c r="A639" s="12" t="n">
        <v>42934</v>
      </c>
      <c r="B639" s="15" t="n">
        <v>46.4</v>
      </c>
      <c r="C639" s="15" t="n">
        <v>48.84</v>
      </c>
      <c r="D639" s="14" t="n">
        <f aca="false">AVERAGE(B620:B639)</f>
        <v>44.838</v>
      </c>
      <c r="E639" s="14" t="n">
        <f aca="false">(B639-D639)/D639*100</f>
        <v>3.48365225924439</v>
      </c>
    </row>
    <row r="640" customFormat="false" ht="15" hidden="false" customHeight="false" outlineLevel="0" collapsed="false">
      <c r="A640" s="12" t="n">
        <v>42935</v>
      </c>
      <c r="B640" s="15" t="n">
        <v>47.12</v>
      </c>
      <c r="C640" s="15" t="n">
        <v>49.7</v>
      </c>
      <c r="D640" s="14" t="n">
        <f aca="false">AVERAGE(B621:B640)</f>
        <v>45.0325</v>
      </c>
      <c r="E640" s="14" t="n">
        <f aca="false">(B640-D640)/D640*100</f>
        <v>4.63554099816799</v>
      </c>
    </row>
    <row r="641" customFormat="false" ht="15" hidden="false" customHeight="false" outlineLevel="0" collapsed="false">
      <c r="A641" s="12" t="n">
        <v>42936</v>
      </c>
      <c r="B641" s="15" t="n">
        <v>46.79</v>
      </c>
      <c r="C641" s="15" t="n">
        <v>49.3</v>
      </c>
      <c r="D641" s="14" t="n">
        <f aca="false">AVERAGE(B622:B641)</f>
        <v>45.2455</v>
      </c>
      <c r="E641" s="14" t="n">
        <f aca="false">(B641-D641)/D641*100</f>
        <v>3.41359914245615</v>
      </c>
    </row>
    <row r="642" customFormat="false" ht="15" hidden="false" customHeight="false" outlineLevel="0" collapsed="false">
      <c r="A642" s="12" t="n">
        <v>42937</v>
      </c>
      <c r="B642" s="15" t="n">
        <v>45.77</v>
      </c>
      <c r="C642" s="15" t="n">
        <v>48.06</v>
      </c>
      <c r="D642" s="14" t="n">
        <f aca="false">AVERAGE(B623:B642)</f>
        <v>45.397</v>
      </c>
      <c r="E642" s="14" t="n">
        <f aca="false">(B642-D642)/D642*100</f>
        <v>0.821640196488749</v>
      </c>
    </row>
    <row r="643" customFormat="false" ht="15" hidden="false" customHeight="false" outlineLevel="0" collapsed="false">
      <c r="A643" s="12" t="n">
        <v>42940</v>
      </c>
      <c r="B643" s="15" t="n">
        <v>46.34</v>
      </c>
      <c r="C643" s="15" t="n">
        <v>48.6</v>
      </c>
      <c r="D643" s="14" t="n">
        <f aca="false">AVERAGE(B624:B643)</f>
        <v>45.5635</v>
      </c>
      <c r="E643" s="14" t="n">
        <f aca="false">(B643-D643)/D643*100</f>
        <v>1.70421499665304</v>
      </c>
    </row>
    <row r="644" customFormat="false" ht="15" hidden="false" customHeight="false" outlineLevel="0" collapsed="false">
      <c r="A644" s="12" t="n">
        <v>42941</v>
      </c>
      <c r="B644" s="15" t="n">
        <v>47.89</v>
      </c>
      <c r="C644" s="15" t="n">
        <v>50.2</v>
      </c>
      <c r="D644" s="14" t="n">
        <f aca="false">AVERAGE(B625:B644)</f>
        <v>45.789</v>
      </c>
      <c r="E644" s="14" t="n">
        <f aca="false">(B644-D644)/D644*100</f>
        <v>4.58843827120051</v>
      </c>
    </row>
    <row r="645" customFormat="false" ht="15" hidden="false" customHeight="false" outlineLevel="0" collapsed="false">
      <c r="A645" s="12" t="n">
        <v>42942</v>
      </c>
      <c r="B645" s="15" t="n">
        <v>48.75</v>
      </c>
      <c r="C645" s="15" t="n">
        <v>50.97</v>
      </c>
      <c r="D645" s="14" t="n">
        <f aca="false">AVERAGE(B626:B645)</f>
        <v>46.0145</v>
      </c>
      <c r="E645" s="14" t="n">
        <f aca="false">(B645-D645)/D645*100</f>
        <v>5.94486520553304</v>
      </c>
    </row>
    <row r="646" customFormat="false" ht="15" hidden="false" customHeight="false" outlineLevel="0" collapsed="false">
      <c r="A646" s="12" t="n">
        <v>42943</v>
      </c>
      <c r="B646" s="15" t="n">
        <v>49.04</v>
      </c>
      <c r="C646" s="15" t="n">
        <v>51.49</v>
      </c>
      <c r="D646" s="14" t="n">
        <f aca="false">AVERAGE(B627:B646)</f>
        <v>46.2295</v>
      </c>
      <c r="E646" s="14" t="n">
        <f aca="false">(B646-D646)/D646*100</f>
        <v>6.07945143252684</v>
      </c>
    </row>
    <row r="647" customFormat="false" ht="15" hidden="false" customHeight="false" outlineLevel="0" collapsed="false">
      <c r="A647" s="12" t="n">
        <v>42944</v>
      </c>
      <c r="B647" s="15" t="n">
        <v>49.71</v>
      </c>
      <c r="C647" s="15" t="n">
        <v>52.52</v>
      </c>
      <c r="D647" s="14" t="n">
        <f aca="false">AVERAGE(B628:B647)</f>
        <v>46.4685</v>
      </c>
      <c r="E647" s="14" t="n">
        <f aca="false">(B647-D647)/D647*100</f>
        <v>6.9756932115304</v>
      </c>
    </row>
    <row r="648" customFormat="false" ht="15" hidden="false" customHeight="false" outlineLevel="0" collapsed="false">
      <c r="A648" s="12" t="n">
        <v>42947</v>
      </c>
      <c r="B648" s="15" t="n">
        <v>50.17</v>
      </c>
      <c r="C648" s="15" t="n">
        <v>52.65</v>
      </c>
      <c r="D648" s="14" t="n">
        <f aca="false">AVERAGE(B629:B648)</f>
        <v>46.675</v>
      </c>
      <c r="E648" s="14" t="n">
        <f aca="false">(B648-D648)/D648*100</f>
        <v>7.48794858061062</v>
      </c>
    </row>
    <row r="649" customFormat="false" ht="15" hidden="false" customHeight="false" outlineLevel="0" collapsed="false">
      <c r="A649" s="12" t="n">
        <v>42948</v>
      </c>
      <c r="B649" s="15" t="n">
        <v>49.16</v>
      </c>
      <c r="C649" s="15" t="n">
        <v>52.63</v>
      </c>
      <c r="D649" s="14" t="n">
        <f aca="false">AVERAGE(B630:B649)</f>
        <v>46.7795</v>
      </c>
      <c r="E649" s="14" t="n">
        <f aca="false">(B649-D649)/D649*100</f>
        <v>5.08876751568529</v>
      </c>
    </row>
    <row r="650" customFormat="false" ht="15" hidden="false" customHeight="false" outlineLevel="0" collapsed="false">
      <c r="A650" s="12" t="n">
        <v>42949</v>
      </c>
      <c r="B650" s="15" t="n">
        <v>49.59</v>
      </c>
      <c r="C650" s="15" t="n">
        <v>52.36</v>
      </c>
      <c r="D650" s="14" t="n">
        <f aca="false">AVERAGE(B631:B650)</f>
        <v>47.0025</v>
      </c>
      <c r="E650" s="14" t="n">
        <f aca="false">(B650-D650)/D650*100</f>
        <v>5.5050263283868</v>
      </c>
    </row>
    <row r="651" customFormat="false" ht="15" hidden="false" customHeight="false" outlineLevel="0" collapsed="false">
      <c r="A651" s="12" t="n">
        <v>42950</v>
      </c>
      <c r="B651" s="15" t="n">
        <v>49.03</v>
      </c>
      <c r="C651" s="15" t="n">
        <v>52.01</v>
      </c>
      <c r="D651" s="14" t="n">
        <f aca="false">AVERAGE(B632:B651)</f>
        <v>47.178</v>
      </c>
      <c r="E651" s="14" t="n">
        <f aca="false">(B651-D651)/D651*100</f>
        <v>3.92555852304041</v>
      </c>
    </row>
    <row r="652" customFormat="false" ht="15" hidden="false" customHeight="false" outlineLevel="0" collapsed="false">
      <c r="A652" s="12" t="n">
        <v>42951</v>
      </c>
      <c r="B652" s="15" t="n">
        <v>49.58</v>
      </c>
      <c r="C652" s="15" t="n">
        <v>52.42</v>
      </c>
      <c r="D652" s="14" t="n">
        <f aca="false">AVERAGE(B633:B652)</f>
        <v>47.4455</v>
      </c>
      <c r="E652" s="14" t="n">
        <f aca="false">(B652-D652)/D652*100</f>
        <v>4.49884604440886</v>
      </c>
    </row>
    <row r="653" customFormat="false" ht="15" hidden="false" customHeight="false" outlineLevel="0" collapsed="false">
      <c r="A653" s="12" t="n">
        <v>42954</v>
      </c>
      <c r="B653" s="15" t="n">
        <v>49.39</v>
      </c>
      <c r="C653" s="15" t="n">
        <v>52.37</v>
      </c>
      <c r="D653" s="14" t="n">
        <f aca="false">AVERAGE(B634:B653)</f>
        <v>47.695</v>
      </c>
      <c r="E653" s="14" t="n">
        <f aca="false">(B653-D653)/D653*100</f>
        <v>3.55383163853654</v>
      </c>
    </row>
    <row r="654" customFormat="false" ht="15" hidden="false" customHeight="false" outlineLevel="0" collapsed="false">
      <c r="A654" s="12" t="n">
        <v>42955</v>
      </c>
      <c r="B654" s="15" t="n">
        <v>49.17</v>
      </c>
      <c r="C654" s="15" t="n">
        <v>52.14</v>
      </c>
      <c r="D654" s="14" t="n">
        <f aca="false">AVERAGE(B635:B654)</f>
        <v>47.9015</v>
      </c>
      <c r="E654" s="14" t="n">
        <f aca="false">(B654-D654)/D654*100</f>
        <v>2.64814254250911</v>
      </c>
    </row>
    <row r="655" customFormat="false" ht="15" hidden="false" customHeight="false" outlineLevel="0" collapsed="false">
      <c r="A655" s="12" t="n">
        <v>42956</v>
      </c>
      <c r="B655" s="15" t="n">
        <v>49.56</v>
      </c>
      <c r="C655" s="15" t="n">
        <v>52.7</v>
      </c>
      <c r="D655" s="14" t="n">
        <f aca="false">AVERAGE(B636:B655)</f>
        <v>48.105</v>
      </c>
      <c r="E655" s="14" t="n">
        <f aca="false">(B655-D655)/D655*100</f>
        <v>3.02463361396944</v>
      </c>
    </row>
    <row r="656" customFormat="false" ht="15" hidden="false" customHeight="false" outlineLevel="0" collapsed="false">
      <c r="A656" s="12" t="n">
        <v>42957</v>
      </c>
      <c r="B656" s="15" t="n">
        <v>48.59</v>
      </c>
      <c r="C656" s="15" t="n">
        <v>51.9</v>
      </c>
      <c r="D656" s="14" t="n">
        <f aca="false">AVERAGE(B637:B656)</f>
        <v>48.2305</v>
      </c>
      <c r="E656" s="14" t="n">
        <f aca="false">(B656-D656)/D656*100</f>
        <v>0.745378961445567</v>
      </c>
    </row>
    <row r="657" customFormat="false" ht="15" hidden="false" customHeight="false" outlineLevel="0" collapsed="false">
      <c r="A657" s="12" t="n">
        <v>42958</v>
      </c>
      <c r="B657" s="15" t="n">
        <v>48.82</v>
      </c>
      <c r="C657" s="15" t="n">
        <v>52.1</v>
      </c>
      <c r="D657" s="14" t="n">
        <f aca="false">AVERAGE(B638:B657)</f>
        <v>48.3445</v>
      </c>
      <c r="E657" s="14" t="n">
        <f aca="false">(B657-D657)/D657*100</f>
        <v>0.983565865817216</v>
      </c>
    </row>
    <row r="658" customFormat="false" ht="15" hidden="false" customHeight="false" outlineLevel="0" collapsed="false">
      <c r="A658" s="12" t="n">
        <v>42961</v>
      </c>
      <c r="B658" s="15" t="n">
        <v>47.59</v>
      </c>
      <c r="C658" s="15" t="n">
        <v>50.73</v>
      </c>
      <c r="D658" s="14" t="n">
        <f aca="false">AVERAGE(B639:B658)</f>
        <v>48.423</v>
      </c>
      <c r="E658" s="14" t="n">
        <f aca="false">(B658-D658)/D658*100</f>
        <v>-1.72025690271152</v>
      </c>
    </row>
    <row r="659" customFormat="false" ht="15" hidden="false" customHeight="false" outlineLevel="0" collapsed="false">
      <c r="A659" s="12" t="n">
        <v>42962</v>
      </c>
      <c r="B659" s="15" t="n">
        <v>47.55</v>
      </c>
      <c r="C659" s="15" t="n">
        <v>50.8</v>
      </c>
      <c r="D659" s="14" t="n">
        <f aca="false">AVERAGE(B640:B659)</f>
        <v>48.4805</v>
      </c>
      <c r="E659" s="14" t="n">
        <f aca="false">(B659-D659)/D659*100</f>
        <v>-1.91932838976496</v>
      </c>
    </row>
    <row r="660" customFormat="false" ht="15" hidden="false" customHeight="false" outlineLevel="0" collapsed="false">
      <c r="A660" s="12" t="n">
        <v>42963</v>
      </c>
      <c r="B660" s="15" t="n">
        <v>46.78</v>
      </c>
      <c r="C660" s="15" t="n">
        <v>50.27</v>
      </c>
      <c r="D660" s="14" t="n">
        <f aca="false">AVERAGE(B641:B660)</f>
        <v>48.4635</v>
      </c>
      <c r="E660" s="14" t="n">
        <f aca="false">(B660-D660)/D660*100</f>
        <v>-3.47374828479164</v>
      </c>
    </row>
    <row r="661" customFormat="false" ht="15" hidden="false" customHeight="false" outlineLevel="0" collapsed="false">
      <c r="A661" s="12" t="n">
        <v>42964</v>
      </c>
      <c r="B661" s="15" t="n">
        <v>47.09</v>
      </c>
      <c r="C661" s="15" t="n">
        <v>51.03</v>
      </c>
      <c r="D661" s="14" t="n">
        <f aca="false">AVERAGE(B642:B661)</f>
        <v>48.4785</v>
      </c>
      <c r="E661" s="14" t="n">
        <f aca="false">(B661-D661)/D661*100</f>
        <v>-2.86415627546232</v>
      </c>
    </row>
    <row r="662" customFormat="false" ht="15" hidden="false" customHeight="false" outlineLevel="0" collapsed="false">
      <c r="A662" s="12" t="n">
        <v>42965</v>
      </c>
      <c r="B662" s="15" t="n">
        <v>48.51</v>
      </c>
      <c r="C662" s="15" t="n">
        <v>52.72</v>
      </c>
      <c r="D662" s="14" t="n">
        <f aca="false">AVERAGE(B643:B662)</f>
        <v>48.6155</v>
      </c>
      <c r="E662" s="14" t="n">
        <f aca="false">(B662-D662)/D662*100</f>
        <v>-0.217008978617944</v>
      </c>
    </row>
    <row r="663" customFormat="false" ht="15" hidden="false" customHeight="false" outlineLevel="0" collapsed="false">
      <c r="A663" s="12" t="n">
        <v>42968</v>
      </c>
      <c r="B663" s="15" t="n">
        <v>47.37</v>
      </c>
      <c r="C663" s="15" t="n">
        <v>51.66</v>
      </c>
      <c r="D663" s="14" t="n">
        <f aca="false">AVERAGE(B644:B663)</f>
        <v>48.667</v>
      </c>
      <c r="E663" s="14" t="n">
        <f aca="false">(B663-D663)/D663*100</f>
        <v>-2.66505023938193</v>
      </c>
    </row>
    <row r="664" customFormat="false" ht="15" hidden="false" customHeight="false" outlineLevel="0" collapsed="false">
      <c r="A664" s="12" t="n">
        <v>42969</v>
      </c>
      <c r="B664" s="15" t="n">
        <v>47.64</v>
      </c>
      <c r="C664" s="15" t="n">
        <v>51.87</v>
      </c>
      <c r="D664" s="14" t="n">
        <f aca="false">AVERAGE(B645:B664)</f>
        <v>48.6545</v>
      </c>
      <c r="E664" s="14" t="n">
        <f aca="false">(B664-D664)/D664*100</f>
        <v>-2.08511031867556</v>
      </c>
    </row>
    <row r="665" customFormat="false" ht="15" hidden="false" customHeight="false" outlineLevel="0" collapsed="false">
      <c r="A665" s="12" t="n">
        <v>42970</v>
      </c>
      <c r="B665" s="15" t="n">
        <v>48.41</v>
      </c>
      <c r="C665" s="15" t="n">
        <v>52.57</v>
      </c>
      <c r="D665" s="14" t="n">
        <f aca="false">AVERAGE(B646:B665)</f>
        <v>48.6375</v>
      </c>
      <c r="E665" s="14" t="n">
        <f aca="false">(B665-D665)/D665*100</f>
        <v>-0.467746080699062</v>
      </c>
    </row>
    <row r="666" customFormat="false" ht="15" hidden="false" customHeight="false" outlineLevel="0" collapsed="false">
      <c r="A666" s="12" t="n">
        <v>42971</v>
      </c>
      <c r="B666" s="15" t="n">
        <v>47.43</v>
      </c>
      <c r="C666" s="15" t="n">
        <v>52.04</v>
      </c>
      <c r="D666" s="14" t="n">
        <f aca="false">AVERAGE(B647:B666)</f>
        <v>48.557</v>
      </c>
      <c r="E666" s="14" t="n">
        <f aca="false">(B666-D666)/D666*100</f>
        <v>-2.32098358630064</v>
      </c>
    </row>
    <row r="667" customFormat="false" ht="15" hidden="false" customHeight="false" outlineLevel="0" collapsed="false">
      <c r="A667" s="12" t="n">
        <v>42972</v>
      </c>
      <c r="B667" s="15" t="n">
        <v>47.87</v>
      </c>
      <c r="C667" s="15" t="n">
        <v>52.41</v>
      </c>
      <c r="D667" s="14" t="n">
        <f aca="false">AVERAGE(B648:B667)</f>
        <v>48.465</v>
      </c>
      <c r="E667" s="14" t="n">
        <f aca="false">(B667-D667)/D667*100</f>
        <v>-1.2276900856288</v>
      </c>
    </row>
    <row r="668" customFormat="false" ht="15" hidden="false" customHeight="false" outlineLevel="0" collapsed="false">
      <c r="A668" s="12" t="n">
        <v>42975</v>
      </c>
      <c r="B668" s="15" t="n">
        <v>46.57</v>
      </c>
      <c r="C668" s="15" t="n">
        <v>51.89</v>
      </c>
      <c r="D668" s="14" t="n">
        <f aca="false">AVERAGE(B649:B668)</f>
        <v>48.285</v>
      </c>
      <c r="E668" s="14" t="n">
        <f aca="false">(B668-D668)/D668*100</f>
        <v>-3.55182768975873</v>
      </c>
    </row>
    <row r="669" customFormat="false" ht="15" hidden="false" customHeight="false" outlineLevel="0" collapsed="false">
      <c r="A669" s="12" t="n">
        <v>42976</v>
      </c>
      <c r="B669" s="15" t="n">
        <v>46.44</v>
      </c>
      <c r="C669" s="15" t="n">
        <v>52</v>
      </c>
      <c r="D669" s="14" t="n">
        <f aca="false">AVERAGE(B650:B669)</f>
        <v>48.149</v>
      </c>
      <c r="E669" s="14" t="n">
        <f aca="false">(B669-D669)/D669*100</f>
        <v>-3.54939874140689</v>
      </c>
    </row>
    <row r="670" customFormat="false" ht="15" hidden="false" customHeight="false" outlineLevel="0" collapsed="false">
      <c r="A670" s="12" t="n">
        <v>42977</v>
      </c>
      <c r="B670" s="15" t="n">
        <v>45.96</v>
      </c>
      <c r="C670" s="15" t="n">
        <v>50.86</v>
      </c>
      <c r="D670" s="14" t="n">
        <f aca="false">AVERAGE(B651:B670)</f>
        <v>47.9675</v>
      </c>
      <c r="E670" s="14" t="n">
        <f aca="false">(B670-D670)/D670*100</f>
        <v>-4.18512534528587</v>
      </c>
    </row>
    <row r="671" customFormat="false" ht="15" hidden="false" customHeight="false" outlineLevel="0" collapsed="false">
      <c r="A671" s="12" t="n">
        <v>42978</v>
      </c>
      <c r="B671" s="15" t="n">
        <v>47.23</v>
      </c>
      <c r="C671" s="15" t="n">
        <v>52.38</v>
      </c>
      <c r="D671" s="14" t="n">
        <f aca="false">AVERAGE(B652:B671)</f>
        <v>47.8775</v>
      </c>
      <c r="E671" s="14" t="n">
        <f aca="false">(B671-D671)/D671*100</f>
        <v>-1.35240979583312</v>
      </c>
    </row>
    <row r="672" customFormat="false" ht="15" hidden="false" customHeight="false" outlineLevel="0" collapsed="false">
      <c r="A672" s="12" t="n">
        <v>42979</v>
      </c>
      <c r="B672" s="15" t="n">
        <v>47.29</v>
      </c>
      <c r="C672" s="15" t="n">
        <v>52.32</v>
      </c>
      <c r="D672" s="14" t="n">
        <f aca="false">AVERAGE(B653:B672)</f>
        <v>47.763</v>
      </c>
      <c r="E672" s="14" t="n">
        <f aca="false">(B672-D672)/D672*100</f>
        <v>-0.990306304042876</v>
      </c>
    </row>
    <row r="673" customFormat="false" ht="15" hidden="false" customHeight="false" outlineLevel="0" collapsed="false">
      <c r="A673" s="12" t="n">
        <v>42983</v>
      </c>
      <c r="B673" s="15" t="n">
        <v>48.66</v>
      </c>
      <c r="C673" s="15" t="n">
        <v>53.38</v>
      </c>
      <c r="D673" s="14" t="n">
        <f aca="false">AVERAGE(B654:B673)</f>
        <v>47.7265</v>
      </c>
      <c r="E673" s="14" t="n">
        <f aca="false">(B673-D673)/D673*100</f>
        <v>1.95593642944694</v>
      </c>
    </row>
    <row r="674" customFormat="false" ht="15" hidden="false" customHeight="false" outlineLevel="0" collapsed="false">
      <c r="A674" s="12" t="n">
        <v>42984</v>
      </c>
      <c r="B674" s="15" t="n">
        <v>49.16</v>
      </c>
      <c r="C674" s="15" t="n">
        <v>54.2</v>
      </c>
      <c r="D674" s="14" t="n">
        <f aca="false">AVERAGE(B655:B674)</f>
        <v>47.726</v>
      </c>
      <c r="E674" s="14" t="n">
        <f aca="false">(B674-D674)/D674*100</f>
        <v>3.00465155261283</v>
      </c>
    </row>
    <row r="675" customFormat="false" ht="15" hidden="false" customHeight="false" outlineLevel="0" collapsed="false">
      <c r="A675" s="12" t="n">
        <v>42985</v>
      </c>
      <c r="B675" s="15" t="n">
        <v>49.09</v>
      </c>
      <c r="C675" s="15" t="n">
        <v>54.49</v>
      </c>
      <c r="D675" s="14" t="n">
        <f aca="false">AVERAGE(B656:B675)</f>
        <v>47.7025</v>
      </c>
      <c r="E675" s="14" t="n">
        <f aca="false">(B675-D675)/D675*100</f>
        <v>2.90865258634244</v>
      </c>
    </row>
    <row r="676" customFormat="false" ht="15" hidden="false" customHeight="false" outlineLevel="0" collapsed="false">
      <c r="A676" s="12" t="n">
        <v>42986</v>
      </c>
      <c r="B676" s="15" t="n">
        <v>47.48</v>
      </c>
      <c r="C676" s="15" t="n">
        <v>53.78</v>
      </c>
      <c r="D676" s="14" t="n">
        <f aca="false">AVERAGE(B657:B676)</f>
        <v>47.647</v>
      </c>
      <c r="E676" s="14" t="n">
        <f aca="false">(B676-D676)/D676*100</f>
        <v>-0.35049425986946</v>
      </c>
    </row>
    <row r="677" customFormat="false" ht="15" hidden="false" customHeight="false" outlineLevel="0" collapsed="false">
      <c r="A677" s="12" t="n">
        <v>42989</v>
      </c>
      <c r="B677" s="15" t="n">
        <v>48.07</v>
      </c>
      <c r="C677" s="15" t="n">
        <v>53.84</v>
      </c>
      <c r="D677" s="14" t="n">
        <f aca="false">AVERAGE(B658:B677)</f>
        <v>47.6095</v>
      </c>
      <c r="E677" s="14" t="n">
        <f aca="false">(B677-D677)/D677*100</f>
        <v>0.967243932408455</v>
      </c>
    </row>
    <row r="678" customFormat="false" ht="15" hidden="false" customHeight="false" outlineLevel="0" collapsed="false">
      <c r="A678" s="12" t="n">
        <v>42990</v>
      </c>
      <c r="B678" s="15" t="n">
        <v>48.23</v>
      </c>
      <c r="C678" s="15" t="n">
        <v>54.27</v>
      </c>
      <c r="D678" s="14" t="n">
        <f aca="false">AVERAGE(B659:B678)</f>
        <v>47.6415</v>
      </c>
      <c r="E678" s="14" t="n">
        <f aca="false">(B678-D678)/D678*100</f>
        <v>1.23526757134012</v>
      </c>
    </row>
    <row r="679" customFormat="false" ht="15" hidden="false" customHeight="false" outlineLevel="0" collapsed="false">
      <c r="A679" s="12" t="n">
        <v>42991</v>
      </c>
      <c r="B679" s="15" t="n">
        <v>49.3</v>
      </c>
      <c r="C679" s="15" t="n">
        <v>55.16</v>
      </c>
      <c r="D679" s="14" t="n">
        <f aca="false">AVERAGE(B660:B679)</f>
        <v>47.729</v>
      </c>
      <c r="E679" s="14" t="n">
        <f aca="false">(B679-D679)/D679*100</f>
        <v>3.29149992666932</v>
      </c>
    </row>
    <row r="680" customFormat="false" ht="15" hidden="false" customHeight="false" outlineLevel="0" collapsed="false">
      <c r="A680" s="12" t="n">
        <v>42992</v>
      </c>
      <c r="B680" s="15" t="n">
        <v>49.89</v>
      </c>
      <c r="C680" s="15" t="n">
        <v>55.47</v>
      </c>
      <c r="D680" s="14" t="n">
        <f aca="false">AVERAGE(B661:B680)</f>
        <v>47.8845</v>
      </c>
      <c r="E680" s="14" t="n">
        <f aca="false">(B680-D680)/D680*100</f>
        <v>4.18820286313944</v>
      </c>
    </row>
    <row r="681" customFormat="false" ht="15" hidden="false" customHeight="false" outlineLevel="0" collapsed="false">
      <c r="A681" s="12" t="n">
        <v>42993</v>
      </c>
      <c r="B681" s="15" t="n">
        <v>49.89</v>
      </c>
      <c r="C681" s="15" t="n">
        <v>55.62</v>
      </c>
      <c r="D681" s="14" t="n">
        <f aca="false">AVERAGE(B662:B681)</f>
        <v>48.0245</v>
      </c>
      <c r="E681" s="14" t="n">
        <f aca="false">(B681-D681)/D681*100</f>
        <v>3.88447563222938</v>
      </c>
    </row>
    <row r="682" customFormat="false" ht="15" hidden="false" customHeight="false" outlineLevel="0" collapsed="false">
      <c r="A682" s="12" t="n">
        <v>42996</v>
      </c>
      <c r="B682" s="15" t="n">
        <v>49.91</v>
      </c>
      <c r="C682" s="15" t="n">
        <v>55.48</v>
      </c>
      <c r="D682" s="14" t="n">
        <f aca="false">AVERAGE(B663:B682)</f>
        <v>48.0945</v>
      </c>
      <c r="E682" s="14" t="n">
        <f aca="false">(B682-D682)/D682*100</f>
        <v>3.77485991121646</v>
      </c>
    </row>
    <row r="683" customFormat="false" ht="15" hidden="false" customHeight="false" outlineLevel="0" collapsed="false">
      <c r="A683" s="12" t="n">
        <v>42997</v>
      </c>
      <c r="B683" s="15" t="n">
        <v>49.48</v>
      </c>
      <c r="C683" s="15" t="n">
        <v>55.14</v>
      </c>
      <c r="D683" s="14" t="n">
        <f aca="false">AVERAGE(B664:B683)</f>
        <v>48.2</v>
      </c>
      <c r="E683" s="14" t="n">
        <f aca="false">(B683-D683)/D683*100</f>
        <v>2.65560165975103</v>
      </c>
    </row>
    <row r="684" customFormat="false" ht="15" hidden="false" customHeight="false" outlineLevel="0" collapsed="false">
      <c r="A684" s="12" t="n">
        <v>42998</v>
      </c>
      <c r="B684" s="15" t="n">
        <v>50.41</v>
      </c>
      <c r="C684" s="15" t="n">
        <v>56.29</v>
      </c>
      <c r="D684" s="14" t="n">
        <f aca="false">AVERAGE(B665:B684)</f>
        <v>48.3385</v>
      </c>
      <c r="E684" s="14" t="n">
        <f aca="false">(B684-D684)/D684*100</f>
        <v>4.28540397405795</v>
      </c>
    </row>
    <row r="685" customFormat="false" ht="15" hidden="false" customHeight="false" outlineLevel="0" collapsed="false">
      <c r="A685" s="12" t="n">
        <v>42999</v>
      </c>
      <c r="B685" s="15" t="n">
        <v>50.55</v>
      </c>
      <c r="C685" s="15" t="n">
        <v>56.43</v>
      </c>
      <c r="D685" s="14" t="n">
        <f aca="false">AVERAGE(B666:B685)</f>
        <v>48.4455</v>
      </c>
      <c r="E685" s="14" t="n">
        <f aca="false">(B685-D685)/D685*100</f>
        <v>4.3440567235347</v>
      </c>
    </row>
    <row r="686" customFormat="false" ht="15" hidden="false" customHeight="false" outlineLevel="0" collapsed="false">
      <c r="A686" s="12" t="n">
        <v>43000</v>
      </c>
      <c r="B686" s="15" t="n">
        <v>50.66</v>
      </c>
      <c r="C686" s="15" t="n">
        <v>56.86</v>
      </c>
      <c r="D686" s="14" t="n">
        <f aca="false">AVERAGE(B667:B686)</f>
        <v>48.607</v>
      </c>
      <c r="E686" s="14" t="n">
        <f aca="false">(B686-D686)/D686*100</f>
        <v>4.22367148764581</v>
      </c>
    </row>
    <row r="687" customFormat="false" ht="15" hidden="false" customHeight="false" outlineLevel="0" collapsed="false">
      <c r="A687" s="12" t="n">
        <v>43003</v>
      </c>
      <c r="B687" s="15" t="n">
        <v>52.22</v>
      </c>
      <c r="C687" s="15" t="n">
        <v>59.02</v>
      </c>
      <c r="D687" s="14" t="n">
        <f aca="false">AVERAGE(B668:B687)</f>
        <v>48.8245</v>
      </c>
      <c r="E687" s="14" t="n">
        <f aca="false">(B687-D687)/D687*100</f>
        <v>6.95450030210242</v>
      </c>
    </row>
    <row r="688" customFormat="false" ht="15" hidden="false" customHeight="false" outlineLevel="0" collapsed="false">
      <c r="A688" s="12" t="n">
        <v>43004</v>
      </c>
      <c r="B688" s="15" t="n">
        <v>51.88</v>
      </c>
      <c r="C688" s="15" t="n">
        <v>58.44</v>
      </c>
      <c r="D688" s="14" t="n">
        <f aca="false">AVERAGE(B669:B688)</f>
        <v>49.09</v>
      </c>
      <c r="E688" s="14" t="n">
        <f aca="false">(B688-D688)/D688*100</f>
        <v>5.68343858219598</v>
      </c>
    </row>
    <row r="689" customFormat="false" ht="15" hidden="false" customHeight="false" outlineLevel="0" collapsed="false">
      <c r="A689" s="12" t="n">
        <v>43005</v>
      </c>
      <c r="B689" s="15" t="n">
        <v>52.14</v>
      </c>
      <c r="C689" s="15" t="n">
        <v>57.9</v>
      </c>
      <c r="D689" s="14" t="n">
        <f aca="false">AVERAGE(B670:B689)</f>
        <v>49.375</v>
      </c>
      <c r="E689" s="14" t="n">
        <f aca="false">(B689-D689)/D689*100</f>
        <v>5.6</v>
      </c>
    </row>
    <row r="690" customFormat="false" ht="15" hidden="false" customHeight="false" outlineLevel="0" collapsed="false">
      <c r="A690" s="12" t="n">
        <v>43006</v>
      </c>
      <c r="B690" s="15" t="n">
        <v>51.56</v>
      </c>
      <c r="C690" s="15" t="n">
        <v>57.41</v>
      </c>
      <c r="D690" s="14" t="n">
        <f aca="false">AVERAGE(B671:B690)</f>
        <v>49.655</v>
      </c>
      <c r="E690" s="14" t="n">
        <f aca="false">(B690-D690)/D690*100</f>
        <v>3.83647165441547</v>
      </c>
    </row>
    <row r="691" customFormat="false" ht="15" hidden="false" customHeight="false" outlineLevel="0" collapsed="false">
      <c r="A691" s="12" t="n">
        <v>43007</v>
      </c>
      <c r="B691" s="15" t="n">
        <v>51.67</v>
      </c>
      <c r="C691" s="15" t="n">
        <v>57.54</v>
      </c>
      <c r="D691" s="14" t="n">
        <f aca="false">AVERAGE(B672:B691)</f>
        <v>49.877</v>
      </c>
      <c r="E691" s="14" t="n">
        <f aca="false">(B691-D691)/D691*100</f>
        <v>3.59484331455382</v>
      </c>
    </row>
    <row r="692" customFormat="false" ht="15" hidden="false" customHeight="false" outlineLevel="0" collapsed="false">
      <c r="A692" s="12" t="n">
        <v>43010</v>
      </c>
      <c r="B692" s="15" t="n">
        <v>50.58</v>
      </c>
      <c r="C692" s="15" t="n">
        <v>56.12</v>
      </c>
      <c r="D692" s="14" t="n">
        <f aca="false">AVERAGE(B673:B692)</f>
        <v>50.0415</v>
      </c>
      <c r="E692" s="14" t="n">
        <f aca="false">(B692-D692)/D692*100</f>
        <v>1.07610683132999</v>
      </c>
    </row>
    <row r="693" customFormat="false" ht="15" hidden="false" customHeight="false" outlineLevel="0" collapsed="false">
      <c r="A693" s="12" t="n">
        <v>43011</v>
      </c>
      <c r="B693" s="15" t="n">
        <v>50.42</v>
      </c>
      <c r="C693" s="15" t="n">
        <v>56</v>
      </c>
      <c r="D693" s="14" t="n">
        <f aca="false">AVERAGE(B674:B693)</f>
        <v>50.1295</v>
      </c>
      <c r="E693" s="14" t="n">
        <f aca="false">(B693-D693)/D693*100</f>
        <v>0.579499097337898</v>
      </c>
    </row>
    <row r="694" customFormat="false" ht="15" hidden="false" customHeight="false" outlineLevel="0" collapsed="false">
      <c r="A694" s="12" t="n">
        <v>43012</v>
      </c>
      <c r="B694" s="15" t="n">
        <v>49.98</v>
      </c>
      <c r="C694" s="15" t="n">
        <v>55.8</v>
      </c>
      <c r="D694" s="14" t="n">
        <f aca="false">AVERAGE(B675:B694)</f>
        <v>50.1705</v>
      </c>
      <c r="E694" s="14" t="n">
        <f aca="false">(B694-D694)/D694*100</f>
        <v>-0.379705205250097</v>
      </c>
    </row>
    <row r="695" customFormat="false" ht="15" hidden="false" customHeight="false" outlineLevel="0" collapsed="false">
      <c r="A695" s="12" t="n">
        <v>43013</v>
      </c>
      <c r="B695" s="15" t="n">
        <v>50.79</v>
      </c>
      <c r="C695" s="15" t="n">
        <v>57</v>
      </c>
      <c r="D695" s="14" t="n">
        <f aca="false">AVERAGE(B676:B695)</f>
        <v>50.2555</v>
      </c>
      <c r="E695" s="14" t="n">
        <f aca="false">(B695-D695)/D695*100</f>
        <v>1.06356518192039</v>
      </c>
    </row>
    <row r="696" customFormat="false" ht="15" hidden="false" customHeight="false" outlineLevel="0" collapsed="false">
      <c r="A696" s="12" t="n">
        <v>43014</v>
      </c>
      <c r="B696" s="15" t="n">
        <v>49.29</v>
      </c>
      <c r="C696" s="15" t="n">
        <v>55.62</v>
      </c>
      <c r="D696" s="14" t="n">
        <f aca="false">AVERAGE(B677:B696)</f>
        <v>50.346</v>
      </c>
      <c r="E696" s="14" t="n">
        <f aca="false">(B696-D696)/D696*100</f>
        <v>-2.0974854010249</v>
      </c>
    </row>
    <row r="697" customFormat="false" ht="15" hidden="false" customHeight="false" outlineLevel="0" collapsed="false">
      <c r="A697" s="12" t="n">
        <v>43017</v>
      </c>
      <c r="B697" s="15" t="n">
        <v>49.58</v>
      </c>
      <c r="C697" s="15" t="n">
        <v>55.79</v>
      </c>
      <c r="D697" s="14" t="n">
        <f aca="false">AVERAGE(B678:B697)</f>
        <v>50.4215</v>
      </c>
      <c r="E697" s="14" t="n">
        <f aca="false">(B697-D697)/D697*100</f>
        <v>-1.66893091240839</v>
      </c>
    </row>
    <row r="698" customFormat="false" ht="15" hidden="false" customHeight="false" outlineLevel="0" collapsed="false">
      <c r="A698" s="12" t="n">
        <v>43018</v>
      </c>
      <c r="B698" s="15" t="n">
        <v>50.92</v>
      </c>
      <c r="C698" s="15" t="n">
        <v>56.61</v>
      </c>
      <c r="D698" s="14" t="n">
        <f aca="false">AVERAGE(B679:B698)</f>
        <v>50.556</v>
      </c>
      <c r="E698" s="14" t="n">
        <f aca="false">(B698-D698)/D698*100</f>
        <v>0.719993670385324</v>
      </c>
    </row>
    <row r="699" customFormat="false" ht="15" hidden="false" customHeight="false" outlineLevel="0" collapsed="false">
      <c r="A699" s="12" t="n">
        <v>43019</v>
      </c>
      <c r="B699" s="15" t="n">
        <v>51.3</v>
      </c>
      <c r="C699" s="15" t="n">
        <v>56.94</v>
      </c>
      <c r="D699" s="14" t="n">
        <f aca="false">AVERAGE(B680:B699)</f>
        <v>50.656</v>
      </c>
      <c r="E699" s="14" t="n">
        <f aca="false">(B699-D699)/D699*100</f>
        <v>1.27132027795325</v>
      </c>
    </row>
    <row r="700" customFormat="false" ht="15" hidden="false" customHeight="false" outlineLevel="0" collapsed="false">
      <c r="A700" s="12" t="n">
        <v>43020</v>
      </c>
      <c r="B700" s="15" t="n">
        <v>50.6</v>
      </c>
      <c r="C700" s="15" t="n">
        <v>56.25</v>
      </c>
      <c r="D700" s="14" t="n">
        <f aca="false">AVERAGE(B681:B700)</f>
        <v>50.6915</v>
      </c>
      <c r="E700" s="14" t="n">
        <f aca="false">(B700-D700)/D700*100</f>
        <v>-0.180503634731654</v>
      </c>
    </row>
    <row r="701" customFormat="false" ht="15" hidden="false" customHeight="false" outlineLevel="0" collapsed="false">
      <c r="A701" s="12" t="n">
        <v>43021</v>
      </c>
      <c r="B701" s="15" t="n">
        <v>51.45</v>
      </c>
      <c r="C701" s="15" t="n">
        <v>57.17</v>
      </c>
      <c r="D701" s="14" t="n">
        <f aca="false">AVERAGE(B682:B701)</f>
        <v>50.7695</v>
      </c>
      <c r="E701" s="14" t="n">
        <f aca="false">(B701-D701)/D701*100</f>
        <v>1.34037167984716</v>
      </c>
    </row>
    <row r="702" customFormat="false" ht="15" hidden="false" customHeight="false" outlineLevel="0" collapsed="false">
      <c r="A702" s="12" t="n">
        <v>43024</v>
      </c>
      <c r="B702" s="15" t="n">
        <v>51.87</v>
      </c>
      <c r="C702" s="15" t="n">
        <v>57.82</v>
      </c>
      <c r="D702" s="14" t="n">
        <f aca="false">AVERAGE(B683:B702)</f>
        <v>50.8675</v>
      </c>
      <c r="E702" s="14" t="n">
        <f aca="false">(B702-D702)/D702*100</f>
        <v>1.97080650710178</v>
      </c>
    </row>
    <row r="703" customFormat="false" ht="15" hidden="false" customHeight="false" outlineLevel="0" collapsed="false">
      <c r="A703" s="12" t="n">
        <v>43025</v>
      </c>
      <c r="B703" s="15" t="n">
        <v>51.88</v>
      </c>
      <c r="C703" s="15" t="n">
        <v>57.88</v>
      </c>
      <c r="D703" s="14" t="n">
        <f aca="false">AVERAGE(B684:B703)</f>
        <v>50.9875</v>
      </c>
      <c r="E703" s="14" t="n">
        <f aca="false">(B703-D703)/D703*100</f>
        <v>1.75042902672225</v>
      </c>
    </row>
    <row r="704" customFormat="false" ht="15" hidden="false" customHeight="false" outlineLevel="0" collapsed="false">
      <c r="A704" s="12" t="n">
        <v>43026</v>
      </c>
      <c r="B704" s="15" t="n">
        <v>52.04</v>
      </c>
      <c r="C704" s="15" t="n">
        <v>58.15</v>
      </c>
      <c r="D704" s="14" t="n">
        <f aca="false">AVERAGE(B685:B704)</f>
        <v>51.069</v>
      </c>
      <c r="E704" s="14" t="n">
        <f aca="false">(B704-D704)/D704*100</f>
        <v>1.90134915506471</v>
      </c>
    </row>
    <row r="705" customFormat="false" ht="15" hidden="false" customHeight="false" outlineLevel="0" collapsed="false">
      <c r="A705" s="12" t="n">
        <v>43027</v>
      </c>
      <c r="B705" s="15" t="n">
        <v>51.29</v>
      </c>
      <c r="C705" s="15" t="n">
        <v>57.23</v>
      </c>
      <c r="D705" s="14" t="n">
        <f aca="false">AVERAGE(B686:B705)</f>
        <v>51.106</v>
      </c>
      <c r="E705" s="14" t="n">
        <f aca="false">(B705-D705)/D705*100</f>
        <v>0.360036003600355</v>
      </c>
    </row>
    <row r="706" customFormat="false" ht="15" hidden="false" customHeight="false" outlineLevel="0" collapsed="false">
      <c r="A706" s="12" t="n">
        <v>43028</v>
      </c>
      <c r="B706" s="15" t="n">
        <v>51.47</v>
      </c>
      <c r="C706" s="15" t="n">
        <v>57.75</v>
      </c>
      <c r="D706" s="14" t="n">
        <f aca="false">AVERAGE(B687:B706)</f>
        <v>51.1465</v>
      </c>
      <c r="E706" s="14" t="n">
        <f aca="false">(B706-D706)/D706*100</f>
        <v>0.632496847291609</v>
      </c>
    </row>
    <row r="707" customFormat="false" ht="15" hidden="false" customHeight="false" outlineLevel="0" collapsed="false">
      <c r="A707" s="12" t="n">
        <v>43031</v>
      </c>
      <c r="B707" s="15" t="n">
        <v>51.9</v>
      </c>
      <c r="C707" s="15" t="n">
        <v>57.37</v>
      </c>
      <c r="D707" s="14" t="n">
        <f aca="false">AVERAGE(B688:B707)</f>
        <v>51.1305</v>
      </c>
      <c r="E707" s="14" t="n">
        <f aca="false">(B707-D707)/D707*100</f>
        <v>1.50497257018805</v>
      </c>
    </row>
    <row r="708" customFormat="false" ht="15" hidden="false" customHeight="false" outlineLevel="0" collapsed="false">
      <c r="A708" s="12" t="n">
        <v>43032</v>
      </c>
      <c r="B708" s="15" t="n">
        <v>52.47</v>
      </c>
      <c r="C708" s="15" t="n">
        <v>58.33</v>
      </c>
      <c r="D708" s="14" t="n">
        <f aca="false">AVERAGE(B689:B708)</f>
        <v>51.16</v>
      </c>
      <c r="E708" s="14" t="n">
        <f aca="false">(B708-D708)/D708*100</f>
        <v>2.56059421422986</v>
      </c>
    </row>
    <row r="709" customFormat="false" ht="15" hidden="false" customHeight="false" outlineLevel="0" collapsed="false">
      <c r="A709" s="12" t="n">
        <v>43033</v>
      </c>
      <c r="B709" s="15" t="n">
        <v>52.18</v>
      </c>
      <c r="C709" s="15" t="n">
        <v>58.44</v>
      </c>
      <c r="D709" s="14" t="n">
        <f aca="false">AVERAGE(B690:B709)</f>
        <v>51.162</v>
      </c>
      <c r="E709" s="14" t="n">
        <f aca="false">(B709-D709)/D709*100</f>
        <v>1.98975802353309</v>
      </c>
    </row>
    <row r="710" customFormat="false" ht="15" hidden="false" customHeight="false" outlineLevel="0" collapsed="false">
      <c r="A710" s="12" t="n">
        <v>43034</v>
      </c>
      <c r="B710" s="15" t="n">
        <v>52.64</v>
      </c>
      <c r="C710" s="15" t="n">
        <v>59.3</v>
      </c>
      <c r="D710" s="14" t="n">
        <f aca="false">AVERAGE(B691:B710)</f>
        <v>51.216</v>
      </c>
      <c r="E710" s="14" t="n">
        <f aca="false">(B710-D710)/D710*100</f>
        <v>2.78038113089661</v>
      </c>
    </row>
    <row r="711" customFormat="false" ht="15" hidden="false" customHeight="false" outlineLevel="0" collapsed="false">
      <c r="A711" s="12" t="n">
        <v>43035</v>
      </c>
      <c r="B711" s="15" t="n">
        <v>53.9</v>
      </c>
      <c r="C711" s="15" t="n">
        <v>60.44</v>
      </c>
      <c r="D711" s="14" t="n">
        <f aca="false">AVERAGE(B692:B711)</f>
        <v>51.3275</v>
      </c>
      <c r="E711" s="14" t="n">
        <f aca="false">(B711-D711)/D711*100</f>
        <v>5.01193317422434</v>
      </c>
    </row>
    <row r="712" customFormat="false" ht="15" hidden="false" customHeight="false" outlineLevel="0" collapsed="false">
      <c r="A712" s="12" t="n">
        <v>43038</v>
      </c>
      <c r="B712" s="15" t="n">
        <v>54.15</v>
      </c>
      <c r="C712" s="15" t="n">
        <v>60.9</v>
      </c>
      <c r="D712" s="14" t="n">
        <f aca="false">AVERAGE(B693:B712)</f>
        <v>51.506</v>
      </c>
      <c r="E712" s="14" t="n">
        <f aca="false">(B712-D712)/D712*100</f>
        <v>5.13338251854154</v>
      </c>
    </row>
    <row r="713" customFormat="false" ht="15" hidden="false" customHeight="false" outlineLevel="0" collapsed="false">
      <c r="A713" s="12" t="n">
        <v>43039</v>
      </c>
      <c r="B713" s="15" t="n">
        <v>54.38</v>
      </c>
      <c r="C713" s="15" t="n">
        <v>61.37</v>
      </c>
      <c r="D713" s="14" t="n">
        <f aca="false">AVERAGE(B694:B713)</f>
        <v>51.704</v>
      </c>
      <c r="E713" s="14" t="n">
        <f aca="false">(B713-D713)/D713*100</f>
        <v>5.17561503945538</v>
      </c>
    </row>
    <row r="714" customFormat="false" ht="15" hidden="false" customHeight="false" outlineLevel="0" collapsed="false">
      <c r="A714" s="12" t="n">
        <v>43040</v>
      </c>
      <c r="B714" s="15" t="n">
        <v>54.3</v>
      </c>
      <c r="C714" s="15" t="n">
        <v>61.29</v>
      </c>
      <c r="D714" s="14" t="n">
        <f aca="false">AVERAGE(B695:B714)</f>
        <v>51.92</v>
      </c>
      <c r="E714" s="14" t="n">
        <f aca="false">(B714-D714)/D714*100</f>
        <v>4.5839753466872</v>
      </c>
    </row>
    <row r="715" customFormat="false" ht="15" hidden="false" customHeight="false" outlineLevel="0" collapsed="false">
      <c r="A715" s="12" t="n">
        <v>43041</v>
      </c>
      <c r="B715" s="15" t="n">
        <v>54.54</v>
      </c>
      <c r="C715" s="15" t="n">
        <v>60.62</v>
      </c>
      <c r="D715" s="14" t="n">
        <f aca="false">AVERAGE(B696:B715)</f>
        <v>52.1075</v>
      </c>
      <c r="E715" s="14" t="n">
        <f aca="false">(B715-D715)/D715*100</f>
        <v>4.66823393945209</v>
      </c>
    </row>
    <row r="716" customFormat="false" ht="15" hidden="false" customHeight="false" outlineLevel="0" collapsed="false">
      <c r="A716" s="12" t="n">
        <v>43042</v>
      </c>
      <c r="B716" s="15" t="n">
        <v>55.64</v>
      </c>
      <c r="C716" s="15" t="n">
        <v>62.07</v>
      </c>
      <c r="D716" s="14" t="n">
        <f aca="false">AVERAGE(B697:B716)</f>
        <v>52.425</v>
      </c>
      <c r="E716" s="14" t="n">
        <f aca="false">(B716-D716)/D716*100</f>
        <v>6.13257033857893</v>
      </c>
    </row>
    <row r="717" customFormat="false" ht="15" hidden="false" customHeight="false" outlineLevel="0" collapsed="false">
      <c r="A717" s="12" t="n">
        <v>43045</v>
      </c>
      <c r="B717" s="15" t="n">
        <v>57.35</v>
      </c>
      <c r="C717" s="15" t="n">
        <v>64.27</v>
      </c>
      <c r="D717" s="14" t="n">
        <f aca="false">AVERAGE(B698:B717)</f>
        <v>52.8135</v>
      </c>
      <c r="E717" s="14" t="n">
        <f aca="false">(B717-D717)/D717*100</f>
        <v>8.58965984076042</v>
      </c>
    </row>
    <row r="718" customFormat="false" ht="15" hidden="false" customHeight="false" outlineLevel="0" collapsed="false">
      <c r="A718" s="12" t="n">
        <v>43046</v>
      </c>
      <c r="B718" s="15" t="n">
        <v>57.2</v>
      </c>
      <c r="C718" s="15" t="n">
        <v>63.69</v>
      </c>
      <c r="D718" s="14" t="n">
        <f aca="false">AVERAGE(B699:B718)</f>
        <v>53.1275</v>
      </c>
      <c r="E718" s="14" t="n">
        <f aca="false">(B718-D718)/D718*100</f>
        <v>7.66552162251189</v>
      </c>
    </row>
    <row r="719" customFormat="false" ht="15" hidden="false" customHeight="false" outlineLevel="0" collapsed="false">
      <c r="A719" s="12" t="n">
        <v>43047</v>
      </c>
      <c r="B719" s="15" t="n">
        <v>56.81</v>
      </c>
      <c r="C719" s="15" t="n">
        <v>63.49</v>
      </c>
      <c r="D719" s="14" t="n">
        <f aca="false">AVERAGE(B700:B719)</f>
        <v>53.403</v>
      </c>
      <c r="E719" s="14" t="n">
        <f aca="false">(B719-D719)/D719*100</f>
        <v>6.37979139748704</v>
      </c>
    </row>
    <row r="720" customFormat="false" ht="15" hidden="false" customHeight="false" outlineLevel="0" collapsed="false">
      <c r="A720" s="12" t="n">
        <v>43048</v>
      </c>
      <c r="B720" s="15" t="n">
        <v>57.17</v>
      </c>
      <c r="C720" s="15" t="n">
        <v>63.93</v>
      </c>
      <c r="D720" s="14" t="n">
        <f aca="false">AVERAGE(B701:B720)</f>
        <v>53.7315</v>
      </c>
      <c r="E720" s="14" t="n">
        <f aca="false">(B720-D720)/D720*100</f>
        <v>6.3994118906042</v>
      </c>
    </row>
    <row r="721" customFormat="false" ht="15" hidden="false" customHeight="false" outlineLevel="0" collapsed="false">
      <c r="A721" s="12" t="n">
        <v>43049</v>
      </c>
      <c r="B721" s="15" t="n">
        <v>56.74</v>
      </c>
      <c r="C721" s="15" t="n">
        <v>63.52</v>
      </c>
      <c r="D721" s="14" t="n">
        <f aca="false">AVERAGE(B702:B721)</f>
        <v>53.996</v>
      </c>
      <c r="E721" s="14" t="n">
        <f aca="false">(B721-D721)/D721*100</f>
        <v>5.08185791540114</v>
      </c>
    </row>
    <row r="722" customFormat="false" ht="15" hidden="false" customHeight="false" outlineLevel="0" collapsed="false">
      <c r="A722" s="12" t="n">
        <v>43052</v>
      </c>
      <c r="B722" s="15" t="n">
        <v>56.76</v>
      </c>
      <c r="C722" s="15" t="n">
        <v>63.16</v>
      </c>
      <c r="D722" s="14" t="n">
        <f aca="false">AVERAGE(B703:B722)</f>
        <v>54.2405</v>
      </c>
      <c r="E722" s="14" t="n">
        <f aca="false">(B722-D722)/D722*100</f>
        <v>4.64505305076465</v>
      </c>
    </row>
    <row r="723" customFormat="false" ht="15" hidden="false" customHeight="false" outlineLevel="0" collapsed="false">
      <c r="A723" s="12" t="n">
        <v>43053</v>
      </c>
      <c r="B723" s="15" t="n">
        <v>55.7</v>
      </c>
      <c r="C723" s="15" t="n">
        <v>62.21</v>
      </c>
      <c r="D723" s="14" t="n">
        <f aca="false">AVERAGE(B704:B723)</f>
        <v>54.4315</v>
      </c>
      <c r="E723" s="14" t="n">
        <f aca="false">(B723-D723)/D723*100</f>
        <v>2.3304520360453</v>
      </c>
    </row>
    <row r="724" customFormat="false" ht="15" hidden="false" customHeight="false" outlineLevel="0" collapsed="false">
      <c r="A724" s="12" t="n">
        <v>43054</v>
      </c>
      <c r="B724" s="15" t="n">
        <v>55.33</v>
      </c>
      <c r="C724" s="15" t="n">
        <v>61.87</v>
      </c>
      <c r="D724" s="14" t="n">
        <f aca="false">AVERAGE(B705:B724)</f>
        <v>54.596</v>
      </c>
      <c r="E724" s="14" t="n">
        <f aca="false">(B724-D724)/D724*100</f>
        <v>1.34442083669132</v>
      </c>
    </row>
    <row r="725" customFormat="false" ht="15" hidden="false" customHeight="false" outlineLevel="0" collapsed="false">
      <c r="A725" s="12" t="n">
        <v>43055</v>
      </c>
      <c r="B725" s="15" t="n">
        <v>55.14</v>
      </c>
      <c r="C725" s="15" t="n">
        <v>61.36</v>
      </c>
      <c r="D725" s="14" t="n">
        <f aca="false">AVERAGE(B706:B725)</f>
        <v>54.7885</v>
      </c>
      <c r="E725" s="14" t="n">
        <f aca="false">(B725-D725)/D725*100</f>
        <v>0.641557991184284</v>
      </c>
    </row>
    <row r="726" customFormat="false" ht="15" hidden="false" customHeight="false" outlineLevel="0" collapsed="false">
      <c r="A726" s="12" t="n">
        <v>43056</v>
      </c>
      <c r="B726" s="15" t="n">
        <v>56.55</v>
      </c>
      <c r="C726" s="15" t="n">
        <v>62.72</v>
      </c>
      <c r="D726" s="14" t="n">
        <f aca="false">AVERAGE(B707:B726)</f>
        <v>55.0425</v>
      </c>
      <c r="E726" s="14" t="n">
        <f aca="false">(B726-D726)/D726*100</f>
        <v>2.738792751056</v>
      </c>
    </row>
    <row r="727" customFormat="false" ht="15" hidden="false" customHeight="false" outlineLevel="0" collapsed="false">
      <c r="A727" s="12" t="n">
        <v>43059</v>
      </c>
      <c r="B727" s="15" t="n">
        <v>56.09</v>
      </c>
      <c r="C727" s="15" t="n">
        <v>62.22</v>
      </c>
      <c r="D727" s="14" t="n">
        <f aca="false">AVERAGE(B708:B727)</f>
        <v>55.252</v>
      </c>
      <c r="E727" s="14" t="n">
        <f aca="false">(B727-D727)/D727*100</f>
        <v>1.51668717874468</v>
      </c>
    </row>
    <row r="728" customFormat="false" ht="15" hidden="false" customHeight="false" outlineLevel="0" collapsed="false">
      <c r="A728" s="12" t="n">
        <v>43060</v>
      </c>
      <c r="B728" s="15" t="n">
        <v>56.83</v>
      </c>
      <c r="C728" s="15" t="n">
        <v>62.57</v>
      </c>
      <c r="D728" s="14" t="n">
        <f aca="false">AVERAGE(B709:B728)</f>
        <v>55.47</v>
      </c>
      <c r="E728" s="14" t="n">
        <f aca="false">(B728-D728)/D728*100</f>
        <v>2.45177573463132</v>
      </c>
    </row>
    <row r="729" customFormat="false" ht="15" hidden="false" customHeight="false" outlineLevel="0" collapsed="false">
      <c r="A729" s="12" t="n">
        <v>43061</v>
      </c>
      <c r="B729" s="15" t="n">
        <v>58.02</v>
      </c>
      <c r="C729" s="15" t="n">
        <v>63.32</v>
      </c>
      <c r="D729" s="14" t="n">
        <f aca="false">AVERAGE(B710:B729)</f>
        <v>55.762</v>
      </c>
      <c r="E729" s="14" t="n">
        <f aca="false">(B729-D729)/D729*100</f>
        <v>4.04935260571716</v>
      </c>
    </row>
    <row r="730" customFormat="false" ht="15" hidden="false" customHeight="false" outlineLevel="0" collapsed="false">
      <c r="A730" s="12" t="n">
        <v>43063</v>
      </c>
      <c r="B730" s="15" t="n">
        <v>58.95</v>
      </c>
      <c r="C730" s="15" t="n">
        <v>63.86</v>
      </c>
      <c r="D730" s="14" t="n">
        <f aca="false">AVERAGE(B711:B730)</f>
        <v>56.0775</v>
      </c>
      <c r="E730" s="14" t="n">
        <f aca="false">(B730-D730)/D730*100</f>
        <v>5.1223752842049</v>
      </c>
    </row>
    <row r="731" customFormat="false" ht="15" hidden="false" customHeight="false" outlineLevel="0" collapsed="false">
      <c r="A731" s="12" t="n">
        <v>43066</v>
      </c>
      <c r="B731" s="15" t="n">
        <v>58.11</v>
      </c>
      <c r="C731" s="15" t="n">
        <v>63.84</v>
      </c>
      <c r="D731" s="14" t="n">
        <f aca="false">AVERAGE(B712:B731)</f>
        <v>56.288</v>
      </c>
      <c r="E731" s="14" t="n">
        <f aca="false">(B731-D731)/D731*100</f>
        <v>3.23692438885731</v>
      </c>
    </row>
    <row r="732" customFormat="false" ht="15" hidden="false" customHeight="false" outlineLevel="0" collapsed="false">
      <c r="A732" s="12" t="n">
        <v>43067</v>
      </c>
      <c r="B732" s="15" t="n">
        <v>57.99</v>
      </c>
      <c r="C732" s="15" t="n">
        <v>63.61</v>
      </c>
      <c r="D732" s="14" t="n">
        <f aca="false">AVERAGE(B713:B732)</f>
        <v>56.48</v>
      </c>
      <c r="E732" s="14" t="n">
        <f aca="false">(B732-D732)/D732*100</f>
        <v>2.67351274787536</v>
      </c>
    </row>
    <row r="733" customFormat="false" ht="15" hidden="false" customHeight="false" outlineLevel="0" collapsed="false">
      <c r="A733" s="12" t="n">
        <v>43068</v>
      </c>
      <c r="B733" s="15" t="n">
        <v>57.3</v>
      </c>
      <c r="C733" s="15" t="n">
        <v>63.11</v>
      </c>
      <c r="D733" s="14" t="n">
        <f aca="false">AVERAGE(B714:B733)</f>
        <v>56.626</v>
      </c>
      <c r="E733" s="14" t="n">
        <f aca="false">(B733-D733)/D733*100</f>
        <v>1.19026595556811</v>
      </c>
    </row>
    <row r="734" customFormat="false" ht="15" hidden="false" customHeight="false" outlineLevel="0" collapsed="false">
      <c r="A734" s="12" t="n">
        <v>43069</v>
      </c>
      <c r="B734" s="15" t="n">
        <v>57.4</v>
      </c>
      <c r="C734" s="15" t="n">
        <v>63.57</v>
      </c>
      <c r="D734" s="14" t="n">
        <f aca="false">AVERAGE(B715:B734)</f>
        <v>56.781</v>
      </c>
      <c r="E734" s="14" t="n">
        <f aca="false">(B734-D734)/D734*100</f>
        <v>1.09015339638258</v>
      </c>
    </row>
    <row r="735" customFormat="false" ht="15" hidden="false" customHeight="false" outlineLevel="0" collapsed="false">
      <c r="A735" s="12" t="n">
        <v>43070</v>
      </c>
      <c r="B735" s="15" t="n">
        <v>58.36</v>
      </c>
      <c r="C735" s="15" t="n">
        <v>63.49</v>
      </c>
      <c r="D735" s="14" t="n">
        <f aca="false">AVERAGE(B716:B735)</f>
        <v>56.972</v>
      </c>
      <c r="E735" s="14" t="n">
        <f aca="false">(B735-D735)/D735*100</f>
        <v>2.43628449062697</v>
      </c>
    </row>
    <row r="736" customFormat="false" ht="15" hidden="false" customHeight="false" outlineLevel="0" collapsed="false">
      <c r="A736" s="12" t="n">
        <v>43073</v>
      </c>
      <c r="B736" s="15" t="n">
        <v>57.47</v>
      </c>
      <c r="C736" s="15" t="n">
        <v>62.45</v>
      </c>
      <c r="D736" s="14" t="n">
        <f aca="false">AVERAGE(B717:B736)</f>
        <v>57.0635</v>
      </c>
      <c r="E736" s="14" t="n">
        <f aca="false">(B736-D736)/D736*100</f>
        <v>0.712364295915955</v>
      </c>
    </row>
    <row r="737" customFormat="false" ht="15" hidden="false" customHeight="false" outlineLevel="0" collapsed="false">
      <c r="A737" s="12" t="n">
        <v>43074</v>
      </c>
      <c r="B737" s="15" t="n">
        <v>57.62</v>
      </c>
      <c r="C737" s="15" t="n">
        <v>62.86</v>
      </c>
      <c r="D737" s="14" t="n">
        <f aca="false">AVERAGE(B718:B737)</f>
        <v>57.077</v>
      </c>
      <c r="E737" s="14" t="n">
        <f aca="false">(B737-D737)/D737*100</f>
        <v>0.951346426756836</v>
      </c>
    </row>
    <row r="738" customFormat="false" ht="15" hidden="false" customHeight="false" outlineLevel="0" collapsed="false">
      <c r="A738" s="12" t="n">
        <v>43075</v>
      </c>
      <c r="B738" s="15" t="n">
        <v>55.96</v>
      </c>
      <c r="C738" s="15" t="n">
        <v>61.22</v>
      </c>
      <c r="D738" s="14" t="n">
        <f aca="false">AVERAGE(B719:B738)</f>
        <v>57.015</v>
      </c>
      <c r="E738" s="14" t="n">
        <f aca="false">(B738-D738)/D738*100</f>
        <v>-1.8503902481803</v>
      </c>
    </row>
    <row r="739" customFormat="false" ht="15" hidden="false" customHeight="false" outlineLevel="0" collapsed="false">
      <c r="A739" s="12" t="n">
        <v>43076</v>
      </c>
      <c r="B739" s="15" t="n">
        <v>56.69</v>
      </c>
      <c r="C739" s="15" t="n">
        <v>62.2</v>
      </c>
      <c r="D739" s="14" t="n">
        <f aca="false">AVERAGE(B720:B739)</f>
        <v>57.009</v>
      </c>
      <c r="E739" s="14" t="n">
        <f aca="false">(B739-D739)/D739*100</f>
        <v>-0.559560771106321</v>
      </c>
    </row>
    <row r="740" customFormat="false" ht="15" hidden="false" customHeight="false" outlineLevel="0" collapsed="false">
      <c r="A740" s="12" t="n">
        <v>43077</v>
      </c>
      <c r="B740" s="15" t="n">
        <v>57.36</v>
      </c>
      <c r="C740" s="15" t="n">
        <v>63.4</v>
      </c>
      <c r="D740" s="14" t="n">
        <f aca="false">AVERAGE(B721:B740)</f>
        <v>57.0185</v>
      </c>
      <c r="E740" s="14" t="n">
        <f aca="false">(B740-D740)/D740*100</f>
        <v>0.598928417969613</v>
      </c>
    </row>
    <row r="741" customFormat="false" ht="15" hidden="false" customHeight="false" outlineLevel="0" collapsed="false">
      <c r="A741" s="12" t="n">
        <v>43080</v>
      </c>
      <c r="B741" s="15" t="n">
        <v>57.99</v>
      </c>
      <c r="C741" s="15" t="n">
        <v>64.69</v>
      </c>
      <c r="D741" s="14" t="n">
        <f aca="false">AVERAGE(B722:B741)</f>
        <v>57.081</v>
      </c>
      <c r="E741" s="14" t="n">
        <f aca="false">(B741-D741)/D741*100</f>
        <v>1.59247385294582</v>
      </c>
    </row>
    <row r="742" customFormat="false" ht="15" hidden="false" customHeight="false" outlineLevel="0" collapsed="false">
      <c r="A742" s="12" t="n">
        <v>43081</v>
      </c>
      <c r="B742" s="15" t="n">
        <v>57.14</v>
      </c>
      <c r="C742" s="15" t="n">
        <v>63.34</v>
      </c>
      <c r="D742" s="14" t="n">
        <f aca="false">AVERAGE(B723:B742)</f>
        <v>57.1</v>
      </c>
      <c r="E742" s="14" t="n">
        <f aca="false">(B742-D742)/D742*100</f>
        <v>0.0700525394045519</v>
      </c>
    </row>
    <row r="743" customFormat="false" ht="15" hidden="false" customHeight="false" outlineLevel="0" collapsed="false">
      <c r="A743" s="12" t="n">
        <v>43082</v>
      </c>
      <c r="B743" s="15" t="n">
        <v>56.6</v>
      </c>
      <c r="C743" s="15" t="n">
        <v>62.44</v>
      </c>
      <c r="D743" s="14" t="n">
        <f aca="false">AVERAGE(B724:B743)</f>
        <v>57.145</v>
      </c>
      <c r="E743" s="14" t="n">
        <f aca="false">(B743-D743)/D743*100</f>
        <v>-0.953714235716164</v>
      </c>
    </row>
    <row r="744" customFormat="false" ht="15" hidden="false" customHeight="false" outlineLevel="0" collapsed="false">
      <c r="A744" s="12" t="n">
        <v>43083</v>
      </c>
      <c r="B744" s="15" t="n">
        <v>57.04</v>
      </c>
      <c r="C744" s="15" t="n">
        <v>63.31</v>
      </c>
      <c r="D744" s="14" t="n">
        <f aca="false">AVERAGE(B725:B744)</f>
        <v>57.2305</v>
      </c>
      <c r="E744" s="14" t="n">
        <f aca="false">(B744-D744)/D744*100</f>
        <v>-0.332864469120474</v>
      </c>
    </row>
    <row r="745" customFormat="false" ht="15" hidden="false" customHeight="false" outlineLevel="0" collapsed="false">
      <c r="A745" s="12" t="n">
        <v>43084</v>
      </c>
      <c r="B745" s="15" t="n">
        <v>57.3</v>
      </c>
      <c r="C745" s="15" t="n">
        <v>63.23</v>
      </c>
      <c r="D745" s="14" t="n">
        <f aca="false">AVERAGE(B726:B745)</f>
        <v>57.3385</v>
      </c>
      <c r="E745" s="14" t="n">
        <f aca="false">(B745-D745)/D745*100</f>
        <v>-0.0671451119230519</v>
      </c>
    </row>
    <row r="746" customFormat="false" ht="15" hidden="false" customHeight="false" outlineLevel="0" collapsed="false">
      <c r="A746" s="12" t="n">
        <v>43087</v>
      </c>
      <c r="B746" s="15" t="n">
        <v>57.16</v>
      </c>
      <c r="C746" s="15" t="n">
        <v>63.41</v>
      </c>
      <c r="D746" s="14" t="n">
        <f aca="false">AVERAGE(B727:B746)</f>
        <v>57.369</v>
      </c>
      <c r="E746" s="14" t="n">
        <f aca="false">(B746-D746)/D746*100</f>
        <v>-0.364308250100246</v>
      </c>
    </row>
    <row r="747" customFormat="false" ht="15" hidden="false" customHeight="false" outlineLevel="0" collapsed="false">
      <c r="A747" s="12" t="n">
        <v>43088</v>
      </c>
      <c r="B747" s="15" t="n">
        <v>57.46</v>
      </c>
      <c r="C747" s="15" t="n">
        <v>63.8</v>
      </c>
      <c r="D747" s="14" t="n">
        <f aca="false">AVERAGE(B728:B747)</f>
        <v>57.4375</v>
      </c>
      <c r="E747" s="14" t="n">
        <f aca="false">(B747-D747)/D747*100</f>
        <v>0.0391730141458121</v>
      </c>
    </row>
    <row r="748" customFormat="false" ht="15" hidden="false" customHeight="false" outlineLevel="0" collapsed="false">
      <c r="A748" s="12" t="n">
        <v>43089</v>
      </c>
      <c r="B748" s="15" t="n">
        <v>58.09</v>
      </c>
      <c r="C748" s="15" t="n">
        <v>64.56</v>
      </c>
      <c r="D748" s="14" t="n">
        <f aca="false">AVERAGE(B729:B748)</f>
        <v>57.5005</v>
      </c>
      <c r="E748" s="14" t="n">
        <f aca="false">(B748-D748)/D748*100</f>
        <v>1.02520847644803</v>
      </c>
    </row>
    <row r="749" customFormat="false" ht="15" hidden="false" customHeight="false" outlineLevel="0" collapsed="false">
      <c r="A749" s="12" t="n">
        <v>43090</v>
      </c>
      <c r="B749" s="15" t="n">
        <v>58.36</v>
      </c>
      <c r="C749" s="15" t="n">
        <v>64.9</v>
      </c>
      <c r="D749" s="14" t="n">
        <f aca="false">AVERAGE(B730:B749)</f>
        <v>57.5175</v>
      </c>
      <c r="E749" s="14" t="n">
        <f aca="false">(B749-D749)/D749*100</f>
        <v>1.46477159125484</v>
      </c>
    </row>
    <row r="750" customFormat="false" ht="15" hidden="false" customHeight="false" outlineLevel="0" collapsed="false">
      <c r="A750" s="12" t="n">
        <v>43091</v>
      </c>
      <c r="B750" s="15" t="n">
        <v>58.47</v>
      </c>
      <c r="C750" s="15" t="n">
        <v>65.25</v>
      </c>
      <c r="D750" s="14" t="n">
        <f aca="false">AVERAGE(B731:B750)</f>
        <v>57.4935</v>
      </c>
      <c r="E750" s="14" t="n">
        <f aca="false">(B750-D750)/D750*100</f>
        <v>1.69845286858515</v>
      </c>
    </row>
    <row r="751" customFormat="false" ht="15" hidden="false" customHeight="false" outlineLevel="0" collapsed="false">
      <c r="A751" s="12" t="n">
        <v>43095</v>
      </c>
      <c r="B751" s="15" t="n">
        <v>59.97</v>
      </c>
      <c r="C751" s="15" t="n">
        <v>67.02</v>
      </c>
      <c r="D751" s="14" t="n">
        <f aca="false">AVERAGE(B732:B751)</f>
        <v>57.5865</v>
      </c>
      <c r="E751" s="14" t="n">
        <f aca="false">(B751-D751)/D751*100</f>
        <v>4.1389909093277</v>
      </c>
    </row>
    <row r="752" customFormat="false" ht="15" hidden="false" customHeight="false" outlineLevel="0" collapsed="false">
      <c r="A752" s="12" t="n">
        <v>43096</v>
      </c>
      <c r="B752" s="15" t="n">
        <v>59.64</v>
      </c>
      <c r="C752" s="15" t="n">
        <v>66.44</v>
      </c>
      <c r="D752" s="14" t="n">
        <f aca="false">AVERAGE(B733:B752)</f>
        <v>57.669</v>
      </c>
      <c r="E752" s="14" t="n">
        <f aca="false">(B752-D752)/D752*100</f>
        <v>3.41778078343652</v>
      </c>
    </row>
    <row r="753" customFormat="false" ht="15" hidden="false" customHeight="false" outlineLevel="0" collapsed="false">
      <c r="A753" s="12" t="n">
        <v>43097</v>
      </c>
      <c r="B753" s="15" t="n">
        <v>59.84</v>
      </c>
      <c r="C753" s="15" t="n">
        <v>66.72</v>
      </c>
      <c r="D753" s="14" t="n">
        <f aca="false">AVERAGE(B734:B753)</f>
        <v>57.796</v>
      </c>
      <c r="E753" s="14" t="n">
        <f aca="false">(B753-D753)/D753*100</f>
        <v>3.5365769257388</v>
      </c>
    </row>
    <row r="754" customFormat="false" ht="15" hidden="false" customHeight="false" outlineLevel="0" collapsed="false">
      <c r="A754" s="12" t="n">
        <v>43098</v>
      </c>
      <c r="B754" s="15" t="n">
        <v>60.42</v>
      </c>
      <c r="C754" s="15" t="n">
        <v>66.6</v>
      </c>
      <c r="D754" s="14" t="n">
        <f aca="false">AVERAGE(B735:B754)</f>
        <v>57.947</v>
      </c>
      <c r="E754" s="14" t="n">
        <f aca="false">(B754-D754)/D754*100</f>
        <v>4.26769289178042</v>
      </c>
    </row>
    <row r="755" customFormat="false" ht="15" hidden="false" customHeight="false" outlineLevel="0" collapsed="false">
      <c r="A755" s="12" t="n">
        <v>43102</v>
      </c>
      <c r="B755" s="15" t="n">
        <v>60.37</v>
      </c>
      <c r="C755" s="15" t="n">
        <v>66.57</v>
      </c>
      <c r="D755" s="14" t="n">
        <f aca="false">AVERAGE(B736:B755)</f>
        <v>58.0475</v>
      </c>
      <c r="E755" s="14" t="n">
        <f aca="false">(B755-D755)/D755*100</f>
        <v>4.00103363624617</v>
      </c>
    </row>
    <row r="756" customFormat="false" ht="15" hidden="false" customHeight="false" outlineLevel="0" collapsed="false">
      <c r="A756" s="12" t="n">
        <v>43103</v>
      </c>
      <c r="B756" s="15" t="n">
        <v>61.63</v>
      </c>
      <c r="C756" s="15" t="n">
        <v>67.84</v>
      </c>
      <c r="D756" s="14" t="n">
        <f aca="false">AVERAGE(B737:B756)</f>
        <v>58.2555</v>
      </c>
      <c r="E756" s="14" t="n">
        <f aca="false">(B756-D756)/D756*100</f>
        <v>5.79258610774949</v>
      </c>
    </row>
    <row r="757" customFormat="false" ht="15" hidden="false" customHeight="false" outlineLevel="0" collapsed="false">
      <c r="A757" s="12" t="n">
        <v>43104</v>
      </c>
      <c r="B757" s="15" t="n">
        <v>62.01</v>
      </c>
      <c r="C757" s="15" t="n">
        <v>68.07</v>
      </c>
      <c r="D757" s="14" t="n">
        <f aca="false">AVERAGE(B738:B757)</f>
        <v>58.475</v>
      </c>
      <c r="E757" s="14" t="n">
        <f aca="false">(B757-D757)/D757*100</f>
        <v>6.04531851218469</v>
      </c>
    </row>
    <row r="758" customFormat="false" ht="15" hidden="false" customHeight="false" outlineLevel="0" collapsed="false">
      <c r="A758" s="12" t="n">
        <v>43105</v>
      </c>
      <c r="B758" s="15" t="n">
        <v>61.44</v>
      </c>
      <c r="C758" s="15" t="n">
        <v>67.62</v>
      </c>
      <c r="D758" s="14" t="n">
        <f aca="false">AVERAGE(B739:B758)</f>
        <v>58.749</v>
      </c>
      <c r="E758" s="14" t="n">
        <f aca="false">(B758-D758)/D758*100</f>
        <v>4.58050349793187</v>
      </c>
    </row>
    <row r="759" customFormat="false" ht="15" hidden="false" customHeight="false" outlineLevel="0" collapsed="false">
      <c r="A759" s="12" t="n">
        <v>43108</v>
      </c>
      <c r="B759" s="15" t="n">
        <v>61.73</v>
      </c>
      <c r="C759" s="15" t="n">
        <v>67.78</v>
      </c>
      <c r="D759" s="14" t="n">
        <f aca="false">AVERAGE(B740:B759)</f>
        <v>59.001</v>
      </c>
      <c r="E759" s="14" t="n">
        <f aca="false">(B759-D759)/D759*100</f>
        <v>4.62534533312995</v>
      </c>
    </row>
    <row r="760" customFormat="false" ht="15" hidden="false" customHeight="false" outlineLevel="0" collapsed="false">
      <c r="A760" s="12" t="n">
        <v>43109</v>
      </c>
      <c r="B760" s="15" t="n">
        <v>62.96</v>
      </c>
      <c r="C760" s="15" t="n">
        <v>68.82</v>
      </c>
      <c r="D760" s="14" t="n">
        <f aca="false">AVERAGE(B741:B760)</f>
        <v>59.281</v>
      </c>
      <c r="E760" s="14" t="n">
        <f aca="false">(B760-D760)/D760*100</f>
        <v>6.20603566066701</v>
      </c>
    </row>
    <row r="761" customFormat="false" ht="15" hidden="false" customHeight="false" outlineLevel="0" collapsed="false">
      <c r="A761" s="12" t="n">
        <v>43110</v>
      </c>
      <c r="B761" s="15" t="n">
        <v>63.57</v>
      </c>
      <c r="C761" s="15" t="n">
        <v>69.2</v>
      </c>
      <c r="D761" s="14" t="n">
        <f aca="false">AVERAGE(B742:B761)</f>
        <v>59.56</v>
      </c>
      <c r="E761" s="14" t="n">
        <f aca="false">(B761-D761)/D761*100</f>
        <v>6.73270651443922</v>
      </c>
    </row>
    <row r="762" customFormat="false" ht="15" hidden="false" customHeight="false" outlineLevel="0" collapsed="false">
      <c r="A762" s="12" t="n">
        <v>43111</v>
      </c>
      <c r="B762" s="15" t="n">
        <v>63.8</v>
      </c>
      <c r="C762" s="15" t="n">
        <v>69.26</v>
      </c>
      <c r="D762" s="14" t="n">
        <f aca="false">AVERAGE(B743:B762)</f>
        <v>59.893</v>
      </c>
      <c r="E762" s="14" t="n">
        <f aca="false">(B762-D762)/D762*100</f>
        <v>6.52329988479456</v>
      </c>
    </row>
    <row r="763" customFormat="false" ht="15" hidden="false" customHeight="false" outlineLevel="0" collapsed="false">
      <c r="A763" s="12" t="n">
        <v>43112</v>
      </c>
      <c r="B763" s="15" t="n">
        <v>64.3</v>
      </c>
      <c r="C763" s="15" t="n">
        <v>69.87</v>
      </c>
      <c r="D763" s="14" t="n">
        <f aca="false">AVERAGE(B744:B763)</f>
        <v>60.278</v>
      </c>
      <c r="E763" s="14" t="n">
        <f aca="false">(B763-D763)/D763*100</f>
        <v>6.67241779753807</v>
      </c>
    </row>
    <row r="764" customFormat="false" ht="15" hidden="false" customHeight="false" outlineLevel="0" collapsed="false">
      <c r="A764" s="12" t="n">
        <v>43116</v>
      </c>
      <c r="B764" s="15" t="n">
        <v>63.73</v>
      </c>
      <c r="C764" s="15" t="n">
        <v>69.15</v>
      </c>
      <c r="D764" s="14" t="n">
        <f aca="false">AVERAGE(B745:B764)</f>
        <v>60.6125</v>
      </c>
      <c r="E764" s="14" t="n">
        <f aca="false">(B764-D764)/D764*100</f>
        <v>5.14332852134461</v>
      </c>
    </row>
    <row r="765" customFormat="false" ht="15" hidden="false" customHeight="false" outlineLevel="0" collapsed="false">
      <c r="A765" s="12" t="n">
        <v>43117</v>
      </c>
      <c r="B765" s="15" t="n">
        <v>63.97</v>
      </c>
      <c r="C765" s="15" t="n">
        <v>69.38</v>
      </c>
      <c r="D765" s="14" t="n">
        <f aca="false">AVERAGE(B746:B765)</f>
        <v>60.946</v>
      </c>
      <c r="E765" s="14" t="n">
        <f aca="false">(B765-D765)/D765*100</f>
        <v>4.96176943523774</v>
      </c>
    </row>
    <row r="766" customFormat="false" ht="15" hidden="false" customHeight="false" outlineLevel="0" collapsed="false">
      <c r="A766" s="12" t="n">
        <v>43118</v>
      </c>
      <c r="B766" s="15" t="n">
        <v>63.95</v>
      </c>
      <c r="C766" s="15" t="n">
        <v>69.31</v>
      </c>
      <c r="D766" s="14" t="n">
        <f aca="false">AVERAGE(B747:B766)</f>
        <v>61.2855</v>
      </c>
      <c r="E766" s="14" t="n">
        <f aca="false">(B766-D766)/D766*100</f>
        <v>4.34768419936201</v>
      </c>
    </row>
    <row r="767" customFormat="false" ht="15" hidden="false" customHeight="false" outlineLevel="0" collapsed="false">
      <c r="A767" s="12" t="n">
        <v>43119</v>
      </c>
      <c r="B767" s="15" t="n">
        <v>63.37</v>
      </c>
      <c r="C767" s="15" t="n">
        <v>68.61</v>
      </c>
      <c r="D767" s="14" t="n">
        <f aca="false">AVERAGE(B748:B767)</f>
        <v>61.581</v>
      </c>
      <c r="E767" s="14" t="n">
        <f aca="false">(B767-D767)/D767*100</f>
        <v>2.90511683798575</v>
      </c>
    </row>
    <row r="768" customFormat="false" ht="15" hidden="false" customHeight="false" outlineLevel="0" collapsed="false">
      <c r="A768" s="12" t="n">
        <v>43122</v>
      </c>
      <c r="B768" s="15" t="n">
        <v>63.49</v>
      </c>
      <c r="C768" s="15" t="n">
        <v>69.03</v>
      </c>
      <c r="D768" s="14" t="n">
        <f aca="false">AVERAGE(B749:B768)</f>
        <v>61.851</v>
      </c>
      <c r="E768" s="14" t="n">
        <f aca="false">(B768-D768)/D768*100</f>
        <v>2.64991673538019</v>
      </c>
    </row>
    <row r="769" customFormat="false" ht="15" hidden="false" customHeight="false" outlineLevel="0" collapsed="false">
      <c r="A769" s="12" t="n">
        <v>43123</v>
      </c>
      <c r="B769" s="15" t="n">
        <v>64.47</v>
      </c>
      <c r="C769" s="15" t="n">
        <v>69.96</v>
      </c>
      <c r="D769" s="14" t="n">
        <f aca="false">AVERAGE(B750:B769)</f>
        <v>62.1565</v>
      </c>
      <c r="E769" s="14" t="n">
        <f aca="false">(B769-D769)/D769*100</f>
        <v>3.72205642209585</v>
      </c>
    </row>
    <row r="770" customFormat="false" ht="15" hidden="false" customHeight="false" outlineLevel="0" collapsed="false">
      <c r="A770" s="12" t="n">
        <v>43124</v>
      </c>
      <c r="B770" s="15" t="n">
        <v>65.61</v>
      </c>
      <c r="C770" s="15" t="n">
        <v>70.53</v>
      </c>
      <c r="D770" s="14" t="n">
        <f aca="false">AVERAGE(B751:B770)</f>
        <v>62.5135</v>
      </c>
      <c r="E770" s="14" t="n">
        <f aca="false">(B770-D770)/D770*100</f>
        <v>4.95333008070257</v>
      </c>
    </row>
    <row r="771" customFormat="false" ht="15" hidden="false" customHeight="false" outlineLevel="0" collapsed="false">
      <c r="A771" s="12" t="n">
        <v>43125</v>
      </c>
      <c r="B771" s="15" t="n">
        <v>65.51</v>
      </c>
      <c r="C771" s="15" t="n">
        <v>70.42</v>
      </c>
      <c r="D771" s="14" t="n">
        <f aca="false">AVERAGE(B752:B771)</f>
        <v>62.7905</v>
      </c>
      <c r="E771" s="14" t="n">
        <f aca="false">(B771-D771)/D771*100</f>
        <v>4.33106919040302</v>
      </c>
    </row>
    <row r="772" customFormat="false" ht="15" hidden="false" customHeight="false" outlineLevel="0" collapsed="false">
      <c r="A772" s="12" t="n">
        <v>43126</v>
      </c>
      <c r="B772" s="15" t="n">
        <v>66.14</v>
      </c>
      <c r="C772" s="15" t="n">
        <v>70.52</v>
      </c>
      <c r="D772" s="14" t="n">
        <f aca="false">AVERAGE(B753:B772)</f>
        <v>63.1155</v>
      </c>
      <c r="E772" s="14" t="n">
        <f aca="false">(B772-D772)/D772*100</f>
        <v>4.79200830223955</v>
      </c>
    </row>
    <row r="773" customFormat="false" ht="15" hidden="false" customHeight="false" outlineLevel="0" collapsed="false">
      <c r="A773" s="12" t="n">
        <v>43129</v>
      </c>
      <c r="B773" s="15" t="n">
        <v>65.56</v>
      </c>
      <c r="C773" s="15" t="n">
        <v>69.46</v>
      </c>
      <c r="D773" s="14" t="n">
        <f aca="false">AVERAGE(B754:B773)</f>
        <v>63.4015</v>
      </c>
      <c r="E773" s="14" t="n">
        <f aca="false">(B773-D773)/D773*100</f>
        <v>3.40449358453665</v>
      </c>
    </row>
    <row r="774" customFormat="false" ht="15" hidden="false" customHeight="false" outlineLevel="0" collapsed="false">
      <c r="A774" s="12" t="n">
        <v>43130</v>
      </c>
      <c r="B774" s="15" t="n">
        <v>64.5</v>
      </c>
      <c r="C774" s="15" t="n">
        <v>69.02</v>
      </c>
      <c r="D774" s="14" t="n">
        <f aca="false">AVERAGE(B755:B774)</f>
        <v>63.6055</v>
      </c>
      <c r="E774" s="14" t="n">
        <f aca="false">(B774-D774)/D774*100</f>
        <v>1.40632492473136</v>
      </c>
    </row>
    <row r="775" customFormat="false" ht="15" hidden="false" customHeight="false" outlineLevel="0" collapsed="false">
      <c r="A775" s="12" t="n">
        <v>43131</v>
      </c>
      <c r="B775" s="15" t="n">
        <v>64.73</v>
      </c>
      <c r="C775" s="15" t="n">
        <v>69.05</v>
      </c>
      <c r="D775" s="14" t="n">
        <f aca="false">AVERAGE(B756:B775)</f>
        <v>63.8235</v>
      </c>
      <c r="E775" s="14" t="n">
        <f aca="false">(B775-D775)/D775*100</f>
        <v>1.420323235172</v>
      </c>
    </row>
    <row r="776" customFormat="false" ht="15" hidden="false" customHeight="false" outlineLevel="0" collapsed="false">
      <c r="A776" s="12" t="n">
        <v>43132</v>
      </c>
      <c r="B776" s="15" t="n">
        <v>65.8</v>
      </c>
      <c r="C776" s="15" t="n">
        <v>69.08</v>
      </c>
      <c r="D776" s="14" t="n">
        <f aca="false">AVERAGE(B757:B776)</f>
        <v>64.032</v>
      </c>
      <c r="E776" s="14" t="n">
        <f aca="false">(B776-D776)/D776*100</f>
        <v>2.76111944027984</v>
      </c>
    </row>
    <row r="777" customFormat="false" ht="15" hidden="false" customHeight="false" outlineLevel="0" collapsed="false">
      <c r="A777" s="12" t="n">
        <v>43133</v>
      </c>
      <c r="B777" s="15" t="n">
        <v>65.45</v>
      </c>
      <c r="C777" s="15" t="n">
        <v>68.58</v>
      </c>
      <c r="D777" s="14" t="n">
        <f aca="false">AVERAGE(B758:B777)</f>
        <v>64.204</v>
      </c>
      <c r="E777" s="14" t="n">
        <f aca="false">(B777-D777)/D777*100</f>
        <v>1.94068905364153</v>
      </c>
    </row>
    <row r="778" customFormat="false" ht="15" hidden="false" customHeight="false" outlineLevel="0" collapsed="false">
      <c r="A778" s="12" t="n">
        <v>43136</v>
      </c>
      <c r="B778" s="15" t="n">
        <v>64.15</v>
      </c>
      <c r="C778" s="15" t="n">
        <v>67.62</v>
      </c>
      <c r="D778" s="14" t="n">
        <f aca="false">AVERAGE(B759:B778)</f>
        <v>64.3395</v>
      </c>
      <c r="E778" s="14" t="n">
        <f aca="false">(B778-D778)/D778*100</f>
        <v>-0.29453135321225</v>
      </c>
    </row>
    <row r="779" customFormat="false" ht="15" hidden="false" customHeight="false" outlineLevel="0" collapsed="false">
      <c r="A779" s="12" t="n">
        <v>43137</v>
      </c>
      <c r="B779" s="15" t="n">
        <v>63.39</v>
      </c>
      <c r="C779" s="15" t="n">
        <v>66.86</v>
      </c>
      <c r="D779" s="14" t="n">
        <f aca="false">AVERAGE(B760:B779)</f>
        <v>64.4225</v>
      </c>
      <c r="E779" s="14" t="n">
        <f aca="false">(B779-D779)/D779*100</f>
        <v>-1.60270091970973</v>
      </c>
    </row>
    <row r="780" customFormat="false" ht="15" hidden="false" customHeight="false" outlineLevel="0" collapsed="false">
      <c r="A780" s="12" t="n">
        <v>43138</v>
      </c>
      <c r="B780" s="15" t="n">
        <v>61.79</v>
      </c>
      <c r="C780" s="15" t="n">
        <v>65.51</v>
      </c>
      <c r="D780" s="14" t="n">
        <f aca="false">AVERAGE(B761:B780)</f>
        <v>64.364</v>
      </c>
      <c r="E780" s="14" t="n">
        <f aca="false">(B780-D780)/D780*100</f>
        <v>-3.99912994841838</v>
      </c>
    </row>
    <row r="781" customFormat="false" ht="15" hidden="false" customHeight="false" outlineLevel="0" collapsed="false">
      <c r="A781" s="12" t="n">
        <v>43139</v>
      </c>
      <c r="B781" s="15" t="n">
        <v>61.15</v>
      </c>
      <c r="C781" s="15" t="n">
        <v>64.81</v>
      </c>
      <c r="D781" s="14" t="n">
        <f aca="false">AVERAGE(B762:B781)</f>
        <v>64.243</v>
      </c>
      <c r="E781" s="14" t="n">
        <f aca="false">(B781-D781)/D781*100</f>
        <v>-4.81453232258767</v>
      </c>
    </row>
    <row r="782" customFormat="false" ht="15" hidden="false" customHeight="false" outlineLevel="0" collapsed="false">
      <c r="A782" s="12" t="n">
        <v>43140</v>
      </c>
      <c r="B782" s="15" t="n">
        <v>59.2</v>
      </c>
      <c r="C782" s="15" t="n">
        <v>62.79</v>
      </c>
      <c r="D782" s="14" t="n">
        <f aca="false">AVERAGE(B763:B782)</f>
        <v>64.013</v>
      </c>
      <c r="E782" s="14" t="n">
        <f aca="false">(B782-D782)/D782*100</f>
        <v>-7.51878524674676</v>
      </c>
    </row>
    <row r="783" customFormat="false" ht="15" hidden="false" customHeight="false" outlineLevel="0" collapsed="false">
      <c r="A783" s="12" t="n">
        <v>43143</v>
      </c>
      <c r="B783" s="15" t="n">
        <v>59.29</v>
      </c>
      <c r="C783" s="15" t="n">
        <v>62.59</v>
      </c>
      <c r="D783" s="14" t="n">
        <f aca="false">AVERAGE(B764:B783)</f>
        <v>63.7625</v>
      </c>
      <c r="E783" s="14" t="n">
        <f aca="false">(B783-D783)/D783*100</f>
        <v>-7.01431091942757</v>
      </c>
    </row>
    <row r="784" customFormat="false" ht="15" hidden="false" customHeight="false" outlineLevel="0" collapsed="false">
      <c r="A784" s="12" t="n">
        <v>43144</v>
      </c>
      <c r="B784" s="15" t="n">
        <v>59.19</v>
      </c>
      <c r="C784" s="15" t="n">
        <v>62.72</v>
      </c>
      <c r="D784" s="14" t="n">
        <f aca="false">AVERAGE(B765:B784)</f>
        <v>63.5355</v>
      </c>
      <c r="E784" s="14" t="n">
        <f aca="false">(B784-D784)/D784*100</f>
        <v>-6.83948343839271</v>
      </c>
    </row>
    <row r="785" customFormat="false" ht="15" hidden="false" customHeight="false" outlineLevel="0" collapsed="false">
      <c r="A785" s="12" t="n">
        <v>43145</v>
      </c>
      <c r="B785" s="15" t="n">
        <v>60.6</v>
      </c>
      <c r="C785" s="15" t="n">
        <v>64.36</v>
      </c>
      <c r="D785" s="14" t="n">
        <f aca="false">AVERAGE(B766:B785)</f>
        <v>63.367</v>
      </c>
      <c r="E785" s="14" t="n">
        <f aca="false">(B785-D785)/D785*100</f>
        <v>-4.36662616188236</v>
      </c>
    </row>
    <row r="786" customFormat="false" ht="15" hidden="false" customHeight="false" outlineLevel="0" collapsed="false">
      <c r="A786" s="12" t="n">
        <v>43146</v>
      </c>
      <c r="B786" s="15" t="n">
        <v>61.34</v>
      </c>
      <c r="C786" s="15" t="n">
        <v>64.33</v>
      </c>
      <c r="D786" s="14" t="n">
        <f aca="false">AVERAGE(B767:B786)</f>
        <v>63.2365</v>
      </c>
      <c r="E786" s="14" t="n">
        <f aca="false">(B786-D786)/D786*100</f>
        <v>-2.99905908771041</v>
      </c>
    </row>
    <row r="787" customFormat="false" ht="15" hidden="false" customHeight="false" outlineLevel="0" collapsed="false">
      <c r="A787" s="12" t="n">
        <v>43147</v>
      </c>
      <c r="B787" s="15" t="n">
        <v>61.68</v>
      </c>
      <c r="C787" s="15" t="n">
        <v>64.84</v>
      </c>
      <c r="D787" s="14" t="n">
        <f aca="false">AVERAGE(B768:B787)</f>
        <v>63.152</v>
      </c>
      <c r="E787" s="14" t="n">
        <f aca="false">(B787-D787)/D787*100</f>
        <v>-2.33088421586015</v>
      </c>
    </row>
    <row r="788" customFormat="false" ht="15" hidden="false" customHeight="false" outlineLevel="0" collapsed="false">
      <c r="A788" s="12" t="n">
        <v>43151</v>
      </c>
      <c r="B788" s="15" t="n">
        <v>61.9</v>
      </c>
      <c r="C788" s="15" t="n">
        <v>65.25</v>
      </c>
      <c r="D788" s="14" t="n">
        <f aca="false">AVERAGE(B769:B788)</f>
        <v>63.0725</v>
      </c>
      <c r="E788" s="14" t="n">
        <f aca="false">(B788-D788)/D788*100</f>
        <v>-1.85897181814579</v>
      </c>
    </row>
    <row r="789" customFormat="false" ht="15" hidden="false" customHeight="false" outlineLevel="0" collapsed="false">
      <c r="A789" s="12" t="n">
        <v>43152</v>
      </c>
      <c r="B789" s="15" t="n">
        <v>61.68</v>
      </c>
      <c r="C789" s="15" t="n">
        <v>65.42</v>
      </c>
      <c r="D789" s="14" t="n">
        <f aca="false">AVERAGE(B770:B789)</f>
        <v>62.933</v>
      </c>
      <c r="E789" s="14" t="n">
        <f aca="false">(B789-D789)/D789*100</f>
        <v>-1.99100630829614</v>
      </c>
    </row>
    <row r="790" customFormat="false" ht="15" hidden="false" customHeight="false" outlineLevel="0" collapsed="false">
      <c r="A790" s="12" t="n">
        <v>43153</v>
      </c>
      <c r="B790" s="15" t="n">
        <v>62.77</v>
      </c>
      <c r="C790" s="15" t="n">
        <v>66.39</v>
      </c>
      <c r="D790" s="14" t="n">
        <f aca="false">AVERAGE(B771:B790)</f>
        <v>62.791</v>
      </c>
      <c r="E790" s="14" t="n">
        <f aca="false">(B790-D790)/D790*100</f>
        <v>-0.0334442834164031</v>
      </c>
    </row>
    <row r="791" customFormat="false" ht="15" hidden="false" customHeight="false" outlineLevel="0" collapsed="false">
      <c r="A791" s="12" t="n">
        <v>43154</v>
      </c>
      <c r="B791" s="15" t="n">
        <v>63.55</v>
      </c>
      <c r="C791" s="15" t="n">
        <v>67.31</v>
      </c>
      <c r="D791" s="14" t="n">
        <f aca="false">AVERAGE(B772:B791)</f>
        <v>62.693</v>
      </c>
      <c r="E791" s="14" t="n">
        <f aca="false">(B791-D791)/D791*100</f>
        <v>1.36697876955959</v>
      </c>
    </row>
    <row r="792" customFormat="false" ht="15" hidden="false" customHeight="false" outlineLevel="0" collapsed="false">
      <c r="A792" s="12" t="n">
        <v>43157</v>
      </c>
      <c r="B792" s="15" t="n">
        <v>63.91</v>
      </c>
      <c r="C792" s="15" t="n">
        <v>67.5</v>
      </c>
      <c r="D792" s="14" t="n">
        <f aca="false">AVERAGE(B773:B792)</f>
        <v>62.5815</v>
      </c>
      <c r="E792" s="14" t="n">
        <f aca="false">(B792-D792)/D792*100</f>
        <v>2.12283182729719</v>
      </c>
    </row>
    <row r="793" customFormat="false" ht="15" hidden="false" customHeight="false" outlineLevel="0" collapsed="false">
      <c r="A793" s="12" t="n">
        <v>43158</v>
      </c>
      <c r="B793" s="15" t="n">
        <v>63.01</v>
      </c>
      <c r="C793" s="15" t="n">
        <v>66.63</v>
      </c>
      <c r="D793" s="14" t="n">
        <f aca="false">AVERAGE(B774:B793)</f>
        <v>62.454</v>
      </c>
      <c r="E793" s="14" t="n">
        <f aca="false">(B793-D793)/D793*100</f>
        <v>0.890255227847703</v>
      </c>
    </row>
    <row r="794" customFormat="false" ht="15" hidden="false" customHeight="false" outlineLevel="0" collapsed="false">
      <c r="A794" s="12" t="n">
        <v>43159</v>
      </c>
      <c r="B794" s="15" t="n">
        <v>61.64</v>
      </c>
      <c r="C794" s="15" t="n">
        <v>65.78</v>
      </c>
      <c r="D794" s="14" t="n">
        <f aca="false">AVERAGE(B775:B794)</f>
        <v>62.311</v>
      </c>
      <c r="E794" s="14" t="n">
        <f aca="false">(B794-D794)/D794*100</f>
        <v>-1.07685641379532</v>
      </c>
    </row>
    <row r="795" customFormat="false" ht="15" hidden="false" customHeight="false" outlineLevel="0" collapsed="false">
      <c r="A795" s="12" t="n">
        <v>43160</v>
      </c>
      <c r="B795" s="15" t="n">
        <v>60.99</v>
      </c>
      <c r="C795" s="15" t="n">
        <v>65.71</v>
      </c>
      <c r="D795" s="14" t="n">
        <f aca="false">AVERAGE(B776:B795)</f>
        <v>62.124</v>
      </c>
      <c r="E795" s="14" t="n">
        <f aca="false">(B795-D795)/D795*100</f>
        <v>-1.82538149507437</v>
      </c>
    </row>
    <row r="796" customFormat="false" ht="15" hidden="false" customHeight="false" outlineLevel="0" collapsed="false">
      <c r="A796" s="12" t="n">
        <v>43161</v>
      </c>
      <c r="B796" s="15" t="n">
        <v>61.25</v>
      </c>
      <c r="C796" s="15" t="n">
        <v>64.37</v>
      </c>
      <c r="D796" s="14" t="n">
        <f aca="false">AVERAGE(B777:B796)</f>
        <v>61.8965</v>
      </c>
      <c r="E796" s="14" t="n">
        <f aca="false">(B796-D796)/D796*100</f>
        <v>-1.0444855524949</v>
      </c>
    </row>
    <row r="797" customFormat="false" ht="15" hidden="false" customHeight="false" outlineLevel="0" collapsed="false">
      <c r="A797" s="12" t="n">
        <v>43164</v>
      </c>
      <c r="B797" s="15" t="n">
        <v>62.57</v>
      </c>
      <c r="C797" s="15" t="n">
        <v>65.54</v>
      </c>
      <c r="D797" s="14" t="n">
        <f aca="false">AVERAGE(B778:B797)</f>
        <v>61.7525</v>
      </c>
      <c r="E797" s="14" t="n">
        <f aca="false">(B797-D797)/D797*100</f>
        <v>1.32383304319664</v>
      </c>
    </row>
    <row r="798" customFormat="false" ht="15" hidden="false" customHeight="false" outlineLevel="0" collapsed="false">
      <c r="A798" s="12" t="n">
        <v>43165</v>
      </c>
      <c r="B798" s="15" t="n">
        <v>62.6</v>
      </c>
      <c r="C798" s="15" t="n">
        <v>65.79</v>
      </c>
      <c r="D798" s="14" t="n">
        <f aca="false">AVERAGE(B779:B798)</f>
        <v>61.675</v>
      </c>
      <c r="E798" s="14" t="n">
        <f aca="false">(B798-D798)/D798*100</f>
        <v>1.49979732468586</v>
      </c>
    </row>
    <row r="799" customFormat="false" ht="15" hidden="false" customHeight="false" outlineLevel="0" collapsed="false">
      <c r="A799" s="12" t="n">
        <v>43166</v>
      </c>
      <c r="B799" s="15" t="n">
        <v>61.15</v>
      </c>
      <c r="C799" s="15" t="n">
        <v>64.34</v>
      </c>
      <c r="D799" s="14" t="n">
        <f aca="false">AVERAGE(B780:B799)</f>
        <v>61.563</v>
      </c>
      <c r="E799" s="14" t="n">
        <f aca="false">(B799-D799)/D799*100</f>
        <v>-0.670857495573646</v>
      </c>
    </row>
    <row r="800" customFormat="false" ht="15" hidden="false" customHeight="false" outlineLevel="0" collapsed="false">
      <c r="A800" s="12" t="n">
        <v>43167</v>
      </c>
      <c r="B800" s="15" t="n">
        <v>60.12</v>
      </c>
      <c r="C800" s="15" t="n">
        <v>63.61</v>
      </c>
      <c r="D800" s="14" t="n">
        <f aca="false">AVERAGE(B781:B800)</f>
        <v>61.4795</v>
      </c>
      <c r="E800" s="14" t="n">
        <f aca="false">(B800-D800)/D800*100</f>
        <v>-2.21130620776031</v>
      </c>
    </row>
    <row r="801" customFormat="false" ht="15" hidden="false" customHeight="false" outlineLevel="0" collapsed="false">
      <c r="A801" s="12" t="n">
        <v>43168</v>
      </c>
      <c r="B801" s="15" t="n">
        <v>62.04</v>
      </c>
      <c r="C801" s="15" t="n">
        <v>65.49</v>
      </c>
      <c r="D801" s="14" t="n">
        <f aca="false">AVERAGE(B782:B801)</f>
        <v>61.524</v>
      </c>
      <c r="E801" s="14" t="n">
        <f aca="false">(B801-D801)/D801*100</f>
        <v>0.838697093817044</v>
      </c>
    </row>
    <row r="802" customFormat="false" ht="15" hidden="false" customHeight="false" outlineLevel="0" collapsed="false">
      <c r="A802" s="12" t="n">
        <v>43171</v>
      </c>
      <c r="B802" s="15" t="n">
        <v>61.36</v>
      </c>
      <c r="C802" s="15" t="n">
        <v>64.95</v>
      </c>
      <c r="D802" s="14" t="n">
        <f aca="false">AVERAGE(B783:B802)</f>
        <v>61.632</v>
      </c>
      <c r="E802" s="14" t="n">
        <f aca="false">(B802-D802)/D802*100</f>
        <v>-0.441329179646946</v>
      </c>
    </row>
    <row r="803" customFormat="false" ht="15" hidden="false" customHeight="false" outlineLevel="0" collapsed="false">
      <c r="A803" s="12" t="n">
        <v>43172</v>
      </c>
      <c r="B803" s="15" t="n">
        <v>60.71</v>
      </c>
      <c r="C803" s="15" t="n">
        <v>64.64</v>
      </c>
      <c r="D803" s="14" t="n">
        <f aca="false">AVERAGE(B784:B803)</f>
        <v>61.703</v>
      </c>
      <c r="E803" s="14" t="n">
        <f aca="false">(B803-D803)/D803*100</f>
        <v>-1.60932207510169</v>
      </c>
    </row>
    <row r="804" customFormat="false" ht="15" hidden="false" customHeight="false" outlineLevel="0" collapsed="false">
      <c r="A804" s="12" t="n">
        <v>43173</v>
      </c>
      <c r="B804" s="15" t="n">
        <v>60.96</v>
      </c>
      <c r="C804" s="15" t="n">
        <v>64.89</v>
      </c>
      <c r="D804" s="14" t="n">
        <f aca="false">AVERAGE(B785:B804)</f>
        <v>61.7915</v>
      </c>
      <c r="E804" s="14" t="n">
        <f aca="false">(B804-D804)/D804*100</f>
        <v>-1.3456543375707</v>
      </c>
    </row>
    <row r="805" customFormat="false" ht="15" hidden="false" customHeight="false" outlineLevel="0" collapsed="false">
      <c r="A805" s="12" t="n">
        <v>43174</v>
      </c>
      <c r="B805" s="15" t="n">
        <v>61.19</v>
      </c>
      <c r="C805" s="15" t="n">
        <v>65.12</v>
      </c>
      <c r="D805" s="14" t="n">
        <f aca="false">AVERAGE(B786:B805)</f>
        <v>61.821</v>
      </c>
      <c r="E805" s="14" t="n">
        <f aca="false">(B805-D805)/D805*100</f>
        <v>-1.02068876271818</v>
      </c>
    </row>
    <row r="806" customFormat="false" ht="15" hidden="false" customHeight="false" outlineLevel="0" collapsed="false">
      <c r="A806" s="12" t="n">
        <v>43175</v>
      </c>
      <c r="B806" s="15" t="n">
        <v>62.34</v>
      </c>
      <c r="C806" s="15" t="n">
        <v>66.21</v>
      </c>
      <c r="D806" s="14" t="n">
        <f aca="false">AVERAGE(B787:B806)</f>
        <v>61.871</v>
      </c>
      <c r="E806" s="14" t="n">
        <f aca="false">(B806-D806)/D806*100</f>
        <v>0.75802880186194</v>
      </c>
    </row>
    <row r="807" customFormat="false" ht="15" hidden="false" customHeight="false" outlineLevel="0" collapsed="false">
      <c r="A807" s="12" t="n">
        <v>43178</v>
      </c>
      <c r="B807" s="15" t="n">
        <v>62.06</v>
      </c>
      <c r="C807" s="15" t="n">
        <v>66.05</v>
      </c>
      <c r="D807" s="14" t="n">
        <f aca="false">AVERAGE(B788:B807)</f>
        <v>61.89</v>
      </c>
      <c r="E807" s="14" t="n">
        <f aca="false">(B807-D807)/D807*100</f>
        <v>0.274680885441916</v>
      </c>
    </row>
    <row r="808" customFormat="false" ht="15" hidden="false" customHeight="false" outlineLevel="0" collapsed="false">
      <c r="A808" s="12" t="n">
        <v>43179</v>
      </c>
      <c r="B808" s="15" t="n">
        <v>63.4</v>
      </c>
      <c r="C808" s="15" t="n">
        <v>67.42</v>
      </c>
      <c r="D808" s="14" t="n">
        <f aca="false">AVERAGE(B789:B808)</f>
        <v>61.965</v>
      </c>
      <c r="E808" s="14" t="n">
        <f aca="false">(B808-D808)/D808*100</f>
        <v>2.31582344872106</v>
      </c>
    </row>
    <row r="809" customFormat="false" ht="15" hidden="false" customHeight="false" outlineLevel="0" collapsed="false">
      <c r="A809" s="12" t="n">
        <v>43180</v>
      </c>
      <c r="B809" s="15" t="n">
        <v>65.17</v>
      </c>
      <c r="C809" s="15" t="n">
        <v>69.47</v>
      </c>
      <c r="D809" s="14" t="n">
        <f aca="false">AVERAGE(B790:B809)</f>
        <v>62.1395</v>
      </c>
      <c r="E809" s="14" t="n">
        <f aca="false">(B809-D809)/D809*100</f>
        <v>4.87693013300719</v>
      </c>
    </row>
    <row r="810" customFormat="false" ht="15" hidden="false" customHeight="false" outlineLevel="0" collapsed="false">
      <c r="A810" s="12" t="n">
        <v>43181</v>
      </c>
      <c r="B810" s="15" t="n">
        <v>64.3</v>
      </c>
      <c r="C810" s="15" t="n">
        <v>68.91</v>
      </c>
      <c r="D810" s="14" t="n">
        <f aca="false">AVERAGE(B791:B810)</f>
        <v>62.216</v>
      </c>
      <c r="E810" s="14" t="n">
        <f aca="false">(B810-D810)/D810*100</f>
        <v>3.34962067635336</v>
      </c>
    </row>
    <row r="811" customFormat="false" ht="15" hidden="false" customHeight="false" outlineLevel="0" collapsed="false">
      <c r="A811" s="12" t="n">
        <v>43182</v>
      </c>
      <c r="B811" s="15" t="n">
        <v>65.88</v>
      </c>
      <c r="C811" s="15" t="n">
        <v>70.45</v>
      </c>
      <c r="D811" s="14" t="n">
        <f aca="false">AVERAGE(B792:B811)</f>
        <v>62.3325</v>
      </c>
      <c r="E811" s="14" t="n">
        <f aca="false">(B811-D811)/D811*100</f>
        <v>5.69125255685235</v>
      </c>
    </row>
    <row r="812" customFormat="false" ht="15" hidden="false" customHeight="false" outlineLevel="0" collapsed="false">
      <c r="A812" s="12" t="n">
        <v>43185</v>
      </c>
      <c r="B812" s="15" t="n">
        <v>65.55</v>
      </c>
      <c r="C812" s="15" t="n">
        <v>70.12</v>
      </c>
      <c r="D812" s="14" t="n">
        <f aca="false">AVERAGE(B793:B812)</f>
        <v>62.4145</v>
      </c>
      <c r="E812" s="14" t="n">
        <f aca="false">(B812-D812)/D812*100</f>
        <v>5.02367238382107</v>
      </c>
    </row>
    <row r="813" customFormat="false" ht="15" hidden="false" customHeight="false" outlineLevel="0" collapsed="false">
      <c r="A813" s="12" t="n">
        <v>43186</v>
      </c>
      <c r="B813" s="15" t="n">
        <v>65.25</v>
      </c>
      <c r="C813" s="15" t="n">
        <v>70.11</v>
      </c>
      <c r="D813" s="14" t="n">
        <f aca="false">AVERAGE(B794:B813)</f>
        <v>62.5265</v>
      </c>
      <c r="E813" s="14" t="n">
        <f aca="false">(B813-D813)/D813*100</f>
        <v>4.35575316065988</v>
      </c>
    </row>
    <row r="814" customFormat="false" ht="15" hidden="false" customHeight="false" outlineLevel="0" collapsed="false">
      <c r="A814" s="12" t="n">
        <v>43187</v>
      </c>
      <c r="B814" s="15" t="n">
        <v>64.38</v>
      </c>
      <c r="C814" s="15" t="n">
        <v>69.53</v>
      </c>
      <c r="D814" s="14" t="n">
        <f aca="false">AVERAGE(B795:B814)</f>
        <v>62.6635</v>
      </c>
      <c r="E814" s="14" t="n">
        <f aca="false">(B814-D814)/D814*100</f>
        <v>2.73923416342847</v>
      </c>
    </row>
    <row r="815" customFormat="false" ht="15" hidden="false" customHeight="false" outlineLevel="0" collapsed="false">
      <c r="A815" s="12" t="n">
        <v>43188</v>
      </c>
      <c r="B815" s="15" t="n">
        <v>64.94</v>
      </c>
      <c r="C815" s="15" t="n">
        <v>70.27</v>
      </c>
      <c r="D815" s="14" t="n">
        <f aca="false">AVERAGE(B796:B815)</f>
        <v>62.861</v>
      </c>
      <c r="E815" s="14" t="n">
        <f aca="false">(B815-D815)/D815*100</f>
        <v>3.30729705222633</v>
      </c>
    </row>
    <row r="816" customFormat="false" ht="15" hidden="false" customHeight="false" outlineLevel="0" collapsed="false">
      <c r="A816" s="12" t="n">
        <v>43192</v>
      </c>
      <c r="B816" s="15" t="n">
        <v>63.01</v>
      </c>
      <c r="C816" s="15" t="n">
        <v>67.64</v>
      </c>
      <c r="D816" s="14" t="n">
        <f aca="false">AVERAGE(B797:B816)</f>
        <v>62.949</v>
      </c>
      <c r="E816" s="14" t="n">
        <f aca="false">(B816-D816)/D816*100</f>
        <v>0.0969038427933723</v>
      </c>
    </row>
    <row r="817" customFormat="false" ht="15" hidden="false" customHeight="false" outlineLevel="0" collapsed="false">
      <c r="A817" s="12" t="n">
        <v>43193</v>
      </c>
      <c r="B817" s="15" t="n">
        <v>63.51</v>
      </c>
      <c r="C817" s="15" t="n">
        <v>68.12</v>
      </c>
      <c r="D817" s="14" t="n">
        <f aca="false">AVERAGE(B798:B817)</f>
        <v>62.996</v>
      </c>
      <c r="E817" s="14" t="n">
        <f aca="false">(B817-D817)/D817*100</f>
        <v>0.815924820623525</v>
      </c>
    </row>
    <row r="818" customFormat="false" ht="15" hidden="false" customHeight="false" outlineLevel="0" collapsed="false">
      <c r="A818" s="12" t="n">
        <v>43194</v>
      </c>
      <c r="B818" s="15" t="n">
        <v>63.37</v>
      </c>
      <c r="C818" s="15" t="n">
        <v>68.02</v>
      </c>
      <c r="D818" s="14" t="n">
        <f aca="false">AVERAGE(B799:B818)</f>
        <v>63.0345</v>
      </c>
      <c r="E818" s="14" t="n">
        <f aca="false">(B818-D818)/D818*100</f>
        <v>0.532248213280023</v>
      </c>
    </row>
    <row r="819" customFormat="false" ht="15" hidden="false" customHeight="false" outlineLevel="0" collapsed="false">
      <c r="A819" s="12" t="n">
        <v>43195</v>
      </c>
      <c r="B819" s="15" t="n">
        <v>63.54</v>
      </c>
      <c r="C819" s="15" t="n">
        <v>68.33</v>
      </c>
      <c r="D819" s="14" t="n">
        <f aca="false">AVERAGE(B800:B819)</f>
        <v>63.154</v>
      </c>
      <c r="E819" s="14" t="n">
        <f aca="false">(B819-D819)/D819*100</f>
        <v>0.611204357602057</v>
      </c>
    </row>
    <row r="820" customFormat="false" ht="15" hidden="false" customHeight="false" outlineLevel="0" collapsed="false">
      <c r="A820" s="12" t="n">
        <v>43196</v>
      </c>
      <c r="B820" s="15" t="n">
        <v>62.06</v>
      </c>
      <c r="C820" s="15" t="n">
        <v>67.11</v>
      </c>
      <c r="D820" s="14" t="n">
        <f aca="false">AVERAGE(B801:B820)</f>
        <v>63.251</v>
      </c>
      <c r="E820" s="14" t="n">
        <f aca="false">(B820-D820)/D820*100</f>
        <v>-1.88297418222636</v>
      </c>
    </row>
    <row r="821" customFormat="false" ht="15" hidden="false" customHeight="false" outlineLevel="0" collapsed="false">
      <c r="A821" s="12" t="n">
        <v>43199</v>
      </c>
      <c r="B821" s="15" t="n">
        <v>63.42</v>
      </c>
      <c r="C821" s="15" t="n">
        <v>68.65</v>
      </c>
      <c r="D821" s="14" t="n">
        <f aca="false">AVERAGE(B802:B821)</f>
        <v>63.32</v>
      </c>
      <c r="E821" s="14" t="n">
        <f aca="false">(B821-D821)/D821*100</f>
        <v>0.157927984838904</v>
      </c>
    </row>
    <row r="822" customFormat="false" ht="15" hidden="false" customHeight="false" outlineLevel="0" collapsed="false">
      <c r="A822" s="12" t="n">
        <v>43200</v>
      </c>
      <c r="B822" s="15" t="n">
        <v>65.51</v>
      </c>
      <c r="C822" s="15" t="n">
        <v>71.04</v>
      </c>
      <c r="D822" s="14" t="n">
        <f aca="false">AVERAGE(B803:B822)</f>
        <v>63.5275</v>
      </c>
      <c r="E822" s="14" t="n">
        <f aca="false">(B822-D822)/D822*100</f>
        <v>3.12069576167803</v>
      </c>
    </row>
    <row r="823" customFormat="false" ht="15" hidden="false" customHeight="false" outlineLevel="0" collapsed="false">
      <c r="A823" s="12" t="n">
        <v>43201</v>
      </c>
      <c r="B823" s="15" t="n">
        <v>66.82</v>
      </c>
      <c r="C823" s="15" t="n">
        <v>72.06</v>
      </c>
      <c r="D823" s="14" t="n">
        <f aca="false">AVERAGE(B804:B823)</f>
        <v>63.833</v>
      </c>
      <c r="E823" s="14" t="n">
        <f aca="false">(B823-D823)/D823*100</f>
        <v>4.67939780364386</v>
      </c>
    </row>
    <row r="824" customFormat="false" ht="15" hidden="false" customHeight="false" outlineLevel="0" collapsed="false">
      <c r="A824" s="12" t="n">
        <v>43202</v>
      </c>
      <c r="B824" s="15" t="n">
        <v>67.07</v>
      </c>
      <c r="C824" s="15" t="n">
        <v>72.02</v>
      </c>
      <c r="D824" s="14" t="n">
        <f aca="false">AVERAGE(B805:B824)</f>
        <v>64.1385</v>
      </c>
      <c r="E824" s="14" t="n">
        <f aca="false">(B824-D824)/D824*100</f>
        <v>4.57057773412225</v>
      </c>
    </row>
    <row r="825" customFormat="false" ht="15" hidden="false" customHeight="false" outlineLevel="0" collapsed="false">
      <c r="A825" s="12" t="n">
        <v>43203</v>
      </c>
      <c r="B825" s="15" t="n">
        <v>67.39</v>
      </c>
      <c r="C825" s="15" t="n">
        <v>72.58</v>
      </c>
      <c r="D825" s="14" t="n">
        <f aca="false">AVERAGE(B806:B825)</f>
        <v>64.4485</v>
      </c>
      <c r="E825" s="14" t="n">
        <f aca="false">(B825-D825)/D825*100</f>
        <v>4.56410932760267</v>
      </c>
    </row>
    <row r="826" customFormat="false" ht="15" hidden="false" customHeight="false" outlineLevel="0" collapsed="false">
      <c r="A826" s="12" t="n">
        <v>43206</v>
      </c>
      <c r="B826" s="15" t="n">
        <v>66.22</v>
      </c>
      <c r="C826" s="15" t="n">
        <v>71.42</v>
      </c>
      <c r="D826" s="14" t="n">
        <f aca="false">AVERAGE(B807:B826)</f>
        <v>64.6425</v>
      </c>
      <c r="E826" s="14" t="n">
        <f aca="false">(B826-D826)/D826*100</f>
        <v>2.44034497428163</v>
      </c>
    </row>
    <row r="827" customFormat="false" ht="15" hidden="false" customHeight="false" outlineLevel="0" collapsed="false">
      <c r="A827" s="12" t="n">
        <v>43207</v>
      </c>
      <c r="B827" s="15" t="n">
        <v>66.52</v>
      </c>
      <c r="C827" s="15" t="n">
        <v>71.58</v>
      </c>
      <c r="D827" s="14" t="n">
        <f aca="false">AVERAGE(B808:B827)</f>
        <v>64.8655</v>
      </c>
      <c r="E827" s="14" t="n">
        <f aca="false">(B827-D827)/D827*100</f>
        <v>2.55066252476278</v>
      </c>
    </row>
    <row r="828" customFormat="false" ht="15" hidden="false" customHeight="false" outlineLevel="0" collapsed="false">
      <c r="A828" s="12" t="n">
        <v>43208</v>
      </c>
      <c r="B828" s="15" t="n">
        <v>68.47</v>
      </c>
      <c r="C828" s="15" t="n">
        <v>73.48</v>
      </c>
      <c r="D828" s="14" t="n">
        <f aca="false">AVERAGE(B809:B828)</f>
        <v>65.119</v>
      </c>
      <c r="E828" s="14" t="n">
        <f aca="false">(B828-D828)/D828*100</f>
        <v>5.14596354366621</v>
      </c>
    </row>
    <row r="829" customFormat="false" ht="15" hidden="false" customHeight="false" outlineLevel="0" collapsed="false">
      <c r="A829" s="12" t="n">
        <v>43209</v>
      </c>
      <c r="B829" s="15" t="n">
        <v>68.29</v>
      </c>
      <c r="C829" s="15" t="n">
        <v>73.78</v>
      </c>
      <c r="D829" s="14" t="n">
        <f aca="false">AVERAGE(B810:B829)</f>
        <v>65.275</v>
      </c>
      <c r="E829" s="14" t="n">
        <f aca="false">(B829-D829)/D829*100</f>
        <v>4.6189199540406</v>
      </c>
    </row>
    <row r="830" customFormat="false" ht="15" hidden="false" customHeight="false" outlineLevel="0" collapsed="false">
      <c r="A830" s="12" t="n">
        <v>43210</v>
      </c>
      <c r="B830" s="15" t="n">
        <v>68.38</v>
      </c>
      <c r="C830" s="15" t="n">
        <v>74.06</v>
      </c>
      <c r="D830" s="14" t="n">
        <f aca="false">AVERAGE(B811:B830)</f>
        <v>65.479</v>
      </c>
      <c r="E830" s="14" t="n">
        <f aca="false">(B830-D830)/D830*100</f>
        <v>4.43042807617709</v>
      </c>
    </row>
    <row r="831" customFormat="false" ht="15" hidden="false" customHeight="false" outlineLevel="0" collapsed="false">
      <c r="A831" s="12" t="n">
        <v>43213</v>
      </c>
      <c r="B831" s="15" t="n">
        <v>68.64</v>
      </c>
      <c r="C831" s="15" t="n">
        <v>74.71</v>
      </c>
      <c r="D831" s="14" t="n">
        <f aca="false">AVERAGE(B812:B831)</f>
        <v>65.617</v>
      </c>
      <c r="E831" s="14" t="n">
        <f aca="false">(B831-D831)/D831*100</f>
        <v>4.60703781032356</v>
      </c>
    </row>
    <row r="832" customFormat="false" ht="15" hidden="false" customHeight="false" outlineLevel="0" collapsed="false">
      <c r="A832" s="12" t="n">
        <v>43214</v>
      </c>
      <c r="B832" s="15" t="n">
        <v>67.7</v>
      </c>
      <c r="C832" s="15" t="n">
        <v>73.86</v>
      </c>
      <c r="D832" s="14" t="n">
        <f aca="false">AVERAGE(B813:B832)</f>
        <v>65.7245</v>
      </c>
      <c r="E832" s="14" t="n">
        <f aca="false">(B832-D832)/D832*100</f>
        <v>3.00572845742455</v>
      </c>
    </row>
    <row r="833" customFormat="false" ht="15" hidden="false" customHeight="false" outlineLevel="0" collapsed="false">
      <c r="A833" s="12" t="n">
        <v>43215</v>
      </c>
      <c r="B833" s="15" t="n">
        <v>68.05</v>
      </c>
      <c r="C833" s="15" t="n">
        <v>74</v>
      </c>
      <c r="D833" s="14" t="n">
        <f aca="false">AVERAGE(B814:B833)</f>
        <v>65.8645</v>
      </c>
      <c r="E833" s="14" t="n">
        <f aca="false">(B833-D833)/D833*100</f>
        <v>3.31817595214418</v>
      </c>
    </row>
    <row r="834" customFormat="false" ht="15" hidden="false" customHeight="false" outlineLevel="0" collapsed="false">
      <c r="A834" s="12" t="n">
        <v>43216</v>
      </c>
      <c r="B834" s="15" t="n">
        <v>68.19</v>
      </c>
      <c r="C834" s="15" t="n">
        <v>74.74</v>
      </c>
      <c r="D834" s="14" t="n">
        <f aca="false">AVERAGE(B815:B834)</f>
        <v>66.055</v>
      </c>
      <c r="E834" s="14" t="n">
        <f aca="false">(B834-D834)/D834*100</f>
        <v>3.23215502232988</v>
      </c>
    </row>
    <row r="835" customFormat="false" ht="15" hidden="false" customHeight="false" outlineLevel="0" collapsed="false">
      <c r="A835" s="12" t="n">
        <v>43217</v>
      </c>
      <c r="B835" s="15" t="n">
        <v>68.1</v>
      </c>
      <c r="C835" s="15" t="n">
        <v>74.64</v>
      </c>
      <c r="D835" s="14" t="n">
        <f aca="false">AVERAGE(B816:B835)</f>
        <v>66.213</v>
      </c>
      <c r="E835" s="14" t="n">
        <f aca="false">(B835-D835)/D835*100</f>
        <v>2.84989352544062</v>
      </c>
    </row>
    <row r="836" customFormat="false" ht="15" hidden="false" customHeight="false" outlineLevel="0" collapsed="false">
      <c r="A836" s="12" t="n">
        <v>43220</v>
      </c>
      <c r="B836" s="15" t="n">
        <v>68.57</v>
      </c>
      <c r="C836" s="15" t="n">
        <v>75.17</v>
      </c>
      <c r="D836" s="14" t="n">
        <f aca="false">AVERAGE(B817:B836)</f>
        <v>66.491</v>
      </c>
      <c r="E836" s="14" t="n">
        <f aca="false">(B836-D836)/D836*100</f>
        <v>3.12673895715209</v>
      </c>
    </row>
    <row r="837" customFormat="false" ht="15" hidden="false" customHeight="false" outlineLevel="0" collapsed="false">
      <c r="A837" s="12" t="n">
        <v>43221</v>
      </c>
      <c r="B837" s="15" t="n">
        <v>67.25</v>
      </c>
      <c r="C837" s="15" t="n">
        <v>75.17</v>
      </c>
      <c r="D837" s="14" t="n">
        <f aca="false">AVERAGE(B818:B837)</f>
        <v>66.678</v>
      </c>
      <c r="E837" s="14" t="n">
        <f aca="false">(B837-D837)/D837*100</f>
        <v>0.85785416479199</v>
      </c>
    </row>
    <row r="838" customFormat="false" ht="15" hidden="false" customHeight="false" outlineLevel="0" collapsed="false">
      <c r="A838" s="12" t="n">
        <v>43222</v>
      </c>
      <c r="B838" s="15" t="n">
        <v>67.93</v>
      </c>
      <c r="C838" s="15" t="n">
        <v>73.36</v>
      </c>
      <c r="D838" s="14" t="n">
        <f aca="false">AVERAGE(B819:B838)</f>
        <v>66.906</v>
      </c>
      <c r="E838" s="14" t="n">
        <f aca="false">(B838-D838)/D838*100</f>
        <v>1.53050548530777</v>
      </c>
    </row>
    <row r="839" customFormat="false" ht="15" hidden="false" customHeight="false" outlineLevel="0" collapsed="false">
      <c r="A839" s="12" t="n">
        <v>43223</v>
      </c>
      <c r="B839" s="15" t="n">
        <v>68.43</v>
      </c>
      <c r="C839" s="15" t="n">
        <v>73.62</v>
      </c>
      <c r="D839" s="14" t="n">
        <f aca="false">AVERAGE(B820:B839)</f>
        <v>67.1505</v>
      </c>
      <c r="E839" s="14" t="n">
        <f aca="false">(B839-D839)/D839*100</f>
        <v>1.90542140415933</v>
      </c>
    </row>
    <row r="840" customFormat="false" ht="15" hidden="false" customHeight="false" outlineLevel="0" collapsed="false">
      <c r="A840" s="12" t="n">
        <v>43224</v>
      </c>
      <c r="B840" s="15" t="n">
        <v>69.72</v>
      </c>
      <c r="C840" s="15" t="n">
        <v>74.87</v>
      </c>
      <c r="D840" s="14" t="n">
        <f aca="false">AVERAGE(B821:B840)</f>
        <v>67.5335</v>
      </c>
      <c r="E840" s="14" t="n">
        <f aca="false">(B840-D840)/D840*100</f>
        <v>3.23765242435235</v>
      </c>
    </row>
    <row r="841" customFormat="false" ht="15" hidden="false" customHeight="false" outlineLevel="0" collapsed="false">
      <c r="A841" s="12" t="n">
        <v>43227</v>
      </c>
      <c r="B841" s="15" t="n">
        <v>70.73</v>
      </c>
      <c r="C841" s="15" t="n">
        <v>76.17</v>
      </c>
      <c r="D841" s="14" t="n">
        <f aca="false">AVERAGE(B822:B841)</f>
        <v>67.899</v>
      </c>
      <c r="E841" s="14" t="n">
        <f aca="false">(B841-D841)/D841*100</f>
        <v>4.16942812117999</v>
      </c>
    </row>
    <row r="842" customFormat="false" ht="15" hidden="false" customHeight="false" outlineLevel="0" collapsed="false">
      <c r="A842" s="12" t="n">
        <v>43228</v>
      </c>
      <c r="B842" s="15" t="n">
        <v>69.06</v>
      </c>
      <c r="C842" s="15" t="n">
        <v>74.85</v>
      </c>
      <c r="D842" s="14" t="n">
        <f aca="false">AVERAGE(B823:B842)</f>
        <v>68.0765</v>
      </c>
      <c r="E842" s="14" t="n">
        <f aca="false">(B842-D842)/D842*100</f>
        <v>1.4446982438874</v>
      </c>
    </row>
    <row r="843" customFormat="false" ht="15" hidden="false" customHeight="false" outlineLevel="0" collapsed="false">
      <c r="A843" s="12" t="n">
        <v>43229</v>
      </c>
      <c r="B843" s="15" t="n">
        <v>71.14</v>
      </c>
      <c r="C843" s="15" t="n">
        <v>77.21</v>
      </c>
      <c r="D843" s="14" t="n">
        <f aca="false">AVERAGE(B824:B843)</f>
        <v>68.2925</v>
      </c>
      <c r="E843" s="14" t="n">
        <f aca="false">(B843-D843)/D843*100</f>
        <v>4.16956473990557</v>
      </c>
    </row>
    <row r="844" customFormat="false" ht="15" hidden="false" customHeight="false" outlineLevel="0" collapsed="false">
      <c r="A844" s="12" t="n">
        <v>43230</v>
      </c>
      <c r="B844" s="15" t="n">
        <v>71.36</v>
      </c>
      <c r="C844" s="15" t="n">
        <v>77.47</v>
      </c>
      <c r="D844" s="14" t="n">
        <f aca="false">AVERAGE(B825:B844)</f>
        <v>68.507</v>
      </c>
      <c r="E844" s="14" t="n">
        <f aca="false">(B844-D844)/D844*100</f>
        <v>4.16453793043046</v>
      </c>
    </row>
    <row r="845" customFormat="false" ht="15" hidden="false" customHeight="false" outlineLevel="0" collapsed="false">
      <c r="A845" s="12" t="n">
        <v>43231</v>
      </c>
      <c r="B845" s="15" t="n">
        <v>70.7</v>
      </c>
      <c r="C845" s="15" t="n">
        <v>77.12</v>
      </c>
      <c r="D845" s="14" t="n">
        <f aca="false">AVERAGE(B826:B845)</f>
        <v>68.6725</v>
      </c>
      <c r="E845" s="14" t="n">
        <f aca="false">(B845-D845)/D845*100</f>
        <v>2.95241909061124</v>
      </c>
    </row>
    <row r="846" customFormat="false" ht="15" hidden="false" customHeight="false" outlineLevel="0" collapsed="false">
      <c r="A846" s="12" t="n">
        <v>43234</v>
      </c>
      <c r="B846" s="15" t="n">
        <v>70.96</v>
      </c>
      <c r="C846" s="15" t="n">
        <v>78.23</v>
      </c>
      <c r="D846" s="14" t="n">
        <f aca="false">AVERAGE(B827:B846)</f>
        <v>68.9095</v>
      </c>
      <c r="E846" s="14" t="n">
        <f aca="false">(B846-D846)/D846*100</f>
        <v>2.9756419651862</v>
      </c>
    </row>
    <row r="847" customFormat="false" ht="15" hidden="false" customHeight="false" outlineLevel="0" collapsed="false">
      <c r="A847" s="12" t="n">
        <v>43235</v>
      </c>
      <c r="B847" s="15" t="n">
        <v>71.31</v>
      </c>
      <c r="C847" s="15" t="n">
        <v>78.43</v>
      </c>
      <c r="D847" s="14" t="n">
        <f aca="false">AVERAGE(B828:B847)</f>
        <v>69.149</v>
      </c>
      <c r="E847" s="14" t="n">
        <f aca="false">(B847-D847)/D847*100</f>
        <v>3.12513557679793</v>
      </c>
    </row>
    <row r="848" customFormat="false" ht="15" hidden="false" customHeight="false" outlineLevel="0" collapsed="false">
      <c r="A848" s="12" t="n">
        <v>43236</v>
      </c>
      <c r="B848" s="15" t="n">
        <v>71.49</v>
      </c>
      <c r="C848" s="15" t="n">
        <v>79.28</v>
      </c>
      <c r="D848" s="14" t="n">
        <f aca="false">AVERAGE(B829:B848)</f>
        <v>69.3</v>
      </c>
      <c r="E848" s="14" t="n">
        <f aca="false">(B848-D848)/D848*100</f>
        <v>3.16017316017316</v>
      </c>
    </row>
    <row r="849" customFormat="false" ht="15" hidden="false" customHeight="false" outlineLevel="0" collapsed="false">
      <c r="A849" s="12" t="n">
        <v>43237</v>
      </c>
      <c r="B849" s="15" t="n">
        <v>71.49</v>
      </c>
      <c r="C849" s="15" t="n">
        <v>79.3</v>
      </c>
      <c r="D849" s="14" t="n">
        <f aca="false">AVERAGE(B830:B849)</f>
        <v>69.46</v>
      </c>
      <c r="E849" s="14" t="n">
        <f aca="false">(B849-D849)/D849*100</f>
        <v>2.92254534984162</v>
      </c>
    </row>
    <row r="850" customFormat="false" ht="15" hidden="false" customHeight="false" outlineLevel="0" collapsed="false">
      <c r="A850" s="12" t="n">
        <v>43238</v>
      </c>
      <c r="B850" s="15" t="n">
        <v>71.28</v>
      </c>
      <c r="C850" s="15" t="n">
        <v>78.51</v>
      </c>
      <c r="D850" s="14" t="n">
        <f aca="false">AVERAGE(B831:B850)</f>
        <v>69.605</v>
      </c>
      <c r="E850" s="14" t="n">
        <f aca="false">(B850-D850)/D850*100</f>
        <v>2.40643631922996</v>
      </c>
    </row>
    <row r="851" customFormat="false" ht="15" hidden="false" customHeight="false" outlineLevel="0" collapsed="false">
      <c r="A851" s="12" t="n">
        <v>43241</v>
      </c>
      <c r="B851" s="15" t="n">
        <v>72.24</v>
      </c>
      <c r="C851" s="15" t="n">
        <v>79.22</v>
      </c>
      <c r="D851" s="14" t="n">
        <f aca="false">AVERAGE(B832:B851)</f>
        <v>69.785</v>
      </c>
      <c r="E851" s="14" t="n">
        <f aca="false">(B851-D851)/D851*100</f>
        <v>3.51794798309092</v>
      </c>
    </row>
    <row r="852" customFormat="false" ht="15" hidden="false" customHeight="false" outlineLevel="0" collapsed="false">
      <c r="A852" s="12" t="n">
        <v>43242</v>
      </c>
      <c r="B852" s="15" t="n">
        <v>72.13</v>
      </c>
      <c r="C852" s="15" t="n">
        <v>79.57</v>
      </c>
      <c r="D852" s="14" t="n">
        <f aca="false">AVERAGE(B833:B852)</f>
        <v>70.0065</v>
      </c>
      <c r="E852" s="14" t="n">
        <f aca="false">(B852-D852)/D852*100</f>
        <v>3.03328976595032</v>
      </c>
    </row>
    <row r="853" customFormat="false" ht="15" hidden="false" customHeight="false" outlineLevel="0" collapsed="false">
      <c r="A853" s="12" t="n">
        <v>43243</v>
      </c>
      <c r="B853" s="15" t="n">
        <v>71.84</v>
      </c>
      <c r="C853" s="15" t="n">
        <v>79.8</v>
      </c>
      <c r="D853" s="14" t="n">
        <f aca="false">AVERAGE(B834:B853)</f>
        <v>70.196</v>
      </c>
      <c r="E853" s="14" t="n">
        <f aca="false">(B853-D853)/D853*100</f>
        <v>2.34201378995955</v>
      </c>
    </row>
    <row r="854" customFormat="false" ht="15" hidden="false" customHeight="false" outlineLevel="0" collapsed="false">
      <c r="A854" s="12" t="n">
        <v>43244</v>
      </c>
      <c r="B854" s="15" t="n">
        <v>70.71</v>
      </c>
      <c r="C854" s="15" t="n">
        <v>78.79</v>
      </c>
      <c r="D854" s="14" t="n">
        <f aca="false">AVERAGE(B835:B854)</f>
        <v>70.322</v>
      </c>
      <c r="E854" s="14" t="n">
        <f aca="false">(B854-D854)/D854*100</f>
        <v>0.55174767498079</v>
      </c>
    </row>
    <row r="855" customFormat="false" ht="15" hidden="false" customHeight="false" outlineLevel="0" collapsed="false">
      <c r="A855" s="12" t="n">
        <v>43245</v>
      </c>
      <c r="B855" s="15" t="n">
        <v>67.88</v>
      </c>
      <c r="C855" s="15" t="n">
        <v>76.44</v>
      </c>
      <c r="D855" s="14" t="n">
        <f aca="false">AVERAGE(B836:B855)</f>
        <v>70.311</v>
      </c>
      <c r="E855" s="14" t="n">
        <f aca="false">(B855-D855)/D855*100</f>
        <v>-3.45749598213652</v>
      </c>
    </row>
    <row r="856" customFormat="false" ht="15" hidden="false" customHeight="false" outlineLevel="0" collapsed="false">
      <c r="A856" s="12" t="n">
        <v>43249</v>
      </c>
      <c r="B856" s="15" t="n">
        <v>66.73</v>
      </c>
      <c r="C856" s="15" t="n">
        <v>75.39</v>
      </c>
      <c r="D856" s="14" t="n">
        <f aca="false">AVERAGE(B837:B856)</f>
        <v>70.219</v>
      </c>
      <c r="E856" s="14" t="n">
        <f aca="false">(B856-D856)/D856*100</f>
        <v>-4.96874065423889</v>
      </c>
    </row>
    <row r="857" customFormat="false" ht="15" hidden="false" customHeight="false" outlineLevel="0" collapsed="false">
      <c r="A857" s="12" t="n">
        <v>43250</v>
      </c>
      <c r="B857" s="15" t="n">
        <v>68.21</v>
      </c>
      <c r="C857" s="15" t="n">
        <v>77.5</v>
      </c>
      <c r="D857" s="14" t="n">
        <f aca="false">AVERAGE(B838:B857)</f>
        <v>70.267</v>
      </c>
      <c r="E857" s="14" t="n">
        <f aca="false">(B857-D857)/D857*100</f>
        <v>-2.927405467716</v>
      </c>
    </row>
    <row r="858" customFormat="false" ht="15" hidden="false" customHeight="false" outlineLevel="0" collapsed="false">
      <c r="A858" s="12" t="n">
        <v>43251</v>
      </c>
      <c r="B858" s="15" t="n">
        <v>67.04</v>
      </c>
      <c r="C858" s="15" t="n">
        <v>77.59</v>
      </c>
      <c r="D858" s="14" t="n">
        <f aca="false">AVERAGE(B839:B858)</f>
        <v>70.2225</v>
      </c>
      <c r="E858" s="14" t="n">
        <f aca="false">(B858-D858)/D858*100</f>
        <v>-4.53202321193348</v>
      </c>
    </row>
    <row r="859" customFormat="false" ht="15" hidden="false" customHeight="false" outlineLevel="0" collapsed="false">
      <c r="A859" s="12" t="n">
        <v>43252</v>
      </c>
      <c r="B859" s="15" t="n">
        <v>65.81</v>
      </c>
      <c r="C859" s="15" t="n">
        <v>77.59</v>
      </c>
      <c r="D859" s="14" t="n">
        <f aca="false">AVERAGE(B840:B859)</f>
        <v>70.0915</v>
      </c>
      <c r="E859" s="14" t="n">
        <f aca="false">(B859-D859)/D859*100</f>
        <v>-6.10844396253468</v>
      </c>
    </row>
    <row r="860" customFormat="false" ht="15" hidden="false" customHeight="false" outlineLevel="0" collapsed="false">
      <c r="A860" s="12" t="n">
        <v>43255</v>
      </c>
      <c r="B860" s="15" t="n">
        <v>64.75</v>
      </c>
      <c r="C860" s="15" t="n">
        <v>75.29</v>
      </c>
      <c r="D860" s="14" t="n">
        <f aca="false">AVERAGE(B841:B860)</f>
        <v>69.843</v>
      </c>
      <c r="E860" s="14" t="n">
        <f aca="false">(B860-D860)/D860*100</f>
        <v>-7.29206935555459</v>
      </c>
    </row>
    <row r="861" customFormat="false" ht="15" hidden="false" customHeight="false" outlineLevel="0" collapsed="false">
      <c r="A861" s="12" t="n">
        <v>43256</v>
      </c>
      <c r="B861" s="15" t="n">
        <v>65.52</v>
      </c>
      <c r="C861" s="15" t="n">
        <v>75.38</v>
      </c>
      <c r="D861" s="14" t="n">
        <f aca="false">AVERAGE(B842:B861)</f>
        <v>69.5825</v>
      </c>
      <c r="E861" s="14" t="n">
        <f aca="false">(B861-D861)/D861*100</f>
        <v>-5.83839327417097</v>
      </c>
    </row>
    <row r="862" customFormat="false" ht="15" hidden="false" customHeight="false" outlineLevel="0" collapsed="false">
      <c r="A862" s="12" t="n">
        <v>43257</v>
      </c>
      <c r="B862" s="15" t="n">
        <v>64.73</v>
      </c>
      <c r="C862" s="15" t="n">
        <v>75.36</v>
      </c>
      <c r="D862" s="14" t="n">
        <f aca="false">AVERAGE(B843:B862)</f>
        <v>69.366</v>
      </c>
      <c r="E862" s="14" t="n">
        <f aca="false">(B862-D862)/D862*100</f>
        <v>-6.6833895568434</v>
      </c>
    </row>
    <row r="863" customFormat="false" ht="15" hidden="false" customHeight="false" outlineLevel="0" collapsed="false">
      <c r="A863" s="12" t="n">
        <v>43258</v>
      </c>
      <c r="B863" s="15" t="n">
        <v>65.95</v>
      </c>
      <c r="C863" s="15" t="n">
        <v>77.32</v>
      </c>
      <c r="D863" s="14" t="n">
        <f aca="false">AVERAGE(B844:B863)</f>
        <v>69.1065</v>
      </c>
      <c r="E863" s="14" t="n">
        <f aca="false">(B863-D863)/D863*100</f>
        <v>-4.56758770882622</v>
      </c>
    </row>
    <row r="864" customFormat="false" ht="15" hidden="false" customHeight="false" outlineLevel="0" collapsed="false">
      <c r="A864" s="12" t="n">
        <v>43259</v>
      </c>
      <c r="B864" s="15" t="n">
        <v>65.74</v>
      </c>
      <c r="C864" s="15" t="n">
        <v>76.46</v>
      </c>
      <c r="D864" s="14" t="n">
        <f aca="false">AVERAGE(B845:B864)</f>
        <v>68.8255</v>
      </c>
      <c r="E864" s="14" t="n">
        <f aca="false">(B864-D864)/D864*100</f>
        <v>-4.48307676660542</v>
      </c>
    </row>
    <row r="865" customFormat="false" ht="15" hidden="false" customHeight="false" outlineLevel="0" collapsed="false">
      <c r="A865" s="12" t="n">
        <v>43262</v>
      </c>
      <c r="B865" s="15" t="n">
        <v>66.1</v>
      </c>
      <c r="C865" s="15" t="n">
        <v>76.46</v>
      </c>
      <c r="D865" s="14" t="n">
        <f aca="false">AVERAGE(B846:B865)</f>
        <v>68.5955</v>
      </c>
      <c r="E865" s="14" t="n">
        <f aca="false">(B865-D865)/D865*100</f>
        <v>-3.63799374594542</v>
      </c>
    </row>
    <row r="866" customFormat="false" ht="15" hidden="false" customHeight="false" outlineLevel="0" collapsed="false">
      <c r="A866" s="12" t="n">
        <v>43263</v>
      </c>
      <c r="B866" s="15" t="n">
        <v>66.36</v>
      </c>
      <c r="C866" s="15" t="n">
        <v>75.88</v>
      </c>
      <c r="D866" s="14" t="n">
        <f aca="false">AVERAGE(B847:B866)</f>
        <v>68.3655</v>
      </c>
      <c r="E866" s="14" t="n">
        <f aca="false">(B866-D866)/D866*100</f>
        <v>-2.93349715865458</v>
      </c>
    </row>
    <row r="867" customFormat="false" ht="15" hidden="false" customHeight="false" outlineLevel="0" collapsed="false">
      <c r="A867" s="12" t="n">
        <v>43264</v>
      </c>
      <c r="B867" s="15" t="n">
        <v>66.64</v>
      </c>
      <c r="C867" s="15" t="n">
        <v>76.74</v>
      </c>
      <c r="D867" s="14" t="n">
        <f aca="false">AVERAGE(B848:B867)</f>
        <v>68.132</v>
      </c>
      <c r="E867" s="14" t="n">
        <f aca="false">(B867-D867)/D867*100</f>
        <v>-2.18986672929019</v>
      </c>
    </row>
    <row r="868" customFormat="false" ht="15" hidden="false" customHeight="false" outlineLevel="0" collapsed="false">
      <c r="A868" s="12" t="n">
        <v>43265</v>
      </c>
      <c r="B868" s="15" t="n">
        <v>66.89</v>
      </c>
      <c r="C868" s="15" t="n">
        <v>75.94</v>
      </c>
      <c r="D868" s="14" t="n">
        <f aca="false">AVERAGE(B849:B868)</f>
        <v>67.902</v>
      </c>
      <c r="E868" s="14" t="n">
        <f aca="false">(B868-D868)/D868*100</f>
        <v>-1.49038319931666</v>
      </c>
    </row>
    <row r="869" customFormat="false" ht="15" hidden="false" customHeight="false" outlineLevel="0" collapsed="false">
      <c r="A869" s="12" t="n">
        <v>43266</v>
      </c>
      <c r="B869" s="15" t="n">
        <v>65.06</v>
      </c>
      <c r="C869" s="15" t="n">
        <v>73.44</v>
      </c>
      <c r="D869" s="14" t="n">
        <f aca="false">AVERAGE(B850:B869)</f>
        <v>67.5805</v>
      </c>
      <c r="E869" s="14" t="n">
        <f aca="false">(B869-D869)/D869*100</f>
        <v>-3.72962614955497</v>
      </c>
    </row>
    <row r="870" customFormat="false" ht="15" hidden="false" customHeight="false" outlineLevel="0" collapsed="false">
      <c r="A870" s="12" t="n">
        <v>43269</v>
      </c>
      <c r="B870" s="15" t="n">
        <v>65.85</v>
      </c>
      <c r="C870" s="15" t="n">
        <v>75.34</v>
      </c>
      <c r="D870" s="14" t="n">
        <f aca="false">AVERAGE(B851:B870)</f>
        <v>67.309</v>
      </c>
      <c r="E870" s="14" t="n">
        <f aca="false">(B870-D870)/D870*100</f>
        <v>-2.16761502919372</v>
      </c>
    </row>
    <row r="871" customFormat="false" ht="15" hidden="false" customHeight="false" outlineLevel="0" collapsed="false">
      <c r="A871" s="12" t="n">
        <v>43270</v>
      </c>
      <c r="B871" s="15" t="n">
        <v>65.07</v>
      </c>
      <c r="C871" s="15" t="n">
        <v>75.08</v>
      </c>
      <c r="D871" s="14" t="n">
        <f aca="false">AVERAGE(B852:B871)</f>
        <v>66.9505</v>
      </c>
      <c r="E871" s="14" t="n">
        <f aca="false">(B871-D871)/D871*100</f>
        <v>-2.80879156989121</v>
      </c>
    </row>
    <row r="872" customFormat="false" ht="15" hidden="false" customHeight="false" outlineLevel="0" collapsed="false">
      <c r="A872" s="12" t="n">
        <v>43271</v>
      </c>
      <c r="B872" s="15" t="n">
        <v>66.22</v>
      </c>
      <c r="C872" s="15" t="n">
        <v>74.74</v>
      </c>
      <c r="D872" s="14" t="n">
        <f aca="false">AVERAGE(B853:B872)</f>
        <v>66.655</v>
      </c>
      <c r="E872" s="14" t="n">
        <f aca="false">(B872-D872)/D872*100</f>
        <v>-0.652614207486314</v>
      </c>
    </row>
    <row r="873" customFormat="false" ht="15" hidden="false" customHeight="false" outlineLevel="0" collapsed="false">
      <c r="A873" s="12" t="n">
        <v>43272</v>
      </c>
      <c r="B873" s="15" t="n">
        <v>65.54</v>
      </c>
      <c r="C873" s="15" t="n">
        <v>73.05</v>
      </c>
      <c r="D873" s="14" t="n">
        <f aca="false">AVERAGE(B854:B873)</f>
        <v>66.34</v>
      </c>
      <c r="E873" s="14" t="n">
        <f aca="false">(B873-D873)/D873*100</f>
        <v>-1.20590895387398</v>
      </c>
    </row>
    <row r="874" customFormat="false" ht="15" hidden="false" customHeight="false" outlineLevel="0" collapsed="false">
      <c r="A874" s="12" t="n">
        <v>43273</v>
      </c>
      <c r="B874" s="15" t="n">
        <v>68.58</v>
      </c>
      <c r="C874" s="15" t="n">
        <v>75.55</v>
      </c>
      <c r="D874" s="14" t="n">
        <f aca="false">AVERAGE(B855:B874)</f>
        <v>66.2335</v>
      </c>
      <c r="E874" s="14" t="n">
        <f aca="false">(B874-D874)/D874*100</f>
        <v>3.5427691425034</v>
      </c>
    </row>
    <row r="875" customFormat="false" ht="15" hidden="false" customHeight="false" outlineLevel="0" collapsed="false">
      <c r="A875" s="12" t="n">
        <v>43276</v>
      </c>
      <c r="B875" s="15" t="n">
        <v>68.08</v>
      </c>
      <c r="C875" s="15" t="n">
        <v>74.73</v>
      </c>
      <c r="D875" s="14" t="n">
        <f aca="false">AVERAGE(B856:B875)</f>
        <v>66.2435</v>
      </c>
      <c r="E875" s="14" t="n">
        <f aca="false">(B875-D875)/D875*100</f>
        <v>2.77234747560138</v>
      </c>
    </row>
    <row r="876" customFormat="false" ht="15" hidden="false" customHeight="false" outlineLevel="0" collapsed="false">
      <c r="A876" s="12" t="n">
        <v>43277</v>
      </c>
      <c r="B876" s="15" t="n">
        <v>70.53</v>
      </c>
      <c r="C876" s="15" t="n">
        <v>76.31</v>
      </c>
      <c r="D876" s="14" t="n">
        <f aca="false">AVERAGE(B857:B876)</f>
        <v>66.4335</v>
      </c>
      <c r="E876" s="14" t="n">
        <f aca="false">(B876-D876)/D876*100</f>
        <v>6.16631669263247</v>
      </c>
    </row>
    <row r="877" customFormat="false" ht="15" hidden="false" customHeight="false" outlineLevel="0" collapsed="false">
      <c r="A877" s="12" t="n">
        <v>43278</v>
      </c>
      <c r="B877" s="15" t="n">
        <v>72.76</v>
      </c>
      <c r="C877" s="15" t="n">
        <v>77.62</v>
      </c>
      <c r="D877" s="14" t="n">
        <f aca="false">AVERAGE(B858:B877)</f>
        <v>66.661</v>
      </c>
      <c r="E877" s="14" t="n">
        <f aca="false">(B877-D877)/D877*100</f>
        <v>9.14927768860354</v>
      </c>
    </row>
    <row r="878" customFormat="false" ht="15" hidden="false" customHeight="false" outlineLevel="0" collapsed="false">
      <c r="A878" s="12" t="n">
        <v>43279</v>
      </c>
      <c r="B878" s="15" t="n">
        <v>73.45</v>
      </c>
      <c r="C878" s="15" t="n">
        <v>77.85</v>
      </c>
      <c r="D878" s="14" t="n">
        <f aca="false">AVERAGE(B859:B878)</f>
        <v>66.9815</v>
      </c>
      <c r="E878" s="14" t="n">
        <f aca="false">(B878-D878)/D878*100</f>
        <v>9.65714413681388</v>
      </c>
    </row>
    <row r="879" customFormat="false" ht="15" hidden="false" customHeight="false" outlineLevel="0" collapsed="false">
      <c r="A879" s="12" t="n">
        <v>43280</v>
      </c>
      <c r="B879" s="15" t="n">
        <v>74.15</v>
      </c>
      <c r="C879" s="15" t="n">
        <v>79.44</v>
      </c>
      <c r="D879" s="14" t="n">
        <f aca="false">AVERAGE(B860:B879)</f>
        <v>67.3985</v>
      </c>
      <c r="E879" s="14" t="n">
        <f aca="false">(B879-D879)/D879*100</f>
        <v>10.0172852511555</v>
      </c>
    </row>
    <row r="880" customFormat="false" ht="15" hidden="false" customHeight="false" outlineLevel="0" collapsed="false">
      <c r="A880" s="12" t="n">
        <v>43283</v>
      </c>
      <c r="B880" s="15" t="n">
        <v>73.94</v>
      </c>
      <c r="C880" s="15" t="n">
        <v>77.3</v>
      </c>
      <c r="D880" s="14" t="n">
        <f aca="false">AVERAGE(B861:B880)</f>
        <v>67.858</v>
      </c>
      <c r="E880" s="14" t="n">
        <f aca="false">(B880-D880)/D880*100</f>
        <v>8.96283415367384</v>
      </c>
    </row>
    <row r="881" customFormat="false" ht="15" hidden="false" customHeight="false" outlineLevel="0" collapsed="false">
      <c r="A881" s="12" t="n">
        <v>43284</v>
      </c>
      <c r="B881" s="15" t="n">
        <v>74.14</v>
      </c>
      <c r="C881" s="15" t="n">
        <v>77.76</v>
      </c>
      <c r="D881" s="14" t="n">
        <f aca="false">AVERAGE(B862:B881)</f>
        <v>68.289</v>
      </c>
      <c r="E881" s="14" t="n">
        <f aca="false">(B881-D881)/D881*100</f>
        <v>8.56799777416568</v>
      </c>
    </row>
    <row r="882" customFormat="false" ht="15" hidden="false" customHeight="false" outlineLevel="0" collapsed="false">
      <c r="A882" s="12" t="n">
        <v>43286</v>
      </c>
      <c r="B882" s="15" t="n">
        <v>72.94</v>
      </c>
      <c r="C882" s="15" t="n">
        <v>77.39</v>
      </c>
      <c r="D882" s="14" t="n">
        <f aca="false">AVERAGE(B863:B882)</f>
        <v>68.6995</v>
      </c>
      <c r="E882" s="14" t="n">
        <f aca="false">(B882-D882)/D882*100</f>
        <v>6.17253400679772</v>
      </c>
    </row>
    <row r="883" customFormat="false" ht="15" hidden="false" customHeight="false" outlineLevel="0" collapsed="false">
      <c r="A883" s="12" t="n">
        <v>43287</v>
      </c>
      <c r="B883" s="15" t="n">
        <v>73.8</v>
      </c>
      <c r="C883" s="15" t="n">
        <v>77.11</v>
      </c>
      <c r="D883" s="14" t="n">
        <f aca="false">AVERAGE(B864:B883)</f>
        <v>69.092</v>
      </c>
      <c r="E883" s="14" t="n">
        <f aca="false">(B883-D883)/D883*100</f>
        <v>6.81410293521681</v>
      </c>
    </row>
    <row r="884" customFormat="false" ht="15" hidden="false" customHeight="false" outlineLevel="0" collapsed="false">
      <c r="A884" s="12" t="n">
        <v>43290</v>
      </c>
      <c r="B884" s="15" t="n">
        <v>73.85</v>
      </c>
      <c r="C884" s="15" t="n">
        <v>78.07</v>
      </c>
      <c r="D884" s="14" t="n">
        <f aca="false">AVERAGE(B865:B884)</f>
        <v>69.4975</v>
      </c>
      <c r="E884" s="14" t="n">
        <f aca="false">(B884-D884)/D884*100</f>
        <v>6.26281520918018</v>
      </c>
    </row>
    <row r="885" customFormat="false" ht="15" hidden="false" customHeight="false" outlineLevel="0" collapsed="false">
      <c r="A885" s="12" t="n">
        <v>43291</v>
      </c>
      <c r="B885" s="15" t="n">
        <v>74.11</v>
      </c>
      <c r="C885" s="15" t="n">
        <v>78.86</v>
      </c>
      <c r="D885" s="14" t="n">
        <f aca="false">AVERAGE(B866:B885)</f>
        <v>69.898</v>
      </c>
      <c r="E885" s="14" t="n">
        <f aca="false">(B885-D885)/D885*100</f>
        <v>6.02592348851184</v>
      </c>
    </row>
    <row r="886" customFormat="false" ht="15" hidden="false" customHeight="false" outlineLevel="0" collapsed="false">
      <c r="A886" s="12" t="n">
        <v>43292</v>
      </c>
      <c r="B886" s="15" t="n">
        <v>70.38</v>
      </c>
      <c r="C886" s="15" t="n">
        <v>73.4</v>
      </c>
      <c r="D886" s="14" t="n">
        <f aca="false">AVERAGE(B867:B886)</f>
        <v>70.099</v>
      </c>
      <c r="E886" s="14" t="n">
        <f aca="false">(B886-D886)/D886*100</f>
        <v>0.400861638539768</v>
      </c>
    </row>
    <row r="887" customFormat="false" ht="15" hidden="false" customHeight="false" outlineLevel="0" collapsed="false">
      <c r="A887" s="12" t="n">
        <v>43293</v>
      </c>
      <c r="B887" s="15" t="n">
        <v>70.33</v>
      </c>
      <c r="C887" s="15" t="n">
        <v>74.45</v>
      </c>
      <c r="D887" s="14" t="n">
        <f aca="false">AVERAGE(B868:B887)</f>
        <v>70.2835</v>
      </c>
      <c r="E887" s="14" t="n">
        <f aca="false">(B887-D887)/D887*100</f>
        <v>0.0661606209138626</v>
      </c>
    </row>
    <row r="888" customFormat="false" ht="15" hidden="false" customHeight="false" outlineLevel="0" collapsed="false">
      <c r="A888" s="12" t="n">
        <v>43294</v>
      </c>
      <c r="B888" s="15" t="n">
        <v>71.01</v>
      </c>
      <c r="C888" s="15" t="n">
        <v>75.33</v>
      </c>
      <c r="D888" s="14" t="n">
        <f aca="false">AVERAGE(B869:B888)</f>
        <v>70.4895</v>
      </c>
      <c r="E888" s="14" t="n">
        <f aca="false">(B888-D888)/D888*100</f>
        <v>0.738407847977376</v>
      </c>
    </row>
    <row r="889" customFormat="false" ht="15" hidden="false" customHeight="false" outlineLevel="0" collapsed="false">
      <c r="A889" s="12" t="n">
        <v>43297</v>
      </c>
      <c r="B889" s="15" t="n">
        <v>68.06</v>
      </c>
      <c r="C889" s="15" t="n">
        <v>71.84</v>
      </c>
      <c r="D889" s="14" t="n">
        <f aca="false">AVERAGE(B870:B889)</f>
        <v>70.6395</v>
      </c>
      <c r="E889" s="14" t="n">
        <f aca="false">(B889-D889)/D889*100</f>
        <v>-3.65163966336115</v>
      </c>
    </row>
    <row r="890" customFormat="false" ht="15" hidden="false" customHeight="false" outlineLevel="0" collapsed="false">
      <c r="A890" s="12" t="n">
        <v>43298</v>
      </c>
      <c r="B890" s="15" t="n">
        <v>68.08</v>
      </c>
      <c r="C890" s="15" t="n">
        <v>72.16</v>
      </c>
      <c r="D890" s="14" t="n">
        <f aca="false">AVERAGE(B871:B890)</f>
        <v>70.751</v>
      </c>
      <c r="E890" s="14" t="n">
        <f aca="false">(B890-D890)/D890*100</f>
        <v>-3.77521165778576</v>
      </c>
    </row>
    <row r="891" customFormat="false" ht="15" hidden="false" customHeight="false" outlineLevel="0" collapsed="false">
      <c r="A891" s="12" t="n">
        <v>43299</v>
      </c>
      <c r="B891" s="15" t="n">
        <v>68.76</v>
      </c>
      <c r="C891" s="15" t="n">
        <v>72.9</v>
      </c>
      <c r="D891" s="14" t="n">
        <f aca="false">AVERAGE(B872:B891)</f>
        <v>70.9355</v>
      </c>
      <c r="E891" s="14" t="n">
        <f aca="false">(B891-D891)/D891*100</f>
        <v>-3.06687060780568</v>
      </c>
    </row>
    <row r="892" customFormat="false" ht="15" hidden="false" customHeight="false" outlineLevel="0" collapsed="false">
      <c r="A892" s="12" t="n">
        <v>43300</v>
      </c>
      <c r="B892" s="15" t="n">
        <v>69.46</v>
      </c>
      <c r="C892" s="15" t="n">
        <v>72.58</v>
      </c>
      <c r="D892" s="14" t="n">
        <f aca="false">AVERAGE(B873:B892)</f>
        <v>71.0975</v>
      </c>
      <c r="E892" s="14" t="n">
        <f aca="false">(B892-D892)/D892*100</f>
        <v>-2.30317521713141</v>
      </c>
    </row>
    <row r="893" customFormat="false" ht="15" hidden="false" customHeight="false" outlineLevel="0" collapsed="false">
      <c r="A893" s="12" t="n">
        <v>43301</v>
      </c>
      <c r="B893" s="15" t="n">
        <v>70.46</v>
      </c>
      <c r="C893" s="15" t="n">
        <v>73.07</v>
      </c>
      <c r="D893" s="14" t="n">
        <f aca="false">AVERAGE(B874:B893)</f>
        <v>71.3435</v>
      </c>
      <c r="E893" s="14" t="n">
        <f aca="false">(B893-D893)/D893*100</f>
        <v>-1.23837490451127</v>
      </c>
    </row>
    <row r="894" customFormat="false" ht="15" hidden="false" customHeight="false" outlineLevel="0" collapsed="false">
      <c r="A894" s="12" t="n">
        <v>43304</v>
      </c>
      <c r="B894" s="15" t="n">
        <v>67.89</v>
      </c>
      <c r="C894" s="15" t="n">
        <v>73.06</v>
      </c>
      <c r="D894" s="14" t="n">
        <f aca="false">AVERAGE(B875:B894)</f>
        <v>71.309</v>
      </c>
      <c r="E894" s="14" t="n">
        <f aca="false">(B894-D894)/D894*100</f>
        <v>-4.79462620426594</v>
      </c>
    </row>
    <row r="895" customFormat="false" ht="15" hidden="false" customHeight="false" outlineLevel="0" collapsed="false">
      <c r="A895" s="12" t="n">
        <v>43305</v>
      </c>
      <c r="B895" s="15" t="n">
        <v>68.52</v>
      </c>
      <c r="C895" s="15" t="n">
        <v>73.44</v>
      </c>
      <c r="D895" s="14" t="n">
        <f aca="false">AVERAGE(B876:B895)</f>
        <v>71.331</v>
      </c>
      <c r="E895" s="14" t="n">
        <f aca="false">(B895-D895)/D895*100</f>
        <v>-3.94078310972788</v>
      </c>
    </row>
    <row r="896" customFormat="false" ht="15" hidden="false" customHeight="false" outlineLevel="0" collapsed="false">
      <c r="A896" s="12" t="n">
        <v>43306</v>
      </c>
      <c r="B896" s="15" t="n">
        <v>69.3</v>
      </c>
      <c r="C896" s="15" t="n">
        <v>73.93</v>
      </c>
      <c r="D896" s="14" t="n">
        <f aca="false">AVERAGE(B877:B896)</f>
        <v>71.2695</v>
      </c>
      <c r="E896" s="14" t="n">
        <f aca="false">(B896-D896)/D896*100</f>
        <v>-2.7634542125313</v>
      </c>
    </row>
    <row r="897" customFormat="false" ht="15" hidden="false" customHeight="false" outlineLevel="0" collapsed="false">
      <c r="A897" s="12" t="n">
        <v>43307</v>
      </c>
      <c r="B897" s="15" t="n">
        <v>69.61</v>
      </c>
      <c r="C897" s="15" t="n">
        <v>74.54</v>
      </c>
      <c r="D897" s="14" t="n">
        <f aca="false">AVERAGE(B878:B897)</f>
        <v>71.112</v>
      </c>
      <c r="E897" s="14" t="n">
        <f aca="false">(B897-D897)/D897*100</f>
        <v>-2.11216109798627</v>
      </c>
    </row>
    <row r="898" customFormat="false" ht="15" hidden="false" customHeight="false" outlineLevel="0" collapsed="false">
      <c r="A898" s="12" t="n">
        <v>43308</v>
      </c>
      <c r="B898" s="15" t="n">
        <v>68.69</v>
      </c>
      <c r="C898" s="15" t="n">
        <v>74.29</v>
      </c>
      <c r="D898" s="14" t="n">
        <f aca="false">AVERAGE(B879:B898)</f>
        <v>70.874</v>
      </c>
      <c r="E898" s="14" t="n">
        <f aca="false">(B898-D898)/D898*100</f>
        <v>-3.08152495978779</v>
      </c>
    </row>
    <row r="899" customFormat="false" ht="15" hidden="false" customHeight="false" outlineLevel="0" collapsed="false">
      <c r="A899" s="12" t="n">
        <v>43311</v>
      </c>
      <c r="B899" s="15" t="n">
        <v>70.13</v>
      </c>
      <c r="C899" s="15" t="n">
        <v>74.97</v>
      </c>
      <c r="D899" s="14" t="n">
        <f aca="false">AVERAGE(B880:B899)</f>
        <v>70.673</v>
      </c>
      <c r="E899" s="14" t="n">
        <f aca="false">(B899-D899)/D899*100</f>
        <v>-0.768327366886939</v>
      </c>
    </row>
    <row r="900" customFormat="false" ht="15" hidden="false" customHeight="false" outlineLevel="0" collapsed="false">
      <c r="A900" s="12" t="n">
        <v>43312</v>
      </c>
      <c r="B900" s="15" t="n">
        <v>68.76</v>
      </c>
      <c r="C900" s="15" t="n">
        <v>74.25</v>
      </c>
      <c r="D900" s="14" t="n">
        <f aca="false">AVERAGE(B881:B900)</f>
        <v>70.414</v>
      </c>
      <c r="E900" s="14" t="n">
        <f aca="false">(B900-D900)/D900*100</f>
        <v>-2.34896469452097</v>
      </c>
    </row>
    <row r="901" customFormat="false" ht="15" hidden="false" customHeight="false" outlineLevel="0" collapsed="false">
      <c r="A901" s="12" t="n">
        <v>43313</v>
      </c>
      <c r="B901" s="15" t="n">
        <v>67.66</v>
      </c>
      <c r="C901" s="15" t="n">
        <v>74.25</v>
      </c>
      <c r="D901" s="14" t="n">
        <f aca="false">AVERAGE(B882:B901)</f>
        <v>70.09</v>
      </c>
      <c r="E901" s="14" t="n">
        <f aca="false">(B901-D901)/D901*100</f>
        <v>-3.46697103723785</v>
      </c>
    </row>
    <row r="902" customFormat="false" ht="15" hidden="false" customHeight="false" outlineLevel="0" collapsed="false">
      <c r="A902" s="12" t="n">
        <v>43314</v>
      </c>
      <c r="B902" s="15" t="n">
        <v>68.96</v>
      </c>
      <c r="C902" s="15" t="n">
        <v>73.45</v>
      </c>
      <c r="D902" s="14" t="n">
        <f aca="false">AVERAGE(B883:B902)</f>
        <v>69.891</v>
      </c>
      <c r="E902" s="14" t="n">
        <f aca="false">(B902-D902)/D902*100</f>
        <v>-1.33207422987223</v>
      </c>
    </row>
    <row r="903" customFormat="false" ht="15" hidden="false" customHeight="false" outlineLevel="0" collapsed="false">
      <c r="A903" s="12" t="n">
        <v>43315</v>
      </c>
      <c r="B903" s="15" t="n">
        <v>68.49</v>
      </c>
      <c r="C903" s="15" t="n">
        <v>73.21</v>
      </c>
      <c r="D903" s="14" t="n">
        <f aca="false">AVERAGE(B884:B903)</f>
        <v>69.6255</v>
      </c>
      <c r="E903" s="14" t="n">
        <f aca="false">(B903-D903)/D903*100</f>
        <v>-1.63086800094794</v>
      </c>
    </row>
    <row r="904" customFormat="false" ht="15" hidden="false" customHeight="false" outlineLevel="0" collapsed="false">
      <c r="A904" s="12" t="n">
        <v>43318</v>
      </c>
      <c r="B904" s="15" t="n">
        <v>69.01</v>
      </c>
      <c r="C904" s="15" t="n">
        <v>73.75</v>
      </c>
      <c r="D904" s="14" t="n">
        <f aca="false">AVERAGE(B885:B904)</f>
        <v>69.3835</v>
      </c>
      <c r="E904" s="14" t="n">
        <f aca="false">(B904-D904)/D904*100</f>
        <v>-0.538312422982399</v>
      </c>
    </row>
    <row r="905" customFormat="false" ht="15" hidden="false" customHeight="false" outlineLevel="0" collapsed="false">
      <c r="A905" s="12" t="n">
        <v>43319</v>
      </c>
      <c r="B905" s="15" t="n">
        <v>69.17</v>
      </c>
      <c r="C905" s="15" t="n">
        <v>74.65</v>
      </c>
      <c r="D905" s="14" t="n">
        <f aca="false">AVERAGE(B886:B905)</f>
        <v>69.1365</v>
      </c>
      <c r="E905" s="14" t="n">
        <f aca="false">(B905-D905)/D905*100</f>
        <v>0.0484548682678522</v>
      </c>
    </row>
    <row r="906" customFormat="false" ht="15" hidden="false" customHeight="false" outlineLevel="0" collapsed="false">
      <c r="A906" s="12" t="n">
        <v>43320</v>
      </c>
      <c r="B906" s="15" t="n">
        <v>66.94</v>
      </c>
      <c r="C906" s="15" t="n">
        <v>72.28</v>
      </c>
      <c r="D906" s="14" t="n">
        <f aca="false">AVERAGE(B887:B906)</f>
        <v>68.9645</v>
      </c>
      <c r="E906" s="14" t="n">
        <f aca="false">(B906-D906)/D906*100</f>
        <v>-2.93556829963242</v>
      </c>
    </row>
    <row r="907" customFormat="false" ht="15" hidden="false" customHeight="false" outlineLevel="0" collapsed="false">
      <c r="A907" s="12" t="n">
        <v>43321</v>
      </c>
      <c r="B907" s="15" t="n">
        <v>66.81</v>
      </c>
      <c r="C907" s="15" t="n">
        <v>72.07</v>
      </c>
      <c r="D907" s="14" t="n">
        <f aca="false">AVERAGE(B888:B907)</f>
        <v>68.7885</v>
      </c>
      <c r="E907" s="14" t="n">
        <f aca="false">(B907-D907)/D907*100</f>
        <v>-2.87620750561503</v>
      </c>
    </row>
    <row r="908" customFormat="false" ht="15" hidden="false" customHeight="false" outlineLevel="0" collapsed="false">
      <c r="A908" s="12" t="n">
        <v>43322</v>
      </c>
      <c r="B908" s="15" t="n">
        <v>67.63</v>
      </c>
      <c r="C908" s="15" t="n">
        <v>72.81</v>
      </c>
      <c r="D908" s="14" t="n">
        <f aca="false">AVERAGE(B889:B908)</f>
        <v>68.6195</v>
      </c>
      <c r="E908" s="14" t="n">
        <f aca="false">(B908-D908)/D908*100</f>
        <v>-1.44200992429265</v>
      </c>
    </row>
    <row r="909" customFormat="false" ht="15" hidden="false" customHeight="false" outlineLevel="0" collapsed="false">
      <c r="A909" s="12" t="n">
        <v>43325</v>
      </c>
      <c r="B909" s="15" t="n">
        <v>67.2</v>
      </c>
      <c r="C909" s="15" t="n">
        <v>72.61</v>
      </c>
      <c r="D909" s="14" t="n">
        <f aca="false">AVERAGE(B890:B909)</f>
        <v>68.5765</v>
      </c>
      <c r="E909" s="14" t="n">
        <f aca="false">(B909-D909)/D909*100</f>
        <v>-2.00724738066246</v>
      </c>
    </row>
    <row r="910" customFormat="false" ht="15" hidden="false" customHeight="false" outlineLevel="0" collapsed="false">
      <c r="A910" s="12" t="n">
        <v>43326</v>
      </c>
      <c r="B910" s="15" t="n">
        <v>67.04</v>
      </c>
      <c r="C910" s="15" t="n">
        <v>72.46</v>
      </c>
      <c r="D910" s="14" t="n">
        <f aca="false">AVERAGE(B891:B910)</f>
        <v>68.5245</v>
      </c>
      <c r="E910" s="14" t="n">
        <f aca="false">(B910-D910)/D910*100</f>
        <v>-2.16637844858408</v>
      </c>
    </row>
    <row r="911" customFormat="false" ht="15" hidden="false" customHeight="false" outlineLevel="0" collapsed="false">
      <c r="A911" s="12" t="n">
        <v>43327</v>
      </c>
      <c r="B911" s="15" t="n">
        <v>65.01</v>
      </c>
      <c r="C911" s="15" t="n">
        <v>70.76</v>
      </c>
      <c r="D911" s="14" t="n">
        <f aca="false">AVERAGE(B892:B911)</f>
        <v>68.337</v>
      </c>
      <c r="E911" s="14" t="n">
        <f aca="false">(B911-D911)/D911*100</f>
        <v>-4.86851925018657</v>
      </c>
    </row>
    <row r="912" customFormat="false" ht="15" hidden="false" customHeight="false" outlineLevel="0" collapsed="false">
      <c r="A912" s="12" t="n">
        <v>43328</v>
      </c>
      <c r="B912" s="15" t="n">
        <v>65.46</v>
      </c>
      <c r="C912" s="15" t="n">
        <v>71.43</v>
      </c>
      <c r="D912" s="14" t="n">
        <f aca="false">AVERAGE(B893:B912)</f>
        <v>68.137</v>
      </c>
      <c r="E912" s="14" t="n">
        <f aca="false">(B912-D912)/D912*100</f>
        <v>-3.92884923022735</v>
      </c>
    </row>
    <row r="913" customFormat="false" ht="15" hidden="false" customHeight="false" outlineLevel="0" collapsed="false">
      <c r="A913" s="12" t="n">
        <v>43329</v>
      </c>
      <c r="B913" s="15" t="n">
        <v>65.91</v>
      </c>
      <c r="C913" s="15" t="n">
        <v>71.83</v>
      </c>
      <c r="D913" s="14" t="n">
        <f aca="false">AVERAGE(B894:B913)</f>
        <v>67.9095</v>
      </c>
      <c r="E913" s="14" t="n">
        <f aca="false">(B913-D913)/D913*100</f>
        <v>-2.94435977293311</v>
      </c>
    </row>
    <row r="914" customFormat="false" ht="15" hidden="false" customHeight="false" outlineLevel="0" collapsed="false">
      <c r="A914" s="12" t="n">
        <v>43332</v>
      </c>
      <c r="B914" s="15" t="n">
        <v>66.43</v>
      </c>
      <c r="C914" s="15" t="n">
        <v>72.21</v>
      </c>
      <c r="D914" s="14" t="n">
        <f aca="false">AVERAGE(B895:B914)</f>
        <v>67.8365</v>
      </c>
      <c r="E914" s="14" t="n">
        <f aca="false">(B914-D914)/D914*100</f>
        <v>-2.07336758234873</v>
      </c>
    </row>
    <row r="915" customFormat="false" ht="15" hidden="false" customHeight="false" outlineLevel="0" collapsed="false">
      <c r="A915" s="12" t="n">
        <v>43333</v>
      </c>
      <c r="B915" s="15" t="n">
        <v>67.35</v>
      </c>
      <c r="C915" s="15" t="n">
        <v>72.63</v>
      </c>
      <c r="D915" s="14" t="n">
        <f aca="false">AVERAGE(B896:B915)</f>
        <v>67.778</v>
      </c>
      <c r="E915" s="14" t="n">
        <f aca="false">(B915-D915)/D915*100</f>
        <v>-0.63147333943167</v>
      </c>
    </row>
    <row r="916" customFormat="false" ht="15" hidden="false" customHeight="false" outlineLevel="0" collapsed="false">
      <c r="A916" s="12" t="n">
        <v>43334</v>
      </c>
      <c r="B916" s="15" t="n">
        <v>67.86</v>
      </c>
      <c r="C916" s="15" t="n">
        <v>74.78</v>
      </c>
      <c r="D916" s="14" t="n">
        <f aca="false">AVERAGE(B897:B916)</f>
        <v>67.706</v>
      </c>
      <c r="E916" s="14" t="n">
        <f aca="false">(B916-D916)/D916*100</f>
        <v>0.227453992260672</v>
      </c>
    </row>
    <row r="917" customFormat="false" ht="15" hidden="false" customHeight="false" outlineLevel="0" collapsed="false">
      <c r="A917" s="12" t="n">
        <v>43335</v>
      </c>
      <c r="B917" s="15" t="n">
        <v>67.83</v>
      </c>
      <c r="C917" s="15" t="n">
        <v>74.73</v>
      </c>
      <c r="D917" s="14" t="n">
        <f aca="false">AVERAGE(B898:B917)</f>
        <v>67.617</v>
      </c>
      <c r="E917" s="14" t="n">
        <f aca="false">(B917-D917)/D917*100</f>
        <v>0.315009539021264</v>
      </c>
    </row>
    <row r="918" customFormat="false" ht="15" hidden="false" customHeight="false" outlineLevel="0" collapsed="false">
      <c r="A918" s="12" t="n">
        <v>43336</v>
      </c>
      <c r="B918" s="15" t="n">
        <v>68.72</v>
      </c>
      <c r="C918" s="15" t="n">
        <v>75.82</v>
      </c>
      <c r="D918" s="14" t="n">
        <f aca="false">AVERAGE(B899:B918)</f>
        <v>67.6185</v>
      </c>
      <c r="E918" s="14" t="n">
        <f aca="false">(B918-D918)/D918*100</f>
        <v>1.62899206578082</v>
      </c>
    </row>
    <row r="919" customFormat="false" ht="15" hidden="false" customHeight="false" outlineLevel="0" collapsed="false">
      <c r="A919" s="12" t="n">
        <v>43339</v>
      </c>
      <c r="B919" s="15" t="n">
        <v>68.87</v>
      </c>
      <c r="C919" s="15" t="n">
        <v>76.21</v>
      </c>
      <c r="D919" s="14" t="n">
        <f aca="false">AVERAGE(B900:B919)</f>
        <v>67.5555</v>
      </c>
      <c r="E919" s="14" t="n">
        <f aca="false">(B919-D919)/D919*100</f>
        <v>1.9458075212233</v>
      </c>
    </row>
    <row r="920" customFormat="false" ht="15" hidden="false" customHeight="false" outlineLevel="0" collapsed="false">
      <c r="A920" s="12" t="n">
        <v>43340</v>
      </c>
      <c r="B920" s="15" t="n">
        <v>68.53</v>
      </c>
      <c r="C920" s="15" t="n">
        <v>75.95</v>
      </c>
      <c r="D920" s="14" t="n">
        <f aca="false">AVERAGE(B901:B920)</f>
        <v>67.544</v>
      </c>
      <c r="E920" s="14" t="n">
        <f aca="false">(B920-D920)/D920*100</f>
        <v>1.45978917446404</v>
      </c>
    </row>
    <row r="921" customFormat="false" ht="15" hidden="false" customHeight="false" outlineLevel="0" collapsed="false">
      <c r="A921" s="12" t="n">
        <v>43341</v>
      </c>
      <c r="B921" s="15" t="n">
        <v>69.51</v>
      </c>
      <c r="C921" s="15" t="n">
        <v>77.14</v>
      </c>
      <c r="D921" s="14" t="n">
        <f aca="false">AVERAGE(B902:B921)</f>
        <v>67.6365</v>
      </c>
      <c r="E921" s="14" t="n">
        <f aca="false">(B921-D921)/D921*100</f>
        <v>2.7699540928345</v>
      </c>
    </row>
    <row r="922" customFormat="false" ht="15" hidden="false" customHeight="false" outlineLevel="0" collapsed="false">
      <c r="A922" s="12" t="n">
        <v>43342</v>
      </c>
      <c r="B922" s="15" t="n">
        <v>70.25</v>
      </c>
      <c r="C922" s="15" t="n">
        <v>77.77</v>
      </c>
      <c r="D922" s="14" t="n">
        <f aca="false">AVERAGE(B903:B922)</f>
        <v>67.701</v>
      </c>
      <c r="E922" s="14" t="n">
        <f aca="false">(B922-D922)/D922*100</f>
        <v>3.76508471071329</v>
      </c>
    </row>
    <row r="923" customFormat="false" ht="15" hidden="false" customHeight="false" outlineLevel="0" collapsed="false">
      <c r="A923" s="12" t="n">
        <v>43343</v>
      </c>
      <c r="B923" s="15" t="n">
        <v>69.8</v>
      </c>
      <c r="C923" s="15" t="n">
        <v>77.42</v>
      </c>
      <c r="D923" s="14" t="n">
        <f aca="false">AVERAGE(B904:B923)</f>
        <v>67.7665</v>
      </c>
      <c r="E923" s="14" t="n">
        <f aca="false">(B923-D923)/D923*100</f>
        <v>3.0007452059646</v>
      </c>
    </row>
    <row r="924" customFormat="false" ht="15" hidden="false" customHeight="false" outlineLevel="0" collapsed="false">
      <c r="A924" s="12" t="n">
        <v>43347</v>
      </c>
      <c r="B924" s="15" t="n">
        <v>69.87</v>
      </c>
      <c r="C924" s="15" t="n">
        <v>78.17</v>
      </c>
      <c r="D924" s="14" t="n">
        <f aca="false">AVERAGE(B905:B924)</f>
        <v>67.8095</v>
      </c>
      <c r="E924" s="14" t="n">
        <f aca="false">(B924-D924)/D924*100</f>
        <v>3.03865977481032</v>
      </c>
    </row>
    <row r="925" customFormat="false" ht="15" hidden="false" customHeight="false" outlineLevel="0" collapsed="false">
      <c r="A925" s="12" t="n">
        <v>43348</v>
      </c>
      <c r="B925" s="15" t="n">
        <v>68.72</v>
      </c>
      <c r="C925" s="15" t="n">
        <v>77.27</v>
      </c>
      <c r="D925" s="14" t="n">
        <f aca="false">AVERAGE(B906:B925)</f>
        <v>67.787</v>
      </c>
      <c r="E925" s="14" t="n">
        <f aca="false">(B925-D925)/D925*100</f>
        <v>1.37637010046173</v>
      </c>
    </row>
    <row r="926" customFormat="false" ht="15" hidden="false" customHeight="false" outlineLevel="0" collapsed="false">
      <c r="A926" s="12" t="n">
        <v>43349</v>
      </c>
      <c r="B926" s="15" t="n">
        <v>67.77</v>
      </c>
      <c r="C926" s="15" t="n">
        <v>76.5</v>
      </c>
      <c r="D926" s="14" t="n">
        <f aca="false">AVERAGE(B907:B926)</f>
        <v>67.8285</v>
      </c>
      <c r="E926" s="14" t="n">
        <f aca="false">(B926-D926)/D926*100</f>
        <v>-0.0862469315995417</v>
      </c>
    </row>
    <row r="927" customFormat="false" ht="15" hidden="false" customHeight="false" outlineLevel="0" collapsed="false">
      <c r="A927" s="12" t="n">
        <v>43350</v>
      </c>
      <c r="B927" s="15" t="n">
        <v>67.75</v>
      </c>
      <c r="C927" s="15" t="n">
        <v>76.83</v>
      </c>
      <c r="D927" s="14" t="n">
        <f aca="false">AVERAGE(B908:B927)</f>
        <v>67.8755</v>
      </c>
      <c r="E927" s="14" t="n">
        <f aca="false">(B927-D927)/D927*100</f>
        <v>-0.18489734882248</v>
      </c>
    </row>
    <row r="928" customFormat="false" ht="15" hidden="false" customHeight="false" outlineLevel="0" collapsed="false">
      <c r="A928" s="12" t="n">
        <v>43353</v>
      </c>
      <c r="B928" s="15" t="n">
        <v>67.54</v>
      </c>
      <c r="C928" s="15" t="n">
        <v>77.37</v>
      </c>
      <c r="D928" s="14" t="n">
        <f aca="false">AVERAGE(B909:B928)</f>
        <v>67.871</v>
      </c>
      <c r="E928" s="14" t="n">
        <f aca="false">(B928-D928)/D928*100</f>
        <v>-0.487689882276676</v>
      </c>
    </row>
    <row r="929" customFormat="false" ht="15" hidden="false" customHeight="false" outlineLevel="0" collapsed="false">
      <c r="A929" s="12" t="n">
        <v>43354</v>
      </c>
      <c r="B929" s="15" t="n">
        <v>69.25</v>
      </c>
      <c r="C929" s="15" t="n">
        <v>79.06</v>
      </c>
      <c r="D929" s="14" t="n">
        <f aca="false">AVERAGE(B910:B929)</f>
        <v>67.9735</v>
      </c>
      <c r="E929" s="14" t="n">
        <f aca="false">(B929-D929)/D929*100</f>
        <v>1.87793772573135</v>
      </c>
    </row>
    <row r="930" customFormat="false" ht="15" hidden="false" customHeight="false" outlineLevel="0" collapsed="false">
      <c r="A930" s="12" t="n">
        <v>43355</v>
      </c>
      <c r="B930" s="15" t="n">
        <v>70.37</v>
      </c>
      <c r="C930" s="15" t="n">
        <v>79.74</v>
      </c>
      <c r="D930" s="14" t="n">
        <f aca="false">AVERAGE(B911:B930)</f>
        <v>68.14</v>
      </c>
      <c r="E930" s="14" t="n">
        <f aca="false">(B930-D930)/D930*100</f>
        <v>3.27267390666276</v>
      </c>
    </row>
    <row r="931" customFormat="false" ht="15" hidden="false" customHeight="false" outlineLevel="0" collapsed="false">
      <c r="A931" s="12" t="n">
        <v>43356</v>
      </c>
      <c r="B931" s="15" t="n">
        <v>68.59</v>
      </c>
      <c r="C931" s="15" t="n">
        <v>78.18</v>
      </c>
      <c r="D931" s="14" t="n">
        <f aca="false">AVERAGE(B912:B931)</f>
        <v>68.319</v>
      </c>
      <c r="E931" s="14" t="n">
        <f aca="false">(B931-D931)/D931*100</f>
        <v>0.396668569504824</v>
      </c>
    </row>
    <row r="932" customFormat="false" ht="15" hidden="false" customHeight="false" outlineLevel="0" collapsed="false">
      <c r="A932" s="12" t="n">
        <v>43357</v>
      </c>
      <c r="B932" s="15" t="n">
        <v>68.99</v>
      </c>
      <c r="C932" s="15" t="n">
        <v>78.09</v>
      </c>
      <c r="D932" s="14" t="n">
        <f aca="false">AVERAGE(B913:B932)</f>
        <v>68.4955</v>
      </c>
      <c r="E932" s="14" t="n">
        <f aca="false">(B932-D932)/D932*100</f>
        <v>0.721945237278344</v>
      </c>
    </row>
    <row r="933" customFormat="false" ht="15" hidden="false" customHeight="false" outlineLevel="0" collapsed="false">
      <c r="A933" s="12" t="n">
        <v>43360</v>
      </c>
      <c r="B933" s="15" t="n">
        <v>68.91</v>
      </c>
      <c r="C933" s="15" t="n">
        <v>78.05</v>
      </c>
      <c r="D933" s="14" t="n">
        <f aca="false">AVERAGE(B914:B933)</f>
        <v>68.6455</v>
      </c>
      <c r="E933" s="14" t="n">
        <f aca="false">(B933-D933)/D933*100</f>
        <v>0.385312948408852</v>
      </c>
    </row>
    <row r="934" customFormat="false" ht="15" hidden="false" customHeight="false" outlineLevel="0" collapsed="false">
      <c r="A934" s="12" t="n">
        <v>43361</v>
      </c>
      <c r="B934" s="15" t="n">
        <v>69.85</v>
      </c>
      <c r="C934" s="15" t="n">
        <v>79.03</v>
      </c>
      <c r="D934" s="14" t="n">
        <f aca="false">AVERAGE(B915:B934)</f>
        <v>68.8165</v>
      </c>
      <c r="E934" s="14" t="n">
        <f aca="false">(B934-D934)/D934*100</f>
        <v>1.50182005768966</v>
      </c>
    </row>
    <row r="935" customFormat="false" ht="15" hidden="false" customHeight="false" outlineLevel="0" collapsed="false">
      <c r="A935" s="12" t="n">
        <v>43362</v>
      </c>
      <c r="B935" s="15" t="n">
        <v>71.12</v>
      </c>
      <c r="C935" s="15" t="n">
        <v>79.4</v>
      </c>
      <c r="D935" s="14" t="n">
        <f aca="false">AVERAGE(B916:B935)</f>
        <v>69.005</v>
      </c>
      <c r="E935" s="14" t="n">
        <f aca="false">(B935-D935)/D935*100</f>
        <v>3.06499529019638</v>
      </c>
    </row>
    <row r="936" customFormat="false" ht="15" hidden="false" customHeight="false" outlineLevel="0" collapsed="false">
      <c r="A936" s="12" t="n">
        <v>43363</v>
      </c>
      <c r="B936" s="15" t="n">
        <v>70.8</v>
      </c>
      <c r="C936" s="15" t="n">
        <v>78.7</v>
      </c>
      <c r="D936" s="14" t="n">
        <f aca="false">AVERAGE(B917:B936)</f>
        <v>69.152</v>
      </c>
      <c r="E936" s="14" t="n">
        <f aca="false">(B936-D936)/D936*100</f>
        <v>2.38315594632114</v>
      </c>
    </row>
    <row r="937" customFormat="false" ht="15" hidden="false" customHeight="false" outlineLevel="0" collapsed="false">
      <c r="A937" s="12" t="n">
        <v>43364</v>
      </c>
      <c r="B937" s="15" t="n">
        <v>70.78</v>
      </c>
      <c r="C937" s="15" t="n">
        <v>78.8</v>
      </c>
      <c r="D937" s="14" t="n">
        <f aca="false">AVERAGE(B918:B937)</f>
        <v>69.2995</v>
      </c>
      <c r="E937" s="14" t="n">
        <f aca="false">(B937-D937)/D937*100</f>
        <v>2.13637905035391</v>
      </c>
    </row>
    <row r="938" customFormat="false" ht="15" hidden="false" customHeight="false" outlineLevel="0" collapsed="false">
      <c r="A938" s="12" t="n">
        <v>43367</v>
      </c>
      <c r="B938" s="15" t="n">
        <v>72.08</v>
      </c>
      <c r="C938" s="15" t="n">
        <v>81.2</v>
      </c>
      <c r="D938" s="14" t="n">
        <f aca="false">AVERAGE(B919:B938)</f>
        <v>69.4675</v>
      </c>
      <c r="E938" s="14" t="n">
        <f aca="false">(B938-D938)/D938*100</f>
        <v>3.76075143052506</v>
      </c>
    </row>
    <row r="939" customFormat="false" ht="15" hidden="false" customHeight="false" outlineLevel="0" collapsed="false">
      <c r="A939" s="12" t="n">
        <v>43368</v>
      </c>
      <c r="B939" s="15" t="n">
        <v>72.28</v>
      </c>
      <c r="C939" s="15" t="n">
        <v>81.87</v>
      </c>
      <c r="D939" s="14" t="n">
        <f aca="false">AVERAGE(B920:B939)</f>
        <v>69.638</v>
      </c>
      <c r="E939" s="14" t="n">
        <f aca="false">(B939-D939)/D939*100</f>
        <v>3.79390562623854</v>
      </c>
    </row>
    <row r="940" customFormat="false" ht="15" hidden="false" customHeight="false" outlineLevel="0" collapsed="false">
      <c r="A940" s="12" t="n">
        <v>43369</v>
      </c>
      <c r="B940" s="15" t="n">
        <v>71.57</v>
      </c>
      <c r="C940" s="15" t="n">
        <v>81.34</v>
      </c>
      <c r="D940" s="14" t="n">
        <f aca="false">AVERAGE(B921:B940)</f>
        <v>69.79</v>
      </c>
      <c r="E940" s="14" t="n">
        <f aca="false">(B940-D940)/D940*100</f>
        <v>2.55050866886374</v>
      </c>
    </row>
    <row r="941" customFormat="false" ht="15" hidden="false" customHeight="false" outlineLevel="0" collapsed="false">
      <c r="A941" s="12" t="n">
        <v>43370</v>
      </c>
      <c r="B941" s="15" t="n">
        <v>72.12</v>
      </c>
      <c r="C941" s="15" t="n">
        <v>81.72</v>
      </c>
      <c r="D941" s="14" t="n">
        <f aca="false">AVERAGE(B922:B941)</f>
        <v>69.9205</v>
      </c>
      <c r="E941" s="14" t="n">
        <f aca="false">(B941-D941)/D941*100</f>
        <v>3.14571549116497</v>
      </c>
    </row>
    <row r="942" customFormat="false" ht="15" hidden="false" customHeight="false" outlineLevel="0" collapsed="false">
      <c r="A942" s="12" t="n">
        <v>43371</v>
      </c>
      <c r="B942" s="15" t="n">
        <v>73.25</v>
      </c>
      <c r="C942" s="15" t="n">
        <v>82.72</v>
      </c>
      <c r="D942" s="14" t="n">
        <f aca="false">AVERAGE(B923:B942)</f>
        <v>70.0705</v>
      </c>
      <c r="E942" s="14" t="n">
        <f aca="false">(B942-D942)/D942*100</f>
        <v>4.537572873035</v>
      </c>
    </row>
    <row r="943" customFormat="false" ht="15" hidden="false" customHeight="false" outlineLevel="0" collapsed="false">
      <c r="A943" s="12" t="n">
        <v>43374</v>
      </c>
      <c r="B943" s="15" t="n">
        <v>75.3</v>
      </c>
      <c r="C943" s="15" t="n">
        <v>84.98</v>
      </c>
      <c r="D943" s="14" t="n">
        <f aca="false">AVERAGE(B924:B943)</f>
        <v>70.3455</v>
      </c>
      <c r="E943" s="14" t="n">
        <f aca="false">(B943-D943)/D943*100</f>
        <v>7.04309444100901</v>
      </c>
    </row>
    <row r="944" customFormat="false" ht="15" hidden="false" customHeight="false" outlineLevel="0" collapsed="false">
      <c r="A944" s="12" t="n">
        <v>43375</v>
      </c>
      <c r="B944" s="15" t="n">
        <v>75.23</v>
      </c>
      <c r="C944" s="15" t="n">
        <v>84.8</v>
      </c>
      <c r="D944" s="14" t="n">
        <f aca="false">AVERAGE(B925:B944)</f>
        <v>70.6135</v>
      </c>
      <c r="E944" s="14" t="n">
        <f aca="false">(B944-D944)/D944*100</f>
        <v>6.53770171426144</v>
      </c>
    </row>
    <row r="945" customFormat="false" ht="15" hidden="false" customHeight="false" outlineLevel="0" collapsed="false">
      <c r="A945" s="12" t="n">
        <v>43376</v>
      </c>
      <c r="B945" s="15" t="n">
        <v>76.41</v>
      </c>
      <c r="C945" s="15" t="n">
        <v>86.29</v>
      </c>
      <c r="D945" s="14" t="n">
        <f aca="false">AVERAGE(B926:B945)</f>
        <v>70.998</v>
      </c>
      <c r="E945" s="14" t="n">
        <f aca="false">(B945-D945)/D945*100</f>
        <v>7.62274993661792</v>
      </c>
    </row>
    <row r="946" customFormat="false" ht="15" hidden="false" customHeight="false" outlineLevel="0" collapsed="false">
      <c r="A946" s="12" t="n">
        <v>43377</v>
      </c>
      <c r="B946" s="15" t="n">
        <v>74.33</v>
      </c>
      <c r="C946" s="15" t="n">
        <v>84.58</v>
      </c>
      <c r="D946" s="14" t="n">
        <f aca="false">AVERAGE(B927:B946)</f>
        <v>71.326</v>
      </c>
      <c r="E946" s="14" t="n">
        <f aca="false">(B946-D946)/D946*100</f>
        <v>4.21164792642235</v>
      </c>
    </row>
    <row r="947" customFormat="false" ht="15" hidden="false" customHeight="false" outlineLevel="0" collapsed="false">
      <c r="A947" s="12" t="n">
        <v>43378</v>
      </c>
      <c r="B947" s="15" t="n">
        <v>74.34</v>
      </c>
      <c r="C947" s="15" t="n">
        <v>84.16</v>
      </c>
      <c r="D947" s="14" t="n">
        <f aca="false">AVERAGE(B928:B947)</f>
        <v>71.6555</v>
      </c>
      <c r="E947" s="14" t="n">
        <f aca="false">(B947-D947)/D947*100</f>
        <v>3.74639769452452</v>
      </c>
    </row>
    <row r="948" customFormat="false" ht="15" hidden="false" customHeight="false" outlineLevel="0" collapsed="false">
      <c r="A948" s="12" t="n">
        <v>43381</v>
      </c>
      <c r="B948" s="15" t="n">
        <v>74.29</v>
      </c>
      <c r="C948" s="15" t="n">
        <v>83.91</v>
      </c>
      <c r="D948" s="14" t="n">
        <f aca="false">AVERAGE(B929:B948)</f>
        <v>71.993</v>
      </c>
      <c r="E948" s="14" t="n">
        <f aca="false">(B948-D948)/D948*100</f>
        <v>3.19058797383081</v>
      </c>
    </row>
    <row r="949" customFormat="false" ht="15" hidden="false" customHeight="false" outlineLevel="0" collapsed="false">
      <c r="A949" s="12" t="n">
        <v>43382</v>
      </c>
      <c r="B949" s="15" t="n">
        <v>74.96</v>
      </c>
      <c r="C949" s="15" t="n">
        <v>85</v>
      </c>
      <c r="D949" s="14" t="n">
        <f aca="false">AVERAGE(B930:B949)</f>
        <v>72.2785</v>
      </c>
      <c r="E949" s="14" t="n">
        <f aca="false">(B949-D949)/D949*100</f>
        <v>3.70995524256868</v>
      </c>
    </row>
    <row r="950" customFormat="false" ht="15" hidden="false" customHeight="false" outlineLevel="0" collapsed="false">
      <c r="A950" s="12" t="n">
        <v>43383</v>
      </c>
      <c r="B950" s="15" t="n">
        <v>73.17</v>
      </c>
      <c r="C950" s="15" t="n">
        <v>83.09</v>
      </c>
      <c r="D950" s="14" t="n">
        <f aca="false">AVERAGE(B931:B950)</f>
        <v>72.4185</v>
      </c>
      <c r="E950" s="14" t="n">
        <f aca="false">(B950-D950)/D950*100</f>
        <v>1.03771826259866</v>
      </c>
    </row>
    <row r="951" customFormat="false" ht="15" hidden="false" customHeight="false" outlineLevel="0" collapsed="false">
      <c r="A951" s="12" t="n">
        <v>43384</v>
      </c>
      <c r="B951" s="15" t="n">
        <v>70.97</v>
      </c>
      <c r="C951" s="15" t="n">
        <v>80.26</v>
      </c>
      <c r="D951" s="14" t="n">
        <f aca="false">AVERAGE(B932:B951)</f>
        <v>72.5375</v>
      </c>
      <c r="E951" s="14" t="n">
        <f aca="false">(B951-D951)/D951*100</f>
        <v>-2.16095123212131</v>
      </c>
    </row>
    <row r="952" customFormat="false" ht="15" hidden="false" customHeight="false" outlineLevel="0" collapsed="false">
      <c r="A952" s="12" t="n">
        <v>43385</v>
      </c>
      <c r="B952" s="15" t="n">
        <v>71.34</v>
      </c>
      <c r="C952" s="15" t="n">
        <v>80.43</v>
      </c>
      <c r="D952" s="14" t="n">
        <f aca="false">AVERAGE(B933:B952)</f>
        <v>72.655</v>
      </c>
      <c r="E952" s="14" t="n">
        <f aca="false">(B952-D952)/D952*100</f>
        <v>-1.80992361158901</v>
      </c>
    </row>
    <row r="953" customFormat="false" ht="15" hidden="false" customHeight="false" outlineLevel="0" collapsed="false">
      <c r="A953" s="12" t="n">
        <v>43388</v>
      </c>
      <c r="B953" s="15" t="n">
        <v>71.78</v>
      </c>
      <c r="C953" s="15" t="n">
        <v>80.78</v>
      </c>
      <c r="D953" s="14" t="n">
        <f aca="false">AVERAGE(B934:B953)</f>
        <v>72.7985</v>
      </c>
      <c r="E953" s="14" t="n">
        <f aca="false">(B953-D953)/D953*100</f>
        <v>-1.39906728847435</v>
      </c>
    </row>
    <row r="954" customFormat="false" ht="15" hidden="false" customHeight="false" outlineLevel="0" collapsed="false">
      <c r="A954" s="12" t="n">
        <v>43389</v>
      </c>
      <c r="B954" s="15" t="n">
        <v>71.92</v>
      </c>
      <c r="C954" s="15" t="n">
        <v>81.41</v>
      </c>
      <c r="D954" s="14" t="n">
        <f aca="false">AVERAGE(B935:B954)</f>
        <v>72.902</v>
      </c>
      <c r="E954" s="14" t="n">
        <f aca="false">(B954-D954)/D954*100</f>
        <v>-1.34701379934707</v>
      </c>
    </row>
    <row r="955" customFormat="false" ht="15" hidden="false" customHeight="false" outlineLevel="0" collapsed="false">
      <c r="A955" s="12" t="n">
        <v>43390</v>
      </c>
      <c r="B955" s="15" t="n">
        <v>69.75</v>
      </c>
      <c r="C955" s="15" t="n">
        <v>80.05</v>
      </c>
      <c r="D955" s="14" t="n">
        <f aca="false">AVERAGE(B936:B955)</f>
        <v>72.8335</v>
      </c>
      <c r="E955" s="14" t="n">
        <f aca="false">(B955-D955)/D955*100</f>
        <v>-4.23362875599827</v>
      </c>
    </row>
    <row r="956" customFormat="false" ht="15" hidden="false" customHeight="false" outlineLevel="0" collapsed="false">
      <c r="A956" s="12" t="n">
        <v>43391</v>
      </c>
      <c r="B956" s="15" t="n">
        <v>68.65</v>
      </c>
      <c r="C956" s="15" t="n">
        <v>79.29</v>
      </c>
      <c r="D956" s="14" t="n">
        <f aca="false">AVERAGE(B937:B956)</f>
        <v>72.726</v>
      </c>
      <c r="E956" s="14" t="n">
        <f aca="false">(B956-D956)/D956*100</f>
        <v>-5.6045980804664</v>
      </c>
    </row>
    <row r="957" customFormat="false" ht="15" hidden="false" customHeight="false" outlineLevel="0" collapsed="false">
      <c r="A957" s="12" t="n">
        <v>43392</v>
      </c>
      <c r="B957" s="15" t="n">
        <v>69.12</v>
      </c>
      <c r="C957" s="15" t="n">
        <v>79.78</v>
      </c>
      <c r="D957" s="14" t="n">
        <f aca="false">AVERAGE(B938:B957)</f>
        <v>72.643</v>
      </c>
      <c r="E957" s="14" t="n">
        <f aca="false">(B957-D957)/D957*100</f>
        <v>-4.84974464160345</v>
      </c>
    </row>
    <row r="958" customFormat="false" ht="15" hidden="false" customHeight="false" outlineLevel="0" collapsed="false">
      <c r="A958" s="12" t="n">
        <v>43395</v>
      </c>
      <c r="B958" s="15" t="n">
        <v>69.17</v>
      </c>
      <c r="C958" s="15" t="n">
        <v>79.83</v>
      </c>
      <c r="D958" s="14" t="n">
        <f aca="false">AVERAGE(B939:B958)</f>
        <v>72.4975</v>
      </c>
      <c r="E958" s="14" t="n">
        <f aca="false">(B958-D958)/D958*100</f>
        <v>-4.58981344184282</v>
      </c>
    </row>
    <row r="959" customFormat="false" ht="15" hidden="false" customHeight="false" outlineLevel="0" collapsed="false">
      <c r="A959" s="12" t="n">
        <v>43396</v>
      </c>
      <c r="B959" s="15" t="n">
        <v>66.43</v>
      </c>
      <c r="C959" s="15" t="n">
        <v>76.44</v>
      </c>
      <c r="D959" s="14" t="n">
        <f aca="false">AVERAGE(B940:B959)</f>
        <v>72.205</v>
      </c>
      <c r="E959" s="14" t="n">
        <f aca="false">(B959-D959)/D959*100</f>
        <v>-7.99806107610275</v>
      </c>
    </row>
    <row r="960" customFormat="false" ht="15" hidden="false" customHeight="false" outlineLevel="0" collapsed="false">
      <c r="A960" s="12" t="n">
        <v>43397</v>
      </c>
      <c r="B960" s="15" t="n">
        <v>66.82</v>
      </c>
      <c r="C960" s="15" t="n">
        <v>76.17</v>
      </c>
      <c r="D960" s="14" t="n">
        <f aca="false">AVERAGE(B941:B960)</f>
        <v>71.9675</v>
      </c>
      <c r="E960" s="14" t="n">
        <f aca="false">(B960-D960)/D960*100</f>
        <v>-7.15253412998924</v>
      </c>
    </row>
    <row r="961" customFormat="false" ht="15" hidden="false" customHeight="false" outlineLevel="0" collapsed="false">
      <c r="A961" s="12" t="n">
        <v>43398</v>
      </c>
      <c r="B961" s="15" t="n">
        <v>67.33</v>
      </c>
      <c r="C961" s="15" t="n">
        <v>76.89</v>
      </c>
      <c r="D961" s="14" t="n">
        <f aca="false">AVERAGE(B942:B961)</f>
        <v>71.728</v>
      </c>
      <c r="E961" s="14" t="n">
        <f aca="false">(B961-D961)/D961*100</f>
        <v>-6.13149676555877</v>
      </c>
    </row>
    <row r="962" customFormat="false" ht="15" hidden="false" customHeight="false" outlineLevel="0" collapsed="false">
      <c r="A962" s="12" t="n">
        <v>43399</v>
      </c>
      <c r="B962" s="15" t="n">
        <v>67.59</v>
      </c>
      <c r="C962" s="15" t="n">
        <v>77.62</v>
      </c>
      <c r="D962" s="14" t="n">
        <f aca="false">AVERAGE(B943:B962)</f>
        <v>71.445</v>
      </c>
      <c r="E962" s="14" t="n">
        <f aca="false">(B962-D962)/D962*100</f>
        <v>-5.39575897543566</v>
      </c>
    </row>
    <row r="963" customFormat="false" ht="15" hidden="false" customHeight="false" outlineLevel="0" collapsed="false">
      <c r="A963" s="12" t="n">
        <v>43402</v>
      </c>
      <c r="B963" s="15" t="n">
        <v>67.04</v>
      </c>
      <c r="C963" s="15" t="n">
        <v>77.34</v>
      </c>
      <c r="D963" s="14" t="n">
        <f aca="false">AVERAGE(B944:B963)</f>
        <v>71.032</v>
      </c>
      <c r="E963" s="14" t="n">
        <f aca="false">(B963-D963)/D963*100</f>
        <v>-5.62000225250592</v>
      </c>
    </row>
    <row r="964" customFormat="false" ht="15" hidden="false" customHeight="false" outlineLevel="0" collapsed="false">
      <c r="A964" s="12" t="n">
        <v>43403</v>
      </c>
      <c r="B964" s="15" t="n">
        <v>66.18</v>
      </c>
      <c r="C964" s="15" t="n">
        <v>75.91</v>
      </c>
      <c r="D964" s="14" t="n">
        <f aca="false">AVERAGE(B945:B964)</f>
        <v>70.5795</v>
      </c>
      <c r="E964" s="14" t="n">
        <f aca="false">(B964-D964)/D964*100</f>
        <v>-6.23339638280238</v>
      </c>
    </row>
    <row r="965" customFormat="false" ht="15" hidden="false" customHeight="false" outlineLevel="0" collapsed="false">
      <c r="A965" s="12" t="n">
        <v>43404</v>
      </c>
      <c r="B965" s="15" t="n">
        <v>65.31</v>
      </c>
      <c r="C965" s="15" t="n">
        <v>75.47</v>
      </c>
      <c r="D965" s="14" t="n">
        <f aca="false">AVERAGE(B946:B965)</f>
        <v>70.0245</v>
      </c>
      <c r="E965" s="14" t="n">
        <f aca="false">(B965-D965)/D965*100</f>
        <v>-6.73264357474884</v>
      </c>
    </row>
    <row r="966" customFormat="false" ht="15" hidden="false" customHeight="false" outlineLevel="0" collapsed="false">
      <c r="A966" s="12" t="n">
        <v>43405</v>
      </c>
      <c r="B966" s="15" t="n">
        <v>63.69</v>
      </c>
      <c r="C966" s="15" t="n">
        <v>75.5</v>
      </c>
      <c r="D966" s="14" t="n">
        <f aca="false">AVERAGE(B947:B966)</f>
        <v>69.4925</v>
      </c>
      <c r="E966" s="14" t="n">
        <f aca="false">(B966-D966)/D966*100</f>
        <v>-8.34982192322914</v>
      </c>
    </row>
    <row r="967" customFormat="false" ht="15" hidden="false" customHeight="false" outlineLevel="0" collapsed="false">
      <c r="A967" s="12" t="n">
        <v>43406</v>
      </c>
      <c r="B967" s="15" t="n">
        <v>63.14</v>
      </c>
      <c r="C967" s="15" t="n">
        <v>72.83</v>
      </c>
      <c r="D967" s="14" t="n">
        <f aca="false">AVERAGE(B948:B967)</f>
        <v>68.9325</v>
      </c>
      <c r="E967" s="14" t="n">
        <f aca="false">(B967-D967)/D967*100</f>
        <v>-8.40314800710841</v>
      </c>
    </row>
    <row r="968" customFormat="false" ht="15" hidden="false" customHeight="false" outlineLevel="0" collapsed="false">
      <c r="A968" s="12" t="n">
        <v>43409</v>
      </c>
      <c r="B968" s="15" t="n">
        <v>63.1</v>
      </c>
      <c r="C968" s="15" t="n">
        <v>73.17</v>
      </c>
      <c r="D968" s="14" t="n">
        <f aca="false">AVERAGE(B949:B968)</f>
        <v>68.373</v>
      </c>
      <c r="E968" s="14" t="n">
        <f aca="false">(B968-D968)/D968*100</f>
        <v>-7.71210858087257</v>
      </c>
    </row>
    <row r="969" customFormat="false" ht="15" hidden="false" customHeight="false" outlineLevel="0" collapsed="false">
      <c r="A969" s="12" t="n">
        <v>43410</v>
      </c>
      <c r="B969" s="15" t="n">
        <v>62.21</v>
      </c>
      <c r="C969" s="15" t="n">
        <v>72.13</v>
      </c>
      <c r="D969" s="14" t="n">
        <f aca="false">AVERAGE(B950:B969)</f>
        <v>67.7355</v>
      </c>
      <c r="E969" s="14" t="n">
        <f aca="false">(B969-D969)/D969*100</f>
        <v>-8.15746543540684</v>
      </c>
    </row>
    <row r="970" customFormat="false" ht="15" hidden="false" customHeight="false" outlineLevel="0" collapsed="false">
      <c r="A970" s="12" t="n">
        <v>43411</v>
      </c>
      <c r="B970" s="15" t="n">
        <v>61.67</v>
      </c>
      <c r="C970" s="15" t="n">
        <v>72.07</v>
      </c>
      <c r="D970" s="14" t="n">
        <f aca="false">AVERAGE(B951:B970)</f>
        <v>67.1605</v>
      </c>
      <c r="E970" s="14" t="n">
        <f aca="false">(B970-D970)/D970*100</f>
        <v>-8.17519226330953</v>
      </c>
    </row>
    <row r="971" customFormat="false" ht="15" hidden="false" customHeight="false" outlineLevel="0" collapsed="false">
      <c r="A971" s="12" t="n">
        <v>43412</v>
      </c>
      <c r="B971" s="15" t="n">
        <v>60.67</v>
      </c>
      <c r="C971" s="15" t="n">
        <v>70.65</v>
      </c>
      <c r="D971" s="14" t="n">
        <f aca="false">AVERAGE(B952:B971)</f>
        <v>66.6455</v>
      </c>
      <c r="E971" s="14" t="n">
        <f aca="false">(B971-D971)/D971*100</f>
        <v>-8.96609673571359</v>
      </c>
    </row>
    <row r="972" customFormat="false" ht="15" hidden="false" customHeight="false" outlineLevel="0" collapsed="false">
      <c r="A972" s="12" t="n">
        <v>43413</v>
      </c>
      <c r="B972" s="15" t="n">
        <v>60.19</v>
      </c>
      <c r="C972" s="15" t="n">
        <v>70.18</v>
      </c>
      <c r="D972" s="14" t="n">
        <f aca="false">AVERAGE(B953:B972)</f>
        <v>66.088</v>
      </c>
      <c r="E972" s="14" t="n">
        <f aca="false">(B972-D972)/D972*100</f>
        <v>-8.92446435056288</v>
      </c>
    </row>
    <row r="973" customFormat="false" ht="15" hidden="false" customHeight="false" outlineLevel="0" collapsed="false">
      <c r="A973" s="12" t="n">
        <v>43416</v>
      </c>
      <c r="B973" s="15" t="n">
        <v>59.93</v>
      </c>
      <c r="C973" s="15" t="n">
        <v>70.12</v>
      </c>
      <c r="D973" s="14" t="n">
        <f aca="false">AVERAGE(B954:B973)</f>
        <v>65.4955</v>
      </c>
      <c r="E973" s="14" t="n">
        <f aca="false">(B973-D973)/D973*100</f>
        <v>-8.49753036468155</v>
      </c>
    </row>
    <row r="974" customFormat="false" ht="15" hidden="false" customHeight="false" outlineLevel="0" collapsed="false">
      <c r="A974" s="12" t="n">
        <v>43417</v>
      </c>
      <c r="B974" s="15" t="n">
        <v>55.69</v>
      </c>
      <c r="C974" s="15" t="n">
        <v>65.47</v>
      </c>
      <c r="D974" s="14" t="n">
        <f aca="false">AVERAGE(B955:B974)</f>
        <v>64.684</v>
      </c>
      <c r="E974" s="14" t="n">
        <f aca="false">(B974-D974)/D974*100</f>
        <v>-13.9045204378208</v>
      </c>
    </row>
    <row r="975" customFormat="false" ht="15" hidden="false" customHeight="false" outlineLevel="0" collapsed="false">
      <c r="A975" s="12" t="n">
        <v>43418</v>
      </c>
      <c r="B975" s="15" t="n">
        <v>56.25</v>
      </c>
      <c r="C975" s="15" t="n">
        <v>66.12</v>
      </c>
      <c r="D975" s="14" t="n">
        <f aca="false">AVERAGE(B956:B975)</f>
        <v>64.009</v>
      </c>
      <c r="E975" s="14" t="n">
        <f aca="false">(B975-D975)/D975*100</f>
        <v>-12.1217328813136</v>
      </c>
    </row>
    <row r="976" customFormat="false" ht="15" hidden="false" customHeight="false" outlineLevel="0" collapsed="false">
      <c r="A976" s="12" t="n">
        <v>43419</v>
      </c>
      <c r="B976" s="15" t="n">
        <v>56.46</v>
      </c>
      <c r="C976" s="15" t="n">
        <v>66.62</v>
      </c>
      <c r="D976" s="14" t="n">
        <f aca="false">AVERAGE(B957:B976)</f>
        <v>63.3995</v>
      </c>
      <c r="E976" s="14" t="n">
        <f aca="false">(B976-D976)/D976*100</f>
        <v>-10.9456699185325</v>
      </c>
    </row>
    <row r="977" customFormat="false" ht="15" hidden="false" customHeight="false" outlineLevel="0" collapsed="false">
      <c r="A977" s="12" t="n">
        <v>43420</v>
      </c>
      <c r="B977" s="15" t="n">
        <v>56.46</v>
      </c>
      <c r="C977" s="15" t="n">
        <v>66.76</v>
      </c>
      <c r="D977" s="14" t="n">
        <f aca="false">AVERAGE(B958:B977)</f>
        <v>62.7665</v>
      </c>
      <c r="E977" s="14" t="n">
        <f aca="false">(B977-D977)/D977*100</f>
        <v>-10.0475572160308</v>
      </c>
    </row>
    <row r="978" customFormat="false" ht="15" hidden="false" customHeight="false" outlineLevel="0" collapsed="false">
      <c r="A978" s="12" t="n">
        <v>43423</v>
      </c>
      <c r="B978" s="15" t="n">
        <v>56.76</v>
      </c>
      <c r="C978" s="15" t="n">
        <v>66.79</v>
      </c>
      <c r="D978" s="14" t="n">
        <f aca="false">AVERAGE(B959:B978)</f>
        <v>62.146</v>
      </c>
      <c r="E978" s="14" t="n">
        <f aca="false">(B978-D978)/D978*100</f>
        <v>-8.6666881215203</v>
      </c>
    </row>
    <row r="979" customFormat="false" ht="15" hidden="false" customHeight="false" outlineLevel="0" collapsed="false">
      <c r="A979" s="12" t="n">
        <v>43424</v>
      </c>
      <c r="B979" s="15" t="n">
        <v>53.43</v>
      </c>
      <c r="C979" s="15" t="n">
        <v>62.53</v>
      </c>
      <c r="D979" s="14" t="n">
        <f aca="false">AVERAGE(B960:B979)</f>
        <v>61.496</v>
      </c>
      <c r="E979" s="14" t="n">
        <f aca="false">(B979-D979)/D979*100</f>
        <v>-13.1163002471706</v>
      </c>
    </row>
    <row r="980" customFormat="false" ht="15" hidden="false" customHeight="false" outlineLevel="0" collapsed="false">
      <c r="A980" s="12" t="n">
        <v>43425</v>
      </c>
      <c r="B980" s="15" t="n">
        <v>54.63</v>
      </c>
      <c r="C980" s="15" t="n">
        <v>63.48</v>
      </c>
      <c r="D980" s="14" t="n">
        <f aca="false">AVERAGE(B961:B980)</f>
        <v>60.8865</v>
      </c>
      <c r="E980" s="14" t="n">
        <f aca="false">(B980-D980)/D980*100</f>
        <v>-10.2756768741839</v>
      </c>
    </row>
    <row r="981" customFormat="false" ht="15" hidden="false" customHeight="false" outlineLevel="0" collapsed="false">
      <c r="A981" s="12" t="n">
        <v>43427</v>
      </c>
      <c r="B981" s="15" t="n">
        <v>50.42</v>
      </c>
      <c r="C981" s="15" t="n">
        <v>58.8</v>
      </c>
      <c r="D981" s="14" t="n">
        <f aca="false">AVERAGE(B962:B981)</f>
        <v>60.041</v>
      </c>
      <c r="E981" s="14" t="n">
        <f aca="false">(B981-D981)/D981*100</f>
        <v>-16.0240502323412</v>
      </c>
    </row>
    <row r="982" customFormat="false" ht="15" hidden="false" customHeight="false" outlineLevel="0" collapsed="false">
      <c r="A982" s="12" t="n">
        <v>43430</v>
      </c>
      <c r="B982" s="15" t="n">
        <v>51.63</v>
      </c>
      <c r="C982" s="15" t="n">
        <v>60.48</v>
      </c>
      <c r="D982" s="14" t="n">
        <f aca="false">AVERAGE(B963:B982)</f>
        <v>59.243</v>
      </c>
      <c r="E982" s="14" t="n">
        <f aca="false">(B982-D982)/D982*100</f>
        <v>-12.8504633458805</v>
      </c>
    </row>
    <row r="983" customFormat="false" ht="15" hidden="false" customHeight="false" outlineLevel="0" collapsed="false">
      <c r="A983" s="12" t="n">
        <v>43431</v>
      </c>
      <c r="B983" s="15" t="n">
        <v>51.56</v>
      </c>
      <c r="C983" s="15" t="n">
        <v>60.21</v>
      </c>
      <c r="D983" s="14" t="n">
        <f aca="false">AVERAGE(B964:B983)</f>
        <v>58.469</v>
      </c>
      <c r="E983" s="14" t="n">
        <f aca="false">(B983-D983)/D983*100</f>
        <v>-11.8165181549197</v>
      </c>
    </row>
    <row r="984" customFormat="false" ht="15" hidden="false" customHeight="false" outlineLevel="0" collapsed="false">
      <c r="A984" s="12" t="n">
        <v>43432</v>
      </c>
      <c r="B984" s="15" t="n">
        <v>50.29</v>
      </c>
      <c r="C984" s="15" t="n">
        <v>58.76</v>
      </c>
      <c r="D984" s="14" t="n">
        <f aca="false">AVERAGE(B965:B984)</f>
        <v>57.6745</v>
      </c>
      <c r="E984" s="14" t="n">
        <f aca="false">(B984-D984)/D984*100</f>
        <v>-12.8037520914789</v>
      </c>
    </row>
    <row r="985" customFormat="false" ht="15" hidden="false" customHeight="false" outlineLevel="0" collapsed="false">
      <c r="A985" s="12" t="n">
        <v>43433</v>
      </c>
      <c r="B985" s="15" t="n">
        <v>51.45</v>
      </c>
      <c r="C985" s="15" t="n">
        <v>59.51</v>
      </c>
      <c r="D985" s="14" t="n">
        <f aca="false">AVERAGE(B966:B985)</f>
        <v>56.9815</v>
      </c>
      <c r="E985" s="14" t="n">
        <f aca="false">(B985-D985)/D985*100</f>
        <v>-9.70753665663417</v>
      </c>
    </row>
    <row r="986" customFormat="false" ht="15" hidden="false" customHeight="false" outlineLevel="0" collapsed="false">
      <c r="A986" s="12" t="n">
        <v>43434</v>
      </c>
      <c r="B986" s="15" t="n">
        <v>50.93</v>
      </c>
      <c r="C986" s="15" t="n">
        <v>58.71</v>
      </c>
      <c r="D986" s="14" t="n">
        <f aca="false">AVERAGE(B967:B986)</f>
        <v>56.3435</v>
      </c>
      <c r="E986" s="14" t="n">
        <f aca="false">(B986-D986)/D986*100</f>
        <v>-9.60802932015229</v>
      </c>
    </row>
    <row r="987" customFormat="false" ht="15" hidden="false" customHeight="false" outlineLevel="0" collapsed="false">
      <c r="A987" s="12" t="n">
        <v>43437</v>
      </c>
      <c r="B987" s="15" t="n">
        <v>52.95</v>
      </c>
      <c r="C987" s="15" t="n">
        <v>61.69</v>
      </c>
      <c r="D987" s="14" t="n">
        <f aca="false">AVERAGE(B968:B987)</f>
        <v>55.834</v>
      </c>
      <c r="E987" s="14" t="n">
        <f aca="false">(B987-D987)/D987*100</f>
        <v>-5.16531145896765</v>
      </c>
    </row>
    <row r="988" customFormat="false" ht="15" hidden="false" customHeight="false" outlineLevel="0" collapsed="false">
      <c r="A988" s="12" t="n">
        <v>43438</v>
      </c>
      <c r="B988" s="15" t="n">
        <v>53.25</v>
      </c>
      <c r="C988" s="15" t="n">
        <v>62.08</v>
      </c>
      <c r="D988" s="14" t="n">
        <f aca="false">AVERAGE(B969:B988)</f>
        <v>55.3415</v>
      </c>
      <c r="E988" s="14" t="n">
        <f aca="false">(B988-D988)/D988*100</f>
        <v>-3.77926149453845</v>
      </c>
    </row>
    <row r="989" customFormat="false" ht="15" hidden="false" customHeight="false" outlineLevel="0" collapsed="false">
      <c r="A989" s="12" t="n">
        <v>43440</v>
      </c>
      <c r="B989" s="15" t="n">
        <v>51.49</v>
      </c>
      <c r="C989" s="15" t="n">
        <v>60.06</v>
      </c>
      <c r="D989" s="14" t="n">
        <f aca="false">AVERAGE(B970:B989)</f>
        <v>54.8055</v>
      </c>
      <c r="E989" s="14" t="n">
        <f aca="false">(B989-D989)/D989*100</f>
        <v>-6.049575316346</v>
      </c>
    </row>
    <row r="990" customFormat="false" ht="15" hidden="false" customHeight="false" outlineLevel="0" collapsed="false">
      <c r="A990" s="12" t="n">
        <v>43441</v>
      </c>
      <c r="B990" s="15" t="n">
        <v>52.61</v>
      </c>
      <c r="C990" s="15" t="n">
        <v>61.67</v>
      </c>
      <c r="D990" s="14" t="n">
        <f aca="false">AVERAGE(B971:B990)</f>
        <v>54.3525</v>
      </c>
      <c r="E990" s="14" t="n">
        <f aca="false">(B990-D990)/D990*100</f>
        <v>-3.20592429051102</v>
      </c>
    </row>
    <row r="991" customFormat="false" ht="15" hidden="false" customHeight="false" outlineLevel="0" collapsed="false">
      <c r="A991" s="12" t="n">
        <v>43444</v>
      </c>
      <c r="B991" s="15" t="n">
        <v>51</v>
      </c>
      <c r="C991" s="15" t="n">
        <v>59.97</v>
      </c>
      <c r="D991" s="14" t="n">
        <f aca="false">AVERAGE(B972:B991)</f>
        <v>53.869</v>
      </c>
      <c r="E991" s="14" t="n">
        <f aca="false">(B991-D991)/D991*100</f>
        <v>-5.3258831610017</v>
      </c>
    </row>
    <row r="992" customFormat="false" ht="15" hidden="false" customHeight="false" outlineLevel="0" collapsed="false">
      <c r="A992" s="12" t="n">
        <v>43445</v>
      </c>
      <c r="B992" s="15" t="n">
        <v>51.65</v>
      </c>
      <c r="C992" s="15" t="n">
        <v>60.2</v>
      </c>
      <c r="D992" s="14" t="n">
        <f aca="false">AVERAGE(B973:B992)</f>
        <v>53.442</v>
      </c>
      <c r="E992" s="14" t="n">
        <f aca="false">(B992-D992)/D992*100</f>
        <v>-3.35316792036225</v>
      </c>
    </row>
    <row r="993" customFormat="false" ht="15" hidden="false" customHeight="false" outlineLevel="0" collapsed="false">
      <c r="A993" s="12" t="n">
        <v>43446</v>
      </c>
      <c r="B993" s="15" t="n">
        <v>51.15</v>
      </c>
      <c r="C993" s="15" t="n">
        <v>60.15</v>
      </c>
      <c r="D993" s="14" t="n">
        <f aca="false">AVERAGE(B974:B993)</f>
        <v>53.003</v>
      </c>
      <c r="E993" s="14" t="n">
        <f aca="false">(B993-D993)/D993*100</f>
        <v>-3.49602852668717</v>
      </c>
    </row>
    <row r="994" customFormat="false" ht="15" hidden="false" customHeight="false" outlineLevel="0" collapsed="false">
      <c r="A994" s="12" t="n">
        <v>43447</v>
      </c>
      <c r="B994" s="15" t="n">
        <v>52.58</v>
      </c>
      <c r="C994" s="15" t="n">
        <v>61.45</v>
      </c>
      <c r="D994" s="14" t="n">
        <f aca="false">AVERAGE(B975:B994)</f>
        <v>52.8475</v>
      </c>
      <c r="E994" s="14" t="n">
        <f aca="false">(B994-D994)/D994*100</f>
        <v>-0.506173423529979</v>
      </c>
    </row>
    <row r="995" customFormat="false" ht="15" hidden="false" customHeight="false" outlineLevel="0" collapsed="false">
      <c r="A995" s="12" t="n">
        <v>43448</v>
      </c>
      <c r="B995" s="15" t="n">
        <v>51.2</v>
      </c>
      <c r="C995" s="15" t="n">
        <v>60.28</v>
      </c>
      <c r="D995" s="14" t="n">
        <f aca="false">AVERAGE(B976:B995)</f>
        <v>52.595</v>
      </c>
      <c r="E995" s="14" t="n">
        <f aca="false">(B995-D995)/D995*100</f>
        <v>-2.65234337864817</v>
      </c>
    </row>
    <row r="996" customFormat="false" ht="15" hidden="false" customHeight="false" outlineLevel="0" collapsed="false">
      <c r="A996" s="12" t="n">
        <v>43451</v>
      </c>
      <c r="B996" s="15" t="n">
        <v>49.88</v>
      </c>
      <c r="C996" s="15" t="n">
        <v>59.61</v>
      </c>
      <c r="D996" s="14" t="n">
        <f aca="false">AVERAGE(B977:B996)</f>
        <v>52.266</v>
      </c>
      <c r="E996" s="14" t="n">
        <f aca="false">(B996-D996)/D996*100</f>
        <v>-4.56510924884245</v>
      </c>
    </row>
    <row r="997" customFormat="false" ht="15" hidden="false" customHeight="false" outlineLevel="0" collapsed="false">
      <c r="A997" s="12" t="n">
        <v>43452</v>
      </c>
      <c r="B997" s="15" t="n">
        <v>46.24</v>
      </c>
      <c r="C997" s="15" t="n">
        <v>56.26</v>
      </c>
      <c r="D997" s="14" t="n">
        <f aca="false">AVERAGE(B978:B997)</f>
        <v>51.755</v>
      </c>
      <c r="E997" s="14" t="n">
        <f aca="false">(B997-D997)/D997*100</f>
        <v>-10.65597526809</v>
      </c>
    </row>
    <row r="998" customFormat="false" ht="15" hidden="false" customHeight="false" outlineLevel="0" collapsed="false">
      <c r="A998" s="12" t="n">
        <v>43453</v>
      </c>
      <c r="B998" s="15" t="n">
        <v>47.2</v>
      </c>
      <c r="C998" s="15" t="n">
        <v>57.24</v>
      </c>
      <c r="D998" s="14" t="n">
        <f aca="false">AVERAGE(B979:B998)</f>
        <v>51.277</v>
      </c>
      <c r="E998" s="14" t="n">
        <f aca="false">(B998-D998)/D998*100</f>
        <v>-7.95093316691694</v>
      </c>
    </row>
    <row r="999" customFormat="false" ht="15" hidden="false" customHeight="false" outlineLevel="0" collapsed="false">
      <c r="A999" s="12" t="n">
        <v>43454</v>
      </c>
      <c r="B999" s="15" t="n">
        <v>45.88</v>
      </c>
      <c r="C999" s="15" t="n">
        <v>54.35</v>
      </c>
      <c r="D999" s="14" t="n">
        <f aca="false">AVERAGE(B980:B999)</f>
        <v>50.8995</v>
      </c>
      <c r="E999" s="14" t="n">
        <f aca="false">(B999-D999)/D999*100</f>
        <v>-9.86158999597246</v>
      </c>
    </row>
    <row r="1000" customFormat="false" ht="15" hidden="false" customHeight="false" outlineLevel="0" collapsed="false">
      <c r="A1000" s="12" t="n">
        <v>43455</v>
      </c>
      <c r="B1000" s="15" t="n">
        <v>45.59</v>
      </c>
      <c r="C1000" s="15" t="n">
        <v>53.82</v>
      </c>
      <c r="D1000" s="14" t="n">
        <f aca="false">AVERAGE(B981:B1000)</f>
        <v>50.4475</v>
      </c>
      <c r="E1000" s="14" t="n">
        <f aca="false">(B1000-D1000)/D1000*100</f>
        <v>-9.62882204271768</v>
      </c>
    </row>
    <row r="1001" customFormat="false" ht="15" hidden="false" customHeight="false" outlineLevel="0" collapsed="false">
      <c r="A1001" s="12" t="n">
        <v>43458</v>
      </c>
      <c r="B1001" s="15" t="n">
        <v>42.53</v>
      </c>
      <c r="C1001" s="15" t="n">
        <v>50.47</v>
      </c>
      <c r="D1001" s="14" t="n">
        <f aca="false">AVERAGE(B982:B1001)</f>
        <v>50.053</v>
      </c>
      <c r="E1001" s="14" t="n">
        <f aca="false">(B1001-D1001)/D1001*100</f>
        <v>-15.0300681277846</v>
      </c>
    </row>
    <row r="1002" customFormat="false" ht="15" hidden="false" customHeight="false" outlineLevel="0" collapsed="false">
      <c r="A1002" s="12" t="n">
        <v>43460</v>
      </c>
      <c r="B1002" s="15" t="n">
        <v>46.22</v>
      </c>
      <c r="C1002" s="15" t="n">
        <v>54.47</v>
      </c>
      <c r="D1002" s="14" t="n">
        <f aca="false">AVERAGE(B983:B1002)</f>
        <v>49.7825</v>
      </c>
      <c r="E1002" s="14" t="n">
        <f aca="false">(B1002-D1002)/D1002*100</f>
        <v>-7.15612916185407</v>
      </c>
    </row>
    <row r="1003" customFormat="false" ht="15" hidden="false" customHeight="false" outlineLevel="0" collapsed="false">
      <c r="A1003" s="12" t="n">
        <v>43461</v>
      </c>
      <c r="B1003" s="15" t="n">
        <v>44.61</v>
      </c>
      <c r="C1003" s="15" t="n">
        <v>52.16</v>
      </c>
      <c r="D1003" s="14" t="n">
        <f aca="false">AVERAGE(B984:B1003)</f>
        <v>49.435</v>
      </c>
      <c r="E1003" s="14" t="n">
        <f aca="false">(B1003-D1003)/D1003*100</f>
        <v>-9.76029129159503</v>
      </c>
    </row>
    <row r="1004" customFormat="false" ht="15" hidden="false" customHeight="false" outlineLevel="0" collapsed="false">
      <c r="A1004" s="12" t="n">
        <v>43462</v>
      </c>
      <c r="B1004" s="15" t="n">
        <v>45.33</v>
      </c>
      <c r="C1004" s="15" t="n">
        <v>52.2</v>
      </c>
      <c r="D1004" s="14" t="n">
        <f aca="false">AVERAGE(B985:B1004)</f>
        <v>49.187</v>
      </c>
      <c r="E1004" s="14" t="n">
        <f aca="false">(B1004-D1004)/D1004*100</f>
        <v>-7.84150283611523</v>
      </c>
    </row>
    <row r="1005" customFormat="false" ht="15" hidden="false" customHeight="false" outlineLevel="0" collapsed="false">
      <c r="A1005" s="12" t="n">
        <v>43465</v>
      </c>
      <c r="B1005" s="15" t="n">
        <v>45.41</v>
      </c>
      <c r="C1005" s="15" t="n">
        <v>53.8</v>
      </c>
      <c r="D1005" s="14" t="n">
        <f aca="false">AVERAGE(B986:B1005)</f>
        <v>48.885</v>
      </c>
      <c r="E1005" s="14" t="n">
        <f aca="false">(B1005-D1005)/D1005*100</f>
        <v>-7.10851999590878</v>
      </c>
    </row>
    <row r="1006" customFormat="false" ht="15" hidden="false" customHeight="false" outlineLevel="0" collapsed="false">
      <c r="A1006" s="12" t="n">
        <v>43467</v>
      </c>
      <c r="B1006" s="15" t="n">
        <v>46.54</v>
      </c>
      <c r="C1006" s="15" t="n">
        <v>54.91</v>
      </c>
      <c r="D1006" s="14" t="n">
        <f aca="false">AVERAGE(B987:B1006)</f>
        <v>48.6655</v>
      </c>
      <c r="E1006" s="14" t="n">
        <f aca="false">(B1006-D1006)/D1006*100</f>
        <v>-4.36757045545613</v>
      </c>
    </row>
    <row r="1007" customFormat="false" ht="15" hidden="false" customHeight="false" outlineLevel="0" collapsed="false">
      <c r="A1007" s="12" t="n">
        <v>43468</v>
      </c>
      <c r="B1007" s="15" t="n">
        <v>47.09</v>
      </c>
      <c r="C1007" s="15" t="n">
        <v>55.95</v>
      </c>
      <c r="D1007" s="14" t="n">
        <f aca="false">AVERAGE(B988:B1007)</f>
        <v>48.3725</v>
      </c>
      <c r="E1007" s="14" t="n">
        <f aca="false">(B1007-D1007)/D1007*100</f>
        <v>-2.65129980877564</v>
      </c>
    </row>
    <row r="1008" customFormat="false" ht="15" hidden="false" customHeight="false" outlineLevel="0" collapsed="false">
      <c r="A1008" s="12" t="n">
        <v>43469</v>
      </c>
      <c r="B1008" s="15" t="n">
        <v>47.96</v>
      </c>
      <c r="C1008" s="15" t="n">
        <v>57.06</v>
      </c>
      <c r="D1008" s="14" t="n">
        <f aca="false">AVERAGE(B989:B1008)</f>
        <v>48.108</v>
      </c>
      <c r="E1008" s="14" t="n">
        <f aca="false">(B1008-D1008)/D1008*100</f>
        <v>-0.3076411407666</v>
      </c>
    </row>
    <row r="1009" customFormat="false" ht="15" hidden="false" customHeight="false" outlineLevel="0" collapsed="false">
      <c r="A1009" s="12" t="n">
        <v>43472</v>
      </c>
      <c r="B1009" s="15" t="n">
        <v>48.52</v>
      </c>
      <c r="C1009" s="15" t="n">
        <v>57.33</v>
      </c>
      <c r="D1009" s="14" t="n">
        <f aca="false">AVERAGE(B990:B1009)</f>
        <v>47.9595</v>
      </c>
      <c r="E1009" s="14" t="n">
        <f aca="false">(B1009-D1009)/D1009*100</f>
        <v>1.16869441924957</v>
      </c>
    </row>
    <row r="1010" customFormat="false" ht="15" hidden="false" customHeight="false" outlineLevel="0" collapsed="false">
      <c r="A1010" s="12" t="n">
        <v>43473</v>
      </c>
      <c r="B1010" s="15" t="n">
        <v>49.78</v>
      </c>
      <c r="C1010" s="15" t="n">
        <v>58.72</v>
      </c>
      <c r="D1010" s="14" t="n">
        <f aca="false">AVERAGE(B991:B1010)</f>
        <v>47.818</v>
      </c>
      <c r="E1010" s="14" t="n">
        <f aca="false">(B1010-D1010)/D1010*100</f>
        <v>4.10305742607387</v>
      </c>
    </row>
    <row r="1011" customFormat="false" ht="15" hidden="false" customHeight="false" outlineLevel="0" collapsed="false">
      <c r="A1011" s="12" t="n">
        <v>43474</v>
      </c>
      <c r="B1011" s="15" t="n">
        <v>52.36</v>
      </c>
      <c r="C1011" s="15" t="n">
        <v>61.44</v>
      </c>
      <c r="D1011" s="14" t="n">
        <f aca="false">AVERAGE(B992:B1011)</f>
        <v>47.886</v>
      </c>
      <c r="E1011" s="14" t="n">
        <f aca="false">(B1011-D1011)/D1011*100</f>
        <v>9.34302301298918</v>
      </c>
    </row>
    <row r="1012" customFormat="false" ht="15" hidden="false" customHeight="false" outlineLevel="0" collapsed="false">
      <c r="A1012" s="12" t="n">
        <v>43475</v>
      </c>
      <c r="B1012" s="15" t="n">
        <v>52.59</v>
      </c>
      <c r="C1012" s="15" t="n">
        <v>61.68</v>
      </c>
      <c r="D1012" s="14" t="n">
        <f aca="false">AVERAGE(B993:B1012)</f>
        <v>47.933</v>
      </c>
      <c r="E1012" s="14" t="n">
        <f aca="false">(B1012-D1012)/D1012*100</f>
        <v>9.71564475413599</v>
      </c>
    </row>
    <row r="1013" customFormat="false" ht="15" hidden="false" customHeight="false" outlineLevel="0" collapsed="false">
      <c r="A1013" s="12" t="n">
        <v>43476</v>
      </c>
      <c r="B1013" s="15" t="n">
        <v>51.59</v>
      </c>
      <c r="C1013" s="15" t="n">
        <v>60.48</v>
      </c>
      <c r="D1013" s="14" t="n">
        <f aca="false">AVERAGE(B994:B1013)</f>
        <v>47.955</v>
      </c>
      <c r="E1013" s="14" t="n">
        <f aca="false">(B1013-D1013)/D1013*100</f>
        <v>7.58002293817121</v>
      </c>
    </row>
    <row r="1014" customFormat="false" ht="15" hidden="false" customHeight="false" outlineLevel="0" collapsed="false">
      <c r="A1014" s="12" t="n">
        <v>43479</v>
      </c>
      <c r="B1014" s="15" t="n">
        <v>50.51</v>
      </c>
      <c r="C1014" s="15" t="n">
        <v>58.99</v>
      </c>
      <c r="D1014" s="14" t="n">
        <f aca="false">AVERAGE(B995:B1014)</f>
        <v>47.8515</v>
      </c>
      <c r="E1014" s="14" t="n">
        <f aca="false">(B1014-D1014)/D1014*100</f>
        <v>5.55572970544287</v>
      </c>
    </row>
    <row r="1015" customFormat="false" ht="15" hidden="false" customHeight="false" outlineLevel="0" collapsed="false">
      <c r="A1015" s="12" t="n">
        <v>43480</v>
      </c>
      <c r="B1015" s="15" t="n">
        <v>52.11</v>
      </c>
      <c r="C1015" s="15" t="n">
        <v>60.64</v>
      </c>
      <c r="D1015" s="14" t="n">
        <f aca="false">AVERAGE(B996:B1015)</f>
        <v>47.897</v>
      </c>
      <c r="E1015" s="14" t="n">
        <f aca="false">(B1015-D1015)/D1015*100</f>
        <v>8.79595799319372</v>
      </c>
    </row>
    <row r="1016" customFormat="false" ht="15" hidden="false" customHeight="false" outlineLevel="0" collapsed="false">
      <c r="A1016" s="12" t="n">
        <v>43481</v>
      </c>
      <c r="B1016" s="15" t="n">
        <v>52.31</v>
      </c>
      <c r="C1016" s="15" t="n">
        <v>61.32</v>
      </c>
      <c r="D1016" s="14" t="n">
        <f aca="false">AVERAGE(B997:B1016)</f>
        <v>48.0185</v>
      </c>
      <c r="E1016" s="14" t="n">
        <f aca="false">(B1016-D1016)/D1016*100</f>
        <v>8.93718046169705</v>
      </c>
    </row>
    <row r="1017" customFormat="false" ht="15" hidden="false" customHeight="false" outlineLevel="0" collapsed="false">
      <c r="A1017" s="12" t="n">
        <v>43482</v>
      </c>
      <c r="B1017" s="15" t="n">
        <v>52.07</v>
      </c>
      <c r="C1017" s="15" t="n">
        <v>61.18</v>
      </c>
      <c r="D1017" s="14" t="n">
        <f aca="false">AVERAGE(B998:B1017)</f>
        <v>48.31</v>
      </c>
      <c r="E1017" s="14" t="n">
        <f aca="false">(B1017-D1017)/D1017*100</f>
        <v>7.7830676878493</v>
      </c>
    </row>
    <row r="1018" customFormat="false" ht="15" hidden="false" customHeight="false" outlineLevel="0" collapsed="false">
      <c r="A1018" s="12" t="n">
        <v>43483</v>
      </c>
      <c r="B1018" s="15" t="n">
        <v>53.8</v>
      </c>
      <c r="C1018" s="15" t="n">
        <v>62.7</v>
      </c>
      <c r="D1018" s="14" t="n">
        <f aca="false">AVERAGE(B999:B1018)</f>
        <v>48.64</v>
      </c>
      <c r="E1018" s="14" t="n">
        <f aca="false">(B1018-D1018)/D1018*100</f>
        <v>10.6085526315789</v>
      </c>
    </row>
    <row r="1019" customFormat="false" ht="15" hidden="false" customHeight="false" outlineLevel="0" collapsed="false">
      <c r="A1019" s="12" t="n">
        <v>43487</v>
      </c>
      <c r="B1019" s="15" t="n">
        <v>52.57</v>
      </c>
      <c r="C1019" s="15" t="n">
        <v>61.5</v>
      </c>
      <c r="D1019" s="14" t="n">
        <f aca="false">AVERAGE(B1000:B1019)</f>
        <v>48.9745</v>
      </c>
      <c r="E1019" s="14" t="n">
        <f aca="false">(B1019-D1019)/D1019*100</f>
        <v>7.34157571797568</v>
      </c>
    </row>
    <row r="1020" customFormat="false" ht="15" hidden="false" customHeight="false" outlineLevel="0" collapsed="false">
      <c r="A1020" s="12" t="n">
        <v>43488</v>
      </c>
      <c r="B1020" s="15" t="n">
        <v>52.62</v>
      </c>
      <c r="C1020" s="15" t="n">
        <v>61.14</v>
      </c>
      <c r="D1020" s="14" t="n">
        <f aca="false">AVERAGE(B1001:B1020)</f>
        <v>49.326</v>
      </c>
      <c r="E1020" s="14" t="n">
        <f aca="false">(B1020-D1020)/D1020*100</f>
        <v>6.67801970563191</v>
      </c>
    </row>
    <row r="1021" customFormat="false" ht="15" hidden="false" customHeight="false" outlineLevel="0" collapsed="false">
      <c r="A1021" s="12" t="n">
        <v>43489</v>
      </c>
      <c r="B1021" s="15" t="n">
        <v>53.13</v>
      </c>
      <c r="C1021" s="15" t="n">
        <v>61.09</v>
      </c>
      <c r="D1021" s="14" t="n">
        <f aca="false">AVERAGE(B1002:B1021)</f>
        <v>49.856</v>
      </c>
      <c r="E1021" s="14" t="n">
        <f aca="false">(B1021-D1021)/D1021*100</f>
        <v>6.56691270860077</v>
      </c>
    </row>
    <row r="1022" customFormat="false" ht="15" hidden="false" customHeight="false" outlineLevel="0" collapsed="false">
      <c r="A1022" s="12" t="n">
        <v>43490</v>
      </c>
      <c r="B1022" s="15" t="n">
        <v>53.69</v>
      </c>
      <c r="C1022" s="15" t="n">
        <v>61.64</v>
      </c>
      <c r="D1022" s="14" t="n">
        <f aca="false">AVERAGE(B1003:B1022)</f>
        <v>50.2295</v>
      </c>
      <c r="E1022" s="14" t="n">
        <f aca="false">(B1022-D1022)/D1022*100</f>
        <v>6.8893777560995</v>
      </c>
    </row>
    <row r="1023" customFormat="false" ht="15" hidden="false" customHeight="false" outlineLevel="0" collapsed="false">
      <c r="A1023" s="12" t="n">
        <v>43493</v>
      </c>
      <c r="B1023" s="15" t="n">
        <v>51.99</v>
      </c>
      <c r="C1023" s="15" t="n">
        <v>59.93</v>
      </c>
      <c r="D1023" s="14" t="n">
        <f aca="false">AVERAGE(B1004:B1023)</f>
        <v>50.5985</v>
      </c>
      <c r="E1023" s="14" t="n">
        <f aca="false">(B1023-D1023)/D1023*100</f>
        <v>2.75008152415586</v>
      </c>
    </row>
    <row r="1024" customFormat="false" ht="15" hidden="false" customHeight="false" outlineLevel="0" collapsed="false">
      <c r="A1024" s="12" t="n">
        <v>43494</v>
      </c>
      <c r="B1024" s="15" t="n">
        <v>53.31</v>
      </c>
      <c r="C1024" s="15" t="n">
        <v>61.32</v>
      </c>
      <c r="D1024" s="14" t="n">
        <f aca="false">AVERAGE(B1005:B1024)</f>
        <v>50.9975</v>
      </c>
      <c r="E1024" s="14" t="n">
        <f aca="false">(B1024-D1024)/D1024*100</f>
        <v>4.53453600666699</v>
      </c>
    </row>
    <row r="1025" customFormat="false" ht="15" hidden="false" customHeight="false" outlineLevel="0" collapsed="false">
      <c r="A1025" s="12" t="n">
        <v>43495</v>
      </c>
      <c r="B1025" s="15" t="n">
        <v>54.23</v>
      </c>
      <c r="C1025" s="15" t="n">
        <v>61.65</v>
      </c>
      <c r="D1025" s="14" t="n">
        <f aca="false">AVERAGE(B1006:B1025)</f>
        <v>51.4385</v>
      </c>
      <c r="E1025" s="14" t="n">
        <f aca="false">(B1025-D1025)/D1025*100</f>
        <v>5.42686897946091</v>
      </c>
    </row>
    <row r="1026" customFormat="false" ht="15" hidden="false" customHeight="false" outlineLevel="0" collapsed="false">
      <c r="A1026" s="12" t="n">
        <v>43496</v>
      </c>
      <c r="B1026" s="15" t="n">
        <v>53.79</v>
      </c>
      <c r="C1026" s="15" t="n">
        <v>61.89</v>
      </c>
      <c r="D1026" s="14" t="n">
        <f aca="false">AVERAGE(B1007:B1026)</f>
        <v>51.801</v>
      </c>
      <c r="E1026" s="14" t="n">
        <f aca="false">(B1026-D1026)/D1026*100</f>
        <v>3.8396942143974</v>
      </c>
    </row>
    <row r="1027" customFormat="false" ht="15" hidden="false" customHeight="false" outlineLevel="0" collapsed="false">
      <c r="A1027" s="12" t="n">
        <v>43497</v>
      </c>
      <c r="B1027" s="15" t="n">
        <v>55.26</v>
      </c>
      <c r="C1027" s="15" t="n">
        <v>61.87</v>
      </c>
      <c r="D1027" s="14" t="n">
        <f aca="false">AVERAGE(B1008:B1027)</f>
        <v>52.2095</v>
      </c>
      <c r="E1027" s="14" t="n">
        <f aca="false">(B1027-D1027)/D1027*100</f>
        <v>5.842806385811</v>
      </c>
    </row>
    <row r="1028" customFormat="false" ht="15" hidden="false" customHeight="false" outlineLevel="0" collapsed="false">
      <c r="A1028" s="12" t="n">
        <v>43500</v>
      </c>
      <c r="B1028" s="15" t="n">
        <v>54.56</v>
      </c>
      <c r="C1028" s="15" t="n">
        <v>62.51</v>
      </c>
      <c r="D1028" s="14" t="n">
        <f aca="false">AVERAGE(B1009:B1028)</f>
        <v>52.5395</v>
      </c>
      <c r="E1028" s="14" t="n">
        <f aca="false">(B1028-D1028)/D1028*100</f>
        <v>3.84567801368495</v>
      </c>
    </row>
    <row r="1029" customFormat="false" ht="15" hidden="false" customHeight="false" outlineLevel="0" collapsed="false">
      <c r="A1029" s="12" t="n">
        <v>43501</v>
      </c>
      <c r="B1029" s="15" t="n">
        <v>53.66</v>
      </c>
      <c r="C1029" s="15" t="n">
        <v>61.98</v>
      </c>
      <c r="D1029" s="14" t="n">
        <f aca="false">AVERAGE(B1010:B1029)</f>
        <v>52.7965</v>
      </c>
      <c r="E1029" s="14" t="n">
        <f aca="false">(B1029-D1029)/D1029*100</f>
        <v>1.63552508215506</v>
      </c>
    </row>
    <row r="1030" customFormat="false" ht="15" hidden="false" customHeight="false" outlineLevel="0" collapsed="false">
      <c r="A1030" s="12" t="n">
        <v>43502</v>
      </c>
      <c r="B1030" s="15" t="n">
        <v>54.01</v>
      </c>
      <c r="C1030" s="15" t="n">
        <v>62.69</v>
      </c>
      <c r="D1030" s="14" t="n">
        <f aca="false">AVERAGE(B1011:B1030)</f>
        <v>53.008</v>
      </c>
      <c r="E1030" s="14" t="n">
        <f aca="false">(B1030-D1030)/D1030*100</f>
        <v>1.8902807123453</v>
      </c>
    </row>
    <row r="1031" customFormat="false" ht="15" hidden="false" customHeight="false" outlineLevel="0" collapsed="false">
      <c r="A1031" s="12" t="n">
        <v>43503</v>
      </c>
      <c r="B1031" s="15" t="n">
        <v>52.64</v>
      </c>
      <c r="C1031" s="15" t="n">
        <v>61.63</v>
      </c>
      <c r="D1031" s="14" t="n">
        <f aca="false">AVERAGE(B1012:B1031)</f>
        <v>53.022</v>
      </c>
      <c r="E1031" s="14" t="n">
        <f aca="false">(B1031-D1031)/D1031*100</f>
        <v>-0.720455659914762</v>
      </c>
    </row>
    <row r="1032" customFormat="false" ht="15" hidden="false" customHeight="false" outlineLevel="0" collapsed="false">
      <c r="A1032" s="12" t="n">
        <v>43504</v>
      </c>
      <c r="B1032" s="15" t="n">
        <v>52.72</v>
      </c>
      <c r="C1032" s="15" t="n">
        <v>62.1</v>
      </c>
      <c r="D1032" s="14" t="n">
        <f aca="false">AVERAGE(B1013:B1032)</f>
        <v>53.0285</v>
      </c>
      <c r="E1032" s="14" t="n">
        <f aca="false">(B1032-D1032)/D1032*100</f>
        <v>-0.581762637072508</v>
      </c>
    </row>
    <row r="1033" customFormat="false" ht="15" hidden="false" customHeight="false" outlineLevel="0" collapsed="false">
      <c r="A1033" s="12" t="n">
        <v>43507</v>
      </c>
      <c r="B1033" s="15" t="n">
        <v>52.41</v>
      </c>
      <c r="C1033" s="15" t="n">
        <v>61.51</v>
      </c>
      <c r="D1033" s="14" t="n">
        <f aca="false">AVERAGE(B1014:B1033)</f>
        <v>53.0695</v>
      </c>
      <c r="E1033" s="14" t="n">
        <f aca="false">(B1033-D1033)/D1033*100</f>
        <v>-1.24271003118551</v>
      </c>
    </row>
    <row r="1034" customFormat="false" ht="15" hidden="false" customHeight="false" outlineLevel="0" collapsed="false">
      <c r="A1034" s="12" t="n">
        <v>43508</v>
      </c>
      <c r="B1034" s="15" t="n">
        <v>53.1</v>
      </c>
      <c r="C1034" s="15" t="n">
        <v>62.42</v>
      </c>
      <c r="D1034" s="14" t="n">
        <f aca="false">AVERAGE(B1015:B1034)</f>
        <v>53.199</v>
      </c>
      <c r="E1034" s="14" t="n">
        <f aca="false">(B1034-D1034)/D1034*100</f>
        <v>-0.186093723566226</v>
      </c>
    </row>
    <row r="1035" customFormat="false" ht="15" hidden="false" customHeight="false" outlineLevel="0" collapsed="false">
      <c r="A1035" s="12" t="n">
        <v>43509</v>
      </c>
      <c r="B1035" s="15" t="n">
        <v>53.9</v>
      </c>
      <c r="C1035" s="15" t="n">
        <v>63.61</v>
      </c>
      <c r="D1035" s="14" t="n">
        <f aca="false">AVERAGE(B1016:B1035)</f>
        <v>53.2885</v>
      </c>
      <c r="E1035" s="14" t="n">
        <f aca="false">(B1035-D1035)/D1035*100</f>
        <v>1.14752714000206</v>
      </c>
    </row>
    <row r="1036" customFormat="false" ht="15" hidden="false" customHeight="false" outlineLevel="0" collapsed="false">
      <c r="A1036" s="12" t="n">
        <v>43510</v>
      </c>
      <c r="B1036" s="15" t="n">
        <v>54.41</v>
      </c>
      <c r="C1036" s="15" t="n">
        <v>64.57</v>
      </c>
      <c r="D1036" s="14" t="n">
        <f aca="false">AVERAGE(B1017:B1036)</f>
        <v>53.3935</v>
      </c>
      <c r="E1036" s="14" t="n">
        <f aca="false">(B1036-D1036)/D1036*100</f>
        <v>1.90378978714638</v>
      </c>
    </row>
    <row r="1037" customFormat="false" ht="15" hidden="false" customHeight="false" outlineLevel="0" collapsed="false">
      <c r="A1037" s="12" t="n">
        <v>43511</v>
      </c>
      <c r="B1037" s="15" t="n">
        <v>55.59</v>
      </c>
      <c r="C1037" s="15" t="n">
        <v>66.25</v>
      </c>
      <c r="D1037" s="14" t="n">
        <f aca="false">AVERAGE(B1018:B1037)</f>
        <v>53.5695</v>
      </c>
      <c r="E1037" s="14" t="n">
        <f aca="false">(B1037-D1037)/D1037*100</f>
        <v>3.77173578248819</v>
      </c>
    </row>
    <row r="1038" customFormat="false" ht="15" hidden="false" customHeight="false" outlineLevel="0" collapsed="false">
      <c r="A1038" s="12" t="n">
        <v>43515</v>
      </c>
      <c r="B1038" s="15" t="n">
        <v>56.09</v>
      </c>
      <c r="C1038" s="15" t="n">
        <v>66.45</v>
      </c>
      <c r="D1038" s="14" t="n">
        <f aca="false">AVERAGE(B1019:B1038)</f>
        <v>53.684</v>
      </c>
      <c r="E1038" s="14" t="n">
        <f aca="false">(B1038-D1038)/D1038*100</f>
        <v>4.48178228149914</v>
      </c>
    </row>
    <row r="1039" customFormat="false" ht="15" hidden="false" customHeight="false" outlineLevel="0" collapsed="false">
      <c r="A1039" s="12" t="n">
        <v>43516</v>
      </c>
      <c r="B1039" s="15" t="n">
        <v>56.92</v>
      </c>
      <c r="C1039" s="15" t="n">
        <v>67.08</v>
      </c>
      <c r="D1039" s="14" t="n">
        <f aca="false">AVERAGE(B1020:B1039)</f>
        <v>53.9015</v>
      </c>
      <c r="E1039" s="14" t="n">
        <f aca="false">(B1039-D1039)/D1039*100</f>
        <v>5.60002968377504</v>
      </c>
    </row>
    <row r="1040" customFormat="false" ht="15" hidden="false" customHeight="false" outlineLevel="0" collapsed="false">
      <c r="A1040" s="12" t="n">
        <v>43517</v>
      </c>
      <c r="B1040" s="15" t="n">
        <v>56.96</v>
      </c>
      <c r="C1040" s="15" t="n">
        <v>67.07</v>
      </c>
      <c r="D1040" s="14" t="n">
        <f aca="false">AVERAGE(B1021:B1040)</f>
        <v>54.1185</v>
      </c>
      <c r="E1040" s="14" t="n">
        <f aca="false">(B1040-D1040)/D1040*100</f>
        <v>5.25051507340374</v>
      </c>
    </row>
    <row r="1041" customFormat="false" ht="15" hidden="false" customHeight="false" outlineLevel="0" collapsed="false">
      <c r="A1041" s="12" t="n">
        <v>43518</v>
      </c>
      <c r="B1041" s="15" t="n">
        <v>57.26</v>
      </c>
      <c r="C1041" s="15" t="n">
        <v>67.12</v>
      </c>
      <c r="D1041" s="14" t="n">
        <f aca="false">AVERAGE(B1022:B1041)</f>
        <v>54.325</v>
      </c>
      <c r="E1041" s="14" t="n">
        <f aca="false">(B1041-D1041)/D1041*100</f>
        <v>5.40266912103082</v>
      </c>
    </row>
    <row r="1042" customFormat="false" ht="15" hidden="false" customHeight="false" outlineLevel="0" collapsed="false">
      <c r="A1042" s="12" t="n">
        <v>43521</v>
      </c>
      <c r="B1042" s="15" t="n">
        <v>55.48</v>
      </c>
      <c r="C1042" s="15" t="n">
        <v>64.76</v>
      </c>
      <c r="D1042" s="14" t="n">
        <f aca="false">AVERAGE(B1023:B1042)</f>
        <v>54.4145</v>
      </c>
      <c r="E1042" s="14" t="n">
        <f aca="false">(B1042-D1042)/D1042*100</f>
        <v>1.95811778110614</v>
      </c>
    </row>
    <row r="1043" customFormat="false" ht="15" hidden="false" customHeight="false" outlineLevel="0" collapsed="false">
      <c r="A1043" s="12" t="n">
        <v>43522</v>
      </c>
      <c r="B1043" s="15" t="n">
        <v>55.5</v>
      </c>
      <c r="C1043" s="15" t="n">
        <v>65.21</v>
      </c>
      <c r="D1043" s="14" t="n">
        <f aca="false">AVERAGE(B1024:B1043)</f>
        <v>54.59</v>
      </c>
      <c r="E1043" s="14" t="n">
        <f aca="false">(B1043-D1043)/D1043*100</f>
        <v>1.66697197288881</v>
      </c>
    </row>
    <row r="1044" customFormat="false" ht="15" hidden="false" customHeight="false" outlineLevel="0" collapsed="false">
      <c r="A1044" s="12" t="n">
        <v>43523</v>
      </c>
      <c r="B1044" s="15" t="n">
        <v>56.94</v>
      </c>
      <c r="C1044" s="15" t="n">
        <v>66.39</v>
      </c>
      <c r="D1044" s="14" t="n">
        <f aca="false">AVERAGE(B1025:B1044)</f>
        <v>54.7715</v>
      </c>
      <c r="E1044" s="14" t="n">
        <f aca="false">(B1044-D1044)/D1044*100</f>
        <v>3.95917584875345</v>
      </c>
    </row>
    <row r="1045" customFormat="false" ht="15" hidden="false" customHeight="false" outlineLevel="0" collapsed="false">
      <c r="A1045" s="12" t="n">
        <v>43524</v>
      </c>
      <c r="B1045" s="15" t="n">
        <v>57.22</v>
      </c>
      <c r="C1045" s="15" t="n">
        <v>66.03</v>
      </c>
      <c r="D1045" s="14" t="n">
        <f aca="false">AVERAGE(B1026:B1045)</f>
        <v>54.921</v>
      </c>
      <c r="E1045" s="14" t="n">
        <f aca="false">(B1045-D1045)/D1045*100</f>
        <v>4.18601263633217</v>
      </c>
    </row>
    <row r="1046" customFormat="false" ht="15" hidden="false" customHeight="false" outlineLevel="0" collapsed="false">
      <c r="A1046" s="12" t="n">
        <v>43525</v>
      </c>
      <c r="B1046" s="15" t="n">
        <v>55.8</v>
      </c>
      <c r="C1046" s="15" t="n">
        <v>65.07</v>
      </c>
      <c r="D1046" s="14" t="n">
        <f aca="false">AVERAGE(B1027:B1046)</f>
        <v>55.0215</v>
      </c>
      <c r="E1046" s="14" t="n">
        <f aca="false">(B1046-D1046)/D1046*100</f>
        <v>1.41490144761592</v>
      </c>
    </row>
    <row r="1047" customFormat="false" ht="15" hidden="false" customHeight="false" outlineLevel="0" collapsed="false">
      <c r="A1047" s="12" t="n">
        <v>43528</v>
      </c>
      <c r="B1047" s="15" t="n">
        <v>56.59</v>
      </c>
      <c r="C1047" s="15" t="n">
        <v>65.67</v>
      </c>
      <c r="D1047" s="14" t="n">
        <f aca="false">AVERAGE(B1028:B1047)</f>
        <v>55.088</v>
      </c>
      <c r="E1047" s="14" t="n">
        <f aca="false">(B1047-D1047)/D1047*100</f>
        <v>2.72654661632298</v>
      </c>
    </row>
    <row r="1048" customFormat="false" ht="15" hidden="false" customHeight="false" outlineLevel="0" collapsed="false">
      <c r="A1048" s="12" t="n">
        <v>43529</v>
      </c>
      <c r="B1048" s="15" t="n">
        <v>56.56</v>
      </c>
      <c r="C1048" s="15" t="n">
        <v>65.86</v>
      </c>
      <c r="D1048" s="14" t="n">
        <f aca="false">AVERAGE(B1029:B1048)</f>
        <v>55.188</v>
      </c>
      <c r="E1048" s="14" t="n">
        <f aca="false">(B1048-D1048)/D1048*100</f>
        <v>2.48604769152714</v>
      </c>
    </row>
    <row r="1049" customFormat="false" ht="15" hidden="false" customHeight="false" outlineLevel="0" collapsed="false">
      <c r="A1049" s="12" t="n">
        <v>43530</v>
      </c>
      <c r="B1049" s="15" t="n">
        <v>56.22</v>
      </c>
      <c r="C1049" s="15" t="n">
        <v>65.99</v>
      </c>
      <c r="D1049" s="14" t="n">
        <f aca="false">AVERAGE(B1030:B1049)</f>
        <v>55.316</v>
      </c>
      <c r="E1049" s="14" t="n">
        <f aca="false">(B1049-D1049)/D1049*100</f>
        <v>1.63424687251429</v>
      </c>
    </row>
    <row r="1050" customFormat="false" ht="15" hidden="false" customHeight="false" outlineLevel="0" collapsed="false">
      <c r="A1050" s="12" t="n">
        <v>43531</v>
      </c>
      <c r="B1050" s="15" t="n">
        <v>56.66</v>
      </c>
      <c r="C1050" s="15" t="n">
        <v>66.3</v>
      </c>
      <c r="D1050" s="14" t="n">
        <f aca="false">AVERAGE(B1031:B1050)</f>
        <v>55.4485</v>
      </c>
      <c r="E1050" s="14" t="n">
        <f aca="false">(B1050-D1050)/D1050*100</f>
        <v>2.18491032219085</v>
      </c>
    </row>
    <row r="1051" customFormat="false" ht="15" hidden="false" customHeight="false" outlineLevel="0" collapsed="false">
      <c r="A1051" s="12" t="n">
        <v>43532</v>
      </c>
      <c r="B1051" s="15" t="n">
        <v>56.07</v>
      </c>
      <c r="C1051" s="15" t="n">
        <v>65.74</v>
      </c>
      <c r="D1051" s="14" t="n">
        <f aca="false">AVERAGE(B1032:B1051)</f>
        <v>55.62</v>
      </c>
      <c r="E1051" s="14" t="n">
        <f aca="false">(B1051-D1051)/D1051*100</f>
        <v>0.809061488673131</v>
      </c>
    </row>
    <row r="1052" customFormat="false" ht="15" hidden="false" customHeight="false" outlineLevel="0" collapsed="false">
      <c r="A1052" s="12" t="n">
        <v>43535</v>
      </c>
      <c r="B1052" s="15" t="n">
        <v>56.79</v>
      </c>
      <c r="C1052" s="15" t="n">
        <v>66.58</v>
      </c>
      <c r="D1052" s="14" t="n">
        <f aca="false">AVERAGE(B1033:B1052)</f>
        <v>55.8235</v>
      </c>
      <c r="E1052" s="14" t="n">
        <f aca="false">(B1052-D1052)/D1052*100</f>
        <v>1.73134970039499</v>
      </c>
    </row>
    <row r="1053" customFormat="false" ht="15" hidden="false" customHeight="false" outlineLevel="0" collapsed="false">
      <c r="A1053" s="12" t="n">
        <v>43536</v>
      </c>
      <c r="B1053" s="15" t="n">
        <v>56.87</v>
      </c>
      <c r="C1053" s="15" t="n">
        <v>66.67</v>
      </c>
      <c r="D1053" s="14" t="n">
        <f aca="false">AVERAGE(B1034:B1053)</f>
        <v>56.0465</v>
      </c>
      <c r="E1053" s="14" t="n">
        <f aca="false">(B1053-D1053)/D1053*100</f>
        <v>1.46931565753436</v>
      </c>
    </row>
    <row r="1054" customFormat="false" ht="15" hidden="false" customHeight="false" outlineLevel="0" collapsed="false">
      <c r="A1054" s="12" t="n">
        <v>43537</v>
      </c>
      <c r="B1054" s="15" t="n">
        <v>58.26</v>
      </c>
      <c r="C1054" s="15" t="n">
        <v>67.55</v>
      </c>
      <c r="D1054" s="14" t="n">
        <f aca="false">AVERAGE(B1035:B1054)</f>
        <v>56.3045</v>
      </c>
      <c r="E1054" s="14" t="n">
        <f aca="false">(B1054-D1054)/D1054*100</f>
        <v>3.47307941638768</v>
      </c>
    </row>
    <row r="1055" customFormat="false" ht="15" hidden="false" customHeight="false" outlineLevel="0" collapsed="false">
      <c r="A1055" s="12" t="n">
        <v>43538</v>
      </c>
      <c r="B1055" s="15" t="n">
        <v>58.61</v>
      </c>
      <c r="C1055" s="15" t="n">
        <v>67.23</v>
      </c>
      <c r="D1055" s="14" t="n">
        <f aca="false">AVERAGE(B1036:B1055)</f>
        <v>56.54</v>
      </c>
      <c r="E1055" s="14" t="n">
        <f aca="false">(B1055-D1055)/D1055*100</f>
        <v>3.66112486735055</v>
      </c>
    </row>
    <row r="1056" customFormat="false" ht="15" hidden="false" customHeight="false" outlineLevel="0" collapsed="false">
      <c r="A1056" s="12" t="n">
        <v>43539</v>
      </c>
      <c r="B1056" s="15" t="n">
        <v>58.52</v>
      </c>
      <c r="C1056" s="15" t="n">
        <v>67.16</v>
      </c>
      <c r="D1056" s="14" t="n">
        <f aca="false">AVERAGE(B1037:B1056)</f>
        <v>56.7455</v>
      </c>
      <c r="E1056" s="14" t="n">
        <f aca="false">(B1056-D1056)/D1056*100</f>
        <v>3.12712021217541</v>
      </c>
    </row>
    <row r="1057" customFormat="false" ht="15" hidden="false" customHeight="false" outlineLevel="0" collapsed="false">
      <c r="A1057" s="12" t="n">
        <v>43542</v>
      </c>
      <c r="B1057" s="15" t="n">
        <v>59.09</v>
      </c>
      <c r="C1057" s="15" t="n">
        <v>67.54</v>
      </c>
      <c r="D1057" s="14" t="n">
        <f aca="false">AVERAGE(B1038:B1057)</f>
        <v>56.9205</v>
      </c>
      <c r="E1057" s="14" t="n">
        <f aca="false">(B1057-D1057)/D1057*100</f>
        <v>3.81145632944194</v>
      </c>
    </row>
    <row r="1058" customFormat="false" ht="15" hidden="false" customHeight="false" outlineLevel="0" collapsed="false">
      <c r="A1058" s="12" t="n">
        <v>43543</v>
      </c>
      <c r="B1058" s="15" t="n">
        <v>59.03</v>
      </c>
      <c r="C1058" s="15" t="n">
        <v>67.61</v>
      </c>
      <c r="D1058" s="14" t="n">
        <f aca="false">AVERAGE(B1039:B1058)</f>
        <v>57.0675</v>
      </c>
      <c r="E1058" s="14" t="n">
        <f aca="false">(B1058-D1058)/D1058*100</f>
        <v>3.43891006264512</v>
      </c>
    </row>
    <row r="1059" customFormat="false" ht="15" hidden="false" customHeight="false" outlineLevel="0" collapsed="false">
      <c r="A1059" s="12" t="n">
        <v>43544</v>
      </c>
      <c r="B1059" s="15" t="n">
        <v>59.83</v>
      </c>
      <c r="C1059" s="15" t="n">
        <v>68.5</v>
      </c>
      <c r="D1059" s="14" t="n">
        <f aca="false">AVERAGE(B1040:B1059)</f>
        <v>57.213</v>
      </c>
      <c r="E1059" s="14" t="n">
        <f aca="false">(B1059-D1059)/D1059*100</f>
        <v>4.57413524898187</v>
      </c>
    </row>
    <row r="1060" customFormat="false" ht="15" hidden="false" customHeight="false" outlineLevel="0" collapsed="false">
      <c r="A1060" s="12" t="n">
        <v>43545</v>
      </c>
      <c r="B1060" s="15" t="n">
        <v>59.98</v>
      </c>
      <c r="C1060" s="15" t="n">
        <v>67.86</v>
      </c>
      <c r="D1060" s="14" t="n">
        <f aca="false">AVERAGE(B1041:B1060)</f>
        <v>57.364</v>
      </c>
      <c r="E1060" s="14" t="n">
        <f aca="false">(B1060-D1060)/D1060*100</f>
        <v>4.56035143992748</v>
      </c>
    </row>
    <row r="1061" customFormat="false" ht="15" hidden="false" customHeight="false" outlineLevel="0" collapsed="false">
      <c r="A1061" s="12" t="n">
        <v>43546</v>
      </c>
      <c r="B1061" s="15" t="n">
        <v>59.04</v>
      </c>
      <c r="C1061" s="15" t="n">
        <v>67.03</v>
      </c>
      <c r="D1061" s="14" t="n">
        <f aca="false">AVERAGE(B1042:B1061)</f>
        <v>57.453</v>
      </c>
      <c r="E1061" s="14" t="n">
        <f aca="false">(B1061-D1061)/D1061*100</f>
        <v>2.76225784554332</v>
      </c>
    </row>
    <row r="1062" customFormat="false" ht="15" hidden="false" customHeight="false" outlineLevel="0" collapsed="false">
      <c r="A1062" s="12" t="n">
        <v>43549</v>
      </c>
      <c r="B1062" s="15" t="n">
        <v>58.82</v>
      </c>
      <c r="C1062" s="15" t="n">
        <v>67.21</v>
      </c>
      <c r="D1062" s="14" t="n">
        <f aca="false">AVERAGE(B1043:B1062)</f>
        <v>57.62</v>
      </c>
      <c r="E1062" s="14" t="n">
        <f aca="false">(B1062-D1062)/D1062*100</f>
        <v>2.08261020479</v>
      </c>
    </row>
    <row r="1063" customFormat="false" ht="15" hidden="false" customHeight="false" outlineLevel="0" collapsed="false">
      <c r="A1063" s="12" t="n">
        <v>43550</v>
      </c>
      <c r="B1063" s="15" t="n">
        <v>59.94</v>
      </c>
      <c r="C1063" s="15" t="n">
        <v>67.97</v>
      </c>
      <c r="D1063" s="14" t="n">
        <f aca="false">AVERAGE(B1044:B1063)</f>
        <v>57.842</v>
      </c>
      <c r="E1063" s="14" t="n">
        <f aca="false">(B1063-D1063)/D1063*100</f>
        <v>3.6271221603679</v>
      </c>
    </row>
    <row r="1064" customFormat="false" ht="15" hidden="false" customHeight="false" outlineLevel="0" collapsed="false">
      <c r="A1064" s="12" t="n">
        <v>43551</v>
      </c>
      <c r="B1064" s="15" t="n">
        <v>59.41</v>
      </c>
      <c r="C1064" s="15" t="n">
        <v>67.83</v>
      </c>
      <c r="D1064" s="14" t="n">
        <f aca="false">AVERAGE(B1045:B1064)</f>
        <v>57.9655</v>
      </c>
      <c r="E1064" s="14" t="n">
        <f aca="false">(B1064-D1064)/D1064*100</f>
        <v>2.49199955145733</v>
      </c>
    </row>
    <row r="1065" customFormat="false" ht="15" hidden="false" customHeight="false" outlineLevel="0" collapsed="false">
      <c r="A1065" s="12" t="n">
        <v>43552</v>
      </c>
      <c r="B1065" s="15" t="n">
        <v>59.3</v>
      </c>
      <c r="C1065" s="15" t="n">
        <v>67.82</v>
      </c>
      <c r="D1065" s="14" t="n">
        <f aca="false">AVERAGE(B1046:B1065)</f>
        <v>58.0695</v>
      </c>
      <c r="E1065" s="14" t="n">
        <f aca="false">(B1065-D1065)/D1065*100</f>
        <v>2.11901256253284</v>
      </c>
    </row>
    <row r="1066" customFormat="false" ht="15" hidden="false" customHeight="false" outlineLevel="0" collapsed="false">
      <c r="A1066" s="12" t="n">
        <v>43553</v>
      </c>
      <c r="B1066" s="15" t="n">
        <v>60.14</v>
      </c>
      <c r="C1066" s="15" t="n">
        <v>68.39</v>
      </c>
      <c r="D1066" s="14" t="n">
        <f aca="false">AVERAGE(B1047:B1066)</f>
        <v>58.2865</v>
      </c>
      <c r="E1066" s="14" t="n">
        <f aca="false">(B1066-D1066)/D1066*100</f>
        <v>3.17998164240432</v>
      </c>
    </row>
    <row r="1067" customFormat="false" ht="15" hidden="false" customHeight="false" outlineLevel="0" collapsed="false">
      <c r="A1067" s="12" t="n">
        <v>43556</v>
      </c>
      <c r="B1067" s="15" t="n">
        <v>61.59</v>
      </c>
      <c r="C1067" s="15" t="n">
        <v>69.01</v>
      </c>
      <c r="D1067" s="14" t="n">
        <f aca="false">AVERAGE(B1048:B1067)</f>
        <v>58.5365</v>
      </c>
      <c r="E1067" s="14" t="n">
        <f aca="false">(B1067-D1067)/D1067*100</f>
        <v>5.21640344058835</v>
      </c>
    </row>
    <row r="1068" customFormat="false" ht="15" hidden="false" customHeight="false" outlineLevel="0" collapsed="false">
      <c r="A1068" s="12" t="n">
        <v>43557</v>
      </c>
      <c r="B1068" s="15" t="n">
        <v>62.58</v>
      </c>
      <c r="C1068" s="15" t="n">
        <v>69.37</v>
      </c>
      <c r="D1068" s="14" t="n">
        <f aca="false">AVERAGE(B1049:B1068)</f>
        <v>58.8375</v>
      </c>
      <c r="E1068" s="14" t="n">
        <f aca="false">(B1068-D1068)/D1068*100</f>
        <v>6.36073932441045</v>
      </c>
    </row>
    <row r="1069" customFormat="false" ht="15" hidden="false" customHeight="false" outlineLevel="0" collapsed="false">
      <c r="A1069" s="12" t="n">
        <v>43558</v>
      </c>
      <c r="B1069" s="15" t="n">
        <v>62.46</v>
      </c>
      <c r="C1069" s="15" t="n">
        <v>69.31</v>
      </c>
      <c r="D1069" s="14" t="n">
        <f aca="false">AVERAGE(B1050:B1069)</f>
        <v>59.1495</v>
      </c>
      <c r="E1069" s="14" t="n">
        <f aca="false">(B1069-D1069)/D1069*100</f>
        <v>5.59683513808231</v>
      </c>
    </row>
    <row r="1070" customFormat="false" ht="15" hidden="false" customHeight="false" outlineLevel="0" collapsed="false">
      <c r="A1070" s="12" t="n">
        <v>43559</v>
      </c>
      <c r="B1070" s="15" t="n">
        <v>62.1</v>
      </c>
      <c r="C1070" s="15" t="n">
        <v>69.4</v>
      </c>
      <c r="D1070" s="14" t="n">
        <f aca="false">AVERAGE(B1051:B1070)</f>
        <v>59.4215</v>
      </c>
      <c r="E1070" s="14" t="n">
        <f aca="false">(B1070-D1070)/D1070*100</f>
        <v>4.50762771050882</v>
      </c>
    </row>
    <row r="1071" customFormat="false" ht="15" hidden="false" customHeight="false" outlineLevel="0" collapsed="false">
      <c r="A1071" s="12" t="n">
        <v>43560</v>
      </c>
      <c r="B1071" s="15" t="n">
        <v>63.08</v>
      </c>
      <c r="C1071" s="15" t="n">
        <v>70.34</v>
      </c>
      <c r="D1071" s="14" t="n">
        <f aca="false">AVERAGE(B1052:B1071)</f>
        <v>59.772</v>
      </c>
      <c r="E1071" s="14" t="n">
        <f aca="false">(B1071-D1071)/D1071*100</f>
        <v>5.53436391621494</v>
      </c>
    </row>
    <row r="1072" customFormat="false" ht="15" hidden="false" customHeight="false" outlineLevel="0" collapsed="false">
      <c r="A1072" s="12" t="n">
        <v>43563</v>
      </c>
      <c r="B1072" s="15" t="n">
        <v>64.4</v>
      </c>
      <c r="C1072" s="15" t="n">
        <v>71.1</v>
      </c>
      <c r="D1072" s="14" t="n">
        <f aca="false">AVERAGE(B1053:B1072)</f>
        <v>60.1525</v>
      </c>
      <c r="E1072" s="14" t="n">
        <f aca="false">(B1072-D1072)/D1072*100</f>
        <v>7.06121940068993</v>
      </c>
    </row>
    <row r="1073" customFormat="false" ht="15" hidden="false" customHeight="false" outlineLevel="0" collapsed="false">
      <c r="A1073" s="12" t="n">
        <v>43564</v>
      </c>
      <c r="B1073" s="15" t="n">
        <v>63.98</v>
      </c>
      <c r="C1073" s="15" t="n">
        <v>70.61</v>
      </c>
      <c r="D1073" s="14" t="n">
        <f aca="false">AVERAGE(B1054:B1073)</f>
        <v>60.508</v>
      </c>
      <c r="E1073" s="14" t="n">
        <f aca="false">(B1073-D1073)/D1073*100</f>
        <v>5.73808422026839</v>
      </c>
    </row>
    <row r="1074" customFormat="false" ht="15" hidden="false" customHeight="false" outlineLevel="0" collapsed="false">
      <c r="A1074" s="12" t="n">
        <v>43565</v>
      </c>
      <c r="B1074" s="15" t="n">
        <v>64.61</v>
      </c>
      <c r="C1074" s="15" t="n">
        <v>71.73</v>
      </c>
      <c r="D1074" s="14" t="n">
        <f aca="false">AVERAGE(B1055:B1074)</f>
        <v>60.8255</v>
      </c>
      <c r="E1074" s="14" t="n">
        <f aca="false">(B1074-D1074)/D1074*100</f>
        <v>6.22189706619757</v>
      </c>
    </row>
    <row r="1075" customFormat="false" ht="15" hidden="false" customHeight="false" outlineLevel="0" collapsed="false">
      <c r="A1075" s="12" t="n">
        <v>43566</v>
      </c>
      <c r="B1075" s="15" t="n">
        <v>63.58</v>
      </c>
      <c r="C1075" s="15" t="n">
        <v>70.83</v>
      </c>
      <c r="D1075" s="14" t="n">
        <f aca="false">AVERAGE(B1056:B1075)</f>
        <v>61.074</v>
      </c>
      <c r="E1075" s="14" t="n">
        <f aca="false">(B1075-D1075)/D1075*100</f>
        <v>4.10321904574778</v>
      </c>
    </row>
    <row r="1076" customFormat="false" ht="15" hidden="false" customHeight="false" outlineLevel="0" collapsed="false">
      <c r="A1076" s="12" t="n">
        <v>43567</v>
      </c>
      <c r="B1076" s="15" t="n">
        <v>63.89</v>
      </c>
      <c r="C1076" s="15" t="n">
        <v>71.55</v>
      </c>
      <c r="D1076" s="14" t="n">
        <f aca="false">AVERAGE(B1057:B1076)</f>
        <v>61.3425</v>
      </c>
      <c r="E1076" s="14" t="n">
        <f aca="false">(B1076-D1076)/D1076*100</f>
        <v>4.15291192892368</v>
      </c>
    </row>
    <row r="1077" customFormat="false" ht="15" hidden="false" customHeight="false" outlineLevel="0" collapsed="false">
      <c r="A1077" s="12" t="n">
        <v>43570</v>
      </c>
      <c r="B1077" s="15" t="n">
        <v>63.4</v>
      </c>
      <c r="C1077" s="15" t="n">
        <v>71.18</v>
      </c>
      <c r="D1077" s="14" t="n">
        <f aca="false">AVERAGE(B1058:B1077)</f>
        <v>61.558</v>
      </c>
      <c r="E1077" s="14" t="n">
        <f aca="false">(B1077-D1077)/D1077*100</f>
        <v>2.99229994476752</v>
      </c>
    </row>
    <row r="1078" customFormat="false" ht="15" hidden="false" customHeight="false" outlineLevel="0" collapsed="false">
      <c r="A1078" s="12" t="n">
        <v>43571</v>
      </c>
      <c r="B1078" s="15" t="n">
        <v>64.05</v>
      </c>
      <c r="C1078" s="15" t="n">
        <v>71.72</v>
      </c>
      <c r="D1078" s="14" t="n">
        <f aca="false">AVERAGE(B1059:B1078)</f>
        <v>61.809</v>
      </c>
      <c r="E1078" s="14" t="n">
        <f aca="false">(B1078-D1078)/D1078*100</f>
        <v>3.62568557976992</v>
      </c>
    </row>
    <row r="1079" customFormat="false" ht="15" hidden="false" customHeight="false" outlineLevel="0" collapsed="false">
      <c r="A1079" s="12" t="n">
        <v>43572</v>
      </c>
      <c r="B1079" s="15" t="n">
        <v>63.76</v>
      </c>
      <c r="C1079" s="15" t="n">
        <v>71.62</v>
      </c>
      <c r="D1079" s="14" t="n">
        <f aca="false">AVERAGE(B1060:B1079)</f>
        <v>62.0055</v>
      </c>
      <c r="E1079" s="14" t="n">
        <f aca="false">(B1079-D1079)/D1079*100</f>
        <v>2.82958769786551</v>
      </c>
    </row>
    <row r="1080" customFormat="false" ht="15" hidden="false" customHeight="false" outlineLevel="0" collapsed="false">
      <c r="A1080" s="12" t="n">
        <v>43573</v>
      </c>
      <c r="B1080" s="15" t="n">
        <v>64</v>
      </c>
      <c r="C1080" s="15" t="n">
        <v>71.97</v>
      </c>
      <c r="D1080" s="14" t="n">
        <f aca="false">AVERAGE(B1061:B1080)</f>
        <v>62.2065</v>
      </c>
      <c r="E1080" s="14" t="n">
        <f aca="false">(B1080-D1080)/D1080*100</f>
        <v>2.88313922178552</v>
      </c>
    </row>
    <row r="1081" customFormat="false" ht="15" hidden="false" customHeight="false" outlineLevel="0" collapsed="false">
      <c r="A1081" s="12" t="n">
        <v>43577</v>
      </c>
      <c r="B1081" s="15" t="n">
        <v>65.7</v>
      </c>
      <c r="C1081" s="15" t="n">
        <v>74.04</v>
      </c>
      <c r="D1081" s="14" t="n">
        <f aca="false">AVERAGE(B1062:B1081)</f>
        <v>62.5395</v>
      </c>
      <c r="E1081" s="14" t="n">
        <f aca="false">(B1081-D1081)/D1081*100</f>
        <v>5.05360612093158</v>
      </c>
    </row>
    <row r="1082" customFormat="false" ht="15" hidden="false" customHeight="false" outlineLevel="0" collapsed="false">
      <c r="A1082" s="12" t="n">
        <v>43578</v>
      </c>
      <c r="B1082" s="15" t="n">
        <v>66.3</v>
      </c>
      <c r="C1082" s="15" t="n">
        <v>74.51</v>
      </c>
      <c r="D1082" s="14" t="n">
        <f aca="false">AVERAGE(B1063:B1082)</f>
        <v>62.9135</v>
      </c>
      <c r="E1082" s="14" t="n">
        <f aca="false">(B1082-D1082)/D1082*100</f>
        <v>5.38278747804525</v>
      </c>
    </row>
    <row r="1083" customFormat="false" ht="15" hidden="false" customHeight="false" outlineLevel="0" collapsed="false">
      <c r="A1083" s="12" t="n">
        <v>43579</v>
      </c>
      <c r="B1083" s="15" t="n">
        <v>65.89</v>
      </c>
      <c r="C1083" s="15" t="n">
        <v>74.57</v>
      </c>
      <c r="D1083" s="14" t="n">
        <f aca="false">AVERAGE(B1064:B1083)</f>
        <v>63.211</v>
      </c>
      <c r="E1083" s="14" t="n">
        <f aca="false">(B1083-D1083)/D1083*100</f>
        <v>4.23818639160906</v>
      </c>
    </row>
    <row r="1084" customFormat="false" ht="15" hidden="false" customHeight="false" outlineLevel="0" collapsed="false">
      <c r="A1084" s="12" t="n">
        <v>43580</v>
      </c>
      <c r="B1084" s="15" t="n">
        <v>65.21</v>
      </c>
      <c r="C1084" s="15" t="n">
        <v>74.35</v>
      </c>
      <c r="D1084" s="14" t="n">
        <f aca="false">AVERAGE(B1065:B1084)</f>
        <v>63.501</v>
      </c>
      <c r="E1084" s="14" t="n">
        <f aca="false">(B1084-D1084)/D1084*100</f>
        <v>2.69129620005984</v>
      </c>
    </row>
    <row r="1085" customFormat="false" ht="15" hidden="false" customHeight="false" outlineLevel="0" collapsed="false">
      <c r="A1085" s="12" t="n">
        <v>43581</v>
      </c>
      <c r="B1085" s="15" t="n">
        <v>63.3</v>
      </c>
      <c r="C1085" s="15" t="n">
        <v>72.15</v>
      </c>
      <c r="D1085" s="14" t="n">
        <f aca="false">AVERAGE(B1066:B1085)</f>
        <v>63.701</v>
      </c>
      <c r="E1085" s="14" t="n">
        <f aca="false">(B1085-D1085)/D1085*100</f>
        <v>-0.629503461484126</v>
      </c>
    </row>
    <row r="1086" customFormat="false" ht="15" hidden="false" customHeight="false" outlineLevel="0" collapsed="false">
      <c r="A1086" s="12" t="n">
        <v>43584</v>
      </c>
      <c r="B1086" s="15" t="n">
        <v>63.5</v>
      </c>
      <c r="C1086" s="15" t="n">
        <v>72.04</v>
      </c>
      <c r="D1086" s="14" t="n">
        <f aca="false">AVERAGE(B1067:B1086)</f>
        <v>63.869</v>
      </c>
      <c r="E1086" s="14" t="n">
        <f aca="false">(B1086-D1086)/D1086*100</f>
        <v>-0.577745071944124</v>
      </c>
    </row>
    <row r="1087" customFormat="false" ht="15" hidden="false" customHeight="false" outlineLevel="0" collapsed="false">
      <c r="A1087" s="12" t="n">
        <v>43585</v>
      </c>
      <c r="B1087" s="15" t="n">
        <v>63.91</v>
      </c>
      <c r="C1087" s="15" t="n">
        <v>72.8</v>
      </c>
      <c r="D1087" s="14" t="n">
        <f aca="false">AVERAGE(B1068:B1087)</f>
        <v>63.985</v>
      </c>
      <c r="E1087" s="14" t="n">
        <f aca="false">(B1087-D1087)/D1087*100</f>
        <v>-0.117214972259128</v>
      </c>
    </row>
    <row r="1088" customFormat="false" ht="15" hidden="false" customHeight="false" outlineLevel="0" collapsed="false">
      <c r="A1088" s="12" t="n">
        <v>43586</v>
      </c>
      <c r="B1088" s="15" t="n">
        <v>63.6</v>
      </c>
      <c r="C1088" s="15" t="n">
        <v>72.18</v>
      </c>
      <c r="D1088" s="14" t="n">
        <f aca="false">AVERAGE(B1069:B1088)</f>
        <v>64.036</v>
      </c>
      <c r="E1088" s="14" t="n">
        <f aca="false">(B1088-D1088)/D1088*100</f>
        <v>-0.680867012305578</v>
      </c>
    </row>
    <row r="1089" customFormat="false" ht="15" hidden="false" customHeight="false" outlineLevel="0" collapsed="false">
      <c r="A1089" s="12" t="n">
        <v>43587</v>
      </c>
      <c r="B1089" s="15" t="n">
        <v>61.81</v>
      </c>
      <c r="C1089" s="15" t="n">
        <v>70.75</v>
      </c>
      <c r="D1089" s="14" t="n">
        <f aca="false">AVERAGE(B1070:B1089)</f>
        <v>64.0035</v>
      </c>
      <c r="E1089" s="14" t="n">
        <f aca="false">(B1089-D1089)/D1089*100</f>
        <v>-3.42715632738835</v>
      </c>
    </row>
    <row r="1090" customFormat="false" ht="15" hidden="false" customHeight="false" outlineLevel="0" collapsed="false">
      <c r="A1090" s="12" t="n">
        <v>43588</v>
      </c>
      <c r="B1090" s="15" t="n">
        <v>61.94</v>
      </c>
      <c r="C1090" s="15" t="n">
        <v>70.85</v>
      </c>
      <c r="D1090" s="14" t="n">
        <f aca="false">AVERAGE(B1071:B1090)</f>
        <v>63.9955</v>
      </c>
      <c r="E1090" s="14" t="n">
        <f aca="false">(B1090-D1090)/D1090*100</f>
        <v>-3.21194458985399</v>
      </c>
    </row>
    <row r="1091" customFormat="false" ht="15" hidden="false" customHeight="false" outlineLevel="0" collapsed="false">
      <c r="A1091" s="12" t="n">
        <v>43591</v>
      </c>
      <c r="B1091" s="15" t="n">
        <v>62.25</v>
      </c>
      <c r="C1091" s="15" t="n">
        <v>71.24</v>
      </c>
      <c r="D1091" s="14" t="n">
        <f aca="false">AVERAGE(B1072:B1091)</f>
        <v>63.954</v>
      </c>
      <c r="E1091" s="14" t="n">
        <f aca="false">(B1091-D1091)/D1091*100</f>
        <v>-2.66441504831597</v>
      </c>
    </row>
    <row r="1092" customFormat="false" ht="15" hidden="false" customHeight="false" outlineLevel="0" collapsed="false">
      <c r="A1092" s="12" t="n">
        <v>43592</v>
      </c>
      <c r="B1092" s="15" t="n">
        <v>61.4</v>
      </c>
      <c r="C1092" s="15" t="n">
        <v>69.88</v>
      </c>
      <c r="D1092" s="14" t="n">
        <f aca="false">AVERAGE(B1073:B1092)</f>
        <v>63.804</v>
      </c>
      <c r="E1092" s="14" t="n">
        <f aca="false">(B1092-D1092)/D1092*100</f>
        <v>-3.76778885336342</v>
      </c>
    </row>
    <row r="1093" customFormat="false" ht="15" hidden="false" customHeight="false" outlineLevel="0" collapsed="false">
      <c r="A1093" s="12" t="n">
        <v>43593</v>
      </c>
      <c r="B1093" s="15" t="n">
        <v>62.12</v>
      </c>
      <c r="C1093" s="15" t="n">
        <v>70.37</v>
      </c>
      <c r="D1093" s="14" t="n">
        <f aca="false">AVERAGE(B1074:B1093)</f>
        <v>63.711</v>
      </c>
      <c r="E1093" s="14" t="n">
        <f aca="false">(B1093-D1093)/D1093*100</f>
        <v>-2.49721398188696</v>
      </c>
    </row>
    <row r="1094" customFormat="false" ht="15" hidden="false" customHeight="false" outlineLevel="0" collapsed="false">
      <c r="A1094" s="12" t="n">
        <v>43594</v>
      </c>
      <c r="B1094" s="15" t="n">
        <v>61.7</v>
      </c>
      <c r="C1094" s="15" t="n">
        <v>70.39</v>
      </c>
      <c r="D1094" s="14" t="n">
        <f aca="false">AVERAGE(B1075:B1094)</f>
        <v>63.5655</v>
      </c>
      <c r="E1094" s="14" t="n">
        <f aca="false">(B1094-D1094)/D1094*100</f>
        <v>-2.93476807387655</v>
      </c>
    </row>
    <row r="1095" customFormat="false" ht="15" hidden="false" customHeight="false" outlineLevel="0" collapsed="false">
      <c r="A1095" s="12" t="n">
        <v>43595</v>
      </c>
      <c r="B1095" s="15" t="n">
        <v>61.66</v>
      </c>
      <c r="C1095" s="15" t="n">
        <v>70.62</v>
      </c>
      <c r="D1095" s="14" t="n">
        <f aca="false">AVERAGE(B1076:B1095)</f>
        <v>63.4695</v>
      </c>
      <c r="E1095" s="14" t="n">
        <f aca="false">(B1095-D1095)/D1095*100</f>
        <v>-2.85097566547712</v>
      </c>
    </row>
    <row r="1096" customFormat="false" ht="15" hidden="false" customHeight="false" outlineLevel="0" collapsed="false">
      <c r="A1096" s="12" t="n">
        <v>43598</v>
      </c>
      <c r="B1096" s="15" t="n">
        <v>61.04</v>
      </c>
      <c r="C1096" s="15" t="n">
        <v>70.23</v>
      </c>
      <c r="D1096" s="14" t="n">
        <f aca="false">AVERAGE(B1077:B1096)</f>
        <v>63.327</v>
      </c>
      <c r="E1096" s="14" t="n">
        <f aca="false">(B1096-D1096)/D1096*100</f>
        <v>-3.61141377295624</v>
      </c>
    </row>
    <row r="1097" customFormat="false" ht="15" hidden="false" customHeight="false" outlineLevel="0" collapsed="false">
      <c r="A1097" s="12" t="n">
        <v>43599</v>
      </c>
      <c r="B1097" s="15" t="n">
        <v>61.78</v>
      </c>
      <c r="C1097" s="15" t="n">
        <v>71.24</v>
      </c>
      <c r="D1097" s="14" t="n">
        <f aca="false">AVERAGE(B1078:B1097)</f>
        <v>63.246</v>
      </c>
      <c r="E1097" s="14" t="n">
        <f aca="false">(B1097-D1097)/D1097*100</f>
        <v>-2.31793314992253</v>
      </c>
    </row>
    <row r="1098" customFormat="false" ht="15" hidden="false" customHeight="false" outlineLevel="0" collapsed="false">
      <c r="A1098" s="12" t="n">
        <v>43600</v>
      </c>
      <c r="B1098" s="15" t="n">
        <v>62.02</v>
      </c>
      <c r="C1098" s="15" t="n">
        <v>71.77</v>
      </c>
      <c r="D1098" s="14" t="n">
        <f aca="false">AVERAGE(B1079:B1098)</f>
        <v>63.1445</v>
      </c>
      <c r="E1098" s="14" t="n">
        <f aca="false">(B1098-D1098)/D1098*100</f>
        <v>-1.78083601897234</v>
      </c>
    </row>
    <row r="1099" customFormat="false" ht="15" hidden="false" customHeight="false" outlineLevel="0" collapsed="false">
      <c r="A1099" s="12" t="n">
        <v>43601</v>
      </c>
      <c r="B1099" s="15" t="n">
        <v>62.87</v>
      </c>
      <c r="C1099" s="15" t="n">
        <v>72.62</v>
      </c>
      <c r="D1099" s="14" t="n">
        <f aca="false">AVERAGE(B1080:B1099)</f>
        <v>63.1</v>
      </c>
      <c r="E1099" s="14" t="n">
        <f aca="false">(B1099-D1099)/D1099*100</f>
        <v>-0.364500792393033</v>
      </c>
    </row>
    <row r="1100" customFormat="false" ht="15" hidden="false" customHeight="false" outlineLevel="0" collapsed="false">
      <c r="A1100" s="12" t="n">
        <v>43602</v>
      </c>
      <c r="B1100" s="15" t="n">
        <v>62.76</v>
      </c>
      <c r="C1100" s="15" t="n">
        <v>72.21</v>
      </c>
      <c r="D1100" s="14" t="n">
        <f aca="false">AVERAGE(B1081:B1100)</f>
        <v>63.038</v>
      </c>
      <c r="E1100" s="14" t="n">
        <f aca="false">(B1100-D1100)/D1100*100</f>
        <v>-0.441003838954279</v>
      </c>
    </row>
    <row r="1101" customFormat="false" ht="15" hidden="false" customHeight="false" outlineLevel="0" collapsed="false">
      <c r="A1101" s="12" t="n">
        <v>43605</v>
      </c>
      <c r="B1101" s="15" t="n">
        <v>63.1</v>
      </c>
      <c r="C1101" s="15" t="n">
        <v>71.97</v>
      </c>
      <c r="D1101" s="14" t="n">
        <f aca="false">AVERAGE(B1082:B1101)</f>
        <v>62.908</v>
      </c>
      <c r="E1101" s="14" t="n">
        <f aca="false">(B1101-D1101)/D1101*100</f>
        <v>0.305207604756152</v>
      </c>
    </row>
    <row r="1102" customFormat="false" ht="15" hidden="false" customHeight="false" outlineLevel="0" collapsed="false">
      <c r="A1102" s="12" t="n">
        <v>43606</v>
      </c>
      <c r="B1102" s="15" t="n">
        <v>62.99</v>
      </c>
      <c r="C1102" s="15" t="n">
        <v>72.18</v>
      </c>
      <c r="D1102" s="14" t="n">
        <f aca="false">AVERAGE(B1083:B1102)</f>
        <v>62.7425</v>
      </c>
      <c r="E1102" s="14" t="n">
        <f aca="false">(B1102-D1102)/D1102*100</f>
        <v>0.394469458501031</v>
      </c>
    </row>
    <row r="1103" customFormat="false" ht="15" hidden="false" customHeight="false" outlineLevel="0" collapsed="false">
      <c r="A1103" s="12" t="n">
        <v>43607</v>
      </c>
      <c r="B1103" s="15" t="n">
        <v>61.42</v>
      </c>
      <c r="C1103" s="15" t="n">
        <v>70.99</v>
      </c>
      <c r="D1103" s="14" t="n">
        <f aca="false">AVERAGE(B1084:B1103)</f>
        <v>62.519</v>
      </c>
      <c r="E1103" s="14" t="n">
        <f aca="false">(B1103-D1103)/D1103*100</f>
        <v>-1.75786560885489</v>
      </c>
    </row>
    <row r="1104" customFormat="false" ht="15" hidden="false" customHeight="false" outlineLevel="0" collapsed="false">
      <c r="A1104" s="12" t="n">
        <v>43608</v>
      </c>
      <c r="B1104" s="15" t="n">
        <v>57.91</v>
      </c>
      <c r="C1104" s="15" t="n">
        <v>67.76</v>
      </c>
      <c r="D1104" s="14" t="n">
        <f aca="false">AVERAGE(B1085:B1104)</f>
        <v>62.154</v>
      </c>
      <c r="E1104" s="14" t="n">
        <f aca="false">(B1104-D1104)/D1104*100</f>
        <v>-6.82820092029475</v>
      </c>
    </row>
    <row r="1105" customFormat="false" ht="15" hidden="false" customHeight="false" outlineLevel="0" collapsed="false">
      <c r="A1105" s="12" t="n">
        <v>43609</v>
      </c>
      <c r="B1105" s="15" t="n">
        <v>58.63</v>
      </c>
      <c r="C1105" s="15" t="n">
        <v>68.69</v>
      </c>
      <c r="D1105" s="14" t="n">
        <f aca="false">AVERAGE(B1086:B1105)</f>
        <v>61.9205</v>
      </c>
      <c r="E1105" s="14" t="n">
        <f aca="false">(B1105-D1105)/D1105*100</f>
        <v>-5.31407207629138</v>
      </c>
    </row>
    <row r="1106" customFormat="false" ht="15" hidden="false" customHeight="false" outlineLevel="0" collapsed="false">
      <c r="A1106" s="12" t="n">
        <v>43613</v>
      </c>
      <c r="B1106" s="15" t="n">
        <v>59.14</v>
      </c>
      <c r="C1106" s="15" t="n">
        <v>70.11</v>
      </c>
      <c r="D1106" s="14" t="n">
        <f aca="false">AVERAGE(B1087:B1106)</f>
        <v>61.7025</v>
      </c>
      <c r="E1106" s="14" t="n">
        <f aca="false">(B1106-D1106)/D1106*100</f>
        <v>-4.1529921802196</v>
      </c>
    </row>
    <row r="1107" customFormat="false" ht="15" hidden="false" customHeight="false" outlineLevel="0" collapsed="false">
      <c r="A1107" s="12" t="n">
        <v>43614</v>
      </c>
      <c r="B1107" s="15" t="n">
        <v>58.81</v>
      </c>
      <c r="C1107" s="15" t="n">
        <v>69.45</v>
      </c>
      <c r="D1107" s="14" t="n">
        <f aca="false">AVERAGE(B1088:B1107)</f>
        <v>61.4475</v>
      </c>
      <c r="E1107" s="14" t="n">
        <f aca="false">(B1107-D1107)/D1107*100</f>
        <v>-4.29228202937467</v>
      </c>
    </row>
    <row r="1108" customFormat="false" ht="15" hidden="false" customHeight="false" outlineLevel="0" collapsed="false">
      <c r="A1108" s="12" t="n">
        <v>43615</v>
      </c>
      <c r="B1108" s="15" t="n">
        <v>56.59</v>
      </c>
      <c r="C1108" s="15" t="n">
        <v>66.87</v>
      </c>
      <c r="D1108" s="14" t="n">
        <f aca="false">AVERAGE(B1089:B1108)</f>
        <v>61.097</v>
      </c>
      <c r="E1108" s="14" t="n">
        <f aca="false">(B1108-D1108)/D1108*100</f>
        <v>-7.37679427795145</v>
      </c>
    </row>
    <row r="1109" customFormat="false" ht="15" hidden="false" customHeight="false" outlineLevel="0" collapsed="false">
      <c r="A1109" s="12" t="n">
        <v>43616</v>
      </c>
      <c r="B1109" s="15" t="n">
        <v>53.5</v>
      </c>
      <c r="C1109" s="15" t="n">
        <v>64.49</v>
      </c>
      <c r="D1109" s="14" t="n">
        <f aca="false">AVERAGE(B1090:B1109)</f>
        <v>60.6815</v>
      </c>
      <c r="E1109" s="14" t="n">
        <f aca="false">(B1109-D1109)/D1109*100</f>
        <v>-11.834743702776</v>
      </c>
    </row>
    <row r="1110" customFormat="false" ht="15" hidden="false" customHeight="false" outlineLevel="0" collapsed="false">
      <c r="A1110" s="12" t="n">
        <v>43619</v>
      </c>
      <c r="B1110" s="15" t="n">
        <v>53.25</v>
      </c>
      <c r="C1110" s="15" t="n">
        <v>61.28</v>
      </c>
      <c r="D1110" s="14" t="n">
        <f aca="false">AVERAGE(B1091:B1110)</f>
        <v>60.247</v>
      </c>
      <c r="E1110" s="14" t="n">
        <f aca="false">(B1110-D1110)/D1110*100</f>
        <v>-11.6138562915996</v>
      </c>
    </row>
    <row r="1111" customFormat="false" ht="15" hidden="false" customHeight="false" outlineLevel="0" collapsed="false">
      <c r="A1111" s="12" t="n">
        <v>43620</v>
      </c>
      <c r="B1111" s="15" t="n">
        <v>53.48</v>
      </c>
      <c r="C1111" s="15" t="n">
        <v>61.97</v>
      </c>
      <c r="D1111" s="14" t="n">
        <f aca="false">AVERAGE(B1092:B1111)</f>
        <v>59.8085</v>
      </c>
      <c r="E1111" s="14" t="n">
        <f aca="false">(B1111-D1111)/D1111*100</f>
        <v>-10.5812718927912</v>
      </c>
    </row>
    <row r="1112" customFormat="false" ht="15" hidden="false" customHeight="false" outlineLevel="0" collapsed="false">
      <c r="A1112" s="12" t="n">
        <v>43621</v>
      </c>
      <c r="B1112" s="15" t="n">
        <v>51.68</v>
      </c>
      <c r="C1112" s="15" t="n">
        <v>60.63</v>
      </c>
      <c r="D1112" s="14" t="n">
        <f aca="false">AVERAGE(B1093:B1112)</f>
        <v>59.3225</v>
      </c>
      <c r="E1112" s="14" t="n">
        <f aca="false">(B1112-D1112)/D1112*100</f>
        <v>-12.8829702052341</v>
      </c>
    </row>
    <row r="1113" customFormat="false" ht="15" hidden="false" customHeight="false" outlineLevel="0" collapsed="false">
      <c r="A1113" s="12" t="n">
        <v>43622</v>
      </c>
      <c r="B1113" s="15" t="n">
        <v>52.59</v>
      </c>
      <c r="C1113" s="15" t="n">
        <v>61.67</v>
      </c>
      <c r="D1113" s="14" t="n">
        <f aca="false">AVERAGE(B1094:B1113)</f>
        <v>58.846</v>
      </c>
      <c r="E1113" s="14" t="n">
        <f aca="false">(B1113-D1113)/D1113*100</f>
        <v>-10.6311389049383</v>
      </c>
    </row>
    <row r="1114" customFormat="false" ht="15" hidden="false" customHeight="false" outlineLevel="0" collapsed="false">
      <c r="A1114" s="12" t="n">
        <v>43623</v>
      </c>
      <c r="B1114" s="15" t="n">
        <v>53.99</v>
      </c>
      <c r="C1114" s="15" t="n">
        <v>63.29</v>
      </c>
      <c r="D1114" s="14" t="n">
        <f aca="false">AVERAGE(B1095:B1114)</f>
        <v>58.4605</v>
      </c>
      <c r="E1114" s="14" t="n">
        <f aca="false">(B1114-D1114)/D1114*100</f>
        <v>-7.64704373038205</v>
      </c>
    </row>
    <row r="1115" customFormat="false" ht="15" hidden="false" customHeight="false" outlineLevel="0" collapsed="false">
      <c r="A1115" s="12" t="n">
        <v>43626</v>
      </c>
      <c r="B1115" s="15" t="n">
        <v>53.26</v>
      </c>
      <c r="C1115" s="15" t="n">
        <v>62.29</v>
      </c>
      <c r="D1115" s="14" t="n">
        <f aca="false">AVERAGE(B1096:B1115)</f>
        <v>58.0405</v>
      </c>
      <c r="E1115" s="14" t="n">
        <f aca="false">(B1115-D1115)/D1115*100</f>
        <v>-8.23649003712924</v>
      </c>
    </row>
    <row r="1116" customFormat="false" ht="15" hidden="false" customHeight="false" outlineLevel="0" collapsed="false">
      <c r="A1116" s="12" t="n">
        <v>43627</v>
      </c>
      <c r="B1116" s="15" t="n">
        <v>53.27</v>
      </c>
      <c r="C1116" s="15" t="n">
        <v>62.29</v>
      </c>
      <c r="D1116" s="14" t="n">
        <f aca="false">AVERAGE(B1097:B1116)</f>
        <v>57.652</v>
      </c>
      <c r="E1116" s="14" t="n">
        <f aca="false">(B1116-D1116)/D1116*100</f>
        <v>-7.6007770762506</v>
      </c>
    </row>
    <row r="1117" customFormat="false" ht="15" hidden="false" customHeight="false" outlineLevel="0" collapsed="false">
      <c r="A1117" s="12" t="n">
        <v>43628</v>
      </c>
      <c r="B1117" s="15" t="n">
        <v>51.14</v>
      </c>
      <c r="C1117" s="15" t="n">
        <v>59.97</v>
      </c>
      <c r="D1117" s="14" t="n">
        <f aca="false">AVERAGE(B1098:B1117)</f>
        <v>57.12</v>
      </c>
      <c r="E1117" s="14" t="n">
        <f aca="false">(B1117-D1117)/D1117*100</f>
        <v>-10.46918767507</v>
      </c>
    </row>
    <row r="1118" customFormat="false" ht="15" hidden="false" customHeight="false" outlineLevel="0" collapsed="false">
      <c r="A1118" s="12" t="n">
        <v>43629</v>
      </c>
      <c r="B1118" s="15" t="n">
        <v>52.28</v>
      </c>
      <c r="C1118" s="15" t="n">
        <v>61.31</v>
      </c>
      <c r="D1118" s="14" t="n">
        <f aca="false">AVERAGE(B1099:B1118)</f>
        <v>56.633</v>
      </c>
      <c r="E1118" s="14" t="n">
        <f aca="false">(B1118-D1118)/D1118*100</f>
        <v>-7.68633129094344</v>
      </c>
    </row>
    <row r="1119" customFormat="false" ht="15" hidden="false" customHeight="false" outlineLevel="0" collapsed="false">
      <c r="A1119" s="12" t="n">
        <v>43630</v>
      </c>
      <c r="B1119" s="15" t="n">
        <v>52.51</v>
      </c>
      <c r="C1119" s="15" t="n">
        <v>62.01</v>
      </c>
      <c r="D1119" s="14" t="n">
        <f aca="false">AVERAGE(B1100:B1119)</f>
        <v>56.115</v>
      </c>
      <c r="E1119" s="14" t="n">
        <f aca="false">(B1119-D1119)/D1119*100</f>
        <v>-6.42430722623184</v>
      </c>
    </row>
    <row r="1120" customFormat="false" ht="15" hidden="false" customHeight="false" outlineLevel="0" collapsed="false">
      <c r="A1120" s="12" t="n">
        <v>43633</v>
      </c>
      <c r="B1120" s="15" t="n">
        <v>51.93</v>
      </c>
      <c r="C1120" s="15" t="n">
        <v>60.94</v>
      </c>
      <c r="D1120" s="14" t="n">
        <f aca="false">AVERAGE(B1101:B1120)</f>
        <v>55.5735</v>
      </c>
      <c r="E1120" s="14" t="n">
        <f aca="false">(B1120-D1120)/D1120*100</f>
        <v>-6.55618235309995</v>
      </c>
    </row>
    <row r="1121" customFormat="false" ht="15" hidden="false" customHeight="false" outlineLevel="0" collapsed="false">
      <c r="A1121" s="12" t="n">
        <v>43634</v>
      </c>
      <c r="B1121" s="15" t="n">
        <v>53.9</v>
      </c>
      <c r="C1121" s="15" t="n">
        <v>62.14</v>
      </c>
      <c r="D1121" s="14" t="n">
        <f aca="false">AVERAGE(B1102:B1121)</f>
        <v>55.1135</v>
      </c>
      <c r="E1121" s="14" t="n">
        <f aca="false">(B1121-D1121)/D1121*100</f>
        <v>-2.20181988079146</v>
      </c>
    </row>
    <row r="1122" customFormat="false" ht="15" hidden="false" customHeight="false" outlineLevel="0" collapsed="false">
      <c r="A1122" s="12" t="n">
        <v>43635</v>
      </c>
      <c r="B1122" s="15" t="n">
        <v>53.76</v>
      </c>
      <c r="C1122" s="15" t="n">
        <v>61.82</v>
      </c>
      <c r="D1122" s="14" t="n">
        <f aca="false">AVERAGE(B1103:B1122)</f>
        <v>54.652</v>
      </c>
      <c r="E1122" s="14" t="n">
        <f aca="false">(B1122-D1122)/D1122*100</f>
        <v>-1.63214520969041</v>
      </c>
    </row>
    <row r="1123" customFormat="false" ht="15" hidden="false" customHeight="false" outlineLevel="0" collapsed="false">
      <c r="A1123" s="12" t="n">
        <v>43636</v>
      </c>
      <c r="B1123" s="15" t="n">
        <v>56.65</v>
      </c>
      <c r="C1123" s="15" t="n">
        <v>64.45</v>
      </c>
      <c r="D1123" s="14" t="n">
        <f aca="false">AVERAGE(B1104:B1123)</f>
        <v>54.4135</v>
      </c>
      <c r="E1123" s="14" t="n">
        <f aca="false">(B1123-D1123)/D1123*100</f>
        <v>4.11019324248578</v>
      </c>
    </row>
    <row r="1124" customFormat="false" ht="15" hidden="false" customHeight="false" outlineLevel="0" collapsed="false">
      <c r="A1124" s="12" t="n">
        <v>43637</v>
      </c>
      <c r="B1124" s="15" t="n">
        <v>57.43</v>
      </c>
      <c r="C1124" s="15" t="n">
        <v>65.2</v>
      </c>
      <c r="D1124" s="14" t="n">
        <f aca="false">AVERAGE(B1105:B1124)</f>
        <v>54.3895</v>
      </c>
      <c r="E1124" s="14" t="n">
        <f aca="false">(B1124-D1124)/D1124*100</f>
        <v>5.59023340902197</v>
      </c>
    </row>
    <row r="1125" customFormat="false" ht="15" hidden="false" customHeight="false" outlineLevel="0" collapsed="false">
      <c r="A1125" s="12" t="n">
        <v>43640</v>
      </c>
      <c r="B1125" s="15" t="n">
        <v>57.9</v>
      </c>
      <c r="C1125" s="15" t="n">
        <v>64.86</v>
      </c>
      <c r="D1125" s="14" t="n">
        <f aca="false">AVERAGE(B1106:B1125)</f>
        <v>54.353</v>
      </c>
      <c r="E1125" s="14" t="n">
        <f aca="false">(B1125-D1125)/D1125*100</f>
        <v>6.52585873824813</v>
      </c>
    </row>
    <row r="1126" customFormat="false" ht="15" hidden="false" customHeight="false" outlineLevel="0" collapsed="false">
      <c r="A1126" s="12" t="n">
        <v>43641</v>
      </c>
      <c r="B1126" s="15" t="n">
        <v>57.83</v>
      </c>
      <c r="C1126" s="15" t="n">
        <v>65.05</v>
      </c>
      <c r="D1126" s="14" t="n">
        <f aca="false">AVERAGE(B1107:B1126)</f>
        <v>54.2875</v>
      </c>
      <c r="E1126" s="14" t="n">
        <f aca="false">(B1126-D1126)/D1126*100</f>
        <v>6.52544324199861</v>
      </c>
    </row>
    <row r="1127" customFormat="false" ht="15" hidden="false" customHeight="false" outlineLevel="0" collapsed="false">
      <c r="A1127" s="12" t="n">
        <v>43642</v>
      </c>
      <c r="B1127" s="15" t="n">
        <v>59.38</v>
      </c>
      <c r="C1127" s="15" t="n">
        <v>66.49</v>
      </c>
      <c r="D1127" s="14" t="n">
        <f aca="false">AVERAGE(B1108:B1127)</f>
        <v>54.316</v>
      </c>
      <c r="E1127" s="14" t="n">
        <f aca="false">(B1127-D1127)/D1127*100</f>
        <v>9.32321967744312</v>
      </c>
    </row>
    <row r="1128" customFormat="false" ht="15" hidden="false" customHeight="false" outlineLevel="0" collapsed="false">
      <c r="A1128" s="12" t="n">
        <v>43643</v>
      </c>
      <c r="B1128" s="15" t="n">
        <v>59.43</v>
      </c>
      <c r="C1128" s="15" t="n">
        <v>66.55</v>
      </c>
      <c r="D1128" s="14" t="n">
        <f aca="false">AVERAGE(B1109:B1128)</f>
        <v>54.458</v>
      </c>
      <c r="E1128" s="14" t="n">
        <f aca="false">(B1128-D1128)/D1128*100</f>
        <v>9.12997172132652</v>
      </c>
    </row>
    <row r="1129" customFormat="false" ht="15" hidden="false" customHeight="false" outlineLevel="0" collapsed="false">
      <c r="A1129" s="12" t="n">
        <v>43644</v>
      </c>
      <c r="B1129" s="15" t="n">
        <v>58.47</v>
      </c>
      <c r="C1129" s="15" t="n">
        <v>66.55</v>
      </c>
      <c r="D1129" s="14" t="n">
        <f aca="false">AVERAGE(B1110:B1129)</f>
        <v>54.7065</v>
      </c>
      <c r="E1129" s="14" t="n">
        <f aca="false">(B1129-D1129)/D1129*100</f>
        <v>6.87943845795288</v>
      </c>
    </row>
    <row r="1130" customFormat="false" ht="15" hidden="false" customHeight="false" outlineLevel="0" collapsed="false">
      <c r="A1130" s="12" t="n">
        <v>43647</v>
      </c>
      <c r="B1130" s="15" t="n">
        <v>59.09</v>
      </c>
      <c r="C1130" s="15" t="n">
        <v>65.06</v>
      </c>
      <c r="D1130" s="14" t="n">
        <f aca="false">AVERAGE(B1111:B1130)</f>
        <v>54.9985</v>
      </c>
      <c r="E1130" s="14" t="n">
        <f aca="false">(B1130-D1130)/D1130*100</f>
        <v>7.4392937989218</v>
      </c>
    </row>
    <row r="1131" customFormat="false" ht="15" hidden="false" customHeight="false" outlineLevel="0" collapsed="false">
      <c r="A1131" s="12" t="n">
        <v>43648</v>
      </c>
      <c r="B1131" s="15" t="n">
        <v>56.25</v>
      </c>
      <c r="C1131" s="15" t="n">
        <v>62.4</v>
      </c>
      <c r="D1131" s="14" t="n">
        <f aca="false">AVERAGE(B1112:B1131)</f>
        <v>55.137</v>
      </c>
      <c r="E1131" s="14" t="n">
        <f aca="false">(B1131-D1131)/D1131*100</f>
        <v>2.01860819413461</v>
      </c>
    </row>
    <row r="1132" customFormat="false" ht="15" hidden="false" customHeight="false" outlineLevel="0" collapsed="false">
      <c r="A1132" s="12" t="n">
        <v>43649</v>
      </c>
      <c r="B1132" s="15" t="n">
        <v>57.34</v>
      </c>
      <c r="C1132" s="15" t="n">
        <v>63.82</v>
      </c>
      <c r="D1132" s="14" t="n">
        <f aca="false">AVERAGE(B1113:B1132)</f>
        <v>55.42</v>
      </c>
      <c r="E1132" s="14" t="n">
        <f aca="false">(B1132-D1132)/D1132*100</f>
        <v>3.46445326596897</v>
      </c>
    </row>
    <row r="1133" customFormat="false" ht="15" hidden="false" customHeight="false" outlineLevel="0" collapsed="false">
      <c r="A1133" s="12" t="n">
        <v>43651</v>
      </c>
      <c r="B1133" s="15" t="n">
        <v>57.51</v>
      </c>
      <c r="C1133" s="15" t="n">
        <v>64.23</v>
      </c>
      <c r="D1133" s="14" t="n">
        <f aca="false">AVERAGE(B1114:B1133)</f>
        <v>55.666</v>
      </c>
      <c r="E1133" s="14" t="n">
        <f aca="false">(B1133-D1133)/D1133*100</f>
        <v>3.31261452232961</v>
      </c>
    </row>
    <row r="1134" customFormat="false" ht="15" hidden="false" customHeight="false" outlineLevel="0" collapsed="false">
      <c r="A1134" s="12" t="n">
        <v>43654</v>
      </c>
      <c r="B1134" s="15" t="n">
        <v>57.66</v>
      </c>
      <c r="C1134" s="15" t="n">
        <v>64.11</v>
      </c>
      <c r="D1134" s="14" t="n">
        <f aca="false">AVERAGE(B1115:B1134)</f>
        <v>55.8495</v>
      </c>
      <c r="E1134" s="14" t="n">
        <f aca="false">(B1134-D1134)/D1134*100</f>
        <v>3.24174791179867</v>
      </c>
    </row>
    <row r="1135" customFormat="false" ht="15" hidden="false" customHeight="false" outlineLevel="0" collapsed="false">
      <c r="A1135" s="12" t="n">
        <v>43655</v>
      </c>
      <c r="B1135" s="15" t="n">
        <v>57.83</v>
      </c>
      <c r="C1135" s="15" t="n">
        <v>64.16</v>
      </c>
      <c r="D1135" s="14" t="n">
        <f aca="false">AVERAGE(B1116:B1135)</f>
        <v>56.078</v>
      </c>
      <c r="E1135" s="14" t="n">
        <f aca="false">(B1135-D1135)/D1135*100</f>
        <v>3.12421983665609</v>
      </c>
    </row>
    <row r="1136" customFormat="false" ht="15" hidden="false" customHeight="false" outlineLevel="0" collapsed="false">
      <c r="A1136" s="12" t="n">
        <v>43656</v>
      </c>
      <c r="B1136" s="15" t="n">
        <v>60.43</v>
      </c>
      <c r="C1136" s="15" t="n">
        <v>67.01</v>
      </c>
      <c r="D1136" s="14" t="n">
        <f aca="false">AVERAGE(B1117:B1136)</f>
        <v>56.436</v>
      </c>
      <c r="E1136" s="14" t="n">
        <f aca="false">(B1136-D1136)/D1136*100</f>
        <v>7.07704302218442</v>
      </c>
    </row>
    <row r="1137" customFormat="false" ht="15" hidden="false" customHeight="false" outlineLevel="0" collapsed="false">
      <c r="A1137" s="12" t="n">
        <v>43657</v>
      </c>
      <c r="B1137" s="15" t="n">
        <v>60.2</v>
      </c>
      <c r="C1137" s="15" t="n">
        <v>66.52</v>
      </c>
      <c r="D1137" s="14" t="n">
        <f aca="false">AVERAGE(B1118:B1137)</f>
        <v>56.889</v>
      </c>
      <c r="E1137" s="14" t="n">
        <f aca="false">(B1137-D1137)/D1137*100</f>
        <v>5.82010582010583</v>
      </c>
    </row>
    <row r="1138" customFormat="false" ht="15" hidden="false" customHeight="false" outlineLevel="0" collapsed="false">
      <c r="A1138" s="12" t="n">
        <v>43658</v>
      </c>
      <c r="B1138" s="15" t="n">
        <v>60.21</v>
      </c>
      <c r="C1138" s="15" t="n">
        <v>66.72</v>
      </c>
      <c r="D1138" s="14" t="n">
        <f aca="false">AVERAGE(B1119:B1138)</f>
        <v>57.2855</v>
      </c>
      <c r="E1138" s="14" t="n">
        <f aca="false">(B1138-D1138)/D1138*100</f>
        <v>5.10513131595256</v>
      </c>
    </row>
    <row r="1139" customFormat="false" ht="15" hidden="false" customHeight="false" outlineLevel="0" collapsed="false">
      <c r="A1139" s="12" t="n">
        <v>43661</v>
      </c>
      <c r="B1139" s="15" t="n">
        <v>59.58</v>
      </c>
      <c r="C1139" s="15" t="n">
        <v>66.48</v>
      </c>
      <c r="D1139" s="14" t="n">
        <f aca="false">AVERAGE(B1120:B1139)</f>
        <v>57.639</v>
      </c>
      <c r="E1139" s="14" t="n">
        <f aca="false">(B1139-D1139)/D1139*100</f>
        <v>3.36751158070057</v>
      </c>
    </row>
    <row r="1140" customFormat="false" ht="15" hidden="false" customHeight="false" outlineLevel="0" collapsed="false">
      <c r="A1140" s="12" t="n">
        <v>43662</v>
      </c>
      <c r="B1140" s="15" t="n">
        <v>57.62</v>
      </c>
      <c r="C1140" s="15" t="n">
        <v>64.35</v>
      </c>
      <c r="D1140" s="14" t="n">
        <f aca="false">AVERAGE(B1121:B1140)</f>
        <v>57.9235</v>
      </c>
      <c r="E1140" s="14" t="n">
        <f aca="false">(B1140-D1140)/D1140*100</f>
        <v>-0.523966956416665</v>
      </c>
    </row>
    <row r="1141" customFormat="false" ht="15" hidden="false" customHeight="false" outlineLevel="0" collapsed="false">
      <c r="A1141" s="12" t="n">
        <v>43663</v>
      </c>
      <c r="B1141" s="15" t="n">
        <v>56.78</v>
      </c>
      <c r="C1141" s="15" t="n">
        <v>63.66</v>
      </c>
      <c r="D1141" s="14" t="n">
        <f aca="false">AVERAGE(B1122:B1141)</f>
        <v>58.0675</v>
      </c>
      <c r="E1141" s="14" t="n">
        <f aca="false">(B1141-D1141)/D1141*100</f>
        <v>-2.21724716924268</v>
      </c>
    </row>
    <row r="1142" customFormat="false" ht="15" hidden="false" customHeight="false" outlineLevel="0" collapsed="false">
      <c r="A1142" s="12" t="n">
        <v>43664</v>
      </c>
      <c r="B1142" s="15" t="n">
        <v>55.3</v>
      </c>
      <c r="C1142" s="15" t="n">
        <v>61.93</v>
      </c>
      <c r="D1142" s="14" t="n">
        <f aca="false">AVERAGE(B1123:B1142)</f>
        <v>58.1445</v>
      </c>
      <c r="E1142" s="14" t="n">
        <f aca="false">(B1142-D1142)/D1142*100</f>
        <v>-4.89212221276305</v>
      </c>
    </row>
    <row r="1143" customFormat="false" ht="15" hidden="false" customHeight="false" outlineLevel="0" collapsed="false">
      <c r="A1143" s="12" t="n">
        <v>43665</v>
      </c>
      <c r="B1143" s="15" t="n">
        <v>55.63</v>
      </c>
      <c r="C1143" s="15" t="n">
        <v>62.47</v>
      </c>
      <c r="D1143" s="14" t="n">
        <f aca="false">AVERAGE(B1124:B1143)</f>
        <v>58.0935</v>
      </c>
      <c r="E1143" s="14" t="n">
        <f aca="false">(B1143-D1143)/D1143*100</f>
        <v>-4.24057768941446</v>
      </c>
    </row>
    <row r="1144" customFormat="false" ht="15" hidden="false" customHeight="false" outlineLevel="0" collapsed="false">
      <c r="A1144" s="12" t="n">
        <v>43668</v>
      </c>
      <c r="B1144" s="15" t="n">
        <v>56.22</v>
      </c>
      <c r="C1144" s="15" t="n">
        <v>63.26</v>
      </c>
      <c r="D1144" s="14" t="n">
        <f aca="false">AVERAGE(B1125:B1144)</f>
        <v>58.033</v>
      </c>
      <c r="E1144" s="14" t="n">
        <f aca="false">(B1144-D1144)/D1144*100</f>
        <v>-3.12408457257078</v>
      </c>
    </row>
    <row r="1145" customFormat="false" ht="15" hidden="false" customHeight="false" outlineLevel="0" collapsed="false">
      <c r="A1145" s="12" t="n">
        <v>43669</v>
      </c>
      <c r="B1145" s="15" t="n">
        <v>56.77</v>
      </c>
      <c r="C1145" s="15" t="n">
        <v>63.83</v>
      </c>
      <c r="D1145" s="14" t="n">
        <f aca="false">AVERAGE(B1126:B1145)</f>
        <v>57.9765</v>
      </c>
      <c r="E1145" s="14" t="n">
        <f aca="false">(B1145-D1145)/D1145*100</f>
        <v>-2.08101558390037</v>
      </c>
    </row>
    <row r="1146" customFormat="false" ht="15" hidden="false" customHeight="false" outlineLevel="0" collapsed="false">
      <c r="A1146" s="12" t="n">
        <v>43670</v>
      </c>
      <c r="B1146" s="15" t="n">
        <v>55.88</v>
      </c>
      <c r="C1146" s="15" t="n">
        <v>63.18</v>
      </c>
      <c r="D1146" s="14" t="n">
        <f aca="false">AVERAGE(B1127:B1146)</f>
        <v>57.879</v>
      </c>
      <c r="E1146" s="14" t="n">
        <f aca="false">(B1146-D1146)/D1146*100</f>
        <v>-3.45375697575977</v>
      </c>
    </row>
    <row r="1147" customFormat="false" ht="15" hidden="false" customHeight="false" outlineLevel="0" collapsed="false">
      <c r="A1147" s="12" t="n">
        <v>43671</v>
      </c>
      <c r="B1147" s="15" t="n">
        <v>56.02</v>
      </c>
      <c r="C1147" s="15" t="n">
        <v>63.39</v>
      </c>
      <c r="D1147" s="14" t="n">
        <f aca="false">AVERAGE(B1128:B1147)</f>
        <v>57.711</v>
      </c>
      <c r="E1147" s="14" t="n">
        <f aca="false">(B1147-D1147)/D1147*100</f>
        <v>-2.93011730865865</v>
      </c>
    </row>
    <row r="1148" customFormat="false" ht="15" hidden="false" customHeight="false" outlineLevel="0" collapsed="false">
      <c r="A1148" s="12" t="n">
        <v>43672</v>
      </c>
      <c r="B1148" s="15" t="n">
        <v>56.2</v>
      </c>
      <c r="C1148" s="15" t="n">
        <v>63.46</v>
      </c>
      <c r="D1148" s="14" t="n">
        <f aca="false">AVERAGE(B1129:B1148)</f>
        <v>57.5495</v>
      </c>
      <c r="E1148" s="14" t="n">
        <f aca="false">(B1148-D1148)/D1148*100</f>
        <v>-2.34493783612368</v>
      </c>
    </row>
    <row r="1149" customFormat="false" ht="15" hidden="false" customHeight="false" outlineLevel="0" collapsed="false">
      <c r="A1149" s="12" t="n">
        <v>43675</v>
      </c>
      <c r="B1149" s="15" t="n">
        <v>56.87</v>
      </c>
      <c r="C1149" s="15" t="n">
        <v>63.71</v>
      </c>
      <c r="D1149" s="14" t="n">
        <f aca="false">AVERAGE(B1130:B1149)</f>
        <v>57.4695</v>
      </c>
      <c r="E1149" s="14" t="n">
        <f aca="false">(B1149-D1149)/D1149*100</f>
        <v>-1.04316202507418</v>
      </c>
    </row>
    <row r="1150" customFormat="false" ht="15" hidden="false" customHeight="false" outlineLevel="0" collapsed="false">
      <c r="A1150" s="12" t="n">
        <v>43676</v>
      </c>
      <c r="B1150" s="15" t="n">
        <v>58.05</v>
      </c>
      <c r="C1150" s="15" t="n">
        <v>64.72</v>
      </c>
      <c r="D1150" s="14" t="n">
        <f aca="false">AVERAGE(B1131:B1150)</f>
        <v>57.4175</v>
      </c>
      <c r="E1150" s="14" t="n">
        <f aca="false">(B1150-D1150)/D1150*100</f>
        <v>1.10158052858449</v>
      </c>
    </row>
    <row r="1151" customFormat="false" ht="15" hidden="false" customHeight="false" outlineLevel="0" collapsed="false">
      <c r="A1151" s="12" t="n">
        <v>43677</v>
      </c>
      <c r="B1151" s="15" t="n">
        <v>58.58</v>
      </c>
      <c r="C1151" s="15" t="n">
        <v>65.17</v>
      </c>
      <c r="D1151" s="14" t="n">
        <f aca="false">AVERAGE(B1132:B1151)</f>
        <v>57.534</v>
      </c>
      <c r="E1151" s="14" t="n">
        <f aca="false">(B1151-D1151)/D1151*100</f>
        <v>1.81805541071365</v>
      </c>
    </row>
    <row r="1152" customFormat="false" ht="15" hidden="false" customHeight="false" outlineLevel="0" collapsed="false">
      <c r="A1152" s="12" t="n">
        <v>43678</v>
      </c>
      <c r="B1152" s="15" t="n">
        <v>53.95</v>
      </c>
      <c r="C1152" s="15" t="n">
        <v>60.5</v>
      </c>
      <c r="D1152" s="14" t="n">
        <f aca="false">AVERAGE(B1133:B1152)</f>
        <v>57.3645</v>
      </c>
      <c r="E1152" s="14" t="n">
        <f aca="false">(B1152-D1152)/D1152*100</f>
        <v>-5.95228756460877</v>
      </c>
    </row>
    <row r="1153" customFormat="false" ht="15" hidden="false" customHeight="false" outlineLevel="0" collapsed="false">
      <c r="A1153" s="12" t="n">
        <v>43679</v>
      </c>
      <c r="B1153" s="15" t="n">
        <v>55.66</v>
      </c>
      <c r="C1153" s="15" t="n">
        <v>61.89</v>
      </c>
      <c r="D1153" s="14" t="n">
        <f aca="false">AVERAGE(B1134:B1153)</f>
        <v>57.272</v>
      </c>
      <c r="E1153" s="14" t="n">
        <f aca="false">(B1153-D1153)/D1153*100</f>
        <v>-2.81463891604974</v>
      </c>
    </row>
    <row r="1154" customFormat="false" ht="15" hidden="false" customHeight="false" outlineLevel="0" collapsed="false">
      <c r="A1154" s="12" t="n">
        <v>43682</v>
      </c>
      <c r="B1154" s="15" t="n">
        <v>54.69</v>
      </c>
      <c r="C1154" s="15" t="n">
        <v>59.81</v>
      </c>
      <c r="D1154" s="14" t="n">
        <f aca="false">AVERAGE(B1135:B1154)</f>
        <v>57.1235</v>
      </c>
      <c r="E1154" s="14" t="n">
        <f aca="false">(B1154-D1154)/D1154*100</f>
        <v>-4.26006809806822</v>
      </c>
    </row>
    <row r="1155" customFormat="false" ht="15" hidden="false" customHeight="false" outlineLevel="0" collapsed="false">
      <c r="A1155" s="12" t="n">
        <v>43683</v>
      </c>
      <c r="B1155" s="15" t="n">
        <v>53.63</v>
      </c>
      <c r="C1155" s="15" t="n">
        <v>58.94</v>
      </c>
      <c r="D1155" s="14" t="n">
        <f aca="false">AVERAGE(B1136:B1155)</f>
        <v>56.9135</v>
      </c>
      <c r="E1155" s="14" t="n">
        <f aca="false">(B1155-D1155)/D1155*100</f>
        <v>-5.76928145343371</v>
      </c>
    </row>
    <row r="1156" customFormat="false" ht="15" hidden="false" customHeight="false" outlineLevel="0" collapsed="false">
      <c r="A1156" s="12" t="n">
        <v>43684</v>
      </c>
      <c r="B1156" s="15" t="n">
        <v>51.09</v>
      </c>
      <c r="C1156" s="15" t="n">
        <v>56.23</v>
      </c>
      <c r="D1156" s="14" t="n">
        <f aca="false">AVERAGE(B1137:B1156)</f>
        <v>56.4465</v>
      </c>
      <c r="E1156" s="14" t="n">
        <f aca="false">(B1156-D1156)/D1156*100</f>
        <v>-9.48951662193404</v>
      </c>
    </row>
    <row r="1157" customFormat="false" ht="15" hidden="false" customHeight="false" outlineLevel="0" collapsed="false">
      <c r="A1157" s="12" t="n">
        <v>43685</v>
      </c>
      <c r="B1157" s="15" t="n">
        <v>52.54</v>
      </c>
      <c r="C1157" s="15" t="n">
        <v>57.38</v>
      </c>
      <c r="D1157" s="14" t="n">
        <f aca="false">AVERAGE(B1138:B1157)</f>
        <v>56.0635</v>
      </c>
      <c r="E1157" s="14" t="n">
        <f aca="false">(B1157-D1157)/D1157*100</f>
        <v>-6.28483772864698</v>
      </c>
    </row>
    <row r="1158" customFormat="false" ht="15" hidden="false" customHeight="false" outlineLevel="0" collapsed="false">
      <c r="A1158" s="12" t="n">
        <v>43686</v>
      </c>
      <c r="B1158" s="15" t="n">
        <v>54.5</v>
      </c>
      <c r="C1158" s="15" t="n">
        <v>58.53</v>
      </c>
      <c r="D1158" s="14" t="n">
        <f aca="false">AVERAGE(B1139:B1158)</f>
        <v>55.778</v>
      </c>
      <c r="E1158" s="14" t="n">
        <f aca="false">(B1158-D1158)/D1158*100</f>
        <v>-2.29122593137079</v>
      </c>
    </row>
    <row r="1159" customFormat="false" ht="15" hidden="false" customHeight="false" outlineLevel="0" collapsed="false">
      <c r="A1159" s="12" t="n">
        <v>43689</v>
      </c>
      <c r="B1159" s="15" t="n">
        <v>54.93</v>
      </c>
      <c r="C1159" s="15" t="n">
        <v>58.57</v>
      </c>
      <c r="D1159" s="14" t="n">
        <f aca="false">AVERAGE(B1140:B1159)</f>
        <v>55.5455</v>
      </c>
      <c r="E1159" s="14" t="n">
        <f aca="false">(B1159-D1159)/D1159*100</f>
        <v>-1.10810056620249</v>
      </c>
    </row>
    <row r="1160" customFormat="false" ht="15" hidden="false" customHeight="false" outlineLevel="0" collapsed="false">
      <c r="A1160" s="12" t="n">
        <v>43690</v>
      </c>
      <c r="B1160" s="15" t="n">
        <v>57.1</v>
      </c>
      <c r="C1160" s="15" t="n">
        <v>61.3</v>
      </c>
      <c r="D1160" s="14" t="n">
        <f aca="false">AVERAGE(B1141:B1160)</f>
        <v>55.5195</v>
      </c>
      <c r="E1160" s="14" t="n">
        <f aca="false">(B1160-D1160)/D1160*100</f>
        <v>2.8467475391529</v>
      </c>
    </row>
    <row r="1161" customFormat="false" ht="15" hidden="false" customHeight="false" outlineLevel="0" collapsed="false">
      <c r="A1161" s="12" t="n">
        <v>43691</v>
      </c>
      <c r="B1161" s="15" t="n">
        <v>55.23</v>
      </c>
      <c r="C1161" s="15" t="n">
        <v>59.48</v>
      </c>
      <c r="D1161" s="14" t="n">
        <f aca="false">AVERAGE(B1142:B1161)</f>
        <v>55.442</v>
      </c>
      <c r="E1161" s="14" t="n">
        <f aca="false">(B1161-D1161)/D1161*100</f>
        <v>-0.382381587965795</v>
      </c>
    </row>
    <row r="1162" customFormat="false" ht="15" hidden="false" customHeight="false" outlineLevel="0" collapsed="false">
      <c r="A1162" s="12" t="n">
        <v>43692</v>
      </c>
      <c r="B1162" s="15" t="n">
        <v>54.47</v>
      </c>
      <c r="C1162" s="15" t="n">
        <v>58.23</v>
      </c>
      <c r="D1162" s="14" t="n">
        <f aca="false">AVERAGE(B1143:B1162)</f>
        <v>55.4005</v>
      </c>
      <c r="E1162" s="14" t="n">
        <f aca="false">(B1162-D1162)/D1162*100</f>
        <v>-1.67958772935263</v>
      </c>
    </row>
    <row r="1163" customFormat="false" ht="15" hidden="false" customHeight="false" outlineLevel="0" collapsed="false">
      <c r="A1163" s="12" t="n">
        <v>43693</v>
      </c>
      <c r="B1163" s="15" t="n">
        <v>54.87</v>
      </c>
      <c r="C1163" s="15" t="n">
        <v>58.64</v>
      </c>
      <c r="D1163" s="14" t="n">
        <f aca="false">AVERAGE(B1144:B1163)</f>
        <v>55.3625</v>
      </c>
      <c r="E1163" s="14" t="n">
        <f aca="false">(B1163-D1163)/D1163*100</f>
        <v>-0.889591329871302</v>
      </c>
    </row>
    <row r="1164" customFormat="false" ht="15" hidden="false" customHeight="false" outlineLevel="0" collapsed="false">
      <c r="A1164" s="12" t="n">
        <v>43696</v>
      </c>
      <c r="B1164" s="15" t="n">
        <v>56.21</v>
      </c>
      <c r="C1164" s="15" t="n">
        <v>59.74</v>
      </c>
      <c r="D1164" s="14" t="n">
        <f aca="false">AVERAGE(B1145:B1164)</f>
        <v>55.362</v>
      </c>
      <c r="E1164" s="14" t="n">
        <f aca="false">(B1164-D1164)/D1164*100</f>
        <v>1.53173657021061</v>
      </c>
    </row>
    <row r="1165" customFormat="false" ht="15" hidden="false" customHeight="false" outlineLevel="0" collapsed="false">
      <c r="A1165" s="12" t="n">
        <v>43697</v>
      </c>
      <c r="B1165" s="15" t="n">
        <v>56.34</v>
      </c>
      <c r="C1165" s="15" t="n">
        <v>60.03</v>
      </c>
      <c r="D1165" s="14" t="n">
        <f aca="false">AVERAGE(B1146:B1165)</f>
        <v>55.3405</v>
      </c>
      <c r="E1165" s="14" t="n">
        <f aca="false">(B1165-D1165)/D1165*100</f>
        <v>1.80609137973095</v>
      </c>
    </row>
    <row r="1166" customFormat="false" ht="15" hidden="false" customHeight="false" outlineLevel="0" collapsed="false">
      <c r="A1166" s="12" t="n">
        <v>43698</v>
      </c>
      <c r="B1166" s="15" t="n">
        <v>55.68</v>
      </c>
      <c r="C1166" s="15" t="n">
        <v>60.3</v>
      </c>
      <c r="D1166" s="14" t="n">
        <f aca="false">AVERAGE(B1147:B1166)</f>
        <v>55.3305</v>
      </c>
      <c r="E1166" s="14" t="n">
        <f aca="false">(B1166-D1166)/D1166*100</f>
        <v>0.631658850001367</v>
      </c>
    </row>
    <row r="1167" customFormat="false" ht="15" hidden="false" customHeight="false" outlineLevel="0" collapsed="false">
      <c r="A1167" s="12" t="n">
        <v>43699</v>
      </c>
      <c r="B1167" s="15" t="n">
        <v>55.35</v>
      </c>
      <c r="C1167" s="15" t="n">
        <v>59.92</v>
      </c>
      <c r="D1167" s="14" t="n">
        <f aca="false">AVERAGE(B1148:B1167)</f>
        <v>55.297</v>
      </c>
      <c r="E1167" s="14" t="n">
        <f aca="false">(B1167-D1167)/D1167*100</f>
        <v>0.095846067598599</v>
      </c>
    </row>
    <row r="1168" customFormat="false" ht="15" hidden="false" customHeight="false" outlineLevel="0" collapsed="false">
      <c r="A1168" s="12" t="n">
        <v>43700</v>
      </c>
      <c r="B1168" s="15" t="n">
        <v>54.17</v>
      </c>
      <c r="C1168" s="15" t="n">
        <v>59.34</v>
      </c>
      <c r="D1168" s="14" t="n">
        <f aca="false">AVERAGE(B1149:B1168)</f>
        <v>55.1955</v>
      </c>
      <c r="E1168" s="14" t="n">
        <f aca="false">(B1168-D1168)/D1168*100</f>
        <v>-1.85794131767989</v>
      </c>
    </row>
    <row r="1169" customFormat="false" ht="15" hidden="false" customHeight="false" outlineLevel="0" collapsed="false">
      <c r="A1169" s="12" t="n">
        <v>43703</v>
      </c>
      <c r="B1169" s="15" t="n">
        <v>53.64</v>
      </c>
      <c r="C1169" s="15" t="n">
        <v>58.7</v>
      </c>
      <c r="D1169" s="14" t="n">
        <f aca="false">AVERAGE(B1150:B1169)</f>
        <v>55.034</v>
      </c>
      <c r="E1169" s="14" t="n">
        <f aca="false">(B1169-D1169)/D1169*100</f>
        <v>-2.53297961260313</v>
      </c>
    </row>
    <row r="1170" customFormat="false" ht="15" hidden="false" customHeight="false" outlineLevel="0" collapsed="false">
      <c r="A1170" s="12" t="n">
        <v>43704</v>
      </c>
      <c r="B1170" s="15" t="n">
        <v>54.93</v>
      </c>
      <c r="C1170" s="15" t="n">
        <v>59.51</v>
      </c>
      <c r="D1170" s="14" t="n">
        <f aca="false">AVERAGE(B1151:B1170)</f>
        <v>54.878</v>
      </c>
      <c r="E1170" s="14" t="n">
        <f aca="false">(B1170-D1170)/D1170*100</f>
        <v>0.0947556397827902</v>
      </c>
    </row>
    <row r="1171" customFormat="false" ht="15" hidden="false" customHeight="false" outlineLevel="0" collapsed="false">
      <c r="A1171" s="12" t="n">
        <v>43705</v>
      </c>
      <c r="B1171" s="15" t="n">
        <v>55.78</v>
      </c>
      <c r="C1171" s="15" t="n">
        <v>60.49</v>
      </c>
      <c r="D1171" s="14" t="n">
        <f aca="false">AVERAGE(B1152:B1171)</f>
        <v>54.738</v>
      </c>
      <c r="E1171" s="14" t="n">
        <f aca="false">(B1171-D1171)/D1171*100</f>
        <v>1.9036135774051</v>
      </c>
    </row>
    <row r="1172" customFormat="false" ht="15" hidden="false" customHeight="false" outlineLevel="0" collapsed="false">
      <c r="A1172" s="12" t="n">
        <v>43706</v>
      </c>
      <c r="B1172" s="15" t="n">
        <v>56.71</v>
      </c>
      <c r="C1172" s="15" t="n">
        <v>61.08</v>
      </c>
      <c r="D1172" s="14" t="n">
        <f aca="false">AVERAGE(B1153:B1172)</f>
        <v>54.876</v>
      </c>
      <c r="E1172" s="14" t="n">
        <f aca="false">(B1172-D1172)/D1172*100</f>
        <v>3.34208032655442</v>
      </c>
    </row>
    <row r="1173" customFormat="false" ht="15" hidden="false" customHeight="false" outlineLevel="0" collapsed="false">
      <c r="A1173" s="12" t="n">
        <v>43707</v>
      </c>
      <c r="B1173" s="15" t="n">
        <v>55.1</v>
      </c>
      <c r="C1173" s="15" t="n">
        <v>60.43</v>
      </c>
      <c r="D1173" s="14" t="n">
        <f aca="false">AVERAGE(B1154:B1173)</f>
        <v>54.848</v>
      </c>
      <c r="E1173" s="14" t="n">
        <f aca="false">(B1173-D1173)/D1173*100</f>
        <v>0.459451575262548</v>
      </c>
    </row>
    <row r="1174" customFormat="false" ht="15" hidden="false" customHeight="false" outlineLevel="0" collapsed="false">
      <c r="A1174" s="12" t="n">
        <v>43711</v>
      </c>
      <c r="B1174" s="15" t="n">
        <v>53.94</v>
      </c>
      <c r="C1174" s="15" t="n">
        <v>58.26</v>
      </c>
      <c r="D1174" s="14" t="n">
        <f aca="false">AVERAGE(B1155:B1174)</f>
        <v>54.8105</v>
      </c>
      <c r="E1174" s="14" t="n">
        <f aca="false">(B1174-D1174)/D1174*100</f>
        <v>-1.58819934136709</v>
      </c>
    </row>
    <row r="1175" customFormat="false" ht="15" hidden="false" customHeight="false" outlineLevel="0" collapsed="false">
      <c r="A1175" s="12" t="n">
        <v>43712</v>
      </c>
      <c r="B1175" s="15" t="n">
        <v>56.26</v>
      </c>
      <c r="C1175" s="15" t="n">
        <v>60.7</v>
      </c>
      <c r="D1175" s="14" t="n">
        <f aca="false">AVERAGE(B1156:B1175)</f>
        <v>54.942</v>
      </c>
      <c r="E1175" s="14" t="n">
        <f aca="false">(B1175-D1175)/D1175*100</f>
        <v>2.39889337847185</v>
      </c>
    </row>
    <row r="1176" customFormat="false" ht="15" hidden="false" customHeight="false" outlineLevel="0" collapsed="false">
      <c r="A1176" s="12" t="n">
        <v>43713</v>
      </c>
      <c r="B1176" s="15" t="n">
        <v>56.3</v>
      </c>
      <c r="C1176" s="15" t="n">
        <v>60.95</v>
      </c>
      <c r="D1176" s="14" t="n">
        <f aca="false">AVERAGE(B1157:B1176)</f>
        <v>55.2025</v>
      </c>
      <c r="E1176" s="14" t="n">
        <f aca="false">(B1176-D1176)/D1176*100</f>
        <v>1.98813459535347</v>
      </c>
    </row>
    <row r="1177" customFormat="false" ht="15" hidden="false" customHeight="false" outlineLevel="0" collapsed="false">
      <c r="A1177" s="12" t="n">
        <v>43714</v>
      </c>
      <c r="B1177" s="15" t="n">
        <v>56.52</v>
      </c>
      <c r="C1177" s="15" t="n">
        <v>61.54</v>
      </c>
      <c r="D1177" s="14" t="n">
        <f aca="false">AVERAGE(B1158:B1177)</f>
        <v>55.4015</v>
      </c>
      <c r="E1177" s="14" t="n">
        <f aca="false">(B1177-D1177)/D1177*100</f>
        <v>2.01889840527784</v>
      </c>
    </row>
    <row r="1178" customFormat="false" ht="15" hidden="false" customHeight="false" outlineLevel="0" collapsed="false">
      <c r="A1178" s="12" t="n">
        <v>43717</v>
      </c>
      <c r="B1178" s="15" t="n">
        <v>57.85</v>
      </c>
      <c r="C1178" s="15" t="n">
        <v>62.59</v>
      </c>
      <c r="D1178" s="14" t="n">
        <f aca="false">AVERAGE(B1159:B1178)</f>
        <v>55.569</v>
      </c>
      <c r="E1178" s="14" t="n">
        <f aca="false">(B1178-D1178)/D1178*100</f>
        <v>4.10480663679389</v>
      </c>
    </row>
    <row r="1179" customFormat="false" ht="15" hidden="false" customHeight="false" outlineLevel="0" collapsed="false">
      <c r="A1179" s="12" t="n">
        <v>43718</v>
      </c>
      <c r="B1179" s="15" t="n">
        <v>57.4</v>
      </c>
      <c r="C1179" s="15" t="n">
        <v>62.38</v>
      </c>
      <c r="D1179" s="14" t="n">
        <f aca="false">AVERAGE(B1160:B1179)</f>
        <v>55.6925</v>
      </c>
      <c r="E1179" s="14" t="n">
        <f aca="false">(B1179-D1179)/D1179*100</f>
        <v>3.06594245185618</v>
      </c>
    </row>
    <row r="1180" customFormat="false" ht="15" hidden="false" customHeight="false" outlineLevel="0" collapsed="false">
      <c r="A1180" s="12" t="n">
        <v>43719</v>
      </c>
      <c r="B1180" s="15" t="n">
        <v>55.75</v>
      </c>
      <c r="C1180" s="15" t="n">
        <v>60.81</v>
      </c>
      <c r="D1180" s="14" t="n">
        <f aca="false">AVERAGE(B1161:B1180)</f>
        <v>55.625</v>
      </c>
      <c r="E1180" s="14" t="n">
        <f aca="false">(B1180-D1180)/D1180*100</f>
        <v>0.224719101123596</v>
      </c>
    </row>
    <row r="1181" customFormat="false" ht="15" hidden="false" customHeight="false" outlineLevel="0" collapsed="false">
      <c r="A1181" s="12" t="n">
        <v>43720</v>
      </c>
      <c r="B1181" s="15" t="n">
        <v>55.09</v>
      </c>
      <c r="C1181" s="15" t="n">
        <v>60.38</v>
      </c>
      <c r="D1181" s="14" t="n">
        <f aca="false">AVERAGE(B1162:B1181)</f>
        <v>55.618</v>
      </c>
      <c r="E1181" s="14" t="n">
        <f aca="false">(B1181-D1181)/D1181*100</f>
        <v>-0.94933294976445</v>
      </c>
    </row>
    <row r="1182" customFormat="false" ht="15" hidden="false" customHeight="false" outlineLevel="0" collapsed="false">
      <c r="A1182" s="12" t="n">
        <v>43721</v>
      </c>
      <c r="B1182" s="15" t="n">
        <v>54.85</v>
      </c>
      <c r="C1182" s="15" t="n">
        <v>60.22</v>
      </c>
      <c r="D1182" s="14" t="n">
        <f aca="false">AVERAGE(B1163:B1182)</f>
        <v>55.637</v>
      </c>
      <c r="E1182" s="14" t="n">
        <f aca="false">(B1182-D1182)/D1182*100</f>
        <v>-1.41452630443769</v>
      </c>
    </row>
    <row r="1183" customFormat="false" ht="15" hidden="false" customHeight="false" outlineLevel="0" collapsed="false">
      <c r="A1183" s="12" t="n">
        <v>43724</v>
      </c>
      <c r="B1183" s="15" t="n">
        <v>62.9</v>
      </c>
      <c r="C1183" s="15" t="n">
        <v>69.02</v>
      </c>
      <c r="D1183" s="14" t="n">
        <f aca="false">AVERAGE(B1164:B1183)</f>
        <v>56.0385</v>
      </c>
      <c r="E1183" s="14" t="n">
        <f aca="false">(B1183-D1183)/D1183*100</f>
        <v>12.244260642237</v>
      </c>
    </row>
    <row r="1184" customFormat="false" ht="15" hidden="false" customHeight="false" outlineLevel="0" collapsed="false">
      <c r="A1184" s="12" t="n">
        <v>43725</v>
      </c>
      <c r="B1184" s="15" t="n">
        <v>59.34</v>
      </c>
      <c r="C1184" s="15" t="n">
        <v>64.55</v>
      </c>
      <c r="D1184" s="14" t="n">
        <f aca="false">AVERAGE(B1165:B1184)</f>
        <v>56.195</v>
      </c>
      <c r="E1184" s="14" t="n">
        <f aca="false">(B1184-D1184)/D1184*100</f>
        <v>5.59658332591867</v>
      </c>
    </row>
    <row r="1185" customFormat="false" ht="15" hidden="false" customHeight="false" outlineLevel="0" collapsed="false">
      <c r="A1185" s="12" t="n">
        <v>43726</v>
      </c>
      <c r="B1185" s="15" t="n">
        <v>58.11</v>
      </c>
      <c r="C1185" s="15" t="n">
        <v>63.6</v>
      </c>
      <c r="D1185" s="14" t="n">
        <f aca="false">AVERAGE(B1166:B1185)</f>
        <v>56.2835</v>
      </c>
      <c r="E1185" s="14" t="n">
        <f aca="false">(B1185-D1185)/D1185*100</f>
        <v>3.24517842707009</v>
      </c>
    </row>
    <row r="1186" customFormat="false" ht="15" hidden="false" customHeight="false" outlineLevel="0" collapsed="false">
      <c r="A1186" s="12" t="n">
        <v>43727</v>
      </c>
      <c r="B1186" s="15" t="n">
        <v>58.13</v>
      </c>
      <c r="C1186" s="15" t="n">
        <v>64.4</v>
      </c>
      <c r="D1186" s="14" t="n">
        <f aca="false">AVERAGE(B1167:B1186)</f>
        <v>56.406</v>
      </c>
      <c r="E1186" s="14" t="n">
        <f aca="false">(B1186-D1186)/D1186*100</f>
        <v>3.05641243839307</v>
      </c>
    </row>
    <row r="1187" customFormat="false" ht="15" hidden="false" customHeight="false" outlineLevel="0" collapsed="false">
      <c r="A1187" s="12" t="n">
        <v>43728</v>
      </c>
      <c r="B1187" s="15" t="n">
        <v>58.09</v>
      </c>
      <c r="C1187" s="15" t="n">
        <v>64.28</v>
      </c>
      <c r="D1187" s="14" t="n">
        <f aca="false">AVERAGE(B1168:B1187)</f>
        <v>56.543</v>
      </c>
      <c r="E1187" s="14" t="n">
        <f aca="false">(B1187-D1187)/D1187*100</f>
        <v>2.73597085404028</v>
      </c>
    </row>
    <row r="1188" customFormat="false" ht="15" hidden="false" customHeight="false" outlineLevel="0" collapsed="false">
      <c r="A1188" s="12" t="n">
        <v>43731</v>
      </c>
      <c r="B1188" s="15" t="n">
        <v>58.64</v>
      </c>
      <c r="C1188" s="15" t="n">
        <v>64.77</v>
      </c>
      <c r="D1188" s="14" t="n">
        <f aca="false">AVERAGE(B1169:B1188)</f>
        <v>56.7665</v>
      </c>
      <c r="E1188" s="14" t="n">
        <f aca="false">(B1188-D1188)/D1188*100</f>
        <v>3.30036200928366</v>
      </c>
    </row>
    <row r="1189" customFormat="false" ht="15" hidden="false" customHeight="false" outlineLevel="0" collapsed="false">
      <c r="A1189" s="12" t="n">
        <v>43732</v>
      </c>
      <c r="B1189" s="15" t="n">
        <v>57.29</v>
      </c>
      <c r="C1189" s="15" t="n">
        <v>63.1</v>
      </c>
      <c r="D1189" s="14" t="n">
        <f aca="false">AVERAGE(B1170:B1189)</f>
        <v>56.949</v>
      </c>
      <c r="E1189" s="14" t="n">
        <f aca="false">(B1189-D1189)/D1189*100</f>
        <v>0.598781365783422</v>
      </c>
    </row>
    <row r="1190" customFormat="false" ht="15" hidden="false" customHeight="false" outlineLevel="0" collapsed="false">
      <c r="A1190" s="12" t="n">
        <v>43733</v>
      </c>
      <c r="B1190" s="15" t="n">
        <v>56.49</v>
      </c>
      <c r="C1190" s="15" t="n">
        <v>62.39</v>
      </c>
      <c r="D1190" s="14" t="n">
        <f aca="false">AVERAGE(B1171:B1190)</f>
        <v>57.027</v>
      </c>
      <c r="E1190" s="14" t="n">
        <f aca="false">(B1190-D1190)/D1190*100</f>
        <v>-0.941659214056498</v>
      </c>
    </row>
    <row r="1191" customFormat="false" ht="15" hidden="false" customHeight="false" outlineLevel="0" collapsed="false">
      <c r="A1191" s="12" t="n">
        <v>43734</v>
      </c>
      <c r="B1191" s="15" t="n">
        <v>56.41</v>
      </c>
      <c r="C1191" s="15" t="n">
        <v>62.74</v>
      </c>
      <c r="D1191" s="14" t="n">
        <f aca="false">AVERAGE(B1172:B1191)</f>
        <v>57.0585</v>
      </c>
      <c r="E1191" s="14" t="n">
        <f aca="false">(B1191-D1191)/D1191*100</f>
        <v>-1.13655283612434</v>
      </c>
    </row>
    <row r="1192" customFormat="false" ht="15" hidden="false" customHeight="false" outlineLevel="0" collapsed="false">
      <c r="A1192" s="12" t="n">
        <v>43735</v>
      </c>
      <c r="B1192" s="15" t="n">
        <v>55.91</v>
      </c>
      <c r="C1192" s="15" t="n">
        <v>61.91</v>
      </c>
      <c r="D1192" s="14" t="n">
        <f aca="false">AVERAGE(B1173:B1192)</f>
        <v>57.0185</v>
      </c>
      <c r="E1192" s="14" t="n">
        <f aca="false">(B1192-D1192)/D1192*100</f>
        <v>-1.94410586037865</v>
      </c>
    </row>
    <row r="1193" customFormat="false" ht="15" hidden="false" customHeight="false" outlineLevel="0" collapsed="false">
      <c r="A1193" s="12" t="n">
        <v>43738</v>
      </c>
      <c r="B1193" s="15" t="n">
        <v>54.07</v>
      </c>
      <c r="C1193" s="15" t="n">
        <v>60.78</v>
      </c>
      <c r="D1193" s="14" t="n">
        <f aca="false">AVERAGE(B1174:B1193)</f>
        <v>56.967</v>
      </c>
      <c r="E1193" s="14" t="n">
        <f aca="false">(B1193-D1193)/D1193*100</f>
        <v>-5.08540031948321</v>
      </c>
    </row>
    <row r="1194" customFormat="false" ht="15" hidden="false" customHeight="false" outlineLevel="0" collapsed="false">
      <c r="A1194" s="12" t="n">
        <v>43739</v>
      </c>
      <c r="B1194" s="15" t="n">
        <v>53.62</v>
      </c>
      <c r="C1194" s="15" t="n">
        <v>58.89</v>
      </c>
      <c r="D1194" s="14" t="n">
        <f aca="false">AVERAGE(B1175:B1194)</f>
        <v>56.951</v>
      </c>
      <c r="E1194" s="14" t="n">
        <f aca="false">(B1194-D1194)/D1194*100</f>
        <v>-5.84888764025215</v>
      </c>
    </row>
    <row r="1195" customFormat="false" ht="15" hidden="false" customHeight="false" outlineLevel="0" collapsed="false">
      <c r="A1195" s="12" t="n">
        <v>43740</v>
      </c>
      <c r="B1195" s="15" t="n">
        <v>52.64</v>
      </c>
      <c r="C1195" s="15" t="n">
        <v>57.69</v>
      </c>
      <c r="D1195" s="14" t="n">
        <f aca="false">AVERAGE(B1176:B1195)</f>
        <v>56.77</v>
      </c>
      <c r="E1195" s="14" t="n">
        <f aca="false">(B1195-D1195)/D1195*100</f>
        <v>-7.27496917385944</v>
      </c>
    </row>
    <row r="1196" customFormat="false" ht="15" hidden="false" customHeight="false" outlineLevel="0" collapsed="false">
      <c r="A1196" s="12" t="n">
        <v>43741</v>
      </c>
      <c r="B1196" s="15" t="n">
        <v>52.45</v>
      </c>
      <c r="C1196" s="15" t="n">
        <v>57.71</v>
      </c>
      <c r="D1196" s="14" t="n">
        <f aca="false">AVERAGE(B1177:B1196)</f>
        <v>56.5775</v>
      </c>
      <c r="E1196" s="14" t="n">
        <f aca="false">(B1196-D1196)/D1196*100</f>
        <v>-7.29530290309752</v>
      </c>
    </row>
    <row r="1197" customFormat="false" ht="15" hidden="false" customHeight="false" outlineLevel="0" collapsed="false">
      <c r="A1197" s="12" t="n">
        <v>43742</v>
      </c>
      <c r="B1197" s="15" t="n">
        <v>52.81</v>
      </c>
      <c r="C1197" s="15" t="n">
        <v>58.37</v>
      </c>
      <c r="D1197" s="14" t="n">
        <f aca="false">AVERAGE(B1178:B1197)</f>
        <v>56.392</v>
      </c>
      <c r="E1197" s="14" t="n">
        <f aca="false">(B1197-D1197)/D1197*100</f>
        <v>-6.35196481770463</v>
      </c>
    </row>
    <row r="1198" customFormat="false" ht="15" hidden="false" customHeight="false" outlineLevel="0" collapsed="false">
      <c r="A1198" s="12" t="n">
        <v>43745</v>
      </c>
      <c r="B1198" s="15" t="n">
        <v>52.75</v>
      </c>
      <c r="C1198" s="15" t="n">
        <v>58.35</v>
      </c>
      <c r="D1198" s="14" t="n">
        <f aca="false">AVERAGE(B1179:B1198)</f>
        <v>56.137</v>
      </c>
      <c r="E1198" s="14" t="n">
        <f aca="false">(B1198-D1198)/D1198*100</f>
        <v>-6.03345387177797</v>
      </c>
    </row>
    <row r="1199" customFormat="false" ht="15" hidden="false" customHeight="false" outlineLevel="0" collapsed="false">
      <c r="A1199" s="12" t="n">
        <v>43746</v>
      </c>
      <c r="B1199" s="15" t="n">
        <v>52.63</v>
      </c>
      <c r="C1199" s="15" t="n">
        <v>58.24</v>
      </c>
      <c r="D1199" s="14" t="n">
        <f aca="false">AVERAGE(B1180:B1199)</f>
        <v>55.8985</v>
      </c>
      <c r="E1199" s="14" t="n">
        <f aca="false">(B1199-D1199)/D1199*100</f>
        <v>-5.84720520228628</v>
      </c>
    </row>
    <row r="1200" customFormat="false" ht="15" hidden="false" customHeight="false" outlineLevel="0" collapsed="false">
      <c r="A1200" s="12" t="n">
        <v>43747</v>
      </c>
      <c r="B1200" s="15" t="n">
        <v>52.59</v>
      </c>
      <c r="C1200" s="15" t="n">
        <v>58.32</v>
      </c>
      <c r="D1200" s="14" t="n">
        <f aca="false">AVERAGE(B1181:B1200)</f>
        <v>55.7405</v>
      </c>
      <c r="E1200" s="14" t="n">
        <f aca="false">(B1200-D1200)/D1200*100</f>
        <v>-5.65208421165938</v>
      </c>
    </row>
    <row r="1201" customFormat="false" ht="15" hidden="false" customHeight="false" outlineLevel="0" collapsed="false">
      <c r="A1201" s="12" t="n">
        <v>43748</v>
      </c>
      <c r="B1201" s="15" t="n">
        <v>53.55</v>
      </c>
      <c r="C1201" s="15" t="n">
        <v>59.1</v>
      </c>
      <c r="D1201" s="14" t="n">
        <f aca="false">AVERAGE(B1182:B1201)</f>
        <v>55.6635</v>
      </c>
      <c r="E1201" s="14" t="n">
        <f aca="false">(B1201-D1201)/D1201*100</f>
        <v>-3.79692257942817</v>
      </c>
    </row>
    <row r="1202" customFormat="false" ht="15" hidden="false" customHeight="false" outlineLevel="0" collapsed="false">
      <c r="A1202" s="12" t="n">
        <v>43749</v>
      </c>
      <c r="B1202" s="15" t="n">
        <v>54.7</v>
      </c>
      <c r="C1202" s="15" t="n">
        <v>60.51</v>
      </c>
      <c r="D1202" s="14" t="n">
        <f aca="false">AVERAGE(B1183:B1202)</f>
        <v>55.656</v>
      </c>
      <c r="E1202" s="14" t="n">
        <f aca="false">(B1202-D1202)/D1202*100</f>
        <v>-1.71769440850942</v>
      </c>
    </row>
    <row r="1203" customFormat="false" ht="15" hidden="false" customHeight="false" outlineLevel="0" collapsed="false">
      <c r="A1203" s="12" t="n">
        <v>43752</v>
      </c>
      <c r="B1203" s="15" t="n">
        <v>53.59</v>
      </c>
      <c r="C1203" s="15" t="n">
        <v>59.35</v>
      </c>
      <c r="D1203" s="14" t="n">
        <f aca="false">AVERAGE(B1184:B1203)</f>
        <v>55.1905</v>
      </c>
      <c r="E1203" s="14" t="n">
        <f aca="false">(B1203-D1203)/D1203*100</f>
        <v>-2.89995560830215</v>
      </c>
    </row>
    <row r="1204" customFormat="false" ht="15" hidden="false" customHeight="false" outlineLevel="0" collapsed="false">
      <c r="A1204" s="12" t="n">
        <v>43753</v>
      </c>
      <c r="B1204" s="15" t="n">
        <v>52.81</v>
      </c>
      <c r="C1204" s="15" t="n">
        <v>58.74</v>
      </c>
      <c r="D1204" s="14" t="n">
        <f aca="false">AVERAGE(B1185:B1204)</f>
        <v>54.864</v>
      </c>
      <c r="E1204" s="14" t="n">
        <f aca="false">(B1204-D1204)/D1204*100</f>
        <v>-3.74380285797608</v>
      </c>
    </row>
    <row r="1205" customFormat="false" ht="15" hidden="false" customHeight="false" outlineLevel="0" collapsed="false">
      <c r="A1205" s="12" t="n">
        <v>43754</v>
      </c>
      <c r="B1205" s="15" t="n">
        <v>53.36</v>
      </c>
      <c r="C1205" s="15" t="n">
        <v>59.42</v>
      </c>
      <c r="D1205" s="14" t="n">
        <f aca="false">AVERAGE(B1186:B1205)</f>
        <v>54.6265</v>
      </c>
      <c r="E1205" s="14" t="n">
        <f aca="false">(B1205-D1205)/D1205*100</f>
        <v>-2.31847180397792</v>
      </c>
    </row>
    <row r="1206" customFormat="false" ht="15" hidden="false" customHeight="false" outlineLevel="0" collapsed="false">
      <c r="A1206" s="12" t="n">
        <v>43755</v>
      </c>
      <c r="B1206" s="15" t="n">
        <v>53.93</v>
      </c>
      <c r="C1206" s="15" t="n">
        <v>59.91</v>
      </c>
      <c r="D1206" s="14" t="n">
        <f aca="false">AVERAGE(B1187:B1206)</f>
        <v>54.4165</v>
      </c>
      <c r="E1206" s="14" t="n">
        <f aca="false">(B1206-D1206)/D1206*100</f>
        <v>-0.894030303308738</v>
      </c>
    </row>
    <row r="1207" customFormat="false" ht="15" hidden="false" customHeight="false" outlineLevel="0" collapsed="false">
      <c r="A1207" s="12" t="n">
        <v>43756</v>
      </c>
      <c r="B1207" s="15" t="n">
        <v>53.78</v>
      </c>
      <c r="C1207" s="15" t="n">
        <v>59.42</v>
      </c>
      <c r="D1207" s="14" t="n">
        <f aca="false">AVERAGE(B1188:B1207)</f>
        <v>54.201</v>
      </c>
      <c r="E1207" s="14" t="n">
        <f aca="false">(B1207-D1207)/D1207*100</f>
        <v>-0.77673843656021</v>
      </c>
    </row>
    <row r="1208" customFormat="false" ht="15" hidden="false" customHeight="false" outlineLevel="0" collapsed="false">
      <c r="A1208" s="12" t="n">
        <v>43759</v>
      </c>
      <c r="B1208" s="15" t="n">
        <v>53.31</v>
      </c>
      <c r="C1208" s="15" t="n">
        <v>58.96</v>
      </c>
      <c r="D1208" s="14" t="n">
        <f aca="false">AVERAGE(B1189:B1208)</f>
        <v>53.9345</v>
      </c>
      <c r="E1208" s="14" t="n">
        <f aca="false">(B1208-D1208)/D1208*100</f>
        <v>-1.15788595425933</v>
      </c>
    </row>
    <row r="1209" customFormat="false" ht="15" hidden="false" customHeight="false" outlineLevel="0" collapsed="false">
      <c r="A1209" s="12" t="n">
        <v>43760</v>
      </c>
      <c r="B1209" s="15" t="n">
        <v>54.16</v>
      </c>
      <c r="C1209" s="15" t="n">
        <v>59.7</v>
      </c>
      <c r="D1209" s="14" t="n">
        <f aca="false">AVERAGE(B1190:B1209)</f>
        <v>53.778</v>
      </c>
      <c r="E1209" s="14" t="n">
        <f aca="false">(B1209-D1209)/D1209*100</f>
        <v>0.710327643274198</v>
      </c>
    </row>
    <row r="1210" customFormat="false" ht="15" hidden="false" customHeight="false" outlineLevel="0" collapsed="false">
      <c r="A1210" s="12" t="n">
        <v>43761</v>
      </c>
      <c r="B1210" s="15" t="n">
        <v>55.97</v>
      </c>
      <c r="C1210" s="15" t="n">
        <v>61.17</v>
      </c>
      <c r="D1210" s="14" t="n">
        <f aca="false">AVERAGE(B1191:B1210)</f>
        <v>53.752</v>
      </c>
      <c r="E1210" s="14" t="n">
        <f aca="false">(B1210-D1210)/D1210*100</f>
        <v>4.12635808900135</v>
      </c>
    </row>
    <row r="1211" customFormat="false" ht="15" hidden="false" customHeight="false" outlineLevel="0" collapsed="false">
      <c r="A1211" s="12" t="n">
        <v>43762</v>
      </c>
      <c r="B1211" s="15" t="n">
        <v>56.23</v>
      </c>
      <c r="C1211" s="15" t="n">
        <v>61.67</v>
      </c>
      <c r="D1211" s="14" t="n">
        <f aca="false">AVERAGE(B1192:B1211)</f>
        <v>53.743</v>
      </c>
      <c r="E1211" s="14" t="n">
        <f aca="false">(B1211-D1211)/D1211*100</f>
        <v>4.62757940569005</v>
      </c>
    </row>
    <row r="1212" customFormat="false" ht="15" hidden="false" customHeight="false" outlineLevel="0" collapsed="false">
      <c r="A1212" s="12" t="n">
        <v>43763</v>
      </c>
      <c r="B1212" s="15" t="n">
        <v>56.66</v>
      </c>
      <c r="C1212" s="15" t="n">
        <v>62.02</v>
      </c>
      <c r="D1212" s="14" t="n">
        <f aca="false">AVERAGE(B1193:B1212)</f>
        <v>53.7805</v>
      </c>
      <c r="E1212" s="14" t="n">
        <f aca="false">(B1212-D1212)/D1212*100</f>
        <v>5.35417112150315</v>
      </c>
    </row>
    <row r="1213" customFormat="false" ht="15" hidden="false" customHeight="false" outlineLevel="0" collapsed="false">
      <c r="A1213" s="12" t="n">
        <v>43766</v>
      </c>
      <c r="B1213" s="15" t="n">
        <v>55.81</v>
      </c>
      <c r="C1213" s="15" t="n">
        <v>61.57</v>
      </c>
      <c r="D1213" s="14" t="n">
        <f aca="false">AVERAGE(B1194:B1213)</f>
        <v>53.8675</v>
      </c>
      <c r="E1213" s="14" t="n">
        <f aca="false">(B1213-D1213)/D1213*100</f>
        <v>3.6060704506428</v>
      </c>
    </row>
    <row r="1214" customFormat="false" ht="15" hidden="false" customHeight="false" outlineLevel="0" collapsed="false">
      <c r="A1214" s="12" t="n">
        <v>43767</v>
      </c>
      <c r="B1214" s="15" t="n">
        <v>55.54</v>
      </c>
      <c r="C1214" s="15" t="n">
        <v>61.59</v>
      </c>
      <c r="D1214" s="14" t="n">
        <f aca="false">AVERAGE(B1195:B1214)</f>
        <v>53.9635</v>
      </c>
      <c r="E1214" s="14" t="n">
        <f aca="false">(B1214-D1214)/D1214*100</f>
        <v>2.92141910735961</v>
      </c>
    </row>
    <row r="1215" customFormat="false" ht="15" hidden="false" customHeight="false" outlineLevel="0" collapsed="false">
      <c r="A1215" s="12" t="n">
        <v>43768</v>
      </c>
      <c r="B1215" s="15" t="n">
        <v>55.06</v>
      </c>
      <c r="C1215" s="15" t="n">
        <v>60.61</v>
      </c>
      <c r="D1215" s="14" t="n">
        <f aca="false">AVERAGE(B1196:B1215)</f>
        <v>54.0845</v>
      </c>
      <c r="E1215" s="14" t="n">
        <f aca="false">(B1215-D1215)/D1215*100</f>
        <v>1.8036590890181</v>
      </c>
    </row>
    <row r="1216" customFormat="false" ht="15" hidden="false" customHeight="false" outlineLevel="0" collapsed="false">
      <c r="A1216" s="12" t="n">
        <v>43769</v>
      </c>
      <c r="B1216" s="15" t="n">
        <v>54.18</v>
      </c>
      <c r="C1216" s="15" t="n">
        <v>60.23</v>
      </c>
      <c r="D1216" s="14" t="n">
        <f aca="false">AVERAGE(B1197:B1216)</f>
        <v>54.171</v>
      </c>
      <c r="E1216" s="14" t="n">
        <f aca="false">(B1216-D1216)/D1216*100</f>
        <v>0.0166140554909329</v>
      </c>
    </row>
    <row r="1217" customFormat="false" ht="15" hidden="false" customHeight="false" outlineLevel="0" collapsed="false">
      <c r="A1217" s="12" t="n">
        <v>43770</v>
      </c>
      <c r="B1217" s="15" t="n">
        <v>56.2</v>
      </c>
      <c r="C1217" s="15" t="n">
        <v>61.69</v>
      </c>
      <c r="D1217" s="14" t="n">
        <f aca="false">AVERAGE(B1198:B1217)</f>
        <v>54.3405</v>
      </c>
      <c r="E1217" s="14" t="n">
        <f aca="false">(B1217-D1217)/D1217*100</f>
        <v>3.42194127768424</v>
      </c>
    </row>
    <row r="1218" customFormat="false" ht="15" hidden="false" customHeight="false" outlineLevel="0" collapsed="false">
      <c r="A1218" s="12" t="n">
        <v>43773</v>
      </c>
      <c r="B1218" s="15" t="n">
        <v>56.54</v>
      </c>
      <c r="C1218" s="15" t="n">
        <v>62.13</v>
      </c>
      <c r="D1218" s="14" t="n">
        <f aca="false">AVERAGE(B1199:B1218)</f>
        <v>54.53</v>
      </c>
      <c r="E1218" s="14" t="n">
        <f aca="false">(B1218-D1218)/D1218*100</f>
        <v>3.68604437924079</v>
      </c>
    </row>
    <row r="1219" customFormat="false" ht="15" hidden="false" customHeight="false" outlineLevel="0" collapsed="false">
      <c r="A1219" s="12" t="n">
        <v>43774</v>
      </c>
      <c r="B1219" s="15" t="n">
        <v>57.23</v>
      </c>
      <c r="C1219" s="15" t="n">
        <v>62.96</v>
      </c>
      <c r="D1219" s="14" t="n">
        <f aca="false">AVERAGE(B1200:B1219)</f>
        <v>54.76</v>
      </c>
      <c r="E1219" s="14" t="n">
        <f aca="false">(B1219-D1219)/D1219*100</f>
        <v>4.51059167275382</v>
      </c>
    </row>
    <row r="1220" customFormat="false" ht="15" hidden="false" customHeight="false" outlineLevel="0" collapsed="false">
      <c r="A1220" s="12" t="n">
        <v>43775</v>
      </c>
      <c r="B1220" s="15" t="n">
        <v>56.35</v>
      </c>
      <c r="C1220" s="15" t="n">
        <v>61.74</v>
      </c>
      <c r="D1220" s="14" t="n">
        <f aca="false">AVERAGE(B1201:B1220)</f>
        <v>54.948</v>
      </c>
      <c r="E1220" s="14" t="n">
        <f aca="false">(B1220-D1220)/D1220*100</f>
        <v>2.55150323942637</v>
      </c>
    </row>
    <row r="1221" customFormat="false" ht="15" hidden="false" customHeight="false" outlineLevel="0" collapsed="false">
      <c r="A1221" s="12" t="n">
        <v>43776</v>
      </c>
      <c r="B1221" s="15" t="n">
        <v>57.15</v>
      </c>
      <c r="C1221" s="15" t="n">
        <v>62.29</v>
      </c>
      <c r="D1221" s="14" t="n">
        <f aca="false">AVERAGE(B1202:B1221)</f>
        <v>55.128</v>
      </c>
      <c r="E1221" s="14" t="n">
        <f aca="false">(B1221-D1221)/D1221*100</f>
        <v>3.66782760121898</v>
      </c>
    </row>
    <row r="1222" customFormat="false" ht="15" hidden="false" customHeight="false" outlineLevel="0" collapsed="false">
      <c r="A1222" s="12" t="n">
        <v>43777</v>
      </c>
      <c r="B1222" s="15" t="n">
        <v>57.24</v>
      </c>
      <c r="C1222" s="15" t="n">
        <v>62.51</v>
      </c>
      <c r="D1222" s="14" t="n">
        <f aca="false">AVERAGE(B1203:B1222)</f>
        <v>55.255</v>
      </c>
      <c r="E1222" s="14" t="n">
        <f aca="false">(B1222-D1222)/D1222*100</f>
        <v>3.59243507374899</v>
      </c>
    </row>
    <row r="1223" customFormat="false" ht="15" hidden="false" customHeight="false" outlineLevel="0" collapsed="false">
      <c r="A1223" s="12" t="n">
        <v>43780</v>
      </c>
      <c r="B1223" s="15" t="n">
        <v>56.86</v>
      </c>
      <c r="C1223" s="15" t="n">
        <v>62.18</v>
      </c>
      <c r="D1223" s="14" t="n">
        <f aca="false">AVERAGE(B1204:B1223)</f>
        <v>55.4185</v>
      </c>
      <c r="E1223" s="14" t="n">
        <f aca="false">(B1223-D1223)/D1223*100</f>
        <v>2.6011169555293</v>
      </c>
    </row>
    <row r="1224" customFormat="false" ht="15" hidden="false" customHeight="false" outlineLevel="0" collapsed="false">
      <c r="A1224" s="12" t="n">
        <v>43781</v>
      </c>
      <c r="B1224" s="15" t="n">
        <v>56.8</v>
      </c>
      <c r="C1224" s="15" t="n">
        <v>62.06</v>
      </c>
      <c r="D1224" s="14" t="n">
        <f aca="false">AVERAGE(B1205:B1224)</f>
        <v>55.618</v>
      </c>
      <c r="E1224" s="14" t="n">
        <f aca="false">(B1224-D1224)/D1224*100</f>
        <v>2.12521126254091</v>
      </c>
    </row>
    <row r="1225" customFormat="false" ht="15" hidden="false" customHeight="false" outlineLevel="0" collapsed="false">
      <c r="A1225" s="12" t="n">
        <v>43782</v>
      </c>
      <c r="B1225" s="15" t="n">
        <v>57.12</v>
      </c>
      <c r="C1225" s="15" t="n">
        <v>62.37</v>
      </c>
      <c r="D1225" s="14" t="n">
        <f aca="false">AVERAGE(B1206:B1225)</f>
        <v>55.806</v>
      </c>
      <c r="E1225" s="14" t="n">
        <f aca="false">(B1225-D1225)/D1225*100</f>
        <v>2.3545855284378</v>
      </c>
    </row>
    <row r="1226" customFormat="false" ht="15" hidden="false" customHeight="false" outlineLevel="0" collapsed="false">
      <c r="A1226" s="12" t="n">
        <v>43783</v>
      </c>
      <c r="B1226" s="15" t="n">
        <v>56.77</v>
      </c>
      <c r="C1226" s="15" t="n">
        <v>62.28</v>
      </c>
      <c r="D1226" s="14" t="n">
        <f aca="false">AVERAGE(B1207:B1226)</f>
        <v>55.948</v>
      </c>
      <c r="E1226" s="14" t="n">
        <f aca="false">(B1226-D1226)/D1226*100</f>
        <v>1.4692214198899</v>
      </c>
    </row>
    <row r="1227" customFormat="false" ht="15" hidden="false" customHeight="false" outlineLevel="0" collapsed="false">
      <c r="A1227" s="12" t="n">
        <v>43784</v>
      </c>
      <c r="B1227" s="15" t="n">
        <v>57.72</v>
      </c>
      <c r="C1227" s="15" t="n">
        <v>63.3</v>
      </c>
      <c r="D1227" s="14" t="n">
        <f aca="false">AVERAGE(B1208:B1227)</f>
        <v>56.145</v>
      </c>
      <c r="E1227" s="14" t="n">
        <f aca="false">(B1227-D1227)/D1227*100</f>
        <v>2.80523644135719</v>
      </c>
    </row>
    <row r="1228" customFormat="false" ht="15" hidden="false" customHeight="false" outlineLevel="0" collapsed="false">
      <c r="A1228" s="12" t="n">
        <v>43787</v>
      </c>
      <c r="B1228" s="15" t="n">
        <v>57.05</v>
      </c>
      <c r="C1228" s="15" t="n">
        <v>62.44</v>
      </c>
      <c r="D1228" s="14" t="n">
        <f aca="false">AVERAGE(B1209:B1228)</f>
        <v>56.332</v>
      </c>
      <c r="E1228" s="14" t="n">
        <f aca="false">(B1228-D1228)/D1228*100</f>
        <v>1.27458638074275</v>
      </c>
    </row>
    <row r="1229" customFormat="false" ht="15" hidden="false" customHeight="false" outlineLevel="0" collapsed="false">
      <c r="A1229" s="12" t="n">
        <v>43788</v>
      </c>
      <c r="B1229" s="15" t="n">
        <v>55.21</v>
      </c>
      <c r="C1229" s="15" t="n">
        <v>60.91</v>
      </c>
      <c r="D1229" s="14" t="n">
        <f aca="false">AVERAGE(B1210:B1229)</f>
        <v>56.3845</v>
      </c>
      <c r="E1229" s="14" t="n">
        <f aca="false">(B1229-D1229)/D1229*100</f>
        <v>-2.08301926948009</v>
      </c>
    </row>
    <row r="1230" customFormat="false" ht="15" hidden="false" customHeight="false" outlineLevel="0" collapsed="false">
      <c r="A1230" s="12" t="n">
        <v>43789</v>
      </c>
      <c r="B1230" s="15" t="n">
        <v>57.11</v>
      </c>
      <c r="C1230" s="15" t="n">
        <v>62.4</v>
      </c>
      <c r="D1230" s="14" t="n">
        <f aca="false">AVERAGE(B1211:B1230)</f>
        <v>56.4415</v>
      </c>
      <c r="E1230" s="14" t="n">
        <f aca="false">(B1230-D1230)/D1230*100</f>
        <v>1.18441217898178</v>
      </c>
    </row>
    <row r="1231" customFormat="false" ht="15" hidden="false" customHeight="false" outlineLevel="0" collapsed="false">
      <c r="A1231" s="12" t="n">
        <v>43790</v>
      </c>
      <c r="B1231" s="15" t="n">
        <v>58.58</v>
      </c>
      <c r="C1231" s="15" t="n">
        <v>63.97</v>
      </c>
      <c r="D1231" s="14" t="n">
        <f aca="false">AVERAGE(B1212:B1231)</f>
        <v>56.559</v>
      </c>
      <c r="E1231" s="14" t="n">
        <f aca="false">(B1231-D1231)/D1231*100</f>
        <v>3.57325978182074</v>
      </c>
    </row>
    <row r="1232" customFormat="false" ht="15" hidden="false" customHeight="false" outlineLevel="0" collapsed="false">
      <c r="A1232" s="12" t="n">
        <v>43791</v>
      </c>
      <c r="B1232" s="15" t="n">
        <v>57.77</v>
      </c>
      <c r="C1232" s="15" t="n">
        <v>63.39</v>
      </c>
      <c r="D1232" s="14" t="n">
        <f aca="false">AVERAGE(B1213:B1232)</f>
        <v>56.6145</v>
      </c>
      <c r="E1232" s="14" t="n">
        <f aca="false">(B1232-D1232)/D1232*100</f>
        <v>2.04099656448437</v>
      </c>
    </row>
    <row r="1233" customFormat="false" ht="15" hidden="false" customHeight="false" outlineLevel="0" collapsed="false">
      <c r="A1233" s="12" t="n">
        <v>43794</v>
      </c>
      <c r="B1233" s="15" t="n">
        <v>58.01</v>
      </c>
      <c r="C1233" s="15" t="n">
        <v>63.65</v>
      </c>
      <c r="D1233" s="14" t="n">
        <f aca="false">AVERAGE(B1214:B1233)</f>
        <v>56.7245</v>
      </c>
      <c r="E1233" s="14" t="n">
        <f aca="false">(B1233-D1233)/D1233*100</f>
        <v>2.26621653782757</v>
      </c>
    </row>
    <row r="1234" customFormat="false" ht="15" hidden="false" customHeight="false" outlineLevel="0" collapsed="false">
      <c r="A1234" s="12" t="n">
        <v>43795</v>
      </c>
      <c r="B1234" s="15" t="n">
        <v>58.41</v>
      </c>
      <c r="C1234" s="15" t="n">
        <v>64.27</v>
      </c>
      <c r="D1234" s="14" t="n">
        <f aca="false">AVERAGE(B1215:B1234)</f>
        <v>56.868</v>
      </c>
      <c r="E1234" s="14" t="n">
        <f aca="false">(B1234-D1234)/D1234*100</f>
        <v>2.71154251951889</v>
      </c>
    </row>
    <row r="1235" customFormat="false" ht="15" hidden="false" customHeight="false" outlineLevel="0" collapsed="false">
      <c r="A1235" s="12" t="n">
        <v>43796</v>
      </c>
      <c r="B1235" s="15" t="n">
        <v>58.11</v>
      </c>
      <c r="C1235" s="15" t="n">
        <v>64.06</v>
      </c>
      <c r="D1235" s="14" t="n">
        <f aca="false">AVERAGE(B1216:B1235)</f>
        <v>57.0205</v>
      </c>
      <c r="E1235" s="14" t="n">
        <f aca="false">(B1235-D1235)/D1235*100</f>
        <v>1.91071632132302</v>
      </c>
    </row>
    <row r="1236" customFormat="false" ht="15" hidden="false" customHeight="false" outlineLevel="0" collapsed="false">
      <c r="A1236" s="12" t="n">
        <v>43798</v>
      </c>
      <c r="B1236" s="15" t="n">
        <v>55.17</v>
      </c>
      <c r="C1236" s="15" t="n">
        <v>62.43</v>
      </c>
      <c r="D1236" s="14" t="n">
        <f aca="false">AVERAGE(B1217:B1236)</f>
        <v>57.07</v>
      </c>
      <c r="E1236" s="14" t="n">
        <f aca="false">(B1236-D1236)/D1236*100</f>
        <v>-3.32924478710357</v>
      </c>
    </row>
    <row r="1237" customFormat="false" ht="15" hidden="false" customHeight="false" outlineLevel="0" collapsed="false">
      <c r="A1237" s="12" t="n">
        <v>43801</v>
      </c>
      <c r="B1237" s="15" t="n">
        <v>55.96</v>
      </c>
      <c r="C1237" s="15" t="n">
        <v>60.92</v>
      </c>
      <c r="D1237" s="14" t="n">
        <f aca="false">AVERAGE(B1218:B1237)</f>
        <v>57.058</v>
      </c>
      <c r="E1237" s="14" t="n">
        <f aca="false">(B1237-D1237)/D1237*100</f>
        <v>-1.92435767114166</v>
      </c>
    </row>
    <row r="1238" customFormat="false" ht="15" hidden="false" customHeight="false" outlineLevel="0" collapsed="false">
      <c r="A1238" s="12" t="n">
        <v>43802</v>
      </c>
      <c r="B1238" s="15" t="n">
        <v>56.1</v>
      </c>
      <c r="C1238" s="15" t="n">
        <v>60.82</v>
      </c>
      <c r="D1238" s="14" t="n">
        <f aca="false">AVERAGE(B1219:B1238)</f>
        <v>57.036</v>
      </c>
      <c r="E1238" s="14" t="n">
        <f aca="false">(B1238-D1238)/D1238*100</f>
        <v>-1.64106879865348</v>
      </c>
    </row>
    <row r="1239" customFormat="false" ht="15" hidden="false" customHeight="false" outlineLevel="0" collapsed="false">
      <c r="A1239" s="12" t="n">
        <v>43803</v>
      </c>
      <c r="B1239" s="15" t="n">
        <v>58.43</v>
      </c>
      <c r="C1239" s="15" t="n">
        <v>63</v>
      </c>
      <c r="D1239" s="14" t="n">
        <f aca="false">AVERAGE(B1220:B1239)</f>
        <v>57.096</v>
      </c>
      <c r="E1239" s="14" t="n">
        <f aca="false">(B1239-D1239)/D1239*100</f>
        <v>2.33641586100602</v>
      </c>
    </row>
    <row r="1240" customFormat="false" ht="15" hidden="false" customHeight="false" outlineLevel="0" collapsed="false">
      <c r="A1240" s="12" t="n">
        <v>43804</v>
      </c>
      <c r="B1240" s="15" t="n">
        <v>58.43</v>
      </c>
      <c r="C1240" s="15" t="n">
        <v>63.39</v>
      </c>
      <c r="D1240" s="14" t="n">
        <f aca="false">AVERAGE(B1221:B1240)</f>
        <v>57.2</v>
      </c>
      <c r="E1240" s="14" t="n">
        <f aca="false">(B1240-D1240)/D1240*100</f>
        <v>2.15034965034964</v>
      </c>
    </row>
    <row r="1241" customFormat="false" ht="15" hidden="false" customHeight="false" outlineLevel="0" collapsed="false">
      <c r="A1241" s="12" t="n">
        <v>43805</v>
      </c>
      <c r="B1241" s="15" t="n">
        <v>59.2</v>
      </c>
      <c r="C1241" s="15" t="n">
        <v>64.39</v>
      </c>
      <c r="D1241" s="14" t="n">
        <f aca="false">AVERAGE(B1222:B1241)</f>
        <v>57.3025</v>
      </c>
      <c r="E1241" s="14" t="n">
        <f aca="false">(B1241-D1241)/D1241*100</f>
        <v>3.31137384930851</v>
      </c>
    </row>
    <row r="1242" customFormat="false" ht="15" hidden="false" customHeight="false" outlineLevel="0" collapsed="false">
      <c r="A1242" s="12" t="n">
        <v>43808</v>
      </c>
      <c r="B1242" s="15" t="n">
        <v>59.02</v>
      </c>
      <c r="C1242" s="15" t="n">
        <v>64.25</v>
      </c>
      <c r="D1242" s="14" t="n">
        <f aca="false">AVERAGE(B1223:B1242)</f>
        <v>57.3915</v>
      </c>
      <c r="E1242" s="14" t="n">
        <f aca="false">(B1242-D1242)/D1242*100</f>
        <v>2.83752820539629</v>
      </c>
    </row>
    <row r="1243" customFormat="false" ht="15" hidden="false" customHeight="false" outlineLevel="0" collapsed="false">
      <c r="A1243" s="12" t="n">
        <v>43809</v>
      </c>
      <c r="B1243" s="15" t="n">
        <v>59.24</v>
      </c>
      <c r="C1243" s="15" t="n">
        <v>64.34</v>
      </c>
      <c r="D1243" s="14" t="n">
        <f aca="false">AVERAGE(B1224:B1243)</f>
        <v>57.5105</v>
      </c>
      <c r="E1243" s="14" t="n">
        <f aca="false">(B1243-D1243)/D1243*100</f>
        <v>3.0072769320385</v>
      </c>
    </row>
    <row r="1244" customFormat="false" ht="15" hidden="false" customHeight="false" outlineLevel="0" collapsed="false">
      <c r="A1244" s="12" t="n">
        <v>43810</v>
      </c>
      <c r="B1244" s="15" t="n">
        <v>58.76</v>
      </c>
      <c r="C1244" s="15" t="n">
        <v>63.72</v>
      </c>
      <c r="D1244" s="14" t="n">
        <f aca="false">AVERAGE(B1225:B1244)</f>
        <v>57.6085</v>
      </c>
      <c r="E1244" s="14" t="n">
        <f aca="false">(B1244-D1244)/D1244*100</f>
        <v>1.99883697718217</v>
      </c>
    </row>
    <row r="1245" customFormat="false" ht="15" hidden="false" customHeight="false" outlineLevel="0" collapsed="false">
      <c r="A1245" s="12" t="n">
        <v>43811</v>
      </c>
      <c r="B1245" s="15" t="n">
        <v>59.18</v>
      </c>
      <c r="C1245" s="15" t="n">
        <v>64.2</v>
      </c>
      <c r="D1245" s="14" t="n">
        <f aca="false">AVERAGE(B1226:B1245)</f>
        <v>57.7115</v>
      </c>
      <c r="E1245" s="14" t="n">
        <f aca="false">(B1245-D1245)/D1245*100</f>
        <v>2.54455351186505</v>
      </c>
    </row>
    <row r="1246" customFormat="false" ht="15" hidden="false" customHeight="false" outlineLevel="0" collapsed="false">
      <c r="A1246" s="12" t="n">
        <v>43812</v>
      </c>
      <c r="B1246" s="15" t="n">
        <v>60.07</v>
      </c>
      <c r="C1246" s="15" t="n">
        <v>65.22</v>
      </c>
      <c r="D1246" s="14" t="n">
        <f aca="false">AVERAGE(B1227:B1246)</f>
        <v>57.8765</v>
      </c>
      <c r="E1246" s="14" t="n">
        <f aca="false">(B1246-D1246)/D1246*100</f>
        <v>3.78996656674125</v>
      </c>
    </row>
    <row r="1247" customFormat="false" ht="15" hidden="false" customHeight="false" outlineLevel="0" collapsed="false">
      <c r="A1247" s="12" t="n">
        <v>43815</v>
      </c>
      <c r="B1247" s="15" t="n">
        <v>60.21</v>
      </c>
      <c r="C1247" s="15" t="n">
        <v>65.34</v>
      </c>
      <c r="D1247" s="14" t="n">
        <f aca="false">AVERAGE(B1228:B1247)</f>
        <v>58.001</v>
      </c>
      <c r="E1247" s="14" t="n">
        <f aca="false">(B1247-D1247)/D1247*100</f>
        <v>3.80855502491337</v>
      </c>
    </row>
    <row r="1248" customFormat="false" ht="15" hidden="false" customHeight="false" outlineLevel="0" collapsed="false">
      <c r="A1248" s="12" t="n">
        <v>43816</v>
      </c>
      <c r="B1248" s="15" t="n">
        <v>60.94</v>
      </c>
      <c r="C1248" s="15" t="n">
        <v>66.1</v>
      </c>
      <c r="D1248" s="14" t="n">
        <f aca="false">AVERAGE(B1229:B1248)</f>
        <v>58.1955</v>
      </c>
      <c r="E1248" s="14" t="n">
        <f aca="false">(B1248-D1248)/D1248*100</f>
        <v>4.71600037803609</v>
      </c>
    </row>
    <row r="1249" customFormat="false" ht="15" hidden="false" customHeight="false" outlineLevel="0" collapsed="false">
      <c r="A1249" s="12" t="n">
        <v>43817</v>
      </c>
      <c r="B1249" s="15" t="n">
        <v>60.93</v>
      </c>
      <c r="C1249" s="15" t="n">
        <v>66.17</v>
      </c>
      <c r="D1249" s="14" t="n">
        <f aca="false">AVERAGE(B1230:B1249)</f>
        <v>58.4815</v>
      </c>
      <c r="E1249" s="14" t="n">
        <f aca="false">(B1249-D1249)/D1249*100</f>
        <v>4.18679411437804</v>
      </c>
    </row>
    <row r="1250" customFormat="false" ht="15" hidden="false" customHeight="false" outlineLevel="0" collapsed="false">
      <c r="A1250" s="12" t="n">
        <v>43818</v>
      </c>
      <c r="B1250" s="15" t="n">
        <v>61.22</v>
      </c>
      <c r="C1250" s="15" t="n">
        <v>66.54</v>
      </c>
      <c r="D1250" s="14" t="n">
        <f aca="false">AVERAGE(B1231:B1250)</f>
        <v>58.687</v>
      </c>
      <c r="E1250" s="14" t="n">
        <f aca="false">(B1250-D1250)/D1250*100</f>
        <v>4.31611770920306</v>
      </c>
    </row>
    <row r="1251" customFormat="false" ht="15" hidden="false" customHeight="false" outlineLevel="0" collapsed="false">
      <c r="A1251" s="12" t="n">
        <v>43819</v>
      </c>
      <c r="B1251" s="15" t="n">
        <v>60.44</v>
      </c>
      <c r="C1251" s="15" t="n">
        <v>66.14</v>
      </c>
      <c r="D1251" s="14" t="n">
        <f aca="false">AVERAGE(B1232:B1251)</f>
        <v>58.78</v>
      </c>
      <c r="E1251" s="14" t="n">
        <f aca="false">(B1251-D1251)/D1251*100</f>
        <v>2.8240898264716</v>
      </c>
    </row>
    <row r="1252" customFormat="false" ht="15" hidden="false" customHeight="false" outlineLevel="0" collapsed="false">
      <c r="A1252" s="12" t="n">
        <v>43822</v>
      </c>
      <c r="B1252" s="15" t="n">
        <v>60.52</v>
      </c>
      <c r="C1252" s="15" t="n">
        <v>66.39</v>
      </c>
      <c r="D1252" s="14" t="n">
        <f aca="false">AVERAGE(B1233:B1252)</f>
        <v>58.9175</v>
      </c>
      <c r="E1252" s="14" t="n">
        <f aca="false">(B1252-D1252)/D1252*100</f>
        <v>2.71990495183945</v>
      </c>
    </row>
    <row r="1253" customFormat="false" ht="15" hidden="false" customHeight="false" outlineLevel="0" collapsed="false">
      <c r="A1253" s="12" t="n">
        <v>43823</v>
      </c>
      <c r="B1253" s="15" t="n">
        <v>61.11</v>
      </c>
      <c r="C1253" s="15" t="n">
        <v>67.2</v>
      </c>
      <c r="D1253" s="14" t="n">
        <f aca="false">AVERAGE(B1234:B1253)</f>
        <v>59.0725</v>
      </c>
      <c r="E1253" s="14" t="n">
        <f aca="false">(B1253-D1253)/D1253*100</f>
        <v>3.44915146641837</v>
      </c>
    </row>
    <row r="1254" customFormat="false" ht="15" hidden="false" customHeight="false" outlineLevel="0" collapsed="false">
      <c r="A1254" s="12" t="n">
        <v>43825</v>
      </c>
      <c r="B1254" s="15" t="n">
        <v>61.68</v>
      </c>
      <c r="C1254" s="15" t="n">
        <v>67.92</v>
      </c>
      <c r="D1254" s="14" t="n">
        <f aca="false">AVERAGE(B1235:B1254)</f>
        <v>59.236</v>
      </c>
      <c r="E1254" s="14" t="n">
        <f aca="false">(B1254-D1254)/D1254*100</f>
        <v>4.12586940374096</v>
      </c>
    </row>
    <row r="1255" customFormat="false" ht="15" hidden="false" customHeight="false" outlineLevel="0" collapsed="false">
      <c r="A1255" s="12" t="n">
        <v>43826</v>
      </c>
      <c r="B1255" s="15" t="n">
        <v>61.72</v>
      </c>
      <c r="C1255" s="15" t="n">
        <v>68.16</v>
      </c>
      <c r="D1255" s="14" t="n">
        <f aca="false">AVERAGE(B1236:B1255)</f>
        <v>59.4165</v>
      </c>
      <c r="E1255" s="14" t="n">
        <f aca="false">(B1255-D1255)/D1255*100</f>
        <v>3.87686921982951</v>
      </c>
    </row>
    <row r="1256" customFormat="false" ht="15" hidden="false" customHeight="false" outlineLevel="0" collapsed="false">
      <c r="A1256" s="12" t="n">
        <v>43829</v>
      </c>
      <c r="B1256" s="15" t="n">
        <v>61.68</v>
      </c>
      <c r="C1256" s="15" t="n">
        <v>68.44</v>
      </c>
      <c r="D1256" s="14" t="n">
        <f aca="false">AVERAGE(B1237:B1256)</f>
        <v>59.742</v>
      </c>
      <c r="E1256" s="14" t="n">
        <f aca="false">(B1256-D1256)/D1256*100</f>
        <v>3.24394898061666</v>
      </c>
    </row>
    <row r="1257" customFormat="false" ht="15" hidden="false" customHeight="false" outlineLevel="0" collapsed="false">
      <c r="A1257" s="12" t="n">
        <v>43830</v>
      </c>
      <c r="B1257" s="15" t="n">
        <v>61.06</v>
      </c>
      <c r="C1257" s="15" t="n">
        <v>66</v>
      </c>
      <c r="D1257" s="14" t="n">
        <f aca="false">AVERAGE(B1238:B1257)</f>
        <v>59.997</v>
      </c>
      <c r="E1257" s="14" t="n">
        <f aca="false">(B1257-D1257)/D1257*100</f>
        <v>1.77175525442939</v>
      </c>
    </row>
    <row r="1258" customFormat="false" ht="15" hidden="false" customHeight="false" outlineLevel="0" collapsed="false">
      <c r="A1258" s="12" t="n">
        <v>43832</v>
      </c>
      <c r="B1258" s="15" t="n">
        <v>61.18</v>
      </c>
      <c r="C1258" s="15" t="n">
        <v>66.25</v>
      </c>
      <c r="D1258" s="14" t="n">
        <f aca="false">AVERAGE(B1239:B1258)</f>
        <v>60.251</v>
      </c>
      <c r="E1258" s="14" t="n">
        <f aca="false">(B1258-D1258)/D1258*100</f>
        <v>1.54188312227183</v>
      </c>
    </row>
    <row r="1259" customFormat="false" ht="15" hidden="false" customHeight="false" outlineLevel="0" collapsed="false">
      <c r="A1259" s="12" t="n">
        <v>43833</v>
      </c>
      <c r="B1259" s="15" t="n">
        <v>63.05</v>
      </c>
      <c r="C1259" s="15" t="n">
        <v>68.6</v>
      </c>
      <c r="D1259" s="14" t="n">
        <f aca="false">AVERAGE(B1240:B1259)</f>
        <v>60.482</v>
      </c>
      <c r="E1259" s="14" t="n">
        <f aca="false">(B1259-D1259)/D1259*100</f>
        <v>4.24589133957209</v>
      </c>
    </row>
    <row r="1260" customFormat="false" ht="15" hidden="false" customHeight="false" outlineLevel="0" collapsed="false">
      <c r="A1260" s="12" t="n">
        <v>43836</v>
      </c>
      <c r="B1260" s="15" t="n">
        <v>63.27</v>
      </c>
      <c r="C1260" s="15" t="n">
        <v>68.91</v>
      </c>
      <c r="D1260" s="14" t="n">
        <f aca="false">AVERAGE(B1241:B1260)</f>
        <v>60.724</v>
      </c>
      <c r="E1260" s="14" t="n">
        <f aca="false">(B1260-D1260)/D1260*100</f>
        <v>4.1927409261577</v>
      </c>
    </row>
    <row r="1261" customFormat="false" ht="15" hidden="false" customHeight="false" outlineLevel="0" collapsed="false">
      <c r="A1261" s="12" t="n">
        <v>43837</v>
      </c>
      <c r="B1261" s="15" t="n">
        <v>62.7</v>
      </c>
      <c r="C1261" s="15" t="n">
        <v>68.27</v>
      </c>
      <c r="D1261" s="14" t="n">
        <f aca="false">AVERAGE(B1242:B1261)</f>
        <v>60.899</v>
      </c>
      <c r="E1261" s="14" t="n">
        <f aca="false">(B1261-D1261)/D1261*100</f>
        <v>2.95735562160299</v>
      </c>
    </row>
    <row r="1262" customFormat="false" ht="15" hidden="false" customHeight="false" outlineLevel="0" collapsed="false">
      <c r="A1262" s="12" t="n">
        <v>43838</v>
      </c>
      <c r="B1262" s="15" t="n">
        <v>59.61</v>
      </c>
      <c r="C1262" s="15" t="n">
        <v>65.44</v>
      </c>
      <c r="D1262" s="14" t="n">
        <f aca="false">AVERAGE(B1243:B1262)</f>
        <v>60.9285</v>
      </c>
      <c r="E1262" s="14" t="n">
        <f aca="false">(B1262-D1262)/D1262*100</f>
        <v>-2.164011915606</v>
      </c>
    </row>
    <row r="1263" customFormat="false" ht="15" hidden="false" customHeight="false" outlineLevel="0" collapsed="false">
      <c r="A1263" s="12" t="n">
        <v>43839</v>
      </c>
      <c r="B1263" s="15" t="n">
        <v>59.56</v>
      </c>
      <c r="C1263" s="15" t="n">
        <v>65.37</v>
      </c>
      <c r="D1263" s="14" t="n">
        <f aca="false">AVERAGE(B1244:B1263)</f>
        <v>60.9445</v>
      </c>
      <c r="E1263" s="14" t="n">
        <f aca="false">(B1263-D1263)/D1263*100</f>
        <v>-2.27173904125885</v>
      </c>
    </row>
    <row r="1264" customFormat="false" ht="15" hidden="false" customHeight="false" outlineLevel="0" collapsed="false">
      <c r="A1264" s="12" t="n">
        <v>43840</v>
      </c>
      <c r="B1264" s="15" t="n">
        <v>59.04</v>
      </c>
      <c r="C1264" s="15" t="n">
        <v>64.98</v>
      </c>
      <c r="D1264" s="14" t="n">
        <f aca="false">AVERAGE(B1245:B1264)</f>
        <v>60.9585</v>
      </c>
      <c r="E1264" s="14" t="n">
        <f aca="false">(B1264-D1264)/D1264*100</f>
        <v>-3.1472231108049</v>
      </c>
    </row>
    <row r="1265" customFormat="false" ht="15" hidden="false" customHeight="false" outlineLevel="0" collapsed="false">
      <c r="A1265" s="12" t="n">
        <v>43843</v>
      </c>
      <c r="B1265" s="15" t="n">
        <v>58.08</v>
      </c>
      <c r="C1265" s="15" t="n">
        <v>64.2</v>
      </c>
      <c r="D1265" s="14" t="n">
        <f aca="false">AVERAGE(B1246:B1265)</f>
        <v>60.9035</v>
      </c>
      <c r="E1265" s="14" t="n">
        <f aca="false">(B1265-D1265)/D1265*100</f>
        <v>-4.63602256027978</v>
      </c>
    </row>
    <row r="1266" customFormat="false" ht="15" hidden="false" customHeight="false" outlineLevel="0" collapsed="false">
      <c r="A1266" s="12" t="n">
        <v>43844</v>
      </c>
      <c r="B1266" s="15" t="n">
        <v>58.23</v>
      </c>
      <c r="C1266" s="15" t="n">
        <v>64.49</v>
      </c>
      <c r="D1266" s="14" t="n">
        <f aca="false">AVERAGE(B1247:B1266)</f>
        <v>60.8115</v>
      </c>
      <c r="E1266" s="14" t="n">
        <f aca="false">(B1266-D1266)/D1266*100</f>
        <v>-4.24508522236749</v>
      </c>
    </row>
    <row r="1267" customFormat="false" ht="15" hidden="false" customHeight="false" outlineLevel="0" collapsed="false">
      <c r="A1267" s="12" t="n">
        <v>43845</v>
      </c>
      <c r="B1267" s="15" t="n">
        <v>57.81</v>
      </c>
      <c r="C1267" s="15" t="n">
        <v>64</v>
      </c>
      <c r="D1267" s="14" t="n">
        <f aca="false">AVERAGE(B1248:B1267)</f>
        <v>60.6915</v>
      </c>
      <c r="E1267" s="14" t="n">
        <f aca="false">(B1267-D1267)/D1267*100</f>
        <v>-4.74778181458688</v>
      </c>
    </row>
    <row r="1268" customFormat="false" ht="15" hidden="false" customHeight="false" outlineLevel="0" collapsed="false">
      <c r="A1268" s="12" t="n">
        <v>43846</v>
      </c>
      <c r="B1268" s="15" t="n">
        <v>58.52</v>
      </c>
      <c r="C1268" s="15" t="n">
        <v>64.62</v>
      </c>
      <c r="D1268" s="14" t="n">
        <f aca="false">AVERAGE(B1249:B1268)</f>
        <v>60.5705</v>
      </c>
      <c r="E1268" s="14" t="n">
        <f aca="false">(B1268-D1268)/D1268*100</f>
        <v>-3.38531133142371</v>
      </c>
    </row>
    <row r="1269" customFormat="false" ht="15" hidden="false" customHeight="false" outlineLevel="0" collapsed="false">
      <c r="A1269" s="12" t="n">
        <v>43847</v>
      </c>
      <c r="B1269" s="15" t="n">
        <v>58.54</v>
      </c>
      <c r="C1269" s="15" t="n">
        <v>64.85</v>
      </c>
      <c r="D1269" s="14" t="n">
        <f aca="false">AVERAGE(B1250:B1269)</f>
        <v>60.451</v>
      </c>
      <c r="E1269" s="14" t="n">
        <f aca="false">(B1269-D1269)/D1269*100</f>
        <v>-3.16123802749334</v>
      </c>
    </row>
    <row r="1270" customFormat="false" ht="15" hidden="false" customHeight="false" outlineLevel="0" collapsed="false">
      <c r="A1270" s="12" t="n">
        <v>43851</v>
      </c>
      <c r="B1270" s="15" t="n">
        <v>58.34</v>
      </c>
      <c r="C1270" s="15" t="n">
        <v>64.59</v>
      </c>
      <c r="D1270" s="14" t="n">
        <f aca="false">AVERAGE(B1251:B1270)</f>
        <v>60.307</v>
      </c>
      <c r="E1270" s="14" t="n">
        <f aca="false">(B1270-D1270)/D1270*100</f>
        <v>-3.2616445852057</v>
      </c>
    </row>
    <row r="1271" customFormat="false" ht="15" hidden="false" customHeight="false" outlineLevel="0" collapsed="false">
      <c r="A1271" s="12" t="n">
        <v>43852</v>
      </c>
      <c r="B1271" s="15" t="n">
        <v>56.74</v>
      </c>
      <c r="C1271" s="15" t="n">
        <v>63.21</v>
      </c>
      <c r="D1271" s="14" t="n">
        <f aca="false">AVERAGE(B1252:B1271)</f>
        <v>60.122</v>
      </c>
      <c r="E1271" s="14" t="n">
        <f aca="false">(B1271-D1271)/D1271*100</f>
        <v>-5.62522870164</v>
      </c>
    </row>
    <row r="1272" customFormat="false" ht="15" hidden="false" customHeight="false" outlineLevel="0" collapsed="false">
      <c r="A1272" s="12" t="n">
        <v>43853</v>
      </c>
      <c r="B1272" s="15" t="n">
        <v>55.59</v>
      </c>
      <c r="C1272" s="15" t="n">
        <v>62.04</v>
      </c>
      <c r="D1272" s="14" t="n">
        <f aca="false">AVERAGE(B1253:B1272)</f>
        <v>59.8755</v>
      </c>
      <c r="E1272" s="14" t="n">
        <f aca="false">(B1272-D1272)/D1272*100</f>
        <v>-7.15735150437157</v>
      </c>
    </row>
    <row r="1273" customFormat="false" ht="15" hidden="false" customHeight="false" outlineLevel="0" collapsed="false">
      <c r="A1273" s="12" t="n">
        <v>43854</v>
      </c>
      <c r="B1273" s="15" t="n">
        <v>54.19</v>
      </c>
      <c r="C1273" s="15" t="n">
        <v>60.69</v>
      </c>
      <c r="D1273" s="14" t="n">
        <f aca="false">AVERAGE(B1254:B1273)</f>
        <v>59.5295</v>
      </c>
      <c r="E1273" s="14" t="n">
        <f aca="false">(B1273-D1273)/D1273*100</f>
        <v>-8.96950251555952</v>
      </c>
    </row>
    <row r="1274" customFormat="false" ht="15" hidden="false" customHeight="false" outlineLevel="0" collapsed="false">
      <c r="A1274" s="12" t="n">
        <v>43857</v>
      </c>
      <c r="B1274" s="15" t="n">
        <v>53.14</v>
      </c>
      <c r="C1274" s="15" t="n">
        <v>59.32</v>
      </c>
      <c r="D1274" s="14" t="n">
        <f aca="false">AVERAGE(B1255:B1274)</f>
        <v>59.1025</v>
      </c>
      <c r="E1274" s="14" t="n">
        <f aca="false">(B1274-D1274)/D1274*100</f>
        <v>-10.088405735798</v>
      </c>
    </row>
    <row r="1275" customFormat="false" ht="15" hidden="false" customHeight="false" outlineLevel="0" collapsed="false">
      <c r="A1275" s="12" t="n">
        <v>43858</v>
      </c>
      <c r="B1275" s="15" t="n">
        <v>53.48</v>
      </c>
      <c r="C1275" s="15" t="n">
        <v>59.51</v>
      </c>
      <c r="D1275" s="14" t="n">
        <f aca="false">AVERAGE(B1256:B1275)</f>
        <v>58.6905</v>
      </c>
      <c r="E1275" s="14" t="n">
        <f aca="false">(B1275-D1275)/D1275*100</f>
        <v>-8.87792743288948</v>
      </c>
    </row>
    <row r="1276" customFormat="false" ht="15" hidden="false" customHeight="false" outlineLevel="0" collapsed="false">
      <c r="A1276" s="12" t="n">
        <v>43859</v>
      </c>
      <c r="B1276" s="15" t="n">
        <v>53.33</v>
      </c>
      <c r="C1276" s="15" t="n">
        <v>59.81</v>
      </c>
      <c r="D1276" s="14" t="n">
        <f aca="false">AVERAGE(B1257:B1276)</f>
        <v>58.273</v>
      </c>
      <c r="E1276" s="14" t="n">
        <f aca="false">(B1276-D1276)/D1276*100</f>
        <v>-8.48248760146209</v>
      </c>
    </row>
    <row r="1277" customFormat="false" ht="15" hidden="false" customHeight="false" outlineLevel="0" collapsed="false">
      <c r="A1277" s="12" t="n">
        <v>43860</v>
      </c>
      <c r="B1277" s="15" t="n">
        <v>52.14</v>
      </c>
      <c r="C1277" s="15" t="n">
        <v>58.29</v>
      </c>
      <c r="D1277" s="14" t="n">
        <f aca="false">AVERAGE(B1258:B1277)</f>
        <v>57.827</v>
      </c>
      <c r="E1277" s="14" t="n">
        <f aca="false">(B1277-D1277)/D1277*100</f>
        <v>-9.83450637245577</v>
      </c>
    </row>
    <row r="1278" customFormat="false" ht="15" hidden="false" customHeight="false" outlineLevel="0" collapsed="false">
      <c r="A1278" s="12" t="n">
        <v>43861</v>
      </c>
      <c r="B1278" s="15" t="n">
        <v>51.56</v>
      </c>
      <c r="C1278" s="15" t="n">
        <v>58.16</v>
      </c>
      <c r="D1278" s="14" t="n">
        <f aca="false">AVERAGE(B1259:B1278)</f>
        <v>57.346</v>
      </c>
      <c r="E1278" s="14" t="n">
        <f aca="false">(B1278-D1278)/D1278*100</f>
        <v>-10.0896313605134</v>
      </c>
    </row>
    <row r="1279" customFormat="false" ht="15" hidden="false" customHeight="false" outlineLevel="0" collapsed="false">
      <c r="A1279" s="12" t="n">
        <v>43864</v>
      </c>
      <c r="B1279" s="15" t="n">
        <v>50.11</v>
      </c>
      <c r="C1279" s="15" t="n">
        <v>54.45</v>
      </c>
      <c r="D1279" s="14" t="n">
        <f aca="false">AVERAGE(B1260:B1279)</f>
        <v>56.699</v>
      </c>
      <c r="E1279" s="14" t="n">
        <f aca="false">(B1279-D1279)/D1279*100</f>
        <v>-11.6210162436727</v>
      </c>
    </row>
    <row r="1280" customFormat="false" ht="15" hidden="false" customHeight="false" outlineLevel="0" collapsed="false">
      <c r="A1280" s="12" t="n">
        <v>43865</v>
      </c>
      <c r="B1280" s="15" t="n">
        <v>49.61</v>
      </c>
      <c r="C1280" s="15" t="n">
        <v>53.96</v>
      </c>
      <c r="D1280" s="14" t="n">
        <f aca="false">AVERAGE(B1261:B1280)</f>
        <v>56.016</v>
      </c>
      <c r="E1280" s="14" t="n">
        <f aca="false">(B1280-D1280)/D1280*100</f>
        <v>-11.4360182804913</v>
      </c>
    </row>
    <row r="1281" customFormat="false" ht="15" hidden="false" customHeight="false" outlineLevel="0" collapsed="false">
      <c r="A1281" s="12" t="n">
        <v>43866</v>
      </c>
      <c r="B1281" s="15" t="n">
        <v>50.75</v>
      </c>
      <c r="C1281" s="15" t="n">
        <v>55.28</v>
      </c>
      <c r="D1281" s="14" t="n">
        <f aca="false">AVERAGE(B1262:B1281)</f>
        <v>55.4185</v>
      </c>
      <c r="E1281" s="14" t="n">
        <f aca="false">(B1281-D1281)/D1281*100</f>
        <v>-8.42408221081407</v>
      </c>
    </row>
    <row r="1282" customFormat="false" ht="15" hidden="false" customHeight="false" outlineLevel="0" collapsed="false">
      <c r="A1282" s="12" t="n">
        <v>43867</v>
      </c>
      <c r="B1282" s="15" t="n">
        <v>50.95</v>
      </c>
      <c r="C1282" s="15" t="n">
        <v>54.93</v>
      </c>
      <c r="D1282" s="14" t="n">
        <f aca="false">AVERAGE(B1263:B1282)</f>
        <v>54.9855</v>
      </c>
      <c r="E1282" s="14" t="n">
        <f aca="false">(B1282-D1282)/D1282*100</f>
        <v>-7.33920760927881</v>
      </c>
    </row>
    <row r="1283" customFormat="false" ht="15" hidden="false" customHeight="false" outlineLevel="0" collapsed="false">
      <c r="A1283" s="12" t="n">
        <v>43868</v>
      </c>
      <c r="B1283" s="15" t="n">
        <v>50.32</v>
      </c>
      <c r="C1283" s="15" t="n">
        <v>54.47</v>
      </c>
      <c r="D1283" s="14" t="n">
        <f aca="false">AVERAGE(B1264:B1283)</f>
        <v>54.5235</v>
      </c>
      <c r="E1283" s="14" t="n">
        <f aca="false">(B1283-D1283)/D1283*100</f>
        <v>-7.70951974836538</v>
      </c>
    </row>
    <row r="1284" customFormat="false" ht="15" hidden="false" customHeight="false" outlineLevel="0" collapsed="false">
      <c r="A1284" s="12" t="n">
        <v>43871</v>
      </c>
      <c r="B1284" s="15" t="n">
        <v>49.57</v>
      </c>
      <c r="C1284" s="15" t="n">
        <v>53.27</v>
      </c>
      <c r="D1284" s="14" t="n">
        <f aca="false">AVERAGE(B1265:B1284)</f>
        <v>54.05</v>
      </c>
      <c r="E1284" s="14" t="n">
        <f aca="false">(B1284-D1284)/D1284*100</f>
        <v>-8.28862164662349</v>
      </c>
    </row>
    <row r="1285" customFormat="false" ht="15" hidden="false" customHeight="false" outlineLevel="0" collapsed="false">
      <c r="A1285" s="12" t="n">
        <v>43872</v>
      </c>
      <c r="B1285" s="15" t="n">
        <v>49.94</v>
      </c>
      <c r="C1285" s="15" t="n">
        <v>54.01</v>
      </c>
      <c r="D1285" s="14" t="n">
        <f aca="false">AVERAGE(B1266:B1285)</f>
        <v>53.643</v>
      </c>
      <c r="E1285" s="14" t="n">
        <f aca="false">(B1285-D1285)/D1285*100</f>
        <v>-6.90304419961597</v>
      </c>
    </row>
    <row r="1286" customFormat="false" ht="15" hidden="false" customHeight="false" outlineLevel="0" collapsed="false">
      <c r="A1286" s="12" t="n">
        <v>43873</v>
      </c>
      <c r="B1286" s="15" t="n">
        <v>51.17</v>
      </c>
      <c r="C1286" s="15" t="n">
        <v>55.79</v>
      </c>
      <c r="D1286" s="14" t="n">
        <f aca="false">AVERAGE(B1267:B1286)</f>
        <v>53.29</v>
      </c>
      <c r="E1286" s="14" t="n">
        <f aca="false">(B1286-D1286)/D1286*100</f>
        <v>-3.97823231375492</v>
      </c>
    </row>
    <row r="1287" customFormat="false" ht="15" hidden="false" customHeight="false" outlineLevel="0" collapsed="false">
      <c r="A1287" s="12" t="n">
        <v>43874</v>
      </c>
      <c r="B1287" s="15" t="n">
        <v>51.42</v>
      </c>
      <c r="C1287" s="15" t="n">
        <v>56.34</v>
      </c>
      <c r="D1287" s="14" t="n">
        <f aca="false">AVERAGE(B1268:B1287)</f>
        <v>52.9705</v>
      </c>
      <c r="E1287" s="14" t="n">
        <f aca="false">(B1287-D1287)/D1287*100</f>
        <v>-2.92710093353848</v>
      </c>
    </row>
    <row r="1288" customFormat="false" ht="15" hidden="false" customHeight="false" outlineLevel="0" collapsed="false">
      <c r="A1288" s="12" t="n">
        <v>43875</v>
      </c>
      <c r="B1288" s="15" t="n">
        <v>52.05</v>
      </c>
      <c r="C1288" s="15" t="n">
        <v>57.32</v>
      </c>
      <c r="D1288" s="14" t="n">
        <f aca="false">AVERAGE(B1269:B1288)</f>
        <v>52.647</v>
      </c>
      <c r="E1288" s="14" t="n">
        <f aca="false">(B1288-D1288)/D1288*100</f>
        <v>-1.13396774745001</v>
      </c>
    </row>
    <row r="1289" customFormat="false" ht="15" hidden="false" customHeight="false" outlineLevel="0" collapsed="false">
      <c r="A1289" s="12" t="n">
        <v>43879</v>
      </c>
      <c r="B1289" s="15" t="n">
        <v>52.05</v>
      </c>
      <c r="C1289" s="15" t="n">
        <v>57.75</v>
      </c>
      <c r="D1289" s="14" t="n">
        <f aca="false">AVERAGE(B1270:B1289)</f>
        <v>52.3225</v>
      </c>
      <c r="E1289" s="14" t="n">
        <f aca="false">(B1289-D1289)/D1289*100</f>
        <v>-0.520808447608597</v>
      </c>
    </row>
    <row r="1290" customFormat="false" ht="15" hidden="false" customHeight="false" outlineLevel="0" collapsed="false">
      <c r="A1290" s="12" t="n">
        <v>43880</v>
      </c>
      <c r="B1290" s="15" t="n">
        <v>53.29</v>
      </c>
      <c r="C1290" s="15" t="n">
        <v>59.12</v>
      </c>
      <c r="D1290" s="14" t="n">
        <f aca="false">AVERAGE(B1271:B1290)</f>
        <v>52.07</v>
      </c>
      <c r="E1290" s="14" t="n">
        <f aca="false">(B1290-D1290)/D1290*100</f>
        <v>2.34299980795082</v>
      </c>
    </row>
    <row r="1291" customFormat="false" ht="15" hidden="false" customHeight="false" outlineLevel="0" collapsed="false">
      <c r="A1291" s="12" t="n">
        <v>43881</v>
      </c>
      <c r="B1291" s="15" t="n">
        <v>53.78</v>
      </c>
      <c r="C1291" s="15" t="n">
        <v>59.31</v>
      </c>
      <c r="D1291" s="14" t="n">
        <f aca="false">AVERAGE(B1272:B1291)</f>
        <v>51.922</v>
      </c>
      <c r="E1291" s="14" t="n">
        <f aca="false">(B1291-D1291)/D1291*100</f>
        <v>3.57844458996186</v>
      </c>
    </row>
    <row r="1292" customFormat="false" ht="15" hidden="false" customHeight="false" outlineLevel="0" collapsed="false">
      <c r="A1292" s="12" t="n">
        <v>43882</v>
      </c>
      <c r="B1292" s="15" t="n">
        <v>53.38</v>
      </c>
      <c r="C1292" s="15" t="n">
        <v>58.5</v>
      </c>
      <c r="D1292" s="14" t="n">
        <f aca="false">AVERAGE(B1273:B1292)</f>
        <v>51.8115</v>
      </c>
      <c r="E1292" s="14" t="n">
        <f aca="false">(B1292-D1292)/D1292*100</f>
        <v>3.02732018953321</v>
      </c>
    </row>
    <row r="1293" customFormat="false" ht="15" hidden="false" customHeight="false" outlineLevel="0" collapsed="false">
      <c r="A1293" s="12" t="n">
        <v>43885</v>
      </c>
      <c r="B1293" s="15" t="n">
        <v>51.43</v>
      </c>
      <c r="C1293" s="15" t="n">
        <v>56.3</v>
      </c>
      <c r="D1293" s="14" t="n">
        <f aca="false">AVERAGE(B1274:B1293)</f>
        <v>51.6735</v>
      </c>
      <c r="E1293" s="14" t="n">
        <f aca="false">(B1293-D1293)/D1293*100</f>
        <v>-0.471227998877576</v>
      </c>
    </row>
    <row r="1294" customFormat="false" ht="15" hidden="false" customHeight="false" outlineLevel="0" collapsed="false">
      <c r="A1294" s="12" t="n">
        <v>43886</v>
      </c>
      <c r="B1294" s="15" t="n">
        <v>49.9</v>
      </c>
      <c r="C1294" s="15" t="n">
        <v>54.95</v>
      </c>
      <c r="D1294" s="14" t="n">
        <f aca="false">AVERAGE(B1275:B1294)</f>
        <v>51.5115</v>
      </c>
      <c r="E1294" s="14" t="n">
        <f aca="false">(B1294-D1294)/D1294*100</f>
        <v>-3.12842763266455</v>
      </c>
    </row>
    <row r="1295" customFormat="false" ht="15" hidden="false" customHeight="false" outlineLevel="0" collapsed="false">
      <c r="A1295" s="12" t="n">
        <v>43887</v>
      </c>
      <c r="B1295" s="15" t="n">
        <v>48.73</v>
      </c>
      <c r="C1295" s="15" t="n">
        <v>53.43</v>
      </c>
      <c r="D1295" s="14" t="n">
        <f aca="false">AVERAGE(B1276:B1295)</f>
        <v>51.274</v>
      </c>
      <c r="E1295" s="14" t="n">
        <f aca="false">(B1295-D1295)/D1295*100</f>
        <v>-4.96157896789797</v>
      </c>
    </row>
    <row r="1296" customFormat="false" ht="15" hidden="false" customHeight="false" outlineLevel="0" collapsed="false">
      <c r="A1296" s="12" t="n">
        <v>43888</v>
      </c>
      <c r="B1296" s="15" t="n">
        <v>47.09</v>
      </c>
      <c r="C1296" s="15" t="n">
        <v>52.18</v>
      </c>
      <c r="D1296" s="14" t="n">
        <f aca="false">AVERAGE(B1277:B1296)</f>
        <v>50.962</v>
      </c>
      <c r="E1296" s="14" t="n">
        <f aca="false">(B1296-D1296)/D1296*100</f>
        <v>-7.59781798202582</v>
      </c>
    </row>
    <row r="1297" customFormat="false" ht="15" hidden="false" customHeight="false" outlineLevel="0" collapsed="false">
      <c r="A1297" s="12" t="n">
        <v>43889</v>
      </c>
      <c r="B1297" s="15" t="n">
        <v>44.76</v>
      </c>
      <c r="C1297" s="15" t="n">
        <v>50.52</v>
      </c>
      <c r="D1297" s="14" t="n">
        <f aca="false">AVERAGE(B1278:B1297)</f>
        <v>50.593</v>
      </c>
      <c r="E1297" s="14" t="n">
        <f aca="false">(B1297-D1297)/D1297*100</f>
        <v>-11.5292629415137</v>
      </c>
    </row>
    <row r="1298" customFormat="false" ht="15" hidden="false" customHeight="false" outlineLevel="0" collapsed="false">
      <c r="A1298" s="12" t="n">
        <v>43892</v>
      </c>
      <c r="B1298" s="15" t="n">
        <v>46.75</v>
      </c>
      <c r="C1298" s="15" t="n">
        <v>51.9</v>
      </c>
      <c r="D1298" s="14" t="n">
        <f aca="false">AVERAGE(B1279:B1298)</f>
        <v>50.3525</v>
      </c>
      <c r="E1298" s="14" t="n">
        <f aca="false">(B1298-D1298)/D1298*100</f>
        <v>-7.15456034953577</v>
      </c>
    </row>
    <row r="1299" customFormat="false" ht="15" hidden="false" customHeight="false" outlineLevel="0" collapsed="false">
      <c r="A1299" s="12" t="n">
        <v>43893</v>
      </c>
      <c r="B1299" s="15" t="n">
        <v>47.18</v>
      </c>
      <c r="C1299" s="15" t="n">
        <v>51.86</v>
      </c>
      <c r="D1299" s="14" t="n">
        <f aca="false">AVERAGE(B1280:B1299)</f>
        <v>50.206</v>
      </c>
      <c r="E1299" s="14" t="n">
        <f aca="false">(B1299-D1299)/D1299*100</f>
        <v>-6.02716806756165</v>
      </c>
    </row>
    <row r="1300" customFormat="false" ht="15" hidden="false" customHeight="false" outlineLevel="0" collapsed="false">
      <c r="A1300" s="12" t="n">
        <v>43894</v>
      </c>
      <c r="B1300" s="15" t="n">
        <v>46.78</v>
      </c>
      <c r="C1300" s="15" t="n">
        <v>51.13</v>
      </c>
      <c r="D1300" s="14" t="n">
        <f aca="false">AVERAGE(B1281:B1300)</f>
        <v>50.0645</v>
      </c>
      <c r="E1300" s="14" t="n">
        <f aca="false">(B1300-D1300)/D1300*100</f>
        <v>-6.56053690738946</v>
      </c>
    </row>
    <row r="1301" customFormat="false" ht="15" hidden="false" customHeight="false" outlineLevel="0" collapsed="false">
      <c r="A1301" s="12" t="n">
        <v>43895</v>
      </c>
      <c r="B1301" s="15" t="n">
        <v>45.9</v>
      </c>
      <c r="C1301" s="15" t="n">
        <v>49.99</v>
      </c>
      <c r="D1301" s="14" t="n">
        <f aca="false">AVERAGE(B1282:B1301)</f>
        <v>49.822</v>
      </c>
      <c r="E1301" s="14" t="n">
        <f aca="false">(B1301-D1301)/D1301*100</f>
        <v>-7.87202440688853</v>
      </c>
    </row>
    <row r="1302" customFormat="false" ht="15" hidden="false" customHeight="false" outlineLevel="0" collapsed="false">
      <c r="A1302" s="12" t="n">
        <v>43896</v>
      </c>
      <c r="B1302" s="15" t="n">
        <v>41.28</v>
      </c>
      <c r="C1302" s="15" t="n">
        <v>45.27</v>
      </c>
      <c r="D1302" s="14" t="n">
        <f aca="false">AVERAGE(B1283:B1302)</f>
        <v>49.3385</v>
      </c>
      <c r="E1302" s="14" t="n">
        <f aca="false">(B1302-D1302)/D1302*100</f>
        <v>-16.3330867375376</v>
      </c>
    </row>
    <row r="1303" customFormat="false" ht="15" hidden="false" customHeight="false" outlineLevel="0" collapsed="false">
      <c r="A1303" s="12" t="n">
        <v>43899</v>
      </c>
      <c r="B1303" s="15" t="n">
        <v>31.13</v>
      </c>
      <c r="C1303" s="15" t="n">
        <v>34.36</v>
      </c>
      <c r="D1303" s="14" t="n">
        <f aca="false">AVERAGE(B1284:B1303)</f>
        <v>48.379</v>
      </c>
      <c r="E1303" s="14" t="n">
        <f aca="false">(B1303-D1303)/D1303*100</f>
        <v>-35.6538994191695</v>
      </c>
    </row>
    <row r="1304" customFormat="false" ht="15" hidden="false" customHeight="false" outlineLevel="0" collapsed="false">
      <c r="A1304" s="12" t="n">
        <v>43900</v>
      </c>
      <c r="B1304" s="15" t="n">
        <v>34.36</v>
      </c>
      <c r="C1304" s="15" t="n">
        <v>37.22</v>
      </c>
      <c r="D1304" s="14" t="n">
        <f aca="false">AVERAGE(B1285:B1304)</f>
        <v>47.6185</v>
      </c>
      <c r="E1304" s="14" t="n">
        <f aca="false">(B1304-D1304)/D1304*100</f>
        <v>-27.8431701964573</v>
      </c>
    </row>
    <row r="1305" customFormat="false" ht="15" hidden="false" customHeight="false" outlineLevel="0" collapsed="false">
      <c r="A1305" s="12" t="n">
        <v>43901</v>
      </c>
      <c r="B1305" s="15" t="n">
        <v>32.98</v>
      </c>
      <c r="C1305" s="15" t="n">
        <v>35.79</v>
      </c>
      <c r="D1305" s="14" t="n">
        <f aca="false">AVERAGE(B1286:B1305)</f>
        <v>46.7705</v>
      </c>
      <c r="E1305" s="14" t="n">
        <f aca="false">(B1305-D1305)/D1305*100</f>
        <v>-29.4854662661293</v>
      </c>
    </row>
    <row r="1306" customFormat="false" ht="15" hidden="false" customHeight="false" outlineLevel="0" collapsed="false">
      <c r="A1306" s="12" t="n">
        <v>43902</v>
      </c>
      <c r="B1306" s="15" t="n">
        <v>31.5</v>
      </c>
      <c r="C1306" s="15" t="n">
        <v>33.22</v>
      </c>
      <c r="D1306" s="14" t="n">
        <f aca="false">AVERAGE(B1287:B1306)</f>
        <v>45.787</v>
      </c>
      <c r="E1306" s="14" t="n">
        <f aca="false">(B1306-D1306)/D1306*100</f>
        <v>-31.2031799419049</v>
      </c>
    </row>
    <row r="1307" customFormat="false" ht="15" hidden="false" customHeight="false" outlineLevel="0" collapsed="false">
      <c r="A1307" s="12" t="n">
        <v>43903</v>
      </c>
      <c r="B1307" s="15" t="n">
        <v>31.73</v>
      </c>
      <c r="C1307" s="15" t="n">
        <v>33.85</v>
      </c>
      <c r="D1307" s="14" t="n">
        <f aca="false">AVERAGE(B1288:B1307)</f>
        <v>44.8025</v>
      </c>
      <c r="E1307" s="14" t="n">
        <f aca="false">(B1307-D1307)/D1307*100</f>
        <v>-29.1780592600859</v>
      </c>
    </row>
    <row r="1308" customFormat="false" ht="15" hidden="false" customHeight="false" outlineLevel="0" collapsed="false">
      <c r="A1308" s="12" t="n">
        <v>43906</v>
      </c>
      <c r="B1308" s="15" t="n">
        <v>28.7</v>
      </c>
      <c r="C1308" s="15" t="n">
        <v>30.05</v>
      </c>
      <c r="D1308" s="14" t="n">
        <f aca="false">AVERAGE(B1289:B1308)</f>
        <v>43.635</v>
      </c>
      <c r="E1308" s="14" t="n">
        <f aca="false">(B1308-D1308)/D1308*100</f>
        <v>-34.2271112638937</v>
      </c>
    </row>
    <row r="1309" customFormat="false" ht="15" hidden="false" customHeight="false" outlineLevel="0" collapsed="false">
      <c r="A1309" s="12" t="n">
        <v>43907</v>
      </c>
      <c r="B1309" s="15" t="n">
        <v>26.95</v>
      </c>
      <c r="C1309" s="15" t="n">
        <v>28.73</v>
      </c>
      <c r="D1309" s="14" t="n">
        <f aca="false">AVERAGE(B1290:B1309)</f>
        <v>42.38</v>
      </c>
      <c r="E1309" s="14" t="n">
        <f aca="false">(B1309-D1309)/D1309*100</f>
        <v>-36.4086833411987</v>
      </c>
    </row>
    <row r="1310" customFormat="false" ht="15" hidden="false" customHeight="false" outlineLevel="0" collapsed="false">
      <c r="A1310" s="12" t="n">
        <v>43908</v>
      </c>
      <c r="B1310" s="15" t="n">
        <v>20.37</v>
      </c>
      <c r="C1310" s="15" t="n">
        <v>24.88</v>
      </c>
      <c r="D1310" s="14" t="n">
        <f aca="false">AVERAGE(B1291:B1310)</f>
        <v>40.734</v>
      </c>
      <c r="E1310" s="14" t="n">
        <f aca="false">(B1310-D1310)/D1310*100</f>
        <v>-49.9926351450876</v>
      </c>
    </row>
    <row r="1311" customFormat="false" ht="15" hidden="false" customHeight="false" outlineLevel="0" collapsed="false">
      <c r="A1311" s="12" t="n">
        <v>43909</v>
      </c>
      <c r="B1311" s="15" t="n">
        <v>25.22</v>
      </c>
      <c r="C1311" s="15" t="n">
        <v>28.47</v>
      </c>
      <c r="D1311" s="14" t="n">
        <f aca="false">AVERAGE(B1292:B1311)</f>
        <v>39.306</v>
      </c>
      <c r="E1311" s="14" t="n">
        <f aca="false">(B1311-D1311)/D1311*100</f>
        <v>-35.8367679234722</v>
      </c>
    </row>
    <row r="1312" customFormat="false" ht="15" hidden="false" customHeight="false" outlineLevel="0" collapsed="false">
      <c r="A1312" s="12" t="n">
        <v>43910</v>
      </c>
      <c r="B1312" s="15" t="n">
        <v>22.43</v>
      </c>
      <c r="C1312" s="15" t="n">
        <v>26.98</v>
      </c>
      <c r="D1312" s="14" t="n">
        <f aca="false">AVERAGE(B1293:B1312)</f>
        <v>37.7585</v>
      </c>
      <c r="E1312" s="14" t="n">
        <f aca="false">(B1312-D1312)/D1312*100</f>
        <v>-40.5961571566667</v>
      </c>
    </row>
    <row r="1313" customFormat="false" ht="15" hidden="false" customHeight="false" outlineLevel="0" collapsed="false">
      <c r="A1313" s="12" t="n">
        <v>43913</v>
      </c>
      <c r="B1313" s="15" t="n">
        <v>23.36</v>
      </c>
      <c r="C1313" s="15" t="n">
        <v>27.03</v>
      </c>
      <c r="D1313" s="14" t="n">
        <f aca="false">AVERAGE(B1294:B1313)</f>
        <v>36.355</v>
      </c>
      <c r="E1313" s="14" t="n">
        <f aca="false">(B1313-D1313)/D1313*100</f>
        <v>-35.7447393756017</v>
      </c>
    </row>
    <row r="1314" customFormat="false" ht="15" hidden="false" customHeight="false" outlineLevel="0" collapsed="false">
      <c r="A1314" s="12" t="n">
        <v>43914</v>
      </c>
      <c r="B1314" s="15" t="n">
        <v>24.01</v>
      </c>
      <c r="C1314" s="15" t="n">
        <v>27.15</v>
      </c>
      <c r="D1314" s="14" t="n">
        <f aca="false">AVERAGE(B1295:B1314)</f>
        <v>35.0605</v>
      </c>
      <c r="E1314" s="14" t="n">
        <f aca="false">(B1314-D1314)/D1314*100</f>
        <v>-31.5183753797008</v>
      </c>
    </row>
    <row r="1315" customFormat="false" ht="15" hidden="false" customHeight="false" outlineLevel="0" collapsed="false">
      <c r="A1315" s="12" t="n">
        <v>43915</v>
      </c>
      <c r="B1315" s="15" t="n">
        <v>24.49</v>
      </c>
      <c r="C1315" s="15" t="n">
        <v>27.39</v>
      </c>
      <c r="D1315" s="14" t="n">
        <f aca="false">AVERAGE(B1296:B1315)</f>
        <v>33.8485</v>
      </c>
      <c r="E1315" s="14" t="n">
        <f aca="false">(B1315-D1315)/D1315*100</f>
        <v>-27.6481971136092</v>
      </c>
    </row>
    <row r="1316" customFormat="false" ht="15" hidden="false" customHeight="false" outlineLevel="0" collapsed="false">
      <c r="A1316" s="12" t="n">
        <v>43916</v>
      </c>
      <c r="B1316" s="15" t="n">
        <v>22.6</v>
      </c>
      <c r="C1316" s="15" t="n">
        <v>26.34</v>
      </c>
      <c r="D1316" s="14" t="n">
        <f aca="false">AVERAGE(B1297:B1316)</f>
        <v>32.624</v>
      </c>
      <c r="E1316" s="14" t="n">
        <f aca="false">(B1316-D1316)/D1316*100</f>
        <v>-30.7258460029426</v>
      </c>
    </row>
    <row r="1317" customFormat="false" ht="15" hidden="false" customHeight="false" outlineLevel="0" collapsed="false">
      <c r="A1317" s="12" t="n">
        <v>43917</v>
      </c>
      <c r="B1317" s="15" t="n">
        <v>21.51</v>
      </c>
      <c r="C1317" s="15" t="n">
        <v>24.93</v>
      </c>
      <c r="D1317" s="14" t="n">
        <f aca="false">AVERAGE(B1298:B1317)</f>
        <v>31.4615</v>
      </c>
      <c r="E1317" s="14" t="n">
        <f aca="false">(B1317-D1317)/D1317*100</f>
        <v>-31.6307232649429</v>
      </c>
    </row>
    <row r="1318" customFormat="false" ht="15" hidden="false" customHeight="false" outlineLevel="0" collapsed="false">
      <c r="A1318" s="12" t="n">
        <v>43920</v>
      </c>
      <c r="B1318" s="15" t="n">
        <v>20.09</v>
      </c>
      <c r="C1318" s="15" t="n">
        <v>22.76</v>
      </c>
      <c r="D1318" s="14" t="n">
        <f aca="false">AVERAGE(B1299:B1318)</f>
        <v>30.1285</v>
      </c>
      <c r="E1318" s="14" t="n">
        <f aca="false">(B1318-D1318)/D1318*100</f>
        <v>-33.3189504953781</v>
      </c>
    </row>
    <row r="1319" customFormat="false" ht="15" hidden="false" customHeight="false" outlineLevel="0" collapsed="false">
      <c r="A1319" s="12" t="n">
        <v>43921</v>
      </c>
      <c r="B1319" s="15" t="n">
        <v>20.48</v>
      </c>
      <c r="C1319" s="15" t="n">
        <v>22.74</v>
      </c>
      <c r="D1319" s="14" t="n">
        <f aca="false">AVERAGE(B1300:B1319)</f>
        <v>28.7935</v>
      </c>
      <c r="E1319" s="14" t="n">
        <f aca="false">(B1319-D1319)/D1319*100</f>
        <v>-28.8728358830986</v>
      </c>
    </row>
    <row r="1320" customFormat="false" ht="15" hidden="false" customHeight="false" outlineLevel="0" collapsed="false">
      <c r="A1320" s="12" t="n">
        <v>43922</v>
      </c>
      <c r="B1320" s="15" t="n">
        <v>20.31</v>
      </c>
      <c r="C1320" s="15" t="n">
        <v>24.74</v>
      </c>
      <c r="D1320" s="14" t="n">
        <f aca="false">AVERAGE(B1301:B1320)</f>
        <v>27.47</v>
      </c>
      <c r="E1320" s="14" t="n">
        <f aca="false">(B1320-D1320)/D1320*100</f>
        <v>-26.0647979614125</v>
      </c>
    </row>
    <row r="1321" customFormat="false" ht="15" hidden="false" customHeight="false" outlineLevel="0" collapsed="false">
      <c r="A1321" s="12" t="n">
        <v>43923</v>
      </c>
      <c r="B1321" s="15" t="n">
        <v>25.32</v>
      </c>
      <c r="C1321" s="15" t="n">
        <v>29.94</v>
      </c>
      <c r="D1321" s="14" t="n">
        <f aca="false">AVERAGE(B1302:B1321)</f>
        <v>26.441</v>
      </c>
      <c r="E1321" s="14" t="n">
        <f aca="false">(B1321-D1321)/D1321*100</f>
        <v>-4.23962785068644</v>
      </c>
    </row>
    <row r="1322" customFormat="false" ht="15" hidden="false" customHeight="false" outlineLevel="0" collapsed="false">
      <c r="A1322" s="12" t="n">
        <v>43924</v>
      </c>
      <c r="B1322" s="15" t="n">
        <v>28.34</v>
      </c>
      <c r="C1322" s="15" t="n">
        <v>34.11</v>
      </c>
      <c r="D1322" s="14" t="n">
        <f aca="false">AVERAGE(B1303:B1322)</f>
        <v>25.794</v>
      </c>
      <c r="E1322" s="14" t="n">
        <f aca="false">(B1322-D1322)/D1322*100</f>
        <v>9.870512522292</v>
      </c>
    </row>
    <row r="1323" customFormat="false" ht="15" hidden="false" customHeight="false" outlineLevel="0" collapsed="false">
      <c r="A1323" s="12" t="n">
        <v>43927</v>
      </c>
      <c r="B1323" s="15" t="n">
        <v>26.08</v>
      </c>
      <c r="C1323" s="15" t="n">
        <v>33.05</v>
      </c>
      <c r="D1323" s="14" t="n">
        <f aca="false">AVERAGE(B1304:B1323)</f>
        <v>25.5415</v>
      </c>
      <c r="E1323" s="14" t="n">
        <f aca="false">(B1323-D1323)/D1323*100</f>
        <v>2.10833349646653</v>
      </c>
    </row>
    <row r="1324" customFormat="false" ht="15" hidden="false" customHeight="false" outlineLevel="0" collapsed="false">
      <c r="A1324" s="12" t="n">
        <v>43928</v>
      </c>
      <c r="B1324" s="15" t="n">
        <v>23.63</v>
      </c>
      <c r="C1324" s="15" t="n">
        <v>31.87</v>
      </c>
      <c r="D1324" s="14" t="n">
        <f aca="false">AVERAGE(B1305:B1324)</f>
        <v>25.005</v>
      </c>
      <c r="E1324" s="14" t="n">
        <f aca="false">(B1324-D1324)/D1324*100</f>
        <v>-5.49890021995602</v>
      </c>
    </row>
    <row r="1325" customFormat="false" ht="15" hidden="false" customHeight="false" outlineLevel="0" collapsed="false">
      <c r="A1325" s="12" t="n">
        <v>43929</v>
      </c>
      <c r="B1325" s="15" t="n">
        <v>25.09</v>
      </c>
      <c r="C1325" s="15" t="n">
        <v>32.84</v>
      </c>
      <c r="D1325" s="14" t="n">
        <f aca="false">AVERAGE(B1306:B1325)</f>
        <v>24.6105</v>
      </c>
      <c r="E1325" s="14" t="n">
        <f aca="false">(B1325-D1325)/D1325*100</f>
        <v>1.94835537677008</v>
      </c>
    </row>
    <row r="1326" customFormat="false" ht="15" hidden="false" customHeight="false" outlineLevel="0" collapsed="false">
      <c r="A1326" s="12" t="n">
        <v>43930</v>
      </c>
      <c r="B1326" s="15" t="n">
        <v>22.76</v>
      </c>
      <c r="C1326" s="15" t="n">
        <v>31.48</v>
      </c>
      <c r="D1326" s="14" t="n">
        <f aca="false">AVERAGE(B1307:B1326)</f>
        <v>24.1735</v>
      </c>
      <c r="E1326" s="14" t="n">
        <f aca="false">(B1326-D1326)/D1326*100</f>
        <v>-5.84731213932612</v>
      </c>
    </row>
    <row r="1327" customFormat="false" ht="15" hidden="false" customHeight="false" outlineLevel="0" collapsed="false">
      <c r="A1327" s="12" t="n">
        <v>43934</v>
      </c>
      <c r="B1327" s="15" t="n">
        <v>22.41</v>
      </c>
      <c r="C1327" s="15" t="n">
        <v>31.74</v>
      </c>
      <c r="D1327" s="14" t="n">
        <f aca="false">AVERAGE(B1308:B1327)</f>
        <v>23.7075</v>
      </c>
      <c r="E1327" s="14" t="n">
        <f aca="false">(B1327-D1327)/D1327*100</f>
        <v>-5.4729515975957</v>
      </c>
    </row>
    <row r="1328" customFormat="false" ht="15" hidden="false" customHeight="false" outlineLevel="0" collapsed="false">
      <c r="A1328" s="12" t="n">
        <v>43935</v>
      </c>
      <c r="B1328" s="15" t="n">
        <v>20.11</v>
      </c>
      <c r="C1328" s="15" t="n">
        <v>29.6</v>
      </c>
      <c r="D1328" s="14" t="n">
        <f aca="false">AVERAGE(B1309:B1328)</f>
        <v>23.278</v>
      </c>
      <c r="E1328" s="14" t="n">
        <f aca="false">(B1328-D1328)/D1328*100</f>
        <v>-13.6094166165478</v>
      </c>
    </row>
    <row r="1329" customFormat="false" ht="15" hidden="false" customHeight="false" outlineLevel="0" collapsed="false">
      <c r="A1329" s="12" t="n">
        <v>43936</v>
      </c>
      <c r="B1329" s="15" t="n">
        <v>19.87</v>
      </c>
      <c r="C1329" s="15" t="n">
        <v>27.69</v>
      </c>
      <c r="D1329" s="14" t="n">
        <f aca="false">AVERAGE(B1310:B1329)</f>
        <v>22.924</v>
      </c>
      <c r="E1329" s="14" t="n">
        <f aca="false">(B1329-D1329)/D1329*100</f>
        <v>-13.3222823242017</v>
      </c>
    </row>
    <row r="1330" customFormat="false" ht="15" hidden="false" customHeight="false" outlineLevel="0" collapsed="false">
      <c r="A1330" s="12" t="n">
        <v>43937</v>
      </c>
      <c r="B1330" s="15" t="n">
        <v>19.87</v>
      </c>
      <c r="C1330" s="15" t="n">
        <v>27.82</v>
      </c>
      <c r="D1330" s="14" t="n">
        <f aca="false">AVERAGE(B1311:B1330)</f>
        <v>22.899</v>
      </c>
      <c r="E1330" s="14" t="n">
        <f aca="false">(B1330-D1330)/D1330*100</f>
        <v>-13.2276518625267</v>
      </c>
    </row>
    <row r="1331" customFormat="false" ht="15" hidden="false" customHeight="false" outlineLevel="0" collapsed="false">
      <c r="A1331" s="12" t="n">
        <v>43938</v>
      </c>
      <c r="B1331" s="15" t="n">
        <v>18.27</v>
      </c>
      <c r="C1331" s="15" t="n">
        <v>28.08</v>
      </c>
      <c r="D1331" s="14" t="n">
        <f aca="false">AVERAGE(B1312:B1331)</f>
        <v>22.5515</v>
      </c>
      <c r="E1331" s="14" t="n">
        <f aca="false">(B1331-D1331)/D1331*100</f>
        <v>-18.9854333414629</v>
      </c>
    </row>
    <row r="1332" customFormat="false" ht="15" hidden="false" customHeight="false" outlineLevel="0" collapsed="false">
      <c r="A1332" s="12" t="n">
        <v>43941</v>
      </c>
      <c r="B1332" s="15" t="n">
        <v>-37.63</v>
      </c>
      <c r="C1332" s="15" t="n">
        <v>25.57</v>
      </c>
      <c r="D1332" s="14" t="n">
        <f aca="false">AVERAGE(B1313:B1332)</f>
        <v>19.5485</v>
      </c>
      <c r="E1332" s="14" t="n">
        <f aca="false">(B1332-D1332)/D1332*100</f>
        <v>-292.49558789677</v>
      </c>
    </row>
    <row r="1333" customFormat="false" ht="15" hidden="false" customHeight="false" outlineLevel="0" collapsed="false">
      <c r="A1333" s="12" t="n">
        <v>43942</v>
      </c>
      <c r="B1333" s="15" t="n">
        <v>10.01</v>
      </c>
      <c r="C1333" s="15" t="n">
        <v>19.33</v>
      </c>
      <c r="D1333" s="14" t="n">
        <f aca="false">AVERAGE(B1314:B1333)</f>
        <v>18.881</v>
      </c>
      <c r="E1333" s="14" t="n">
        <f aca="false">(B1333-D1333)/D1333*100</f>
        <v>-46.9837402679943</v>
      </c>
    </row>
    <row r="1334" customFormat="false" ht="15" hidden="false" customHeight="false" outlineLevel="0" collapsed="false">
      <c r="A1334" s="12" t="n">
        <v>43943</v>
      </c>
      <c r="B1334" s="15" t="n">
        <v>13.78</v>
      </c>
      <c r="C1334" s="15" t="n">
        <v>20.37</v>
      </c>
      <c r="D1334" s="14" t="n">
        <f aca="false">AVERAGE(B1315:B1334)</f>
        <v>18.3695</v>
      </c>
      <c r="E1334" s="14" t="n">
        <f aca="false">(B1334-D1334)/D1334*100</f>
        <v>-24.9843490568606</v>
      </c>
    </row>
    <row r="1335" customFormat="false" ht="15" hidden="false" customHeight="false" outlineLevel="0" collapsed="false">
      <c r="A1335" s="12" t="n">
        <v>43944</v>
      </c>
      <c r="B1335" s="15" t="n">
        <v>16.5</v>
      </c>
      <c r="C1335" s="15" t="n">
        <v>21.33</v>
      </c>
      <c r="D1335" s="14" t="n">
        <f aca="false">AVERAGE(B1316:B1335)</f>
        <v>17.97</v>
      </c>
      <c r="E1335" s="14" t="n">
        <f aca="false">(B1335-D1335)/D1335*100</f>
        <v>-8.18030050083472</v>
      </c>
    </row>
    <row r="1336" customFormat="false" ht="15" hidden="false" customHeight="false" outlineLevel="0" collapsed="false">
      <c r="A1336" s="12" t="n">
        <v>43945</v>
      </c>
      <c r="B1336" s="15" t="n">
        <v>16.94</v>
      </c>
      <c r="C1336" s="15" t="n">
        <v>21.44</v>
      </c>
      <c r="D1336" s="14" t="n">
        <f aca="false">AVERAGE(B1317:B1336)</f>
        <v>17.687</v>
      </c>
      <c r="E1336" s="14" t="n">
        <f aca="false">(B1336-D1336)/D1336*100</f>
        <v>-4.22344094532708</v>
      </c>
    </row>
    <row r="1337" customFormat="false" ht="15" hidden="false" customHeight="false" outlineLevel="0" collapsed="false">
      <c r="A1337" s="12" t="n">
        <v>43948</v>
      </c>
      <c r="B1337" s="15" t="n">
        <v>12.78</v>
      </c>
      <c r="C1337" s="15" t="n">
        <v>19.99</v>
      </c>
      <c r="D1337" s="14" t="n">
        <f aca="false">AVERAGE(B1318:B1337)</f>
        <v>17.2505</v>
      </c>
      <c r="E1337" s="14" t="n">
        <f aca="false">(B1337-D1337)/D1337*100</f>
        <v>-25.9151908640329</v>
      </c>
    </row>
    <row r="1338" customFormat="false" ht="15" hidden="false" customHeight="false" outlineLevel="0" collapsed="false">
      <c r="A1338" s="12" t="n">
        <v>43949</v>
      </c>
      <c r="B1338" s="15" t="n">
        <v>12.34</v>
      </c>
      <c r="C1338" s="15" t="n">
        <v>20.46</v>
      </c>
      <c r="D1338" s="14" t="n">
        <f aca="false">AVERAGE(B1319:B1338)</f>
        <v>16.863</v>
      </c>
      <c r="E1338" s="14" t="n">
        <f aca="false">(B1338-D1338)/D1338*100</f>
        <v>-26.8220364110775</v>
      </c>
    </row>
    <row r="1339" customFormat="false" ht="15" hidden="false" customHeight="false" outlineLevel="0" collapsed="false">
      <c r="A1339" s="12" t="n">
        <v>43950</v>
      </c>
      <c r="B1339" s="15" t="n">
        <v>15.06</v>
      </c>
      <c r="C1339" s="15" t="n">
        <v>22.54</v>
      </c>
      <c r="D1339" s="14" t="n">
        <f aca="false">AVERAGE(B1320:B1339)</f>
        <v>16.592</v>
      </c>
      <c r="E1339" s="14" t="n">
        <f aca="false">(B1339-D1339)/D1339*100</f>
        <v>-9.23336547733847</v>
      </c>
    </row>
    <row r="1340" customFormat="false" ht="15" hidden="false" customHeight="false" outlineLevel="0" collapsed="false">
      <c r="A1340" s="12" t="n">
        <v>43951</v>
      </c>
      <c r="B1340" s="15" t="n">
        <v>18.84</v>
      </c>
      <c r="C1340" s="15" t="n">
        <v>25.27</v>
      </c>
      <c r="D1340" s="14" t="n">
        <f aca="false">AVERAGE(B1321:B1340)</f>
        <v>16.5185</v>
      </c>
      <c r="E1340" s="14" t="n">
        <f aca="false">(B1340-D1340)/D1340*100</f>
        <v>14.0539395223537</v>
      </c>
    </row>
    <row r="1341" customFormat="false" ht="15" hidden="false" customHeight="false" outlineLevel="0" collapsed="false">
      <c r="A1341" s="12" t="n">
        <v>43952</v>
      </c>
      <c r="B1341" s="15" t="n">
        <v>19.78</v>
      </c>
      <c r="C1341" s="15" t="n">
        <v>26.44</v>
      </c>
      <c r="D1341" s="14" t="n">
        <f aca="false">AVERAGE(B1322:B1341)</f>
        <v>16.2415</v>
      </c>
      <c r="E1341" s="14" t="n">
        <f aca="false">(B1341-D1341)/D1341*100</f>
        <v>21.7867807776376</v>
      </c>
    </row>
    <row r="1342" customFormat="false" ht="15" hidden="false" customHeight="false" outlineLevel="0" collapsed="false">
      <c r="A1342" s="12" t="n">
        <v>43955</v>
      </c>
      <c r="B1342" s="15" t="n">
        <v>20.39</v>
      </c>
      <c r="C1342" s="15" t="n">
        <v>27.2</v>
      </c>
      <c r="D1342" s="14" t="n">
        <f aca="false">AVERAGE(B1323:B1342)</f>
        <v>15.844</v>
      </c>
      <c r="E1342" s="14" t="n">
        <f aca="false">(B1342-D1342)/D1342*100</f>
        <v>28.6922494319616</v>
      </c>
    </row>
    <row r="1343" customFormat="false" ht="15" hidden="false" customHeight="false" outlineLevel="0" collapsed="false">
      <c r="A1343" s="12" t="n">
        <v>43956</v>
      </c>
      <c r="B1343" s="15" t="n">
        <v>24.56</v>
      </c>
      <c r="C1343" s="15" t="n">
        <v>30.97</v>
      </c>
      <c r="D1343" s="14" t="n">
        <f aca="false">AVERAGE(B1324:B1343)</f>
        <v>15.768</v>
      </c>
      <c r="E1343" s="14" t="n">
        <f aca="false">(B1343-D1343)/D1343*100</f>
        <v>55.7584982242516</v>
      </c>
    </row>
    <row r="1344" customFormat="false" ht="15" hidden="false" customHeight="false" outlineLevel="0" collapsed="false">
      <c r="A1344" s="12" t="n">
        <v>43957</v>
      </c>
      <c r="B1344" s="15" t="n">
        <v>23.99</v>
      </c>
      <c r="C1344" s="15" t="n">
        <v>29.72</v>
      </c>
      <c r="D1344" s="14" t="n">
        <f aca="false">AVERAGE(B1325:B1344)</f>
        <v>15.786</v>
      </c>
      <c r="E1344" s="14" t="n">
        <f aca="false">(B1344-D1344)/D1344*100</f>
        <v>51.9701000886862</v>
      </c>
    </row>
    <row r="1345" customFormat="false" ht="15" hidden="false" customHeight="false" outlineLevel="0" collapsed="false">
      <c r="A1345" s="12" t="n">
        <v>43958</v>
      </c>
      <c r="B1345" s="15" t="n">
        <v>23.55</v>
      </c>
      <c r="C1345" s="15" t="n">
        <v>29.46</v>
      </c>
      <c r="D1345" s="14" t="n">
        <f aca="false">AVERAGE(B1326:B1345)</f>
        <v>15.709</v>
      </c>
      <c r="E1345" s="14" t="n">
        <f aca="false">(B1345-D1345)/D1345*100</f>
        <v>49.9140620026736</v>
      </c>
    </row>
    <row r="1346" customFormat="false" ht="15" hidden="false" customHeight="false" outlineLevel="0" collapsed="false">
      <c r="A1346" s="12" t="n">
        <v>43959</v>
      </c>
      <c r="B1346" s="15" t="n">
        <v>24.74</v>
      </c>
      <c r="C1346" s="15" t="n">
        <v>30.97</v>
      </c>
      <c r="D1346" s="14" t="n">
        <f aca="false">AVERAGE(B1327:B1346)</f>
        <v>15.808</v>
      </c>
      <c r="E1346" s="14" t="n">
        <f aca="false">(B1346-D1346)/D1346*100</f>
        <v>56.503036437247</v>
      </c>
    </row>
    <row r="1347" customFormat="false" ht="15" hidden="false" customHeight="false" outlineLevel="0" collapsed="false">
      <c r="A1347" s="12" t="n">
        <v>43962</v>
      </c>
      <c r="B1347" s="15" t="n">
        <v>24.14</v>
      </c>
      <c r="C1347" s="15" t="n">
        <v>29.63</v>
      </c>
      <c r="D1347" s="14" t="n">
        <f aca="false">AVERAGE(B1328:B1347)</f>
        <v>15.8945</v>
      </c>
      <c r="E1347" s="14" t="n">
        <f aca="false">(B1347-D1347)/D1347*100</f>
        <v>51.876435244896</v>
      </c>
    </row>
    <row r="1348" customFormat="false" ht="15" hidden="false" customHeight="false" outlineLevel="0" collapsed="false">
      <c r="A1348" s="12" t="n">
        <v>43963</v>
      </c>
      <c r="B1348" s="15" t="n">
        <v>25.78</v>
      </c>
      <c r="C1348" s="15" t="n">
        <v>29.98</v>
      </c>
      <c r="D1348" s="14" t="n">
        <f aca="false">AVERAGE(B1329:B1348)</f>
        <v>16.178</v>
      </c>
      <c r="E1348" s="14" t="n">
        <f aca="false">(B1348-D1348)/D1348*100</f>
        <v>59.3522067004574</v>
      </c>
    </row>
    <row r="1349" customFormat="false" ht="15" hidden="false" customHeight="false" outlineLevel="0" collapsed="false">
      <c r="A1349" s="12" t="n">
        <v>43964</v>
      </c>
      <c r="B1349" s="15" t="n">
        <v>25.29</v>
      </c>
      <c r="C1349" s="15" t="n">
        <v>29.19</v>
      </c>
      <c r="D1349" s="14" t="n">
        <f aca="false">AVERAGE(B1330:B1349)</f>
        <v>16.449</v>
      </c>
      <c r="E1349" s="14" t="n">
        <f aca="false">(B1349-D1349)/D1349*100</f>
        <v>53.7479482035382</v>
      </c>
    </row>
    <row r="1350" customFormat="false" ht="15" hidden="false" customHeight="false" outlineLevel="0" collapsed="false">
      <c r="A1350" s="12" t="n">
        <v>43965</v>
      </c>
      <c r="B1350" s="15" t="n">
        <v>27.56</v>
      </c>
      <c r="C1350" s="15" t="n">
        <v>31.13</v>
      </c>
      <c r="D1350" s="14" t="n">
        <f aca="false">AVERAGE(B1331:B1350)</f>
        <v>16.8335</v>
      </c>
      <c r="E1350" s="14" t="n">
        <f aca="false">(B1350-D1350)/D1350*100</f>
        <v>63.7211512757299</v>
      </c>
    </row>
    <row r="1351" customFormat="false" ht="15" hidden="false" customHeight="false" outlineLevel="0" collapsed="false">
      <c r="A1351" s="12" t="n">
        <v>43966</v>
      </c>
      <c r="B1351" s="15" t="n">
        <v>29.43</v>
      </c>
      <c r="C1351" s="15" t="n">
        <v>32.5</v>
      </c>
      <c r="D1351" s="14" t="n">
        <f aca="false">AVERAGE(B1332:B1351)</f>
        <v>17.3915</v>
      </c>
      <c r="E1351" s="14" t="n">
        <f aca="false">(B1351-D1351)/D1351*100</f>
        <v>69.220596268292</v>
      </c>
    </row>
    <row r="1352" customFormat="false" ht="15" hidden="false" customHeight="false" outlineLevel="0" collapsed="false">
      <c r="A1352" s="12" t="n">
        <v>43969</v>
      </c>
      <c r="B1352" s="15" t="n">
        <v>31.82</v>
      </c>
      <c r="C1352" s="15" t="n">
        <v>34.81</v>
      </c>
      <c r="D1352" s="14" t="n">
        <f aca="false">AVERAGE(B1333:B1352)</f>
        <v>20.864</v>
      </c>
      <c r="E1352" s="14" t="n">
        <f aca="false">(B1352-D1352)/D1352*100</f>
        <v>52.5115030674847</v>
      </c>
    </row>
    <row r="1353" customFormat="false" ht="15" hidden="false" customHeight="false" outlineLevel="0" collapsed="false">
      <c r="A1353" s="12" t="n">
        <v>43970</v>
      </c>
      <c r="B1353" s="15" t="n">
        <v>32.5</v>
      </c>
      <c r="C1353" s="15" t="n">
        <v>34.65</v>
      </c>
      <c r="D1353" s="14" t="n">
        <f aca="false">AVERAGE(B1334:B1353)</f>
        <v>21.9885</v>
      </c>
      <c r="E1353" s="14" t="n">
        <f aca="false">(B1353-D1353)/D1353*100</f>
        <v>47.8045341883257</v>
      </c>
    </row>
    <row r="1354" customFormat="false" ht="15" hidden="false" customHeight="false" outlineLevel="0" collapsed="false">
      <c r="A1354" s="12" t="n">
        <v>43971</v>
      </c>
      <c r="B1354" s="15" t="n">
        <v>33.49</v>
      </c>
      <c r="C1354" s="15" t="n">
        <v>35.75</v>
      </c>
      <c r="D1354" s="14" t="n">
        <f aca="false">AVERAGE(B1335:B1354)</f>
        <v>22.974</v>
      </c>
      <c r="E1354" s="14" t="n">
        <f aca="false">(B1354-D1354)/D1354*100</f>
        <v>45.7734830678158</v>
      </c>
    </row>
    <row r="1355" customFormat="false" ht="15" hidden="false" customHeight="false" outlineLevel="0" collapsed="false">
      <c r="A1355" s="12" t="n">
        <v>43972</v>
      </c>
      <c r="B1355" s="15" t="n">
        <v>33.92</v>
      </c>
      <c r="C1355" s="15" t="n">
        <v>36.06</v>
      </c>
      <c r="D1355" s="14" t="n">
        <f aca="false">AVERAGE(B1336:B1355)</f>
        <v>23.845</v>
      </c>
      <c r="E1355" s="14" t="n">
        <f aca="false">(B1355-D1355)/D1355*100</f>
        <v>42.2520444537639</v>
      </c>
    </row>
    <row r="1356" customFormat="false" ht="15" hidden="false" customHeight="false" outlineLevel="0" collapsed="false">
      <c r="A1356" s="12" t="n">
        <v>43973</v>
      </c>
      <c r="B1356" s="15" t="n">
        <v>33.25</v>
      </c>
      <c r="C1356" s="15" t="n">
        <v>35.13</v>
      </c>
      <c r="D1356" s="14" t="n">
        <f aca="false">AVERAGE(B1337:B1356)</f>
        <v>24.6605</v>
      </c>
      <c r="E1356" s="14" t="n">
        <f aca="false">(B1356-D1356)/D1356*100</f>
        <v>34.8310050485594</v>
      </c>
    </row>
    <row r="1357" customFormat="false" ht="15" hidden="false" customHeight="false" outlineLevel="0" collapsed="false">
      <c r="A1357" s="12" t="n">
        <v>43977</v>
      </c>
      <c r="B1357" s="15" t="n">
        <v>34.35</v>
      </c>
      <c r="C1357" s="15" t="n">
        <v>36.17</v>
      </c>
      <c r="D1357" s="14" t="n">
        <f aca="false">AVERAGE(B1338:B1357)</f>
        <v>25.739</v>
      </c>
      <c r="E1357" s="14" t="n">
        <f aca="false">(B1357-D1357)/D1357*100</f>
        <v>33.4550681844672</v>
      </c>
    </row>
    <row r="1358" customFormat="false" ht="15" hidden="false" customHeight="false" outlineLevel="0" collapsed="false">
      <c r="A1358" s="12" t="n">
        <v>43978</v>
      </c>
      <c r="B1358" s="15" t="n">
        <v>32.81</v>
      </c>
      <c r="C1358" s="15" t="n">
        <v>34.74</v>
      </c>
      <c r="D1358" s="14" t="n">
        <f aca="false">AVERAGE(B1339:B1358)</f>
        <v>26.7625</v>
      </c>
      <c r="E1358" s="14" t="n">
        <f aca="false">(B1358-D1358)/D1358*100</f>
        <v>22.5969173283513</v>
      </c>
    </row>
    <row r="1359" customFormat="false" ht="15" hidden="false" customHeight="false" outlineLevel="0" collapsed="false">
      <c r="A1359" s="12" t="n">
        <v>43979</v>
      </c>
      <c r="B1359" s="15" t="n">
        <v>33.71</v>
      </c>
      <c r="C1359" s="15" t="n">
        <v>35.29</v>
      </c>
      <c r="D1359" s="14" t="n">
        <f aca="false">AVERAGE(B1340:B1359)</f>
        <v>27.695</v>
      </c>
      <c r="E1359" s="14" t="n">
        <f aca="false">(B1359-D1359)/D1359*100</f>
        <v>21.718721790937</v>
      </c>
    </row>
    <row r="1360" customFormat="false" ht="15" hidden="false" customHeight="false" outlineLevel="0" collapsed="false">
      <c r="A1360" s="12" t="n">
        <v>43980</v>
      </c>
      <c r="B1360" s="15" t="n">
        <v>35.49</v>
      </c>
      <c r="C1360" s="15" t="n">
        <v>35.33</v>
      </c>
      <c r="D1360" s="14" t="n">
        <f aca="false">AVERAGE(B1341:B1360)</f>
        <v>28.5275</v>
      </c>
      <c r="E1360" s="14" t="n">
        <f aca="false">(B1360-D1360)/D1360*100</f>
        <v>24.4062746472702</v>
      </c>
    </row>
    <row r="1361" customFormat="false" ht="15" hidden="false" customHeight="false" outlineLevel="0" collapsed="false">
      <c r="A1361" s="12" t="n">
        <v>43983</v>
      </c>
      <c r="B1361" s="15" t="n">
        <v>35.44</v>
      </c>
      <c r="C1361" s="15" t="n">
        <v>38.32</v>
      </c>
      <c r="D1361" s="14" t="n">
        <f aca="false">AVERAGE(B1342:B1361)</f>
        <v>29.3105</v>
      </c>
      <c r="E1361" s="14" t="n">
        <f aca="false">(B1361-D1361)/D1361*100</f>
        <v>20.9123010525238</v>
      </c>
    </row>
    <row r="1362" customFormat="false" ht="15" hidden="false" customHeight="false" outlineLevel="0" collapsed="false">
      <c r="A1362" s="12" t="n">
        <v>43984</v>
      </c>
      <c r="B1362" s="15" t="n">
        <v>36.81</v>
      </c>
      <c r="C1362" s="15" t="n">
        <v>39.57</v>
      </c>
      <c r="D1362" s="14" t="n">
        <f aca="false">AVERAGE(B1343:B1362)</f>
        <v>30.1315</v>
      </c>
      <c r="E1362" s="14" t="n">
        <f aca="false">(B1362-D1362)/D1362*100</f>
        <v>22.1645122214294</v>
      </c>
    </row>
    <row r="1363" customFormat="false" ht="15" hidden="false" customHeight="false" outlineLevel="0" collapsed="false">
      <c r="A1363" s="12" t="n">
        <v>43985</v>
      </c>
      <c r="B1363" s="15" t="n">
        <v>37.29</v>
      </c>
      <c r="C1363" s="15" t="n">
        <v>39.79</v>
      </c>
      <c r="D1363" s="14" t="n">
        <f aca="false">AVERAGE(B1344:B1363)</f>
        <v>30.768</v>
      </c>
      <c r="E1363" s="14" t="n">
        <f aca="false">(B1363-D1363)/D1363*100</f>
        <v>21.1973478939158</v>
      </c>
    </row>
    <row r="1364" customFormat="false" ht="15" hidden="false" customHeight="false" outlineLevel="0" collapsed="false">
      <c r="A1364" s="12" t="n">
        <v>43986</v>
      </c>
      <c r="B1364" s="15" t="n">
        <v>37.41</v>
      </c>
      <c r="C1364" s="15" t="n">
        <v>39.99</v>
      </c>
      <c r="D1364" s="14" t="n">
        <f aca="false">AVERAGE(B1345:B1364)</f>
        <v>31.439</v>
      </c>
      <c r="E1364" s="14" t="n">
        <f aca="false">(B1364-D1364)/D1364*100</f>
        <v>18.9923343617799</v>
      </c>
    </row>
    <row r="1365" customFormat="false" ht="15" hidden="false" customHeight="false" outlineLevel="0" collapsed="false">
      <c r="A1365" s="12" t="n">
        <v>43987</v>
      </c>
      <c r="B1365" s="15" t="n">
        <v>39.55</v>
      </c>
      <c r="C1365" s="15" t="n">
        <v>42.3</v>
      </c>
      <c r="D1365" s="14" t="n">
        <f aca="false">AVERAGE(B1346:B1365)</f>
        <v>32.239</v>
      </c>
      <c r="E1365" s="14" t="n">
        <f aca="false">(B1365-D1365)/D1365*100</f>
        <v>22.6775024039207</v>
      </c>
    </row>
    <row r="1366" customFormat="false" ht="15" hidden="false" customHeight="false" outlineLevel="0" collapsed="false">
      <c r="A1366" s="12" t="n">
        <v>43990</v>
      </c>
      <c r="B1366" s="15" t="n">
        <v>38.19</v>
      </c>
      <c r="C1366" s="15" t="n">
        <v>40.8</v>
      </c>
      <c r="D1366" s="14" t="n">
        <f aca="false">AVERAGE(B1347:B1366)</f>
        <v>32.9115</v>
      </c>
      <c r="E1366" s="14" t="n">
        <f aca="false">(B1366-D1366)/D1366*100</f>
        <v>16.0384667973201</v>
      </c>
    </row>
    <row r="1367" customFormat="false" ht="15" hidden="false" customHeight="false" outlineLevel="0" collapsed="false">
      <c r="A1367" s="12" t="n">
        <v>43991</v>
      </c>
      <c r="B1367" s="15" t="n">
        <v>38.94</v>
      </c>
      <c r="C1367" s="15" t="n">
        <v>41.18</v>
      </c>
      <c r="D1367" s="14" t="n">
        <f aca="false">AVERAGE(B1348:B1367)</f>
        <v>33.6515</v>
      </c>
      <c r="E1367" s="14" t="n">
        <f aca="false">(B1367-D1367)/D1367*100</f>
        <v>15.71549559455</v>
      </c>
    </row>
    <row r="1368" customFormat="false" ht="15" hidden="false" customHeight="false" outlineLevel="0" collapsed="false">
      <c r="A1368" s="12" t="n">
        <v>43992</v>
      </c>
      <c r="B1368" s="15" t="n">
        <v>39.6</v>
      </c>
      <c r="C1368" s="15" t="n">
        <v>41.73</v>
      </c>
      <c r="D1368" s="14" t="n">
        <f aca="false">AVERAGE(B1349:B1368)</f>
        <v>34.3425</v>
      </c>
      <c r="E1368" s="14" t="n">
        <f aca="false">(B1368-D1368)/D1368*100</f>
        <v>15.3090194365582</v>
      </c>
    </row>
    <row r="1369" customFormat="false" ht="15" hidden="false" customHeight="false" outlineLevel="0" collapsed="false">
      <c r="A1369" s="12" t="n">
        <v>43993</v>
      </c>
      <c r="B1369" s="15" t="n">
        <v>36.34</v>
      </c>
      <c r="C1369" s="15" t="n">
        <v>38.55</v>
      </c>
      <c r="D1369" s="14" t="n">
        <f aca="false">AVERAGE(B1350:B1369)</f>
        <v>34.895</v>
      </c>
      <c r="E1369" s="14" t="n">
        <f aca="false">(B1369-D1369)/D1369*100</f>
        <v>4.14099441180687</v>
      </c>
    </row>
    <row r="1370" customFormat="false" ht="15" hidden="false" customHeight="false" outlineLevel="0" collapsed="false">
      <c r="A1370" s="12" t="n">
        <v>43994</v>
      </c>
      <c r="B1370" s="15" t="n">
        <v>36.26</v>
      </c>
      <c r="C1370" s="15" t="n">
        <v>38.73</v>
      </c>
      <c r="D1370" s="14" t="n">
        <f aca="false">AVERAGE(B1351:B1370)</f>
        <v>35.33</v>
      </c>
      <c r="E1370" s="14" t="n">
        <f aca="false">(B1370-D1370)/D1370*100</f>
        <v>2.63232380413246</v>
      </c>
    </row>
    <row r="1371" customFormat="false" ht="15" hidden="false" customHeight="false" outlineLevel="0" collapsed="false">
      <c r="A1371" s="12" t="n">
        <v>43997</v>
      </c>
      <c r="B1371" s="15" t="n">
        <v>37.12</v>
      </c>
      <c r="C1371" s="15" t="n">
        <v>39.72</v>
      </c>
      <c r="D1371" s="14" t="n">
        <f aca="false">AVERAGE(B1352:B1371)</f>
        <v>35.7145</v>
      </c>
      <c r="E1371" s="14" t="n">
        <f aca="false">(B1371-D1371)/D1371*100</f>
        <v>3.93537638774166</v>
      </c>
    </row>
    <row r="1372" customFormat="false" ht="15" hidden="false" customHeight="false" outlineLevel="0" collapsed="false">
      <c r="A1372" s="12" t="n">
        <v>43998</v>
      </c>
      <c r="B1372" s="15" t="n">
        <v>38.38</v>
      </c>
      <c r="C1372" s="15" t="n">
        <v>40.96</v>
      </c>
      <c r="D1372" s="14" t="n">
        <f aca="false">AVERAGE(B1353:B1372)</f>
        <v>36.0425</v>
      </c>
      <c r="E1372" s="14" t="n">
        <f aca="false">(B1372-D1372)/D1372*100</f>
        <v>6.48539918152181</v>
      </c>
    </row>
    <row r="1373" customFormat="false" ht="15" hidden="false" customHeight="false" outlineLevel="0" collapsed="false">
      <c r="A1373" s="12" t="n">
        <v>43999</v>
      </c>
      <c r="B1373" s="15" t="n">
        <v>37.96</v>
      </c>
      <c r="C1373" s="15" t="n">
        <v>40.71</v>
      </c>
      <c r="D1373" s="14" t="n">
        <f aca="false">AVERAGE(B1354:B1373)</f>
        <v>36.3155</v>
      </c>
      <c r="E1373" s="14" t="n">
        <f aca="false">(B1373-D1373)/D1373*100</f>
        <v>4.52836942903168</v>
      </c>
    </row>
    <row r="1374" customFormat="false" ht="15" hidden="false" customHeight="false" outlineLevel="0" collapsed="false">
      <c r="A1374" s="12" t="n">
        <v>44000</v>
      </c>
      <c r="B1374" s="15" t="n">
        <v>38.84</v>
      </c>
      <c r="C1374" s="15" t="n">
        <v>41.51</v>
      </c>
      <c r="D1374" s="14" t="n">
        <f aca="false">AVERAGE(B1355:B1374)</f>
        <v>36.583</v>
      </c>
      <c r="E1374" s="14" t="n">
        <f aca="false">(B1374-D1374)/D1374*100</f>
        <v>6.16953229642185</v>
      </c>
    </row>
    <row r="1375" customFormat="false" ht="15" hidden="false" customHeight="false" outlineLevel="0" collapsed="false">
      <c r="A1375" s="12" t="n">
        <v>44001</v>
      </c>
      <c r="B1375" s="15" t="n">
        <v>39.75</v>
      </c>
      <c r="C1375" s="15" t="n">
        <v>42.19</v>
      </c>
      <c r="D1375" s="14" t="n">
        <f aca="false">AVERAGE(B1356:B1375)</f>
        <v>36.8745</v>
      </c>
      <c r="E1375" s="14" t="n">
        <f aca="false">(B1375-D1375)/D1375*100</f>
        <v>7.79807183826222</v>
      </c>
    </row>
    <row r="1376" customFormat="false" ht="15" hidden="false" customHeight="false" outlineLevel="0" collapsed="false">
      <c r="A1376" s="12" t="n">
        <v>44004</v>
      </c>
      <c r="B1376" s="15" t="n">
        <v>40.46</v>
      </c>
      <c r="C1376" s="15" t="n">
        <v>43.08</v>
      </c>
      <c r="D1376" s="14" t="n">
        <f aca="false">AVERAGE(B1357:B1376)</f>
        <v>37.235</v>
      </c>
      <c r="E1376" s="14" t="n">
        <f aca="false">(B1376-D1376)/D1376*100</f>
        <v>8.6612058547066</v>
      </c>
    </row>
    <row r="1377" customFormat="false" ht="15" hidden="false" customHeight="false" outlineLevel="0" collapsed="false">
      <c r="A1377" s="12" t="n">
        <v>44005</v>
      </c>
      <c r="B1377" s="15" t="n">
        <v>40.37</v>
      </c>
      <c r="C1377" s="15" t="n">
        <v>42.63</v>
      </c>
      <c r="D1377" s="14" t="n">
        <f aca="false">AVERAGE(B1358:B1377)</f>
        <v>37.536</v>
      </c>
      <c r="E1377" s="14" t="n">
        <f aca="false">(B1377-D1377)/D1377*100</f>
        <v>7.55008525149189</v>
      </c>
    </row>
    <row r="1378" customFormat="false" ht="15" hidden="false" customHeight="false" outlineLevel="0" collapsed="false">
      <c r="A1378" s="12" t="n">
        <v>44006</v>
      </c>
      <c r="B1378" s="15" t="n">
        <v>38.01</v>
      </c>
      <c r="C1378" s="15" t="n">
        <v>40.31</v>
      </c>
      <c r="D1378" s="14" t="n">
        <f aca="false">AVERAGE(B1359:B1378)</f>
        <v>37.796</v>
      </c>
      <c r="E1378" s="14" t="n">
        <f aca="false">(B1378-D1378)/D1378*100</f>
        <v>0.56619748121494</v>
      </c>
    </row>
    <row r="1379" customFormat="false" ht="15" hidden="false" customHeight="false" outlineLevel="0" collapsed="false">
      <c r="A1379" s="12" t="n">
        <v>44007</v>
      </c>
      <c r="B1379" s="15" t="n">
        <v>38.72</v>
      </c>
      <c r="C1379" s="15" t="n">
        <v>41.05</v>
      </c>
      <c r="D1379" s="14" t="n">
        <f aca="false">AVERAGE(B1360:B1379)</f>
        <v>38.0465</v>
      </c>
      <c r="E1379" s="14" t="n">
        <f aca="false">(B1379-D1379)/D1379*100</f>
        <v>1.77020225250681</v>
      </c>
    </row>
    <row r="1380" customFormat="false" ht="15" hidden="false" customHeight="false" outlineLevel="0" collapsed="false">
      <c r="A1380" s="12" t="n">
        <v>44008</v>
      </c>
      <c r="B1380" s="15" t="n">
        <v>38.49</v>
      </c>
      <c r="C1380" s="15" t="n">
        <v>41.02</v>
      </c>
      <c r="D1380" s="14" t="n">
        <f aca="false">AVERAGE(B1361:B1380)</f>
        <v>38.1965</v>
      </c>
      <c r="E1380" s="14" t="n">
        <f aca="false">(B1380-D1380)/D1380*100</f>
        <v>0.768395010014011</v>
      </c>
    </row>
    <row r="1381" customFormat="false" ht="15" hidden="false" customHeight="false" outlineLevel="0" collapsed="false">
      <c r="A1381" s="12" t="n">
        <v>44011</v>
      </c>
      <c r="B1381" s="15" t="n">
        <v>39.7</v>
      </c>
      <c r="C1381" s="15" t="n">
        <v>41.71</v>
      </c>
      <c r="D1381" s="14" t="n">
        <f aca="false">AVERAGE(B1362:B1381)</f>
        <v>38.4095</v>
      </c>
      <c r="E1381" s="14" t="n">
        <f aca="false">(B1381-D1381)/D1381*100</f>
        <v>3.35984587146409</v>
      </c>
    </row>
    <row r="1382" customFormat="false" ht="15" hidden="false" customHeight="false" outlineLevel="0" collapsed="false">
      <c r="A1382" s="12" t="n">
        <v>44012</v>
      </c>
      <c r="B1382" s="15" t="n">
        <v>39.27</v>
      </c>
      <c r="C1382" s="15" t="n">
        <v>41.15</v>
      </c>
      <c r="D1382" s="14" t="n">
        <f aca="false">AVERAGE(B1363:B1382)</f>
        <v>38.5325</v>
      </c>
      <c r="E1382" s="14" t="n">
        <f aca="false">(B1382-D1382)/D1382*100</f>
        <v>1.91396872769741</v>
      </c>
    </row>
    <row r="1383" customFormat="false" ht="15" hidden="false" customHeight="false" outlineLevel="0" collapsed="false">
      <c r="A1383" s="12" t="n">
        <v>44013</v>
      </c>
      <c r="B1383" s="15" t="n">
        <v>39.82</v>
      </c>
      <c r="C1383" s="15" t="n">
        <v>42.03</v>
      </c>
      <c r="D1383" s="14" t="n">
        <f aca="false">AVERAGE(B1364:B1383)</f>
        <v>38.659</v>
      </c>
      <c r="E1383" s="14" t="n">
        <f aca="false">(B1383-D1383)/D1383*100</f>
        <v>3.0031816653302</v>
      </c>
    </row>
    <row r="1384" customFormat="false" ht="15" hidden="false" customHeight="false" outlineLevel="0" collapsed="false">
      <c r="A1384" s="12" t="n">
        <v>44014</v>
      </c>
      <c r="B1384" s="15" t="n">
        <v>40.65</v>
      </c>
      <c r="C1384" s="15" t="n">
        <v>43.14</v>
      </c>
      <c r="D1384" s="14" t="n">
        <f aca="false">AVERAGE(B1365:B1384)</f>
        <v>38.821</v>
      </c>
      <c r="E1384" s="14" t="n">
        <f aca="false">(B1384-D1384)/D1384*100</f>
        <v>4.7113675587955</v>
      </c>
    </row>
    <row r="1385" customFormat="false" ht="15" hidden="false" customHeight="false" outlineLevel="0" collapsed="false">
      <c r="A1385" s="12" t="n">
        <v>44018</v>
      </c>
      <c r="B1385" s="15" t="n">
        <v>40.63</v>
      </c>
      <c r="C1385" s="15" t="n">
        <v>43.1</v>
      </c>
      <c r="D1385" s="14" t="n">
        <f aca="false">AVERAGE(B1366:B1385)</f>
        <v>38.875</v>
      </c>
      <c r="E1385" s="14" t="n">
        <f aca="false">(B1385-D1385)/D1385*100</f>
        <v>4.51446945337621</v>
      </c>
    </row>
    <row r="1386" customFormat="false" ht="15" hidden="false" customHeight="false" outlineLevel="0" collapsed="false">
      <c r="A1386" s="12" t="n">
        <v>44019</v>
      </c>
      <c r="B1386" s="15" t="n">
        <v>40.62</v>
      </c>
      <c r="C1386" s="15" t="n">
        <v>43.08</v>
      </c>
      <c r="D1386" s="14" t="n">
        <f aca="false">AVERAGE(B1367:B1386)</f>
        <v>38.9965</v>
      </c>
      <c r="E1386" s="14" t="n">
        <f aca="false">(B1386-D1386)/D1386*100</f>
        <v>4.16319413280677</v>
      </c>
    </row>
    <row r="1387" customFormat="false" ht="15" hidden="false" customHeight="false" outlineLevel="0" collapsed="false">
      <c r="A1387" s="12" t="n">
        <v>44020</v>
      </c>
      <c r="B1387" s="15" t="n">
        <v>40.9</v>
      </c>
      <c r="C1387" s="15" t="n">
        <v>43.29</v>
      </c>
      <c r="D1387" s="14" t="n">
        <f aca="false">AVERAGE(B1368:B1387)</f>
        <v>39.0945</v>
      </c>
      <c r="E1387" s="14" t="n">
        <f aca="false">(B1387-D1387)/D1387*100</f>
        <v>4.61829669135045</v>
      </c>
    </row>
    <row r="1388" customFormat="false" ht="15" hidden="false" customHeight="false" outlineLevel="0" collapsed="false">
      <c r="A1388" s="12" t="n">
        <v>44021</v>
      </c>
      <c r="B1388" s="15" t="n">
        <v>39.62</v>
      </c>
      <c r="C1388" s="15" t="n">
        <v>42.35</v>
      </c>
      <c r="D1388" s="14" t="n">
        <f aca="false">AVERAGE(B1369:B1388)</f>
        <v>39.0955</v>
      </c>
      <c r="E1388" s="14" t="n">
        <f aca="false">(B1388-D1388)/D1388*100</f>
        <v>1.34158662761698</v>
      </c>
    </row>
    <row r="1389" customFormat="false" ht="15" hidden="false" customHeight="false" outlineLevel="0" collapsed="false">
      <c r="A1389" s="12" t="n">
        <v>44022</v>
      </c>
      <c r="B1389" s="15" t="n">
        <v>40.55</v>
      </c>
      <c r="C1389" s="15" t="n">
        <v>43.24</v>
      </c>
      <c r="D1389" s="14" t="n">
        <f aca="false">AVERAGE(B1370:B1389)</f>
        <v>39.306</v>
      </c>
      <c r="E1389" s="14" t="n">
        <f aca="false">(B1389-D1389)/D1389*100</f>
        <v>3.16491120948456</v>
      </c>
    </row>
    <row r="1390" customFormat="false" ht="15" hidden="false" customHeight="false" outlineLevel="0" collapsed="false">
      <c r="A1390" s="12" t="n">
        <v>44025</v>
      </c>
      <c r="B1390" s="15" t="n">
        <v>40.1</v>
      </c>
      <c r="C1390" s="15" t="n">
        <v>42.72</v>
      </c>
      <c r="D1390" s="14" t="n">
        <f aca="false">AVERAGE(B1371:B1390)</f>
        <v>39.498</v>
      </c>
      <c r="E1390" s="14" t="n">
        <f aca="false">(B1390-D1390)/D1390*100</f>
        <v>1.52412780393943</v>
      </c>
    </row>
    <row r="1391" customFormat="false" ht="15" hidden="false" customHeight="false" outlineLevel="0" collapsed="false">
      <c r="A1391" s="12" t="n">
        <v>44026</v>
      </c>
      <c r="B1391" s="15" t="n">
        <v>40.29</v>
      </c>
      <c r="C1391" s="15" t="n">
        <v>42.9</v>
      </c>
      <c r="D1391" s="14" t="n">
        <f aca="false">AVERAGE(B1372:B1391)</f>
        <v>39.6565</v>
      </c>
      <c r="E1391" s="14" t="n">
        <f aca="false">(B1391-D1391)/D1391*100</f>
        <v>1.59746825867134</v>
      </c>
    </row>
    <row r="1392" customFormat="false" ht="15" hidden="false" customHeight="false" outlineLevel="0" collapsed="false">
      <c r="A1392" s="12" t="n">
        <v>44027</v>
      </c>
      <c r="B1392" s="15" t="n">
        <v>41.2</v>
      </c>
      <c r="C1392" s="15" t="n">
        <v>43.79</v>
      </c>
      <c r="D1392" s="14" t="n">
        <f aca="false">AVERAGE(B1373:B1392)</f>
        <v>39.7975</v>
      </c>
      <c r="E1392" s="14" t="n">
        <f aca="false">(B1392-D1392)/D1392*100</f>
        <v>3.52409070921541</v>
      </c>
    </row>
    <row r="1393" customFormat="false" ht="15" hidden="false" customHeight="false" outlineLevel="0" collapsed="false">
      <c r="A1393" s="12" t="n">
        <v>44028</v>
      </c>
      <c r="B1393" s="15" t="n">
        <v>40.75</v>
      </c>
      <c r="C1393" s="15" t="n">
        <v>43.37</v>
      </c>
      <c r="D1393" s="14" t="n">
        <f aca="false">AVERAGE(B1374:B1393)</f>
        <v>39.937</v>
      </c>
      <c r="E1393" s="14" t="n">
        <f aca="false">(B1393-D1393)/D1393*100</f>
        <v>2.03570623732379</v>
      </c>
    </row>
    <row r="1394" customFormat="false" ht="15" hidden="false" customHeight="false" outlineLevel="0" collapsed="false">
      <c r="A1394" s="12" t="n">
        <v>44029</v>
      </c>
      <c r="B1394" s="15" t="n">
        <v>40.59</v>
      </c>
      <c r="C1394" s="15" t="n">
        <v>43.14</v>
      </c>
      <c r="D1394" s="14" t="n">
        <f aca="false">AVERAGE(B1375:B1394)</f>
        <v>40.0245</v>
      </c>
      <c r="E1394" s="14" t="n">
        <f aca="false">(B1394-D1394)/D1394*100</f>
        <v>1.41288460817749</v>
      </c>
    </row>
    <row r="1395" customFormat="false" ht="15" hidden="false" customHeight="false" outlineLevel="0" collapsed="false">
      <c r="A1395" s="12" t="n">
        <v>44032</v>
      </c>
      <c r="B1395" s="15" t="n">
        <v>40.81</v>
      </c>
      <c r="C1395" s="15" t="n">
        <v>43.28</v>
      </c>
      <c r="D1395" s="14" t="n">
        <f aca="false">AVERAGE(B1376:B1395)</f>
        <v>40.0775</v>
      </c>
      <c r="E1395" s="14" t="n">
        <f aca="false">(B1395-D1395)/D1395*100</f>
        <v>1.82770881417254</v>
      </c>
    </row>
    <row r="1396" customFormat="false" ht="15" hidden="false" customHeight="false" outlineLevel="0" collapsed="false">
      <c r="A1396" s="12" t="n">
        <v>44033</v>
      </c>
      <c r="B1396" s="15" t="n">
        <v>41.96</v>
      </c>
      <c r="C1396" s="15" t="n">
        <v>44.32</v>
      </c>
      <c r="D1396" s="14" t="n">
        <f aca="false">AVERAGE(B1377:B1396)</f>
        <v>40.1525</v>
      </c>
      <c r="E1396" s="14" t="n">
        <f aca="false">(B1396-D1396)/D1396*100</f>
        <v>4.50158769690556</v>
      </c>
    </row>
    <row r="1397" customFormat="false" ht="15" hidden="false" customHeight="false" outlineLevel="0" collapsed="false">
      <c r="A1397" s="12" t="n">
        <v>44034</v>
      </c>
      <c r="B1397" s="15" t="n">
        <v>41.9</v>
      </c>
      <c r="C1397" s="15" t="n">
        <v>44.29</v>
      </c>
      <c r="D1397" s="14" t="n">
        <f aca="false">AVERAGE(B1378:B1397)</f>
        <v>40.229</v>
      </c>
      <c r="E1397" s="14" t="n">
        <f aca="false">(B1397-D1397)/D1397*100</f>
        <v>4.15371995326754</v>
      </c>
    </row>
    <row r="1398" customFormat="false" ht="15" hidden="false" customHeight="false" outlineLevel="0" collapsed="false">
      <c r="A1398" s="12" t="n">
        <v>44035</v>
      </c>
      <c r="B1398" s="15" t="n">
        <v>41.07</v>
      </c>
      <c r="C1398" s="15" t="n">
        <v>43.31</v>
      </c>
      <c r="D1398" s="14" t="n">
        <f aca="false">AVERAGE(B1379:B1398)</f>
        <v>40.382</v>
      </c>
      <c r="E1398" s="14" t="n">
        <f aca="false">(B1398-D1398)/D1398*100</f>
        <v>1.70372938437918</v>
      </c>
    </row>
    <row r="1399" customFormat="false" ht="15" hidden="false" customHeight="false" outlineLevel="0" collapsed="false">
      <c r="A1399" s="12" t="n">
        <v>44036</v>
      </c>
      <c r="B1399" s="15" t="n">
        <v>41.29</v>
      </c>
      <c r="C1399" s="15" t="n">
        <v>43.34</v>
      </c>
      <c r="D1399" s="14" t="n">
        <f aca="false">AVERAGE(B1380:B1399)</f>
        <v>40.5105</v>
      </c>
      <c r="E1399" s="14" t="n">
        <f aca="false">(B1399-D1399)/D1399*100</f>
        <v>1.9241924933042</v>
      </c>
    </row>
    <row r="1400" customFormat="false" ht="15" hidden="false" customHeight="false" outlineLevel="0" collapsed="false">
      <c r="A1400" s="12" t="n">
        <v>44039</v>
      </c>
      <c r="B1400" s="15" t="n">
        <v>41.6</v>
      </c>
      <c r="C1400" s="15" t="n">
        <v>43.41</v>
      </c>
      <c r="D1400" s="14" t="n">
        <f aca="false">AVERAGE(B1381:B1400)</f>
        <v>40.666</v>
      </c>
      <c r="E1400" s="14" t="n">
        <f aca="false">(B1400-D1400)/D1400*100</f>
        <v>2.29675896326169</v>
      </c>
    </row>
    <row r="1401" customFormat="false" ht="15" hidden="false" customHeight="false" outlineLevel="0" collapsed="false">
      <c r="A1401" s="12" t="n">
        <v>44040</v>
      </c>
      <c r="B1401" s="15" t="n">
        <v>41.04</v>
      </c>
      <c r="C1401" s="15" t="n">
        <v>43.22</v>
      </c>
      <c r="D1401" s="14" t="n">
        <f aca="false">AVERAGE(B1382:B1401)</f>
        <v>40.733</v>
      </c>
      <c r="E1401" s="14" t="n">
        <f aca="false">(B1401-D1401)/D1401*100</f>
        <v>0.753688655389984</v>
      </c>
    </row>
    <row r="1402" customFormat="false" ht="15" hidden="false" customHeight="false" outlineLevel="0" collapsed="false">
      <c r="A1402" s="12" t="n">
        <v>44041</v>
      </c>
      <c r="B1402" s="15" t="n">
        <v>41.27</v>
      </c>
      <c r="C1402" s="15" t="n">
        <v>43.75</v>
      </c>
      <c r="D1402" s="14" t="n">
        <f aca="false">AVERAGE(B1383:B1402)</f>
        <v>40.833</v>
      </c>
      <c r="E1402" s="14" t="n">
        <f aca="false">(B1402-D1402)/D1402*100</f>
        <v>1.07021281806383</v>
      </c>
    </row>
    <row r="1403" customFormat="false" ht="15" hidden="false" customHeight="false" outlineLevel="0" collapsed="false">
      <c r="A1403" s="12" t="n">
        <v>44042</v>
      </c>
      <c r="B1403" s="15" t="n">
        <v>39.92</v>
      </c>
      <c r="C1403" s="15" t="n">
        <v>42.94</v>
      </c>
      <c r="D1403" s="14" t="n">
        <f aca="false">AVERAGE(B1384:B1403)</f>
        <v>40.838</v>
      </c>
      <c r="E1403" s="14" t="n">
        <f aca="false">(B1403-D1403)/D1403*100</f>
        <v>-2.24790636172192</v>
      </c>
    </row>
    <row r="1404" customFormat="false" ht="15" hidden="false" customHeight="false" outlineLevel="0" collapsed="false">
      <c r="A1404" s="12" t="n">
        <v>44043</v>
      </c>
      <c r="B1404" s="15" t="n">
        <v>40.27</v>
      </c>
      <c r="C1404" s="15" t="n">
        <v>43.3</v>
      </c>
      <c r="D1404" s="14" t="n">
        <f aca="false">AVERAGE(B1385:B1404)</f>
        <v>40.819</v>
      </c>
      <c r="E1404" s="14" t="n">
        <f aca="false">(B1404-D1404)/D1404*100</f>
        <v>-1.34496190499522</v>
      </c>
    </row>
    <row r="1405" customFormat="false" ht="15" hidden="false" customHeight="false" outlineLevel="0" collapsed="false">
      <c r="A1405" s="12" t="n">
        <v>44046</v>
      </c>
      <c r="B1405" s="15" t="n">
        <v>41.01</v>
      </c>
      <c r="C1405" s="15" t="n">
        <v>44.15</v>
      </c>
      <c r="D1405" s="14" t="n">
        <f aca="false">AVERAGE(B1386:B1405)</f>
        <v>40.838</v>
      </c>
      <c r="E1405" s="14" t="n">
        <f aca="false">(B1405-D1405)/D1405*100</f>
        <v>0.421176355355299</v>
      </c>
    </row>
    <row r="1406" customFormat="false" ht="15" hidden="false" customHeight="false" outlineLevel="0" collapsed="false">
      <c r="A1406" s="12" t="n">
        <v>44047</v>
      </c>
      <c r="B1406" s="15" t="n">
        <v>41.7</v>
      </c>
      <c r="C1406" s="15" t="n">
        <v>44.43</v>
      </c>
      <c r="D1406" s="14" t="n">
        <f aca="false">AVERAGE(B1387:B1406)</f>
        <v>40.892</v>
      </c>
      <c r="E1406" s="14" t="n">
        <f aca="false">(B1406-D1406)/D1406*100</f>
        <v>1.97593661351854</v>
      </c>
    </row>
    <row r="1407" customFormat="false" ht="15" hidden="false" customHeight="false" outlineLevel="0" collapsed="false">
      <c r="A1407" s="12" t="n">
        <v>44048</v>
      </c>
      <c r="B1407" s="15" t="n">
        <v>42.19</v>
      </c>
      <c r="C1407" s="15" t="n">
        <v>45.17</v>
      </c>
      <c r="D1407" s="14" t="n">
        <f aca="false">AVERAGE(B1388:B1407)</f>
        <v>40.9565</v>
      </c>
      <c r="E1407" s="14" t="n">
        <f aca="false">(B1407-D1407)/D1407*100</f>
        <v>3.01173195951802</v>
      </c>
    </row>
    <row r="1408" customFormat="false" ht="15" hidden="false" customHeight="false" outlineLevel="0" collapsed="false">
      <c r="A1408" s="12" t="n">
        <v>44049</v>
      </c>
      <c r="B1408" s="15" t="n">
        <v>41.95</v>
      </c>
      <c r="C1408" s="15" t="n">
        <v>45.09</v>
      </c>
      <c r="D1408" s="14" t="n">
        <f aca="false">AVERAGE(B1389:B1408)</f>
        <v>41.073</v>
      </c>
      <c r="E1408" s="14" t="n">
        <f aca="false">(B1408-D1408)/D1408*100</f>
        <v>2.1352226523507</v>
      </c>
    </row>
    <row r="1409" customFormat="false" ht="15" hidden="false" customHeight="false" outlineLevel="0" collapsed="false">
      <c r="A1409" s="12" t="n">
        <v>44050</v>
      </c>
      <c r="B1409" s="15" t="n">
        <v>41.22</v>
      </c>
      <c r="C1409" s="15" t="n">
        <v>44.4</v>
      </c>
      <c r="D1409" s="14" t="n">
        <f aca="false">AVERAGE(B1390:B1409)</f>
        <v>41.1065</v>
      </c>
      <c r="E1409" s="14" t="n">
        <f aca="false">(B1409-D1409)/D1409*100</f>
        <v>0.276112050405658</v>
      </c>
    </row>
    <row r="1410" customFormat="false" ht="15" hidden="false" customHeight="false" outlineLevel="0" collapsed="false">
      <c r="A1410" s="12" t="n">
        <v>44053</v>
      </c>
      <c r="B1410" s="15" t="n">
        <v>41.94</v>
      </c>
      <c r="C1410" s="15" t="n">
        <v>44.99</v>
      </c>
      <c r="D1410" s="14" t="n">
        <f aca="false">AVERAGE(B1391:B1410)</f>
        <v>41.1985</v>
      </c>
      <c r="E1410" s="14" t="n">
        <f aca="false">(B1410-D1410)/D1410*100</f>
        <v>1.79982280908284</v>
      </c>
    </row>
    <row r="1411" customFormat="false" ht="15" hidden="false" customHeight="false" outlineLevel="0" collapsed="false">
      <c r="A1411" s="12" t="n">
        <v>44054</v>
      </c>
      <c r="B1411" s="15" t="n">
        <v>41.61</v>
      </c>
      <c r="C1411" s="15" t="n">
        <v>44.5</v>
      </c>
      <c r="D1411" s="14" t="n">
        <f aca="false">AVERAGE(B1392:B1411)</f>
        <v>41.2645</v>
      </c>
      <c r="E1411" s="14" t="n">
        <f aca="false">(B1411-D1411)/D1411*100</f>
        <v>0.837281440463355</v>
      </c>
    </row>
    <row r="1412" customFormat="false" ht="15" hidden="false" customHeight="false" outlineLevel="0" collapsed="false">
      <c r="A1412" s="12" t="n">
        <v>44055</v>
      </c>
      <c r="B1412" s="15" t="n">
        <v>42.67</v>
      </c>
      <c r="C1412" s="15" t="n">
        <v>45.43</v>
      </c>
      <c r="D1412" s="14" t="n">
        <f aca="false">AVERAGE(B1393:B1412)</f>
        <v>41.338</v>
      </c>
      <c r="E1412" s="14" t="n">
        <f aca="false">(B1412-D1412)/D1412*100</f>
        <v>3.22221684648508</v>
      </c>
    </row>
    <row r="1413" customFormat="false" ht="15" hidden="false" customHeight="false" outlineLevel="0" collapsed="false">
      <c r="A1413" s="12" t="n">
        <v>44056</v>
      </c>
      <c r="B1413" s="15" t="n">
        <v>42.24</v>
      </c>
      <c r="C1413" s="15" t="n">
        <v>44.96</v>
      </c>
      <c r="D1413" s="14" t="n">
        <f aca="false">AVERAGE(B1394:B1413)</f>
        <v>41.4125</v>
      </c>
      <c r="E1413" s="14" t="n">
        <f aca="false">(B1413-D1413)/D1413*100</f>
        <v>1.99818895261093</v>
      </c>
    </row>
    <row r="1414" customFormat="false" ht="15" hidden="false" customHeight="false" outlineLevel="0" collapsed="false">
      <c r="A1414" s="12" t="n">
        <v>44057</v>
      </c>
      <c r="B1414" s="15" t="n">
        <v>42.01</v>
      </c>
      <c r="C1414" s="15" t="n">
        <v>44.8</v>
      </c>
      <c r="D1414" s="14" t="n">
        <f aca="false">AVERAGE(B1395:B1414)</f>
        <v>41.4835</v>
      </c>
      <c r="E1414" s="14" t="n">
        <f aca="false">(B1414-D1414)/D1414*100</f>
        <v>1.26917931225668</v>
      </c>
    </row>
    <row r="1415" customFormat="false" ht="15" hidden="false" customHeight="false" outlineLevel="0" collapsed="false">
      <c r="A1415" s="12" t="n">
        <v>44060</v>
      </c>
      <c r="B1415" s="15" t="n">
        <v>42.89</v>
      </c>
      <c r="C1415" s="15" t="n">
        <v>45.37</v>
      </c>
      <c r="D1415" s="14" t="n">
        <f aca="false">AVERAGE(B1396:B1415)</f>
        <v>41.5875</v>
      </c>
      <c r="E1415" s="14" t="n">
        <f aca="false">(B1415-D1415)/D1415*100</f>
        <v>3.13195070634206</v>
      </c>
    </row>
    <row r="1416" customFormat="false" ht="15" hidden="false" customHeight="false" outlineLevel="0" collapsed="false">
      <c r="A1416" s="12" t="n">
        <v>44061</v>
      </c>
      <c r="B1416" s="15" t="n">
        <v>42.89</v>
      </c>
      <c r="C1416" s="15" t="n">
        <v>45.46</v>
      </c>
      <c r="D1416" s="14" t="n">
        <f aca="false">AVERAGE(B1397:B1416)</f>
        <v>41.634</v>
      </c>
      <c r="E1416" s="14" t="n">
        <f aca="false">(B1416-D1416)/D1416*100</f>
        <v>3.0167651438728</v>
      </c>
    </row>
    <row r="1417" customFormat="false" ht="15" hidden="false" customHeight="false" outlineLevel="0" collapsed="false">
      <c r="A1417" s="12" t="n">
        <v>44062</v>
      </c>
      <c r="B1417" s="15" t="n">
        <v>42.93</v>
      </c>
      <c r="C1417" s="15" t="n">
        <v>45.37</v>
      </c>
      <c r="D1417" s="14" t="n">
        <f aca="false">AVERAGE(B1398:B1417)</f>
        <v>41.6855</v>
      </c>
      <c r="E1417" s="14" t="n">
        <f aca="false">(B1417-D1417)/D1417*100</f>
        <v>2.98545057633948</v>
      </c>
    </row>
    <row r="1418" customFormat="false" ht="15" hidden="false" customHeight="false" outlineLevel="0" collapsed="false">
      <c r="A1418" s="12" t="n">
        <v>44063</v>
      </c>
      <c r="B1418" s="15" t="n">
        <v>42.58</v>
      </c>
      <c r="C1418" s="15" t="n">
        <v>44.9</v>
      </c>
      <c r="D1418" s="14" t="n">
        <f aca="false">AVERAGE(B1399:B1418)</f>
        <v>41.761</v>
      </c>
      <c r="E1418" s="14" t="n">
        <f aca="false">(B1418-D1418)/D1418*100</f>
        <v>1.96115993390962</v>
      </c>
    </row>
    <row r="1419" customFormat="false" ht="15" hidden="false" customHeight="false" outlineLevel="0" collapsed="false">
      <c r="A1419" s="12" t="n">
        <v>44064</v>
      </c>
      <c r="B1419" s="15" t="n">
        <v>42.34</v>
      </c>
      <c r="C1419" s="15" t="n">
        <v>44.35</v>
      </c>
      <c r="D1419" s="14" t="n">
        <f aca="false">AVERAGE(B1400:B1419)</f>
        <v>41.8135</v>
      </c>
      <c r="E1419" s="14" t="n">
        <f aca="false">(B1419-D1419)/D1419*100</f>
        <v>1.25916271060783</v>
      </c>
    </row>
    <row r="1420" customFormat="false" ht="15" hidden="false" customHeight="false" outlineLevel="0" collapsed="false">
      <c r="A1420" s="12" t="n">
        <v>44067</v>
      </c>
      <c r="B1420" s="15" t="n">
        <v>42.62</v>
      </c>
      <c r="C1420" s="15" t="n">
        <v>45.13</v>
      </c>
      <c r="D1420" s="14" t="n">
        <f aca="false">AVERAGE(B1401:B1420)</f>
        <v>41.8645</v>
      </c>
      <c r="E1420" s="14" t="n">
        <f aca="false">(B1420-D1420)/D1420*100</f>
        <v>1.80463160911989</v>
      </c>
    </row>
    <row r="1421" customFormat="false" ht="15" hidden="false" customHeight="false" outlineLevel="0" collapsed="false">
      <c r="A1421" s="12" t="n">
        <v>44068</v>
      </c>
      <c r="B1421" s="15" t="n">
        <v>43.35</v>
      </c>
      <c r="C1421" s="15" t="n">
        <v>45.86</v>
      </c>
      <c r="D1421" s="14" t="n">
        <f aca="false">AVERAGE(B1402:B1421)</f>
        <v>41.98</v>
      </c>
      <c r="E1421" s="14" t="n">
        <f aca="false">(B1421-D1421)/D1421*100</f>
        <v>3.26345878989995</v>
      </c>
    </row>
    <row r="1422" customFormat="false" ht="15" hidden="false" customHeight="false" outlineLevel="0" collapsed="false">
      <c r="A1422" s="12" t="n">
        <v>44069</v>
      </c>
      <c r="B1422" s="15" t="n">
        <v>43.39</v>
      </c>
      <c r="C1422" s="15" t="n">
        <v>45.64</v>
      </c>
      <c r="D1422" s="14" t="n">
        <f aca="false">AVERAGE(B1403:B1422)</f>
        <v>42.086</v>
      </c>
      <c r="E1422" s="14" t="n">
        <f aca="false">(B1422-D1422)/D1422*100</f>
        <v>3.09841752601816</v>
      </c>
    </row>
    <row r="1423" customFormat="false" ht="15" hidden="false" customHeight="false" outlineLevel="0" collapsed="false">
      <c r="A1423" s="12" t="n">
        <v>44070</v>
      </c>
      <c r="B1423" s="15" t="n">
        <v>43.04</v>
      </c>
      <c r="C1423" s="15" t="n">
        <v>45.09</v>
      </c>
      <c r="D1423" s="14" t="n">
        <f aca="false">AVERAGE(B1404:B1423)</f>
        <v>42.242</v>
      </c>
      <c r="E1423" s="14" t="n">
        <f aca="false">(B1423-D1423)/D1423*100</f>
        <v>1.8891150987169</v>
      </c>
    </row>
    <row r="1424" customFormat="false" ht="15" hidden="false" customHeight="false" outlineLevel="0" collapsed="false">
      <c r="A1424" s="12" t="n">
        <v>44071</v>
      </c>
      <c r="B1424" s="15" t="n">
        <v>42.97</v>
      </c>
      <c r="C1424" s="15" t="n">
        <v>45.05</v>
      </c>
      <c r="D1424" s="14" t="n">
        <f aca="false">AVERAGE(B1405:B1424)</f>
        <v>42.377</v>
      </c>
      <c r="E1424" s="14" t="n">
        <f aca="false">(B1424-D1424)/D1424*100</f>
        <v>1.39934398376479</v>
      </c>
    </row>
    <row r="1425" customFormat="false" ht="15" hidden="false" customHeight="false" outlineLevel="0" collapsed="false">
      <c r="A1425" s="12" t="n">
        <v>44074</v>
      </c>
      <c r="B1425" s="15" t="n">
        <v>42.61</v>
      </c>
      <c r="C1425" s="15" t="n">
        <v>45.28</v>
      </c>
      <c r="D1425" s="14" t="n">
        <f aca="false">AVERAGE(B1406:B1425)</f>
        <v>42.457</v>
      </c>
      <c r="E1425" s="14" t="n">
        <f aca="false">(B1425-D1425)/D1425*100</f>
        <v>0.360364604187763</v>
      </c>
    </row>
    <row r="1426" customFormat="false" ht="15" hidden="false" customHeight="false" outlineLevel="0" collapsed="false">
      <c r="A1426" s="12" t="n">
        <v>44075</v>
      </c>
      <c r="B1426" s="15" t="n">
        <v>42.76</v>
      </c>
      <c r="C1426" s="15" t="n">
        <v>45.58</v>
      </c>
      <c r="D1426" s="14" t="n">
        <f aca="false">AVERAGE(B1407:B1426)</f>
        <v>42.51</v>
      </c>
      <c r="E1426" s="14" t="n">
        <f aca="false">(B1426-D1426)/D1426*100</f>
        <v>0.588096918372131</v>
      </c>
    </row>
    <row r="1427" customFormat="false" ht="15" hidden="false" customHeight="false" outlineLevel="0" collapsed="false">
      <c r="A1427" s="12" t="n">
        <v>44076</v>
      </c>
      <c r="B1427" s="15" t="n">
        <v>41.51</v>
      </c>
      <c r="C1427" s="15" t="n">
        <v>44.43</v>
      </c>
      <c r="D1427" s="14" t="n">
        <f aca="false">AVERAGE(B1408:B1427)</f>
        <v>42.476</v>
      </c>
      <c r="E1427" s="14" t="n">
        <f aca="false">(B1427-D1427)/D1427*100</f>
        <v>-2.27422544495716</v>
      </c>
    </row>
    <row r="1428" customFormat="false" ht="15" hidden="false" customHeight="false" outlineLevel="0" collapsed="false">
      <c r="A1428" s="12" t="n">
        <v>44077</v>
      </c>
      <c r="B1428" s="15" t="n">
        <v>41.37</v>
      </c>
      <c r="C1428" s="15" t="n">
        <v>44.07</v>
      </c>
      <c r="D1428" s="14" t="n">
        <f aca="false">AVERAGE(B1409:B1428)</f>
        <v>42.447</v>
      </c>
      <c r="E1428" s="14" t="n">
        <f aca="false">(B1428-D1428)/D1428*100</f>
        <v>-2.5372817866987</v>
      </c>
    </row>
    <row r="1429" customFormat="false" ht="15" hidden="false" customHeight="false" outlineLevel="0" collapsed="false">
      <c r="A1429" s="12" t="n">
        <v>44078</v>
      </c>
      <c r="B1429" s="15" t="n">
        <v>39.77</v>
      </c>
      <c r="C1429" s="15" t="n">
        <v>42.66</v>
      </c>
      <c r="D1429" s="14" t="n">
        <f aca="false">AVERAGE(B1410:B1429)</f>
        <v>42.3745</v>
      </c>
      <c r="E1429" s="14" t="n">
        <f aca="false">(B1429-D1429)/D1429*100</f>
        <v>-6.14638520808504</v>
      </c>
    </row>
    <row r="1430" customFormat="false" ht="15" hidden="false" customHeight="false" outlineLevel="0" collapsed="false">
      <c r="A1430" s="12" t="n">
        <v>44082</v>
      </c>
      <c r="B1430" s="15" t="n">
        <v>36.76</v>
      </c>
      <c r="C1430" s="15" t="n">
        <v>39.78</v>
      </c>
      <c r="D1430" s="14" t="n">
        <f aca="false">AVERAGE(B1411:B1430)</f>
        <v>42.1155</v>
      </c>
      <c r="E1430" s="14" t="n">
        <f aca="false">(B1430-D1430)/D1430*100</f>
        <v>-12.7162208688013</v>
      </c>
    </row>
    <row r="1431" customFormat="false" ht="15" hidden="false" customHeight="false" outlineLevel="0" collapsed="false">
      <c r="A1431" s="12" t="n">
        <v>44083</v>
      </c>
      <c r="B1431" s="15" t="n">
        <v>38.05</v>
      </c>
      <c r="C1431" s="15" t="n">
        <v>40.79</v>
      </c>
      <c r="D1431" s="14" t="n">
        <f aca="false">AVERAGE(B1412:B1431)</f>
        <v>41.9375</v>
      </c>
      <c r="E1431" s="14" t="n">
        <f aca="false">(B1431-D1431)/D1431*100</f>
        <v>-9.26974664679583</v>
      </c>
    </row>
    <row r="1432" customFormat="false" ht="15" hidden="false" customHeight="false" outlineLevel="0" collapsed="false">
      <c r="A1432" s="12" t="n">
        <v>44084</v>
      </c>
      <c r="B1432" s="15" t="n">
        <v>37.3</v>
      </c>
      <c r="C1432" s="15" t="n">
        <v>40.06</v>
      </c>
      <c r="D1432" s="14" t="n">
        <f aca="false">AVERAGE(B1413:B1432)</f>
        <v>41.669</v>
      </c>
      <c r="E1432" s="14" t="n">
        <f aca="false">(B1432-D1432)/D1432*100</f>
        <v>-10.485012839281</v>
      </c>
    </row>
    <row r="1433" customFormat="false" ht="15" hidden="false" customHeight="false" outlineLevel="0" collapsed="false">
      <c r="A1433" s="12" t="n">
        <v>44085</v>
      </c>
      <c r="B1433" s="15" t="n">
        <v>37.33</v>
      </c>
      <c r="C1433" s="15" t="n">
        <v>39.83</v>
      </c>
      <c r="D1433" s="14" t="n">
        <f aca="false">AVERAGE(B1414:B1433)</f>
        <v>41.4235</v>
      </c>
      <c r="E1433" s="14" t="n">
        <f aca="false">(B1433-D1433)/D1433*100</f>
        <v>-9.88207177085472</v>
      </c>
    </row>
    <row r="1434" customFormat="false" ht="15" hidden="false" customHeight="false" outlineLevel="0" collapsed="false">
      <c r="A1434" s="12" t="n">
        <v>44088</v>
      </c>
      <c r="B1434" s="15" t="n">
        <v>37.26</v>
      </c>
      <c r="C1434" s="15" t="n">
        <v>39.61</v>
      </c>
      <c r="D1434" s="14" t="n">
        <f aca="false">AVERAGE(B1415:B1434)</f>
        <v>41.186</v>
      </c>
      <c r="E1434" s="14" t="n">
        <f aca="false">(B1434-D1434)/D1434*100</f>
        <v>-9.53236536687224</v>
      </c>
    </row>
    <row r="1435" customFormat="false" ht="15" hidden="false" customHeight="false" outlineLevel="0" collapsed="false">
      <c r="A1435" s="12" t="n">
        <v>44089</v>
      </c>
      <c r="B1435" s="15" t="n">
        <v>38.28</v>
      </c>
      <c r="C1435" s="15" t="n">
        <v>40.53</v>
      </c>
      <c r="D1435" s="14" t="n">
        <f aca="false">AVERAGE(B1416:B1435)</f>
        <v>40.9555</v>
      </c>
      <c r="E1435" s="14" t="n">
        <f aca="false">(B1435-D1435)/D1435*100</f>
        <v>-6.53270012574624</v>
      </c>
    </row>
    <row r="1436" customFormat="false" ht="15" hidden="false" customHeight="false" outlineLevel="0" collapsed="false">
      <c r="A1436" s="12" t="n">
        <v>44090</v>
      </c>
      <c r="B1436" s="15" t="n">
        <v>40.16</v>
      </c>
      <c r="C1436" s="15" t="n">
        <v>42.22</v>
      </c>
      <c r="D1436" s="14" t="n">
        <f aca="false">AVERAGE(B1417:B1436)</f>
        <v>40.819</v>
      </c>
      <c r="E1436" s="14" t="n">
        <f aca="false">(B1436-D1436)/D1436*100</f>
        <v>-1.61444425390138</v>
      </c>
    </row>
    <row r="1437" customFormat="false" ht="15" hidden="false" customHeight="false" outlineLevel="0" collapsed="false">
      <c r="A1437" s="12" t="n">
        <v>44091</v>
      </c>
      <c r="B1437" s="15" t="n">
        <v>40.97</v>
      </c>
      <c r="C1437" s="15" t="n">
        <v>43.3</v>
      </c>
      <c r="D1437" s="14" t="n">
        <f aca="false">AVERAGE(B1418:B1437)</f>
        <v>40.721</v>
      </c>
      <c r="E1437" s="14" t="n">
        <f aca="false">(B1437-D1437)/D1437*100</f>
        <v>0.611478107119183</v>
      </c>
    </row>
    <row r="1438" customFormat="false" ht="15" hidden="false" customHeight="false" outlineLevel="0" collapsed="false">
      <c r="A1438" s="12" t="n">
        <v>44092</v>
      </c>
      <c r="B1438" s="15" t="n">
        <v>41.11</v>
      </c>
      <c r="C1438" s="15" t="n">
        <v>43.15</v>
      </c>
      <c r="D1438" s="14" t="n">
        <f aca="false">AVERAGE(B1419:B1438)</f>
        <v>40.6475</v>
      </c>
      <c r="E1438" s="14" t="n">
        <f aca="false">(B1438-D1438)/D1438*100</f>
        <v>1.13783135494189</v>
      </c>
    </row>
    <row r="1439" customFormat="false" ht="15" hidden="false" customHeight="false" outlineLevel="0" collapsed="false">
      <c r="A1439" s="12" t="n">
        <v>44095</v>
      </c>
      <c r="B1439" s="15" t="n">
        <v>39.31</v>
      </c>
      <c r="C1439" s="15" t="n">
        <v>41.44</v>
      </c>
      <c r="D1439" s="14" t="n">
        <f aca="false">AVERAGE(B1420:B1439)</f>
        <v>40.496</v>
      </c>
      <c r="E1439" s="14" t="n">
        <f aca="false">(B1439-D1439)/D1439*100</f>
        <v>-2.92868431450018</v>
      </c>
    </row>
    <row r="1440" customFormat="false" ht="15" hidden="false" customHeight="false" outlineLevel="0" collapsed="false">
      <c r="A1440" s="12" t="n">
        <v>44096</v>
      </c>
      <c r="B1440" s="15" t="n">
        <v>39.6</v>
      </c>
      <c r="C1440" s="15" t="n">
        <v>41.72</v>
      </c>
      <c r="D1440" s="14" t="n">
        <f aca="false">AVERAGE(B1421:B1440)</f>
        <v>40.345</v>
      </c>
      <c r="E1440" s="14" t="n">
        <f aca="false">(B1440-D1440)/D1440*100</f>
        <v>-1.84657330524228</v>
      </c>
    </row>
    <row r="1441" customFormat="false" ht="15" hidden="false" customHeight="false" outlineLevel="0" collapsed="false">
      <c r="A1441" s="12" t="n">
        <v>44097</v>
      </c>
      <c r="B1441" s="15" t="n">
        <v>39.93</v>
      </c>
      <c r="C1441" s="15" t="n">
        <v>41.77</v>
      </c>
      <c r="D1441" s="14" t="n">
        <f aca="false">AVERAGE(B1422:B1441)</f>
        <v>40.174</v>
      </c>
      <c r="E1441" s="14" t="n">
        <f aca="false">(B1441-D1441)/D1441*100</f>
        <v>-0.607357992731617</v>
      </c>
    </row>
    <row r="1442" customFormat="false" ht="15" hidden="false" customHeight="false" outlineLevel="0" collapsed="false">
      <c r="A1442" s="12" t="n">
        <v>44098</v>
      </c>
      <c r="B1442" s="15" t="n">
        <v>40.31</v>
      </c>
      <c r="C1442" s="15" t="n">
        <v>41.94</v>
      </c>
      <c r="D1442" s="14" t="n">
        <f aca="false">AVERAGE(B1423:B1442)</f>
        <v>40.02</v>
      </c>
      <c r="E1442" s="14" t="n">
        <f aca="false">(B1442-D1442)/D1442*100</f>
        <v>0.724637681159436</v>
      </c>
    </row>
    <row r="1443" customFormat="false" ht="15" hidden="false" customHeight="false" outlineLevel="0" collapsed="false">
      <c r="A1443" s="12" t="n">
        <v>44099</v>
      </c>
      <c r="B1443" s="15" t="n">
        <v>40.25</v>
      </c>
      <c r="C1443" s="15" t="n">
        <v>41.92</v>
      </c>
      <c r="D1443" s="14" t="n">
        <f aca="false">AVERAGE(B1424:B1443)</f>
        <v>39.8805</v>
      </c>
      <c r="E1443" s="14" t="n">
        <f aca="false">(B1443-D1443)/D1443*100</f>
        <v>0.926517972442678</v>
      </c>
    </row>
    <row r="1444" customFormat="false" ht="15" hidden="false" customHeight="false" outlineLevel="0" collapsed="false">
      <c r="A1444" s="12" t="n">
        <v>44102</v>
      </c>
      <c r="B1444" s="15" t="n">
        <v>40.6</v>
      </c>
      <c r="C1444" s="15" t="n">
        <v>42.43</v>
      </c>
      <c r="D1444" s="14" t="n">
        <f aca="false">AVERAGE(B1425:B1444)</f>
        <v>39.762</v>
      </c>
      <c r="E1444" s="14" t="n">
        <f aca="false">(B1444-D1444)/D1444*100</f>
        <v>2.10753986217997</v>
      </c>
    </row>
    <row r="1445" customFormat="false" ht="15" hidden="false" customHeight="false" outlineLevel="0" collapsed="false">
      <c r="A1445" s="12" t="n">
        <v>44103</v>
      </c>
      <c r="B1445" s="15" t="n">
        <v>39.29</v>
      </c>
      <c r="C1445" s="15" t="n">
        <v>41.03</v>
      </c>
      <c r="D1445" s="14" t="n">
        <f aca="false">AVERAGE(B1426:B1445)</f>
        <v>39.596</v>
      </c>
      <c r="E1445" s="14" t="n">
        <f aca="false">(B1445-D1445)/D1445*100</f>
        <v>-0.772805333872102</v>
      </c>
    </row>
    <row r="1446" customFormat="false" ht="15" hidden="false" customHeight="false" outlineLevel="0" collapsed="false">
      <c r="A1446" s="12" t="n">
        <v>44104</v>
      </c>
      <c r="B1446" s="15" t="n">
        <v>40.22</v>
      </c>
      <c r="C1446" s="15" t="n">
        <v>40.95</v>
      </c>
      <c r="D1446" s="14" t="n">
        <f aca="false">AVERAGE(B1427:B1446)</f>
        <v>39.469</v>
      </c>
      <c r="E1446" s="14" t="n">
        <f aca="false">(B1446-D1446)/D1446*100</f>
        <v>1.90275912741645</v>
      </c>
    </row>
    <row r="1447" customFormat="false" ht="15" hidden="false" customHeight="false" outlineLevel="0" collapsed="false">
      <c r="A1447" s="12" t="n">
        <v>44105</v>
      </c>
      <c r="B1447" s="15" t="n">
        <v>38.72</v>
      </c>
      <c r="C1447" s="15" t="n">
        <v>40.93</v>
      </c>
      <c r="D1447" s="14" t="n">
        <f aca="false">AVERAGE(B1428:B1447)</f>
        <v>39.3295</v>
      </c>
      <c r="E1447" s="14" t="n">
        <f aca="false">(B1447-D1447)/D1447*100</f>
        <v>-1.54972730393217</v>
      </c>
    </row>
    <row r="1448" customFormat="false" ht="15" hidden="false" customHeight="false" outlineLevel="0" collapsed="false">
      <c r="A1448" s="12" t="n">
        <v>44106</v>
      </c>
      <c r="B1448" s="15" t="n">
        <v>37.05</v>
      </c>
      <c r="C1448" s="15" t="n">
        <v>39.27</v>
      </c>
      <c r="D1448" s="14" t="n">
        <f aca="false">AVERAGE(B1429:B1448)</f>
        <v>39.1135</v>
      </c>
      <c r="E1448" s="14" t="n">
        <f aca="false">(B1448-D1448)/D1448*100</f>
        <v>-5.27567208252906</v>
      </c>
    </row>
    <row r="1449" customFormat="false" ht="15" hidden="false" customHeight="false" outlineLevel="0" collapsed="false">
      <c r="A1449" s="12" t="n">
        <v>44109</v>
      </c>
      <c r="B1449" s="15" t="n">
        <v>39.22</v>
      </c>
      <c r="C1449" s="15" t="n">
        <v>41.29</v>
      </c>
      <c r="D1449" s="14" t="n">
        <f aca="false">AVERAGE(B1430:B1449)</f>
        <v>39.086</v>
      </c>
      <c r="E1449" s="14" t="n">
        <f aca="false">(B1449-D1449)/D1449*100</f>
        <v>0.34283375121527</v>
      </c>
    </row>
    <row r="1450" customFormat="false" ht="15" hidden="false" customHeight="false" outlineLevel="0" collapsed="false">
      <c r="A1450" s="12" t="n">
        <v>44110</v>
      </c>
      <c r="B1450" s="15" t="n">
        <v>40.67</v>
      </c>
      <c r="C1450" s="15" t="n">
        <v>42.65</v>
      </c>
      <c r="D1450" s="14" t="n">
        <f aca="false">AVERAGE(B1431:B1450)</f>
        <v>39.2815</v>
      </c>
      <c r="E1450" s="14" t="n">
        <f aca="false">(B1450-D1450)/D1450*100</f>
        <v>3.53474281786592</v>
      </c>
    </row>
    <row r="1451" customFormat="false" ht="15" hidden="false" customHeight="false" outlineLevel="0" collapsed="false">
      <c r="A1451" s="12" t="n">
        <v>44111</v>
      </c>
      <c r="B1451" s="15" t="n">
        <v>39.95</v>
      </c>
      <c r="C1451" s="15" t="n">
        <v>41.99</v>
      </c>
      <c r="D1451" s="14" t="n">
        <f aca="false">AVERAGE(B1432:B1451)</f>
        <v>39.3765</v>
      </c>
      <c r="E1451" s="14" t="n">
        <f aca="false">(B1451-D1451)/D1451*100</f>
        <v>1.45645245260499</v>
      </c>
    </row>
    <row r="1452" customFormat="false" ht="15" hidden="false" customHeight="false" outlineLevel="0" collapsed="false">
      <c r="A1452" s="12" t="n">
        <v>44112</v>
      </c>
      <c r="B1452" s="15" t="n">
        <v>41.19</v>
      </c>
      <c r="C1452" s="15" t="n">
        <v>43.34</v>
      </c>
      <c r="D1452" s="14" t="n">
        <f aca="false">AVERAGE(B1433:B1452)</f>
        <v>39.571</v>
      </c>
      <c r="E1452" s="14" t="n">
        <f aca="false">(B1452-D1452)/D1452*100</f>
        <v>4.09138005104748</v>
      </c>
    </row>
    <row r="1453" customFormat="false" ht="15" hidden="false" customHeight="false" outlineLevel="0" collapsed="false">
      <c r="A1453" s="12" t="n">
        <v>44113</v>
      </c>
      <c r="B1453" s="15" t="n">
        <v>40.6</v>
      </c>
      <c r="C1453" s="15" t="n">
        <v>42.85</v>
      </c>
      <c r="D1453" s="14" t="n">
        <f aca="false">AVERAGE(B1434:B1453)</f>
        <v>39.7345</v>
      </c>
      <c r="E1453" s="14" t="n">
        <f aca="false">(B1453-D1453)/D1453*100</f>
        <v>2.17820785463513</v>
      </c>
    </row>
    <row r="1454" customFormat="false" ht="15" hidden="false" customHeight="false" outlineLevel="0" collapsed="false">
      <c r="A1454" s="12" t="n">
        <v>44116</v>
      </c>
      <c r="B1454" s="15" t="n">
        <v>39.43</v>
      </c>
      <c r="C1454" s="15" t="n">
        <v>41.72</v>
      </c>
      <c r="D1454" s="14" t="n">
        <f aca="false">AVERAGE(B1435:B1454)</f>
        <v>39.843</v>
      </c>
      <c r="E1454" s="14" t="n">
        <f aca="false">(B1454-D1454)/D1454*100</f>
        <v>-1.03656853148609</v>
      </c>
    </row>
    <row r="1455" customFormat="false" ht="15" hidden="false" customHeight="false" outlineLevel="0" collapsed="false">
      <c r="A1455" s="12" t="n">
        <v>44117</v>
      </c>
      <c r="B1455" s="15" t="n">
        <v>40.2</v>
      </c>
      <c r="C1455" s="15" t="n">
        <v>42.45</v>
      </c>
      <c r="D1455" s="14" t="n">
        <f aca="false">AVERAGE(B1436:B1455)</f>
        <v>39.939</v>
      </c>
      <c r="E1455" s="14" t="n">
        <f aca="false">(B1455-D1455)/D1455*100</f>
        <v>0.653496582287996</v>
      </c>
    </row>
    <row r="1456" customFormat="false" ht="15" hidden="false" customHeight="false" outlineLevel="0" collapsed="false">
      <c r="A1456" s="12" t="n">
        <v>44118</v>
      </c>
      <c r="B1456" s="15" t="n">
        <v>41.04</v>
      </c>
      <c r="C1456" s="15" t="n">
        <v>43.32</v>
      </c>
      <c r="D1456" s="14" t="n">
        <f aca="false">AVERAGE(B1437:B1456)</f>
        <v>39.983</v>
      </c>
      <c r="E1456" s="14" t="n">
        <f aca="false">(B1456-D1456)/D1456*100</f>
        <v>2.64362354000451</v>
      </c>
    </row>
    <row r="1457" customFormat="false" ht="15" hidden="false" customHeight="false" outlineLevel="0" collapsed="false">
      <c r="A1457" s="12" t="n">
        <v>44119</v>
      </c>
      <c r="B1457" s="15" t="n">
        <v>40.96</v>
      </c>
      <c r="C1457" s="15" t="n">
        <v>43.16</v>
      </c>
      <c r="D1457" s="14" t="n">
        <f aca="false">AVERAGE(B1438:B1457)</f>
        <v>39.9825</v>
      </c>
      <c r="E1457" s="14" t="n">
        <f aca="false">(B1457-D1457)/D1457*100</f>
        <v>2.44481960857875</v>
      </c>
    </row>
    <row r="1458" customFormat="false" ht="15" hidden="false" customHeight="false" outlineLevel="0" collapsed="false">
      <c r="A1458" s="12" t="n">
        <v>44120</v>
      </c>
      <c r="B1458" s="15" t="n">
        <v>40.88</v>
      </c>
      <c r="C1458" s="15" t="n">
        <v>42.93</v>
      </c>
      <c r="D1458" s="14" t="n">
        <f aca="false">AVERAGE(B1439:B1458)</f>
        <v>39.971</v>
      </c>
      <c r="E1458" s="14" t="n">
        <f aca="false">(B1458-D1458)/D1458*100</f>
        <v>2.27414875784946</v>
      </c>
    </row>
    <row r="1459" customFormat="false" ht="15" hidden="false" customHeight="false" outlineLevel="0" collapsed="false">
      <c r="A1459" s="12" t="n">
        <v>44123</v>
      </c>
      <c r="B1459" s="15" t="n">
        <v>40.83</v>
      </c>
      <c r="C1459" s="15" t="n">
        <v>42.62</v>
      </c>
      <c r="D1459" s="14" t="n">
        <f aca="false">AVERAGE(B1440:B1459)</f>
        <v>40.047</v>
      </c>
      <c r="E1459" s="14" t="n">
        <f aca="false">(B1459-D1459)/D1459*100</f>
        <v>1.95520263690163</v>
      </c>
    </row>
    <row r="1460" customFormat="false" ht="15" hidden="false" customHeight="false" outlineLevel="0" collapsed="false">
      <c r="A1460" s="12" t="n">
        <v>44124</v>
      </c>
      <c r="B1460" s="15" t="n">
        <v>41.46</v>
      </c>
      <c r="C1460" s="15" t="n">
        <v>43.16</v>
      </c>
      <c r="D1460" s="14" t="n">
        <f aca="false">AVERAGE(B1441:B1460)</f>
        <v>40.14</v>
      </c>
      <c r="E1460" s="14" t="n">
        <f aca="false">(B1460-D1460)/D1460*100</f>
        <v>3.28849028400598</v>
      </c>
    </row>
    <row r="1461" customFormat="false" ht="15" hidden="false" customHeight="false" outlineLevel="0" collapsed="false">
      <c r="A1461" s="12" t="n">
        <v>44125</v>
      </c>
      <c r="B1461" s="15" t="n">
        <v>40.03</v>
      </c>
      <c r="C1461" s="15" t="n">
        <v>41.73</v>
      </c>
      <c r="D1461" s="14" t="n">
        <f aca="false">AVERAGE(B1442:B1461)</f>
        <v>40.145</v>
      </c>
      <c r="E1461" s="14" t="n">
        <f aca="false">(B1461-D1461)/D1461*100</f>
        <v>-0.286461576784145</v>
      </c>
    </row>
    <row r="1462" customFormat="false" ht="15" hidden="false" customHeight="false" outlineLevel="0" collapsed="false">
      <c r="A1462" s="12" t="n">
        <v>44126</v>
      </c>
      <c r="B1462" s="15" t="n">
        <v>40.64</v>
      </c>
      <c r="C1462" s="15" t="n">
        <v>42.46</v>
      </c>
      <c r="D1462" s="14" t="n">
        <f aca="false">AVERAGE(B1443:B1462)</f>
        <v>40.1615</v>
      </c>
      <c r="E1462" s="14" t="n">
        <f aca="false">(B1462-D1462)/D1462*100</f>
        <v>1.19143956276533</v>
      </c>
    </row>
    <row r="1463" customFormat="false" ht="15" hidden="false" customHeight="false" outlineLevel="0" collapsed="false">
      <c r="A1463" s="12" t="n">
        <v>44127</v>
      </c>
      <c r="B1463" s="15" t="n">
        <v>39.85</v>
      </c>
      <c r="C1463" s="15" t="n">
        <v>41.77</v>
      </c>
      <c r="D1463" s="14" t="n">
        <f aca="false">AVERAGE(B1444:B1463)</f>
        <v>40.1415</v>
      </c>
      <c r="E1463" s="14" t="n">
        <f aca="false">(B1463-D1463)/D1463*100</f>
        <v>-0.726181134237632</v>
      </c>
    </row>
    <row r="1464" customFormat="false" ht="15" hidden="false" customHeight="false" outlineLevel="0" collapsed="false">
      <c r="A1464" s="12" t="n">
        <v>44130</v>
      </c>
      <c r="B1464" s="15" t="n">
        <v>38.56</v>
      </c>
      <c r="C1464" s="15" t="n">
        <v>40.46</v>
      </c>
      <c r="D1464" s="14" t="n">
        <f aca="false">AVERAGE(B1445:B1464)</f>
        <v>40.0395</v>
      </c>
      <c r="E1464" s="14" t="n">
        <f aca="false">(B1464-D1464)/D1464*100</f>
        <v>-3.69510108767591</v>
      </c>
    </row>
    <row r="1465" customFormat="false" ht="15" hidden="false" customHeight="false" outlineLevel="0" collapsed="false">
      <c r="A1465" s="12" t="n">
        <v>44131</v>
      </c>
      <c r="B1465" s="15" t="n">
        <v>39.57</v>
      </c>
      <c r="C1465" s="15" t="n">
        <v>41.2</v>
      </c>
      <c r="D1465" s="14" t="n">
        <f aca="false">AVERAGE(B1446:B1465)</f>
        <v>40.0535</v>
      </c>
      <c r="E1465" s="14" t="n">
        <f aca="false">(B1465-D1465)/D1465*100</f>
        <v>-1.20713545632716</v>
      </c>
    </row>
    <row r="1466" customFormat="false" ht="15" hidden="false" customHeight="false" outlineLevel="0" collapsed="false">
      <c r="A1466" s="12" t="n">
        <v>44132</v>
      </c>
      <c r="B1466" s="15" t="n">
        <v>37.39</v>
      </c>
      <c r="C1466" s="15" t="n">
        <v>39.12</v>
      </c>
      <c r="D1466" s="14" t="n">
        <f aca="false">AVERAGE(B1447:B1466)</f>
        <v>39.912</v>
      </c>
      <c r="E1466" s="14" t="n">
        <f aca="false">(B1466-D1466)/D1466*100</f>
        <v>-6.31890158348366</v>
      </c>
    </row>
    <row r="1467" customFormat="false" ht="15" hidden="false" customHeight="false" outlineLevel="0" collapsed="false">
      <c r="A1467" s="12" t="n">
        <v>44133</v>
      </c>
      <c r="B1467" s="15" t="n">
        <v>36.17</v>
      </c>
      <c r="C1467" s="15" t="n">
        <v>37.65</v>
      </c>
      <c r="D1467" s="14" t="n">
        <f aca="false">AVERAGE(B1448:B1467)</f>
        <v>39.7845</v>
      </c>
      <c r="E1467" s="14" t="n">
        <f aca="false">(B1467-D1467)/D1467*100</f>
        <v>-9.08519649612286</v>
      </c>
    </row>
    <row r="1468" customFormat="false" ht="15" hidden="false" customHeight="false" outlineLevel="0" collapsed="false">
      <c r="A1468" s="12" t="n">
        <v>44134</v>
      </c>
      <c r="B1468" s="15" t="n">
        <v>35.79</v>
      </c>
      <c r="C1468" s="15" t="n">
        <v>37.46</v>
      </c>
      <c r="D1468" s="14" t="n">
        <f aca="false">AVERAGE(B1449:B1468)</f>
        <v>39.7215</v>
      </c>
      <c r="E1468" s="14" t="n">
        <f aca="false">(B1468-D1468)/D1468*100</f>
        <v>-9.89766247498208</v>
      </c>
    </row>
    <row r="1469" customFormat="false" ht="15" hidden="false" customHeight="false" outlineLevel="0" collapsed="false">
      <c r="A1469" s="12" t="n">
        <v>44137</v>
      </c>
      <c r="B1469" s="15" t="n">
        <v>36.81</v>
      </c>
      <c r="C1469" s="15" t="n">
        <v>38.97</v>
      </c>
      <c r="D1469" s="14" t="n">
        <f aca="false">AVERAGE(B1450:B1469)</f>
        <v>39.601</v>
      </c>
      <c r="E1469" s="14" t="n">
        <f aca="false">(B1469-D1469)/D1469*100</f>
        <v>-7.04780182318628</v>
      </c>
    </row>
    <row r="1470" customFormat="false" ht="15" hidden="false" customHeight="false" outlineLevel="0" collapsed="false">
      <c r="A1470" s="12" t="n">
        <v>44138</v>
      </c>
      <c r="B1470" s="15" t="n">
        <v>37.66</v>
      </c>
      <c r="C1470" s="15" t="n">
        <v>39.71</v>
      </c>
      <c r="D1470" s="14" t="n">
        <f aca="false">AVERAGE(B1451:B1470)</f>
        <v>39.4505</v>
      </c>
      <c r="E1470" s="14" t="n">
        <f aca="false">(B1470-D1470)/D1470*100</f>
        <v>-4.53859900381491</v>
      </c>
    </row>
    <row r="1471" customFormat="false" ht="15" hidden="false" customHeight="false" outlineLevel="0" collapsed="false">
      <c r="A1471" s="12" t="n">
        <v>44139</v>
      </c>
      <c r="B1471" s="15" t="n">
        <v>39.15</v>
      </c>
      <c r="C1471" s="15" t="n">
        <v>41.23</v>
      </c>
      <c r="D1471" s="14" t="n">
        <f aca="false">AVERAGE(B1452:B1471)</f>
        <v>39.4105</v>
      </c>
      <c r="E1471" s="14" t="n">
        <f aca="false">(B1471-D1471)/D1471*100</f>
        <v>-0.660991360170514</v>
      </c>
    </row>
    <row r="1472" customFormat="false" ht="15" hidden="false" customHeight="false" outlineLevel="0" collapsed="false">
      <c r="A1472" s="12" t="n">
        <v>44140</v>
      </c>
      <c r="B1472" s="15" t="n">
        <v>38.79</v>
      </c>
      <c r="C1472" s="15" t="n">
        <v>40.93</v>
      </c>
      <c r="D1472" s="14" t="n">
        <f aca="false">AVERAGE(B1453:B1472)</f>
        <v>39.2905</v>
      </c>
      <c r="E1472" s="14" t="n">
        <f aca="false">(B1472-D1472)/D1472*100</f>
        <v>-1.27384482253981</v>
      </c>
    </row>
    <row r="1473" customFormat="false" ht="15" hidden="false" customHeight="false" outlineLevel="0" collapsed="false">
      <c r="A1473" s="12" t="n">
        <v>44141</v>
      </c>
      <c r="B1473" s="15" t="n">
        <v>37.14</v>
      </c>
      <c r="C1473" s="15" t="n">
        <v>39.45</v>
      </c>
      <c r="D1473" s="14" t="n">
        <f aca="false">AVERAGE(B1454:B1473)</f>
        <v>39.1175</v>
      </c>
      <c r="E1473" s="14" t="n">
        <f aca="false">(B1473-D1473)/D1473*100</f>
        <v>-5.0552821627149</v>
      </c>
    </row>
    <row r="1474" customFormat="false" ht="15" hidden="false" customHeight="false" outlineLevel="0" collapsed="false">
      <c r="A1474" s="12" t="n">
        <v>44144</v>
      </c>
      <c r="B1474" s="15" t="n">
        <v>40.29</v>
      </c>
      <c r="C1474" s="15" t="n">
        <v>42.4</v>
      </c>
      <c r="D1474" s="14" t="n">
        <f aca="false">AVERAGE(B1455:B1474)</f>
        <v>39.1605</v>
      </c>
      <c r="E1474" s="14" t="n">
        <f aca="false">(B1474-D1474)/D1474*100</f>
        <v>2.88428390853028</v>
      </c>
    </row>
    <row r="1475" customFormat="false" ht="15" hidden="false" customHeight="false" outlineLevel="0" collapsed="false">
      <c r="A1475" s="12" t="n">
        <v>44145</v>
      </c>
      <c r="B1475" s="15" t="n">
        <v>41.36</v>
      </c>
      <c r="C1475" s="15" t="n">
        <v>43.61</v>
      </c>
      <c r="D1475" s="14" t="n">
        <f aca="false">AVERAGE(B1456:B1475)</f>
        <v>39.2185</v>
      </c>
      <c r="E1475" s="14" t="n">
        <f aca="false">(B1475-D1475)/D1475*100</f>
        <v>5.4604332139169</v>
      </c>
    </row>
    <row r="1476" customFormat="false" ht="15" hidden="false" customHeight="false" outlineLevel="0" collapsed="false">
      <c r="A1476" s="12" t="n">
        <v>44146</v>
      </c>
      <c r="B1476" s="15" t="n">
        <v>41.45</v>
      </c>
      <c r="C1476" s="15" t="n">
        <v>43.8</v>
      </c>
      <c r="D1476" s="14" t="n">
        <f aca="false">AVERAGE(B1457:B1476)</f>
        <v>39.239</v>
      </c>
      <c r="E1476" s="14" t="n">
        <f aca="false">(B1476-D1476)/D1476*100</f>
        <v>5.63470017074851</v>
      </c>
    </row>
    <row r="1477" customFormat="false" ht="15" hidden="false" customHeight="false" outlineLevel="0" collapsed="false">
      <c r="A1477" s="12" t="n">
        <v>44147</v>
      </c>
      <c r="B1477" s="15" t="n">
        <v>41.12</v>
      </c>
      <c r="C1477" s="15" t="n">
        <v>43.53</v>
      </c>
      <c r="D1477" s="14" t="n">
        <f aca="false">AVERAGE(B1458:B1477)</f>
        <v>39.247</v>
      </c>
      <c r="E1477" s="14" t="n">
        <f aca="false">(B1477-D1477)/D1477*100</f>
        <v>4.77233928707926</v>
      </c>
    </row>
    <row r="1478" customFormat="false" ht="15" hidden="false" customHeight="false" outlineLevel="0" collapsed="false">
      <c r="A1478" s="12" t="n">
        <v>44148</v>
      </c>
      <c r="B1478" s="15" t="n">
        <v>40.13</v>
      </c>
      <c r="C1478" s="15" t="n">
        <v>42.78</v>
      </c>
      <c r="D1478" s="14" t="n">
        <f aca="false">AVERAGE(B1459:B1478)</f>
        <v>39.2095</v>
      </c>
      <c r="E1478" s="14" t="n">
        <f aca="false">(B1478-D1478)/D1478*100</f>
        <v>2.34764534105254</v>
      </c>
    </row>
    <row r="1479" customFormat="false" ht="15" hidden="false" customHeight="false" outlineLevel="0" collapsed="false">
      <c r="A1479" s="12" t="n">
        <v>44151</v>
      </c>
      <c r="B1479" s="15" t="n">
        <v>41.34</v>
      </c>
      <c r="C1479" s="15" t="n">
        <v>43.82</v>
      </c>
      <c r="D1479" s="14" t="n">
        <f aca="false">AVERAGE(B1460:B1479)</f>
        <v>39.235</v>
      </c>
      <c r="E1479" s="14" t="n">
        <f aca="false">(B1479-D1479)/D1479*100</f>
        <v>5.36510768446541</v>
      </c>
    </row>
    <row r="1480" customFormat="false" ht="15" hidden="false" customHeight="false" outlineLevel="0" collapsed="false">
      <c r="A1480" s="12" t="n">
        <v>44152</v>
      </c>
      <c r="B1480" s="15" t="n">
        <v>41.43</v>
      </c>
      <c r="C1480" s="15" t="n">
        <v>43.75</v>
      </c>
      <c r="D1480" s="14" t="n">
        <f aca="false">AVERAGE(B1461:B1480)</f>
        <v>39.2335</v>
      </c>
      <c r="E1480" s="14" t="n">
        <f aca="false">(B1480-D1480)/D1480*100</f>
        <v>5.59853186689946</v>
      </c>
    </row>
    <row r="1481" customFormat="false" ht="15" hidden="false" customHeight="false" outlineLevel="0" collapsed="false">
      <c r="A1481" s="12" t="n">
        <v>44153</v>
      </c>
      <c r="B1481" s="15" t="n">
        <v>41.82</v>
      </c>
      <c r="C1481" s="15" t="n">
        <v>44.34</v>
      </c>
      <c r="D1481" s="14" t="n">
        <f aca="false">AVERAGE(B1462:B1481)</f>
        <v>39.323</v>
      </c>
      <c r="E1481" s="14" t="n">
        <f aca="false">(B1481-D1481)/D1481*100</f>
        <v>6.34997329806983</v>
      </c>
    </row>
    <row r="1482" customFormat="false" ht="15" hidden="false" customHeight="false" outlineLevel="0" collapsed="false">
      <c r="A1482" s="12" t="n">
        <v>44154</v>
      </c>
      <c r="B1482" s="15" t="n">
        <v>41.74</v>
      </c>
      <c r="C1482" s="15" t="n">
        <v>44.2</v>
      </c>
      <c r="D1482" s="14" t="n">
        <f aca="false">AVERAGE(B1463:B1482)</f>
        <v>39.378</v>
      </c>
      <c r="E1482" s="14" t="n">
        <f aca="false">(B1482-D1482)/D1482*100</f>
        <v>5.99827314744274</v>
      </c>
    </row>
    <row r="1483" customFormat="false" ht="15" hidden="false" customHeight="false" outlineLevel="0" collapsed="false">
      <c r="A1483" s="12" t="n">
        <v>44155</v>
      </c>
      <c r="B1483" s="15" t="n">
        <v>42.15</v>
      </c>
      <c r="C1483" s="15" t="n">
        <v>44.96</v>
      </c>
      <c r="D1483" s="14" t="n">
        <f aca="false">AVERAGE(B1464:B1483)</f>
        <v>39.493</v>
      </c>
      <c r="E1483" s="14" t="n">
        <f aca="false">(B1483-D1483)/D1483*100</f>
        <v>6.72777454232395</v>
      </c>
    </row>
    <row r="1484" customFormat="false" ht="15" hidden="false" customHeight="false" outlineLevel="0" collapsed="false">
      <c r="A1484" s="12" t="n">
        <v>44158</v>
      </c>
      <c r="B1484" s="15" t="n">
        <v>43.06</v>
      </c>
      <c r="C1484" s="15" t="n">
        <v>46.06</v>
      </c>
      <c r="D1484" s="14" t="n">
        <f aca="false">AVERAGE(B1465:B1484)</f>
        <v>39.718</v>
      </c>
      <c r="E1484" s="14" t="n">
        <f aca="false">(B1484-D1484)/D1484*100</f>
        <v>8.41432096278765</v>
      </c>
    </row>
    <row r="1485" customFormat="false" ht="15" hidden="false" customHeight="false" outlineLevel="0" collapsed="false">
      <c r="A1485" s="12" t="n">
        <v>44159</v>
      </c>
      <c r="B1485" s="15" t="n">
        <v>44.91</v>
      </c>
      <c r="C1485" s="15" t="n">
        <v>47.86</v>
      </c>
      <c r="D1485" s="14" t="n">
        <f aca="false">AVERAGE(B1466:B1485)</f>
        <v>39.985</v>
      </c>
      <c r="E1485" s="14" t="n">
        <f aca="false">(B1485-D1485)/D1485*100</f>
        <v>12.3171189195948</v>
      </c>
    </row>
    <row r="1486" customFormat="false" ht="15" hidden="false" customHeight="false" outlineLevel="0" collapsed="false">
      <c r="A1486" s="12" t="n">
        <v>44160</v>
      </c>
      <c r="B1486" s="15" t="n">
        <v>45.71</v>
      </c>
      <c r="C1486" s="15" t="n">
        <v>48.61</v>
      </c>
      <c r="D1486" s="14" t="n">
        <f aca="false">AVERAGE(B1467:B1486)</f>
        <v>40.401</v>
      </c>
      <c r="E1486" s="14" t="n">
        <f aca="false">(B1486-D1486)/D1486*100</f>
        <v>13.1407638424792</v>
      </c>
    </row>
    <row r="1487" customFormat="false" ht="15" hidden="false" customHeight="false" outlineLevel="0" collapsed="false">
      <c r="A1487" s="12" t="n">
        <v>44162</v>
      </c>
      <c r="B1487" s="15" t="n">
        <v>45.53</v>
      </c>
      <c r="C1487" s="15" t="n">
        <v>48.18</v>
      </c>
      <c r="D1487" s="14" t="n">
        <f aca="false">AVERAGE(B1468:B1487)</f>
        <v>40.869</v>
      </c>
      <c r="E1487" s="14" t="n">
        <f aca="false">(B1487-D1487)/D1487*100</f>
        <v>11.4047321931048</v>
      </c>
    </row>
    <row r="1488" customFormat="false" ht="15" hidden="false" customHeight="false" outlineLevel="0" collapsed="false">
      <c r="A1488" s="12" t="n">
        <v>44165</v>
      </c>
      <c r="B1488" s="15" t="n">
        <v>45.34</v>
      </c>
      <c r="C1488" s="15" t="n">
        <v>47.59</v>
      </c>
      <c r="D1488" s="14" t="n">
        <f aca="false">AVERAGE(B1469:B1488)</f>
        <v>41.3465</v>
      </c>
      <c r="E1488" s="14" t="n">
        <f aca="false">(B1488-D1488)/D1488*100</f>
        <v>9.65861681158017</v>
      </c>
    </row>
    <row r="1489" customFormat="false" ht="15" hidden="false" customHeight="false" outlineLevel="0" collapsed="false">
      <c r="A1489" s="12" t="n">
        <v>44166</v>
      </c>
      <c r="B1489" s="15" t="n">
        <v>44.55</v>
      </c>
      <c r="C1489" s="15" t="n">
        <v>47.42</v>
      </c>
      <c r="D1489" s="14" t="n">
        <f aca="false">AVERAGE(B1470:B1489)</f>
        <v>41.7335</v>
      </c>
      <c r="E1489" s="14" t="n">
        <f aca="false">(B1489-D1489)/D1489*100</f>
        <v>6.74877496495621</v>
      </c>
    </row>
    <row r="1490" customFormat="false" ht="15" hidden="false" customHeight="false" outlineLevel="0" collapsed="false">
      <c r="A1490" s="12" t="n">
        <v>44167</v>
      </c>
      <c r="B1490" s="15" t="n">
        <v>45.28</v>
      </c>
      <c r="C1490" s="15" t="n">
        <v>48.25</v>
      </c>
      <c r="D1490" s="14" t="n">
        <f aca="false">AVERAGE(B1471:B1490)</f>
        <v>42.1145</v>
      </c>
      <c r="E1490" s="14" t="n">
        <f aca="false">(B1490-D1490)/D1490*100</f>
        <v>7.51641358676941</v>
      </c>
    </row>
    <row r="1491" customFormat="false" ht="15" hidden="false" customHeight="false" outlineLevel="0" collapsed="false">
      <c r="A1491" s="12" t="n">
        <v>44168</v>
      </c>
      <c r="B1491" s="15" t="n">
        <v>45.64</v>
      </c>
      <c r="C1491" s="15" t="n">
        <v>48.71</v>
      </c>
      <c r="D1491" s="14" t="n">
        <f aca="false">AVERAGE(B1472:B1491)</f>
        <v>42.439</v>
      </c>
      <c r="E1491" s="14" t="n">
        <f aca="false">(B1491-D1491)/D1491*100</f>
        <v>7.5425905417187</v>
      </c>
    </row>
    <row r="1492" customFormat="false" ht="15" hidden="false" customHeight="false" outlineLevel="0" collapsed="false">
      <c r="A1492" s="12" t="n">
        <v>44169</v>
      </c>
      <c r="B1492" s="15" t="n">
        <v>46.26</v>
      </c>
      <c r="C1492" s="15" t="n">
        <v>49.25</v>
      </c>
      <c r="D1492" s="14" t="n">
        <f aca="false">AVERAGE(B1473:B1492)</f>
        <v>42.8125</v>
      </c>
      <c r="E1492" s="14" t="n">
        <f aca="false">(B1492-D1492)/D1492*100</f>
        <v>8.05255474452554</v>
      </c>
    </row>
    <row r="1493" customFormat="false" ht="15" hidden="false" customHeight="false" outlineLevel="0" collapsed="false">
      <c r="A1493" s="12" t="n">
        <v>44172</v>
      </c>
      <c r="B1493" s="15" t="n">
        <v>45.76</v>
      </c>
      <c r="C1493" s="15" t="n">
        <v>48.79</v>
      </c>
      <c r="D1493" s="14" t="n">
        <f aca="false">AVERAGE(B1474:B1493)</f>
        <v>43.2435</v>
      </c>
      <c r="E1493" s="14" t="n">
        <f aca="false">(B1493-D1493)/D1493*100</f>
        <v>5.81937169748055</v>
      </c>
    </row>
    <row r="1494" customFormat="false" ht="15" hidden="false" customHeight="false" outlineLevel="0" collapsed="false">
      <c r="A1494" s="12" t="n">
        <v>44173</v>
      </c>
      <c r="B1494" s="15" t="n">
        <v>45.6</v>
      </c>
      <c r="C1494" s="15" t="n">
        <v>48.84</v>
      </c>
      <c r="D1494" s="14" t="n">
        <f aca="false">AVERAGE(B1475:B1494)</f>
        <v>43.509</v>
      </c>
      <c r="E1494" s="14" t="n">
        <f aca="false">(B1494-D1494)/D1494*100</f>
        <v>4.80590222712543</v>
      </c>
    </row>
    <row r="1495" customFormat="false" ht="15" hidden="false" customHeight="false" outlineLevel="0" collapsed="false">
      <c r="A1495" s="12" t="n">
        <v>44174</v>
      </c>
      <c r="B1495" s="15" t="n">
        <v>45.52</v>
      </c>
      <c r="C1495" s="15" t="n">
        <v>48.86</v>
      </c>
      <c r="D1495" s="14" t="n">
        <f aca="false">AVERAGE(B1476:B1495)</f>
        <v>43.717</v>
      </c>
      <c r="E1495" s="14" t="n">
        <f aca="false">(B1495-D1495)/D1495*100</f>
        <v>4.12425372280807</v>
      </c>
    </row>
    <row r="1496" customFormat="false" ht="15" hidden="false" customHeight="false" outlineLevel="0" collapsed="false">
      <c r="A1496" s="12" t="n">
        <v>44175</v>
      </c>
      <c r="B1496" s="15" t="n">
        <v>46.78</v>
      </c>
      <c r="C1496" s="15" t="n">
        <v>50.25</v>
      </c>
      <c r="D1496" s="14" t="n">
        <f aca="false">AVERAGE(B1477:B1496)</f>
        <v>43.9835</v>
      </c>
      <c r="E1496" s="14" t="n">
        <f aca="false">(B1496-D1496)/D1496*100</f>
        <v>6.35806609296669</v>
      </c>
    </row>
    <row r="1497" customFormat="false" ht="15" hidden="false" customHeight="false" outlineLevel="0" collapsed="false">
      <c r="A1497" s="12" t="n">
        <v>44176</v>
      </c>
      <c r="B1497" s="15" t="n">
        <v>46.57</v>
      </c>
      <c r="C1497" s="15" t="n">
        <v>49.97</v>
      </c>
      <c r="D1497" s="14" t="n">
        <f aca="false">AVERAGE(B1478:B1497)</f>
        <v>44.256</v>
      </c>
      <c r="E1497" s="14" t="n">
        <f aca="false">(B1497-D1497)/D1497*100</f>
        <v>5.22866955892986</v>
      </c>
    </row>
    <row r="1498" customFormat="false" ht="15" hidden="false" customHeight="false" outlineLevel="0" collapsed="false">
      <c r="A1498" s="12" t="n">
        <v>44179</v>
      </c>
      <c r="B1498" s="15" t="n">
        <v>46.99</v>
      </c>
      <c r="C1498" s="15" t="n">
        <v>50.29</v>
      </c>
      <c r="D1498" s="14" t="n">
        <f aca="false">AVERAGE(B1479:B1498)</f>
        <v>44.599</v>
      </c>
      <c r="E1498" s="14" t="n">
        <f aca="false">(B1498-D1498)/D1498*100</f>
        <v>5.36110675127245</v>
      </c>
    </row>
    <row r="1499" customFormat="false" ht="15" hidden="false" customHeight="false" outlineLevel="0" collapsed="false">
      <c r="A1499" s="12" t="n">
        <v>44180</v>
      </c>
      <c r="B1499" s="15" t="n">
        <v>47.62</v>
      </c>
      <c r="C1499" s="15" t="n">
        <v>50.76</v>
      </c>
      <c r="D1499" s="14" t="n">
        <f aca="false">AVERAGE(B1480:B1499)</f>
        <v>44.913</v>
      </c>
      <c r="E1499" s="14" t="n">
        <f aca="false">(B1499-D1499)/D1499*100</f>
        <v>6.02720815799435</v>
      </c>
    </row>
    <row r="1500" customFormat="false" ht="15" hidden="false" customHeight="false" outlineLevel="0" collapsed="false">
      <c r="A1500" s="12" t="n">
        <v>44181</v>
      </c>
      <c r="B1500" s="15" t="n">
        <v>47.82</v>
      </c>
      <c r="C1500" s="15" t="n">
        <v>51.08</v>
      </c>
      <c r="D1500" s="14" t="n">
        <f aca="false">AVERAGE(B1481:B1500)</f>
        <v>45.2325</v>
      </c>
      <c r="E1500" s="14" t="n">
        <f aca="false">(B1500-D1500)/D1500*100</f>
        <v>5.72044437075112</v>
      </c>
    </row>
    <row r="1501" customFormat="false" ht="15" hidden="false" customHeight="false" outlineLevel="0" collapsed="false">
      <c r="A1501" s="12" t="n">
        <v>44182</v>
      </c>
      <c r="B1501" s="15" t="n">
        <v>48.36</v>
      </c>
      <c r="C1501" s="15" t="n">
        <v>51.5</v>
      </c>
      <c r="D1501" s="14" t="n">
        <f aca="false">AVERAGE(B1482:B1501)</f>
        <v>45.5595</v>
      </c>
      <c r="E1501" s="14" t="n">
        <f aca="false">(B1501-D1501)/D1501*100</f>
        <v>6.14690679221677</v>
      </c>
    </row>
    <row r="1502" customFormat="false" ht="15" hidden="false" customHeight="false" outlineLevel="0" collapsed="false">
      <c r="A1502" s="12" t="n">
        <v>44183</v>
      </c>
      <c r="B1502" s="15" t="n">
        <v>49.1</v>
      </c>
      <c r="C1502" s="15" t="n">
        <v>52.26</v>
      </c>
      <c r="D1502" s="14" t="n">
        <f aca="false">AVERAGE(B1483:B1502)</f>
        <v>45.9275</v>
      </c>
      <c r="E1502" s="14" t="n">
        <f aca="false">(B1502-D1502)/D1502*100</f>
        <v>6.9076261499102</v>
      </c>
    </row>
    <row r="1503" customFormat="false" ht="15" hidden="false" customHeight="false" outlineLevel="0" collapsed="false">
      <c r="A1503" s="12" t="n">
        <v>44186</v>
      </c>
      <c r="B1503" s="15" t="n">
        <v>47.74</v>
      </c>
      <c r="C1503" s="15" t="n">
        <v>50.91</v>
      </c>
      <c r="D1503" s="14" t="n">
        <f aca="false">AVERAGE(B1484:B1503)</f>
        <v>46.207</v>
      </c>
      <c r="E1503" s="14" t="n">
        <f aca="false">(B1503-D1503)/D1503*100</f>
        <v>3.31767913952432</v>
      </c>
    </row>
    <row r="1504" customFormat="false" ht="15" hidden="false" customHeight="false" outlineLevel="0" collapsed="false">
      <c r="A1504" s="12" t="n">
        <v>44187</v>
      </c>
      <c r="B1504" s="15" t="n">
        <v>47.02</v>
      </c>
      <c r="C1504" s="15" t="n">
        <v>50.08</v>
      </c>
      <c r="D1504" s="14" t="n">
        <f aca="false">AVERAGE(B1485:B1504)</f>
        <v>46.405</v>
      </c>
      <c r="E1504" s="14" t="n">
        <f aca="false">(B1504-D1504)/D1504*100</f>
        <v>1.32528822325181</v>
      </c>
    </row>
    <row r="1505" customFormat="false" ht="15" hidden="false" customHeight="false" outlineLevel="0" collapsed="false">
      <c r="A1505" s="12" t="n">
        <v>44188</v>
      </c>
      <c r="B1505" s="15" t="n">
        <v>48.12</v>
      </c>
      <c r="C1505" s="15" t="n">
        <v>51.2</v>
      </c>
      <c r="D1505" s="14" t="n">
        <f aca="false">AVERAGE(B1486:B1505)</f>
        <v>46.5655</v>
      </c>
      <c r="E1505" s="14" t="n">
        <f aca="false">(B1505-D1505)/D1505*100</f>
        <v>3.33830840429073</v>
      </c>
    </row>
    <row r="1506" customFormat="false" ht="15" hidden="false" customHeight="false" outlineLevel="0" collapsed="false">
      <c r="A1506" s="12" t="n">
        <v>44189</v>
      </c>
      <c r="B1506" s="15" t="n">
        <v>48.23</v>
      </c>
      <c r="C1506" s="15" t="n">
        <v>51.29</v>
      </c>
      <c r="D1506" s="14" t="n">
        <f aca="false">AVERAGE(B1487:B1506)</f>
        <v>46.6915</v>
      </c>
      <c r="E1506" s="14" t="n">
        <f aca="false">(B1506-D1506)/D1506*100</f>
        <v>3.29503228639044</v>
      </c>
    </row>
    <row r="1507" customFormat="false" ht="15" hidden="false" customHeight="false" outlineLevel="0" collapsed="false">
      <c r="A1507" s="12" t="n">
        <v>44193</v>
      </c>
      <c r="B1507" s="15" t="n">
        <v>47.62</v>
      </c>
      <c r="C1507" s="15" t="n">
        <v>50.86</v>
      </c>
      <c r="D1507" s="14" t="n">
        <f aca="false">AVERAGE(B1488:B1507)</f>
        <v>46.796</v>
      </c>
      <c r="E1507" s="14" t="n">
        <f aca="false">(B1507-D1507)/D1507*100</f>
        <v>1.7608342593384</v>
      </c>
    </row>
    <row r="1508" customFormat="false" ht="15" hidden="false" customHeight="false" outlineLevel="0" collapsed="false">
      <c r="A1508" s="12" t="n">
        <v>44194</v>
      </c>
      <c r="B1508" s="15" t="n">
        <v>48</v>
      </c>
      <c r="C1508" s="15" t="n">
        <v>51.09</v>
      </c>
      <c r="D1508" s="14" t="n">
        <f aca="false">AVERAGE(B1489:B1508)</f>
        <v>46.929</v>
      </c>
      <c r="E1508" s="14" t="n">
        <f aca="false">(B1508-D1508)/D1508*100</f>
        <v>2.28217093907818</v>
      </c>
    </row>
    <row r="1509" customFormat="false" ht="15" hidden="false" customHeight="false" outlineLevel="0" collapsed="false">
      <c r="A1509" s="12" t="n">
        <v>44195</v>
      </c>
      <c r="B1509" s="15" t="n">
        <v>48.4</v>
      </c>
      <c r="C1509" s="15" t="n">
        <v>51.34</v>
      </c>
      <c r="D1509" s="14" t="n">
        <f aca="false">AVERAGE(B1490:B1509)</f>
        <v>47.1215</v>
      </c>
      <c r="E1509" s="14" t="n">
        <f aca="false">(B1509-D1509)/D1509*100</f>
        <v>2.71319885827064</v>
      </c>
    </row>
    <row r="1510" customFormat="false" ht="15" hidden="false" customHeight="false" outlineLevel="0" collapsed="false">
      <c r="A1510" s="12" t="n">
        <v>44196</v>
      </c>
      <c r="B1510" s="15" t="n">
        <v>48.52</v>
      </c>
      <c r="C1510" s="15" t="n">
        <v>51.8</v>
      </c>
      <c r="D1510" s="14" t="n">
        <f aca="false">AVERAGE(B1491:B1510)</f>
        <v>47.2835</v>
      </c>
      <c r="E1510" s="14" t="n">
        <f aca="false">(B1510-D1510)/D1510*100</f>
        <v>2.6150771410746</v>
      </c>
    </row>
    <row r="1511" customFormat="false" ht="15" hidden="false" customHeight="false" outlineLevel="0" collapsed="false">
      <c r="A1511" s="12" t="n">
        <v>44200</v>
      </c>
      <c r="B1511" s="15" t="n">
        <v>47.62</v>
      </c>
      <c r="C1511" s="15" t="n">
        <v>51.09</v>
      </c>
      <c r="D1511" s="14" t="n">
        <f aca="false">AVERAGE(B1492:B1511)</f>
        <v>47.3825</v>
      </c>
      <c r="E1511" s="14" t="n">
        <f aca="false">(B1511-D1511)/D1511*100</f>
        <v>0.501239909249189</v>
      </c>
    </row>
    <row r="1512" customFormat="false" ht="15" hidden="false" customHeight="false" outlineLevel="0" collapsed="false">
      <c r="A1512" s="12" t="n">
        <v>44201</v>
      </c>
      <c r="B1512" s="15" t="n">
        <v>49.93</v>
      </c>
      <c r="C1512" s="15" t="n">
        <v>53.6</v>
      </c>
      <c r="D1512" s="14" t="n">
        <f aca="false">AVERAGE(B1493:B1512)</f>
        <v>47.566</v>
      </c>
      <c r="E1512" s="14" t="n">
        <f aca="false">(B1512-D1512)/D1512*100</f>
        <v>4.96993650927132</v>
      </c>
    </row>
    <row r="1513" customFormat="false" ht="15" hidden="false" customHeight="false" outlineLevel="0" collapsed="false">
      <c r="A1513" s="12" t="n">
        <v>44202</v>
      </c>
      <c r="B1513" s="15" t="n">
        <v>50.63</v>
      </c>
      <c r="C1513" s="15" t="n">
        <v>54.3</v>
      </c>
      <c r="D1513" s="14" t="n">
        <f aca="false">AVERAGE(B1494:B1513)</f>
        <v>47.8095</v>
      </c>
      <c r="E1513" s="14" t="n">
        <f aca="false">(B1513-D1513)/D1513*100</f>
        <v>5.89945512921073</v>
      </c>
    </row>
    <row r="1514" customFormat="false" ht="15" hidden="false" customHeight="false" outlineLevel="0" collapsed="false">
      <c r="A1514" s="12" t="n">
        <v>44203</v>
      </c>
      <c r="B1514" s="15" t="n">
        <v>50.83</v>
      </c>
      <c r="C1514" s="15" t="n">
        <v>54.38</v>
      </c>
      <c r="D1514" s="14" t="n">
        <f aca="false">AVERAGE(B1495:B1514)</f>
        <v>48.071</v>
      </c>
      <c r="E1514" s="14" t="n">
        <f aca="false">(B1514-D1514)/D1514*100</f>
        <v>5.7394270974184</v>
      </c>
    </row>
    <row r="1515" customFormat="false" ht="15" hidden="false" customHeight="false" outlineLevel="0" collapsed="false">
      <c r="A1515" s="12" t="n">
        <v>44204</v>
      </c>
      <c r="B1515" s="15" t="n">
        <v>52.24</v>
      </c>
      <c r="C1515" s="15" t="n">
        <v>55.99</v>
      </c>
      <c r="D1515" s="14" t="n">
        <f aca="false">AVERAGE(B1496:B1515)</f>
        <v>48.407</v>
      </c>
      <c r="E1515" s="14" t="n">
        <f aca="false">(B1515-D1515)/D1515*100</f>
        <v>7.91827628235587</v>
      </c>
    </row>
    <row r="1516" customFormat="false" ht="15" hidden="false" customHeight="false" outlineLevel="0" collapsed="false">
      <c r="A1516" s="12" t="n">
        <v>44207</v>
      </c>
      <c r="B1516" s="15" t="n">
        <v>52.25</v>
      </c>
      <c r="C1516" s="15" t="n">
        <v>55.66</v>
      </c>
      <c r="D1516" s="14" t="n">
        <f aca="false">AVERAGE(B1497:B1516)</f>
        <v>48.6805</v>
      </c>
      <c r="E1516" s="14" t="n">
        <f aca="false">(B1516-D1516)/D1516*100</f>
        <v>7.33250480171732</v>
      </c>
    </row>
    <row r="1517" customFormat="false" ht="15" hidden="false" customHeight="false" outlineLevel="0" collapsed="false">
      <c r="A1517" s="12" t="n">
        <v>44208</v>
      </c>
      <c r="B1517" s="15" t="n">
        <v>53.21</v>
      </c>
      <c r="C1517" s="15" t="n">
        <v>56.58</v>
      </c>
      <c r="D1517" s="14" t="n">
        <f aca="false">AVERAGE(B1498:B1517)</f>
        <v>49.0125</v>
      </c>
      <c r="E1517" s="14" t="n">
        <f aca="false">(B1517-D1517)/D1517*100</f>
        <v>8.56414180056108</v>
      </c>
    </row>
    <row r="1518" customFormat="false" ht="15" hidden="false" customHeight="false" outlineLevel="0" collapsed="false">
      <c r="A1518" s="12" t="n">
        <v>44209</v>
      </c>
      <c r="B1518" s="15" t="n">
        <v>52.91</v>
      </c>
      <c r="C1518" s="15" t="n">
        <v>56.06</v>
      </c>
      <c r="D1518" s="14" t="n">
        <f aca="false">AVERAGE(B1499:B1518)</f>
        <v>49.3085</v>
      </c>
      <c r="E1518" s="14" t="n">
        <f aca="false">(B1518-D1518)/D1518*100</f>
        <v>7.30401452082299</v>
      </c>
    </row>
    <row r="1519" customFormat="false" ht="15" hidden="false" customHeight="false" outlineLevel="0" collapsed="false">
      <c r="A1519" s="12" t="n">
        <v>44210</v>
      </c>
      <c r="B1519" s="15" t="n">
        <v>53.57</v>
      </c>
      <c r="C1519" s="15" t="n">
        <v>56.42</v>
      </c>
      <c r="D1519" s="14" t="n">
        <f aca="false">AVERAGE(B1500:B1519)</f>
        <v>49.606</v>
      </c>
      <c r="E1519" s="14" t="n">
        <f aca="false">(B1519-D1519)/D1519*100</f>
        <v>7.99096883441519</v>
      </c>
    </row>
    <row r="1520" customFormat="false" ht="15" hidden="false" customHeight="false" outlineLevel="0" collapsed="false">
      <c r="A1520" s="12" t="n">
        <v>44211</v>
      </c>
      <c r="B1520" s="15" t="n">
        <v>52.36</v>
      </c>
      <c r="C1520" s="15" t="n">
        <v>55.1</v>
      </c>
      <c r="D1520" s="14" t="n">
        <f aca="false">AVERAGE(B1501:B1520)</f>
        <v>49.833</v>
      </c>
      <c r="E1520" s="14" t="n">
        <f aca="false">(B1520-D1520)/D1520*100</f>
        <v>5.07093692934401</v>
      </c>
    </row>
    <row r="1521" customFormat="false" ht="15" hidden="false" customHeight="false" outlineLevel="0" collapsed="false">
      <c r="A1521" s="12" t="n">
        <v>44215</v>
      </c>
      <c r="B1521" s="15" t="n">
        <v>52.98</v>
      </c>
      <c r="C1521" s="15" t="n">
        <v>55.9</v>
      </c>
      <c r="D1521" s="14" t="n">
        <f aca="false">AVERAGE(B1502:B1521)</f>
        <v>50.064</v>
      </c>
      <c r="E1521" s="14" t="n">
        <f aca="false">(B1521-D1521)/D1521*100</f>
        <v>5.82454458293384</v>
      </c>
    </row>
    <row r="1522" customFormat="false" ht="15" hidden="false" customHeight="false" outlineLevel="0" collapsed="false">
      <c r="A1522" s="12" t="n">
        <v>44216</v>
      </c>
      <c r="B1522" s="15" t="n">
        <v>53.24</v>
      </c>
      <c r="C1522" s="15" t="n">
        <v>56.08</v>
      </c>
      <c r="D1522" s="14" t="n">
        <f aca="false">AVERAGE(B1503:B1522)</f>
        <v>50.271</v>
      </c>
      <c r="E1522" s="14" t="n">
        <f aca="false">(B1522-D1522)/D1522*100</f>
        <v>5.90598953671103</v>
      </c>
    </row>
    <row r="1523" customFormat="false" ht="15" hidden="false" customHeight="false" outlineLevel="0" collapsed="false">
      <c r="A1523" s="12" t="n">
        <v>44217</v>
      </c>
      <c r="B1523" s="15" t="n">
        <v>53.13</v>
      </c>
      <c r="C1523" s="15" t="n">
        <v>56.1</v>
      </c>
      <c r="D1523" s="14" t="n">
        <f aca="false">AVERAGE(B1504:B1523)</f>
        <v>50.5405</v>
      </c>
      <c r="E1523" s="14" t="n">
        <f aca="false">(B1523-D1523)/D1523*100</f>
        <v>5.12361373551906</v>
      </c>
    </row>
    <row r="1524" customFormat="false" ht="15" hidden="false" customHeight="false" outlineLevel="0" collapsed="false">
      <c r="A1524" s="12" t="n">
        <v>44218</v>
      </c>
      <c r="B1524" s="15" t="n">
        <v>52.27</v>
      </c>
      <c r="C1524" s="15" t="n">
        <v>55.41</v>
      </c>
      <c r="D1524" s="14" t="n">
        <f aca="false">AVERAGE(B1505:B1524)</f>
        <v>50.803</v>
      </c>
      <c r="E1524" s="14" t="n">
        <f aca="false">(B1524-D1524)/D1524*100</f>
        <v>2.8876247465701</v>
      </c>
    </row>
    <row r="1525" customFormat="false" ht="15" hidden="false" customHeight="false" outlineLevel="0" collapsed="false">
      <c r="A1525" s="12" t="n">
        <v>44221</v>
      </c>
      <c r="B1525" s="15" t="n">
        <v>52.77</v>
      </c>
      <c r="C1525" s="15" t="n">
        <v>55.88</v>
      </c>
      <c r="D1525" s="14" t="n">
        <f aca="false">AVERAGE(B1506:B1525)</f>
        <v>51.0355</v>
      </c>
      <c r="E1525" s="14" t="n">
        <f aca="false">(B1525-D1525)/D1525*100</f>
        <v>3.39861468977477</v>
      </c>
    </row>
    <row r="1526" customFormat="false" ht="15" hidden="false" customHeight="false" outlineLevel="0" collapsed="false">
      <c r="A1526" s="12" t="n">
        <v>44222</v>
      </c>
      <c r="B1526" s="15" t="n">
        <v>52.61</v>
      </c>
      <c r="C1526" s="15" t="n">
        <v>55.91</v>
      </c>
      <c r="D1526" s="14" t="n">
        <f aca="false">AVERAGE(B1507:B1526)</f>
        <v>51.2545</v>
      </c>
      <c r="E1526" s="14" t="n">
        <f aca="false">(B1526-D1526)/D1526*100</f>
        <v>2.64464583597539</v>
      </c>
    </row>
    <row r="1527" customFormat="false" ht="15" hidden="false" customHeight="false" outlineLevel="0" collapsed="false">
      <c r="A1527" s="12" t="n">
        <v>44223</v>
      </c>
      <c r="B1527" s="15" t="n">
        <v>52.85</v>
      </c>
      <c r="C1527" s="15" t="n">
        <v>55.81</v>
      </c>
      <c r="D1527" s="14" t="n">
        <f aca="false">AVERAGE(B1508:B1527)</f>
        <v>51.516</v>
      </c>
      <c r="E1527" s="14" t="n">
        <f aca="false">(B1527-D1527)/D1527*100</f>
        <v>2.58948676139452</v>
      </c>
    </row>
    <row r="1528" customFormat="false" ht="15" hidden="false" customHeight="false" outlineLevel="0" collapsed="false">
      <c r="A1528" s="12" t="n">
        <v>44224</v>
      </c>
      <c r="B1528" s="15" t="n">
        <v>52.34</v>
      </c>
      <c r="C1528" s="15" t="n">
        <v>55.53</v>
      </c>
      <c r="D1528" s="14" t="n">
        <f aca="false">AVERAGE(B1509:B1528)</f>
        <v>51.733</v>
      </c>
      <c r="E1528" s="14" t="n">
        <f aca="false">(B1528-D1528)/D1528*100</f>
        <v>1.17333230239885</v>
      </c>
    </row>
    <row r="1529" customFormat="false" ht="15" hidden="false" customHeight="false" outlineLevel="0" collapsed="false">
      <c r="A1529" s="12" t="n">
        <v>44225</v>
      </c>
      <c r="B1529" s="15" t="n">
        <v>52.2</v>
      </c>
      <c r="C1529" s="15" t="n">
        <v>55.88</v>
      </c>
      <c r="D1529" s="14" t="n">
        <f aca="false">AVERAGE(B1510:B1529)</f>
        <v>51.923</v>
      </c>
      <c r="E1529" s="14" t="n">
        <f aca="false">(B1529-D1529)/D1529*100</f>
        <v>0.53348227182559</v>
      </c>
    </row>
    <row r="1530" customFormat="false" ht="15" hidden="false" customHeight="false" outlineLevel="0" collapsed="false">
      <c r="A1530" s="12" t="n">
        <v>44228</v>
      </c>
      <c r="B1530" s="15" t="n">
        <v>53.55</v>
      </c>
      <c r="C1530" s="15" t="n">
        <v>56.35</v>
      </c>
      <c r="D1530" s="14" t="n">
        <f aca="false">AVERAGE(B1511:B1530)</f>
        <v>52.1745</v>
      </c>
      <c r="E1530" s="14" t="n">
        <f aca="false">(B1530-D1530)/D1530*100</f>
        <v>2.6363453411149</v>
      </c>
    </row>
    <row r="1531" customFormat="false" ht="15" hidden="false" customHeight="false" outlineLevel="0" collapsed="false">
      <c r="A1531" s="12" t="n">
        <v>44229</v>
      </c>
      <c r="B1531" s="15" t="n">
        <v>54.76</v>
      </c>
      <c r="C1531" s="15" t="n">
        <v>57.46</v>
      </c>
      <c r="D1531" s="14" t="n">
        <f aca="false">AVERAGE(B1512:B1531)</f>
        <v>52.5315</v>
      </c>
      <c r="E1531" s="14" t="n">
        <f aca="false">(B1531-D1531)/D1531*100</f>
        <v>4.24221657481699</v>
      </c>
    </row>
    <row r="1532" customFormat="false" ht="15" hidden="false" customHeight="false" outlineLevel="0" collapsed="false">
      <c r="A1532" s="12" t="n">
        <v>44230</v>
      </c>
      <c r="B1532" s="15" t="n">
        <v>55.69</v>
      </c>
      <c r="C1532" s="15" t="n">
        <v>58.46</v>
      </c>
      <c r="D1532" s="14" t="n">
        <f aca="false">AVERAGE(B1513:B1532)</f>
        <v>52.8195</v>
      </c>
      <c r="E1532" s="14" t="n">
        <f aca="false">(B1532-D1532)/D1532*100</f>
        <v>5.4345459536724</v>
      </c>
    </row>
    <row r="1533" customFormat="false" ht="15" hidden="false" customHeight="false" outlineLevel="0" collapsed="false">
      <c r="A1533" s="12" t="n">
        <v>44231</v>
      </c>
      <c r="B1533" s="15" t="n">
        <v>56.23</v>
      </c>
      <c r="C1533" s="15" t="n">
        <v>58.84</v>
      </c>
      <c r="D1533" s="14" t="n">
        <f aca="false">AVERAGE(B1514:B1533)</f>
        <v>53.0995</v>
      </c>
      <c r="E1533" s="14" t="n">
        <f aca="false">(B1533-D1533)/D1533*100</f>
        <v>5.8955357395079</v>
      </c>
    </row>
    <row r="1534" customFormat="false" ht="15" hidden="false" customHeight="false" outlineLevel="0" collapsed="false">
      <c r="A1534" s="12" t="n">
        <v>44232</v>
      </c>
      <c r="B1534" s="15" t="n">
        <v>56.85</v>
      </c>
      <c r="C1534" s="15" t="n">
        <v>59.34</v>
      </c>
      <c r="D1534" s="14" t="n">
        <f aca="false">AVERAGE(B1515:B1534)</f>
        <v>53.4005</v>
      </c>
      <c r="E1534" s="14" t="n">
        <f aca="false">(B1534-D1534)/D1534*100</f>
        <v>6.4596773438451</v>
      </c>
    </row>
    <row r="1535" customFormat="false" ht="15" hidden="false" customHeight="false" outlineLevel="0" collapsed="false">
      <c r="A1535" s="12" t="n">
        <v>44235</v>
      </c>
      <c r="B1535" s="15" t="n">
        <v>57.97</v>
      </c>
      <c r="C1535" s="15" t="n">
        <v>60.56</v>
      </c>
      <c r="D1535" s="14" t="n">
        <f aca="false">AVERAGE(B1516:B1535)</f>
        <v>53.687</v>
      </c>
      <c r="E1535" s="14" t="n">
        <f aca="false">(B1535-D1535)/D1535*100</f>
        <v>7.97772272617207</v>
      </c>
    </row>
    <row r="1536" customFormat="false" ht="15" hidden="false" customHeight="false" outlineLevel="0" collapsed="false">
      <c r="A1536" s="12" t="n">
        <v>44236</v>
      </c>
      <c r="B1536" s="15" t="n">
        <v>58.36</v>
      </c>
      <c r="C1536" s="15" t="n">
        <v>61.09</v>
      </c>
      <c r="D1536" s="14" t="n">
        <f aca="false">AVERAGE(B1517:B1536)</f>
        <v>53.9925</v>
      </c>
      <c r="E1536" s="14" t="n">
        <f aca="false">(B1536-D1536)/D1536*100</f>
        <v>8.08908644719175</v>
      </c>
    </row>
    <row r="1537" customFormat="false" ht="15" hidden="false" customHeight="false" outlineLevel="0" collapsed="false">
      <c r="A1537" s="12" t="n">
        <v>44237</v>
      </c>
      <c r="B1537" s="15" t="n">
        <v>58.68</v>
      </c>
      <c r="C1537" s="15" t="n">
        <v>61.47</v>
      </c>
      <c r="D1537" s="14" t="n">
        <f aca="false">AVERAGE(B1518:B1537)</f>
        <v>54.266</v>
      </c>
      <c r="E1537" s="14" t="n">
        <f aca="false">(B1537-D1537)/D1537*100</f>
        <v>8.13400656027716</v>
      </c>
    </row>
    <row r="1538" customFormat="false" ht="15" hidden="false" customHeight="false" outlineLevel="0" collapsed="false">
      <c r="A1538" s="12" t="n">
        <v>44238</v>
      </c>
      <c r="B1538" s="15" t="n">
        <v>58.24</v>
      </c>
      <c r="C1538" s="15" t="n">
        <v>61.14</v>
      </c>
      <c r="D1538" s="14" t="n">
        <f aca="false">AVERAGE(B1519:B1538)</f>
        <v>54.5325</v>
      </c>
      <c r="E1538" s="14" t="n">
        <f aca="false">(B1538-D1538)/D1538*100</f>
        <v>6.79869802411405</v>
      </c>
    </row>
    <row r="1539" customFormat="false" ht="15" hidden="false" customHeight="false" outlineLevel="0" collapsed="false">
      <c r="A1539" s="12" t="n">
        <v>44239</v>
      </c>
      <c r="B1539" s="15" t="n">
        <v>59.47</v>
      </c>
      <c r="C1539" s="15" t="n">
        <v>62.43</v>
      </c>
      <c r="D1539" s="14" t="n">
        <f aca="false">AVERAGE(B1520:B1539)</f>
        <v>54.8275</v>
      </c>
      <c r="E1539" s="14" t="n">
        <f aca="false">(B1539-D1539)/D1539*100</f>
        <v>8.46746614381469</v>
      </c>
    </row>
    <row r="1540" customFormat="false" ht="15" hidden="false" customHeight="false" outlineLevel="0" collapsed="false">
      <c r="A1540" s="12" t="n">
        <v>44243</v>
      </c>
      <c r="B1540" s="15" t="n">
        <v>60.05</v>
      </c>
      <c r="C1540" s="15" t="n">
        <v>63.35</v>
      </c>
      <c r="D1540" s="14" t="n">
        <f aca="false">AVERAGE(B1521:B1540)</f>
        <v>55.212</v>
      </c>
      <c r="E1540" s="14" t="n">
        <f aca="false">(B1540-D1540)/D1540*100</f>
        <v>8.76258784322248</v>
      </c>
    </row>
    <row r="1541" customFormat="false" ht="15" hidden="false" customHeight="false" outlineLevel="0" collapsed="false">
      <c r="A1541" s="12" t="n">
        <v>44244</v>
      </c>
      <c r="B1541" s="15" t="n">
        <v>61.14</v>
      </c>
      <c r="C1541" s="15" t="n">
        <v>64.34</v>
      </c>
      <c r="D1541" s="14" t="n">
        <f aca="false">AVERAGE(B1522:B1541)</f>
        <v>55.62</v>
      </c>
      <c r="E1541" s="14" t="n">
        <f aca="false">(B1541-D1541)/D1541*100</f>
        <v>9.9244875943905</v>
      </c>
    </row>
    <row r="1542" customFormat="false" ht="15" hidden="false" customHeight="false" outlineLevel="0" collapsed="false">
      <c r="A1542" s="12" t="n">
        <v>44245</v>
      </c>
      <c r="B1542" s="15" t="n">
        <v>60.52</v>
      </c>
      <c r="C1542" s="15" t="n">
        <v>63.93</v>
      </c>
      <c r="D1542" s="14" t="n">
        <f aca="false">AVERAGE(B1523:B1542)</f>
        <v>55.984</v>
      </c>
      <c r="E1542" s="14" t="n">
        <f aca="false">(B1542-D1542)/D1542*100</f>
        <v>8.10231494712775</v>
      </c>
    </row>
    <row r="1543" customFormat="false" ht="15" hidden="false" customHeight="false" outlineLevel="0" collapsed="false">
      <c r="A1543" s="12" t="n">
        <v>44246</v>
      </c>
      <c r="B1543" s="15" t="n">
        <v>59.24</v>
      </c>
      <c r="C1543" s="15" t="n">
        <v>62.91</v>
      </c>
      <c r="D1543" s="14" t="n">
        <f aca="false">AVERAGE(B1524:B1543)</f>
        <v>56.2895</v>
      </c>
      <c r="E1543" s="14" t="n">
        <f aca="false">(B1543-D1543)/D1543*100</f>
        <v>5.2416525284467</v>
      </c>
    </row>
    <row r="1544" customFormat="false" ht="15" hidden="false" customHeight="false" outlineLevel="0" collapsed="false">
      <c r="A1544" s="12" t="n">
        <v>44249</v>
      </c>
      <c r="B1544" s="15" t="n">
        <v>61.49</v>
      </c>
      <c r="C1544" s="15" t="n">
        <v>65.24</v>
      </c>
      <c r="D1544" s="14" t="n">
        <f aca="false">AVERAGE(B1525:B1544)</f>
        <v>56.7505</v>
      </c>
      <c r="E1544" s="14" t="n">
        <f aca="false">(B1544-D1544)/D1544*100</f>
        <v>8.35146826900203</v>
      </c>
    </row>
    <row r="1545" customFormat="false" ht="15" hidden="false" customHeight="false" outlineLevel="0" collapsed="false">
      <c r="A1545" s="12" t="n">
        <v>44250</v>
      </c>
      <c r="B1545" s="15" t="n">
        <v>61.67</v>
      </c>
      <c r="C1545" s="15" t="n">
        <v>65.37</v>
      </c>
      <c r="D1545" s="14" t="n">
        <f aca="false">AVERAGE(B1526:B1545)</f>
        <v>57.1955</v>
      </c>
      <c r="E1545" s="14" t="n">
        <f aca="false">(B1545-D1545)/D1545*100</f>
        <v>7.82316790656607</v>
      </c>
    </row>
    <row r="1546" customFormat="false" ht="15" hidden="false" customHeight="false" outlineLevel="0" collapsed="false">
      <c r="A1546" s="12" t="n">
        <v>44251</v>
      </c>
      <c r="B1546" s="15" t="n">
        <v>63.22</v>
      </c>
      <c r="C1546" s="15" t="n">
        <v>67.04</v>
      </c>
      <c r="D1546" s="14" t="n">
        <f aca="false">AVERAGE(B1527:B1546)</f>
        <v>57.726</v>
      </c>
      <c r="E1546" s="14" t="n">
        <f aca="false">(B1546-D1546)/D1546*100</f>
        <v>9.51737518622458</v>
      </c>
    </row>
    <row r="1547" customFormat="false" ht="15" hidden="false" customHeight="false" outlineLevel="0" collapsed="false">
      <c r="A1547" s="12" t="n">
        <v>44252</v>
      </c>
      <c r="B1547" s="15" t="n">
        <v>63.53</v>
      </c>
      <c r="C1547" s="15" t="n">
        <v>66.88</v>
      </c>
      <c r="D1547" s="14" t="n">
        <f aca="false">AVERAGE(B1528:B1547)</f>
        <v>58.26</v>
      </c>
      <c r="E1547" s="14" t="n">
        <f aca="false">(B1547-D1547)/D1547*100</f>
        <v>9.0456573978716</v>
      </c>
    </row>
    <row r="1548" customFormat="false" ht="15" hidden="false" customHeight="false" outlineLevel="0" collapsed="false">
      <c r="A1548" s="12" t="n">
        <v>44253</v>
      </c>
      <c r="B1548" s="15" t="n">
        <v>61.5</v>
      </c>
      <c r="C1548" s="15" t="n">
        <v>66.13</v>
      </c>
      <c r="D1548" s="14" t="n">
        <f aca="false">AVERAGE(B1529:B1548)</f>
        <v>58.718</v>
      </c>
      <c r="E1548" s="14" t="n">
        <f aca="false">(B1548-D1548)/D1548*100</f>
        <v>4.73789979222726</v>
      </c>
    </row>
    <row r="1549" customFormat="false" ht="15" hidden="false" customHeight="false" outlineLevel="0" collapsed="false">
      <c r="A1549" s="12" t="n">
        <v>44256</v>
      </c>
      <c r="B1549" s="15" t="n">
        <v>60.64</v>
      </c>
      <c r="C1549" s="15" t="n">
        <v>63.69</v>
      </c>
      <c r="D1549" s="14" t="n">
        <f aca="false">AVERAGE(B1530:B1549)</f>
        <v>59.14</v>
      </c>
      <c r="E1549" s="14" t="n">
        <f aca="false">(B1549-D1549)/D1549*100</f>
        <v>2.53635441325668</v>
      </c>
    </row>
    <row r="1550" customFormat="false" ht="15" hidden="false" customHeight="false" outlineLevel="0" collapsed="false">
      <c r="A1550" s="12" t="n">
        <v>44257</v>
      </c>
      <c r="B1550" s="15" t="n">
        <v>59.75</v>
      </c>
      <c r="C1550" s="15" t="n">
        <v>62.7</v>
      </c>
      <c r="D1550" s="14" t="n">
        <f aca="false">AVERAGE(B1531:B1550)</f>
        <v>59.45</v>
      </c>
      <c r="E1550" s="14" t="n">
        <f aca="false">(B1550-D1550)/D1550*100</f>
        <v>0.504625735912527</v>
      </c>
    </row>
    <row r="1551" customFormat="false" ht="15" hidden="false" customHeight="false" outlineLevel="0" collapsed="false">
      <c r="A1551" s="12" t="n">
        <v>44258</v>
      </c>
      <c r="B1551" s="15" t="n">
        <v>61.28</v>
      </c>
      <c r="C1551" s="15" t="n">
        <v>64.07</v>
      </c>
      <c r="D1551" s="14" t="n">
        <f aca="false">AVERAGE(B1532:B1551)</f>
        <v>59.776</v>
      </c>
      <c r="E1551" s="14" t="n">
        <f aca="false">(B1551-D1551)/D1551*100</f>
        <v>2.51605995717346</v>
      </c>
    </row>
    <row r="1552" customFormat="false" ht="15" hidden="false" customHeight="false" outlineLevel="0" collapsed="false">
      <c r="A1552" s="12" t="n">
        <v>44259</v>
      </c>
      <c r="B1552" s="15" t="n">
        <v>63.83</v>
      </c>
      <c r="C1552" s="15" t="n">
        <v>66.74</v>
      </c>
      <c r="D1552" s="14" t="n">
        <f aca="false">AVERAGE(B1533:B1552)</f>
        <v>60.183</v>
      </c>
      <c r="E1552" s="14" t="n">
        <f aca="false">(B1552-D1552)/D1552*100</f>
        <v>6.05985078842861</v>
      </c>
    </row>
    <row r="1553" customFormat="false" ht="15" hidden="false" customHeight="false" outlineLevel="0" collapsed="false">
      <c r="A1553" s="12" t="n">
        <v>44260</v>
      </c>
      <c r="B1553" s="15" t="n">
        <v>66.09</v>
      </c>
      <c r="C1553" s="15" t="n">
        <v>69.36</v>
      </c>
      <c r="D1553" s="14" t="n">
        <f aca="false">AVERAGE(B1534:B1553)</f>
        <v>60.676</v>
      </c>
      <c r="E1553" s="14" t="n">
        <f aca="false">(B1553-D1553)/D1553*100</f>
        <v>8.92280308523964</v>
      </c>
    </row>
    <row r="1554" customFormat="false" ht="15" hidden="false" customHeight="false" outlineLevel="0" collapsed="false">
      <c r="A1554" s="12" t="n">
        <v>44263</v>
      </c>
      <c r="B1554" s="15" t="n">
        <v>65.05</v>
      </c>
      <c r="C1554" s="15" t="n">
        <v>68.24</v>
      </c>
      <c r="D1554" s="14" t="n">
        <f aca="false">AVERAGE(B1535:B1554)</f>
        <v>61.086</v>
      </c>
      <c r="E1554" s="14" t="n">
        <f aca="false">(B1554-D1554)/D1554*100</f>
        <v>6.48921193072062</v>
      </c>
    </row>
    <row r="1555" customFormat="false" ht="15" hidden="false" customHeight="false" outlineLevel="0" collapsed="false">
      <c r="A1555" s="12" t="n">
        <v>44264</v>
      </c>
      <c r="B1555" s="15" t="n">
        <v>64.01</v>
      </c>
      <c r="C1555" s="15" t="n">
        <v>67.52</v>
      </c>
      <c r="D1555" s="14" t="n">
        <f aca="false">AVERAGE(B1536:B1555)</f>
        <v>61.388</v>
      </c>
      <c r="E1555" s="14" t="n">
        <f aca="false">(B1555-D1555)/D1555*100</f>
        <v>4.27119306704895</v>
      </c>
    </row>
    <row r="1556" customFormat="false" ht="15" hidden="false" customHeight="false" outlineLevel="0" collapsed="false">
      <c r="A1556" s="12" t="n">
        <v>44265</v>
      </c>
      <c r="B1556" s="15" t="n">
        <v>64.44</v>
      </c>
      <c r="C1556" s="15" t="n">
        <v>67.9</v>
      </c>
      <c r="D1556" s="14" t="n">
        <f aca="false">AVERAGE(B1537:B1556)</f>
        <v>61.692</v>
      </c>
      <c r="E1556" s="14" t="n">
        <f aca="false">(B1556-D1556)/D1556*100</f>
        <v>4.45438630616612</v>
      </c>
    </row>
    <row r="1557" customFormat="false" ht="15" hidden="false" customHeight="false" outlineLevel="0" collapsed="false">
      <c r="A1557" s="12" t="n">
        <v>44266</v>
      </c>
      <c r="B1557" s="15" t="n">
        <v>66.02</v>
      </c>
      <c r="C1557" s="15" t="n">
        <v>69.63</v>
      </c>
      <c r="D1557" s="14" t="n">
        <f aca="false">AVERAGE(B1538:B1557)</f>
        <v>62.059</v>
      </c>
      <c r="E1557" s="14" t="n">
        <f aca="false">(B1557-D1557)/D1557*100</f>
        <v>6.38263587876052</v>
      </c>
    </row>
    <row r="1558" customFormat="false" ht="15" hidden="false" customHeight="false" outlineLevel="0" collapsed="false">
      <c r="A1558" s="12" t="n">
        <v>44267</v>
      </c>
      <c r="B1558" s="15" t="n">
        <v>65.61</v>
      </c>
      <c r="C1558" s="15" t="n">
        <v>69.22</v>
      </c>
      <c r="D1558" s="14" t="n">
        <f aca="false">AVERAGE(B1539:B1558)</f>
        <v>62.4275</v>
      </c>
      <c r="E1558" s="14" t="n">
        <f aca="false">(B1558-D1558)/D1558*100</f>
        <v>5.09791357975252</v>
      </c>
    </row>
    <row r="1559" customFormat="false" ht="15" hidden="false" customHeight="false" outlineLevel="0" collapsed="false">
      <c r="A1559" s="12" t="n">
        <v>44270</v>
      </c>
      <c r="B1559" s="15" t="n">
        <v>65.39</v>
      </c>
      <c r="C1559" s="15" t="n">
        <v>68.88</v>
      </c>
      <c r="D1559" s="14" t="n">
        <f aca="false">AVERAGE(B1540:B1559)</f>
        <v>62.7235</v>
      </c>
      <c r="E1559" s="14" t="n">
        <f aca="false">(B1559-D1559)/D1559*100</f>
        <v>4.25119771696414</v>
      </c>
    </row>
    <row r="1560" customFormat="false" ht="15" hidden="false" customHeight="false" outlineLevel="0" collapsed="false">
      <c r="A1560" s="12" t="n">
        <v>44271</v>
      </c>
      <c r="B1560" s="15" t="n">
        <v>64.8</v>
      </c>
      <c r="C1560" s="15" t="n">
        <v>68.39</v>
      </c>
      <c r="D1560" s="14" t="n">
        <f aca="false">AVERAGE(B1541:B1560)</f>
        <v>62.961</v>
      </c>
      <c r="E1560" s="14" t="n">
        <f aca="false">(B1560-D1560)/D1560*100</f>
        <v>2.92085576785629</v>
      </c>
    </row>
    <row r="1561" customFormat="false" ht="15" hidden="false" customHeight="false" outlineLevel="0" collapsed="false">
      <c r="A1561" s="12" t="n">
        <v>44272</v>
      </c>
      <c r="B1561" s="15" t="n">
        <v>64.6</v>
      </c>
      <c r="C1561" s="15" t="n">
        <v>68</v>
      </c>
      <c r="D1561" s="14" t="n">
        <f aca="false">AVERAGE(B1542:B1561)</f>
        <v>63.134</v>
      </c>
      <c r="E1561" s="14" t="n">
        <f aca="false">(B1561-D1561)/D1561*100</f>
        <v>2.3220451737574</v>
      </c>
    </row>
    <row r="1562" customFormat="false" ht="15" hidden="false" customHeight="false" outlineLevel="0" collapsed="false">
      <c r="A1562" s="12" t="n">
        <v>44273</v>
      </c>
      <c r="B1562" s="15" t="n">
        <v>60</v>
      </c>
      <c r="C1562" s="15" t="n">
        <v>63.28</v>
      </c>
      <c r="D1562" s="14" t="n">
        <f aca="false">AVERAGE(B1543:B1562)</f>
        <v>63.108</v>
      </c>
      <c r="E1562" s="14" t="n">
        <f aca="false">(B1562-D1562)/D1562*100</f>
        <v>-4.92489066362427</v>
      </c>
    </row>
    <row r="1563" customFormat="false" ht="15" hidden="false" customHeight="false" outlineLevel="0" collapsed="false">
      <c r="A1563" s="12" t="n">
        <v>44274</v>
      </c>
      <c r="B1563" s="15" t="n">
        <v>61.42</v>
      </c>
      <c r="C1563" s="15" t="n">
        <v>64.53</v>
      </c>
      <c r="D1563" s="14" t="n">
        <f aca="false">AVERAGE(B1544:B1563)</f>
        <v>63.217</v>
      </c>
      <c r="E1563" s="14" t="n">
        <f aca="false">(B1563-D1563)/D1563*100</f>
        <v>-2.84258980970308</v>
      </c>
    </row>
    <row r="1564" customFormat="false" ht="15" hidden="false" customHeight="false" outlineLevel="0" collapsed="false">
      <c r="A1564" s="12" t="n">
        <v>44277</v>
      </c>
      <c r="B1564" s="15" t="n">
        <v>61.55</v>
      </c>
      <c r="C1564" s="15" t="n">
        <v>64.62</v>
      </c>
      <c r="D1564" s="14" t="n">
        <f aca="false">AVERAGE(B1545:B1564)</f>
        <v>63.22</v>
      </c>
      <c r="E1564" s="14" t="n">
        <f aca="false">(B1564-D1564)/D1564*100</f>
        <v>-2.64156912369505</v>
      </c>
    </row>
    <row r="1565" customFormat="false" ht="15" hidden="false" customHeight="false" outlineLevel="0" collapsed="false">
      <c r="A1565" s="12" t="n">
        <v>44278</v>
      </c>
      <c r="B1565" s="15" t="n">
        <v>57.76</v>
      </c>
      <c r="C1565" s="15" t="n">
        <v>60.79</v>
      </c>
      <c r="D1565" s="14" t="n">
        <f aca="false">AVERAGE(B1546:B1565)</f>
        <v>63.0245</v>
      </c>
      <c r="E1565" s="14" t="n">
        <f aca="false">(B1565-D1565)/D1565*100</f>
        <v>-8.35310077826878</v>
      </c>
    </row>
    <row r="1566" customFormat="false" ht="15" hidden="false" customHeight="false" outlineLevel="0" collapsed="false">
      <c r="A1566" s="12" t="n">
        <v>44279</v>
      </c>
      <c r="B1566" s="15" t="n">
        <v>61.18</v>
      </c>
      <c r="C1566" s="15" t="n">
        <v>64.41</v>
      </c>
      <c r="D1566" s="14" t="n">
        <f aca="false">AVERAGE(B1547:B1566)</f>
        <v>62.9225</v>
      </c>
      <c r="E1566" s="14" t="n">
        <f aca="false">(B1566-D1566)/D1566*100</f>
        <v>-2.76927966943462</v>
      </c>
    </row>
    <row r="1567" customFormat="false" ht="15" hidden="false" customHeight="false" outlineLevel="0" collapsed="false">
      <c r="A1567" s="12" t="n">
        <v>44280</v>
      </c>
      <c r="B1567" s="15" t="n">
        <v>58.56</v>
      </c>
      <c r="C1567" s="15" t="n">
        <v>61.95</v>
      </c>
      <c r="D1567" s="14" t="n">
        <f aca="false">AVERAGE(B1548:B1567)</f>
        <v>62.674</v>
      </c>
      <c r="E1567" s="14" t="n">
        <f aca="false">(B1567-D1567)/D1567*100</f>
        <v>-6.56412547467849</v>
      </c>
    </row>
    <row r="1568" customFormat="false" ht="15" hidden="false" customHeight="false" outlineLevel="0" collapsed="false">
      <c r="A1568" s="12" t="n">
        <v>44281</v>
      </c>
      <c r="B1568" s="15" t="n">
        <v>60.97</v>
      </c>
      <c r="C1568" s="15" t="n">
        <v>64.57</v>
      </c>
      <c r="D1568" s="14" t="n">
        <f aca="false">AVERAGE(B1549:B1568)</f>
        <v>62.6475</v>
      </c>
      <c r="E1568" s="14" t="n">
        <f aca="false">(B1568-D1568)/D1568*100</f>
        <v>-2.67768067361028</v>
      </c>
    </row>
    <row r="1569" customFormat="false" ht="15" hidden="false" customHeight="false" outlineLevel="0" collapsed="false">
      <c r="A1569" s="12" t="n">
        <v>44284</v>
      </c>
      <c r="B1569" s="15" t="n">
        <v>61.56</v>
      </c>
      <c r="C1569" s="15" t="n">
        <v>64.98</v>
      </c>
      <c r="D1569" s="14" t="n">
        <f aca="false">AVERAGE(B1550:B1569)</f>
        <v>62.6935</v>
      </c>
      <c r="E1569" s="14" t="n">
        <f aca="false">(B1569-D1569)/D1569*100</f>
        <v>-1.80800242449375</v>
      </c>
    </row>
    <row r="1570" customFormat="false" ht="15" hidden="false" customHeight="false" outlineLevel="0" collapsed="false">
      <c r="A1570" s="12" t="n">
        <v>44285</v>
      </c>
      <c r="B1570" s="15" t="n">
        <v>60.55</v>
      </c>
      <c r="C1570" s="15" t="n">
        <v>64.14</v>
      </c>
      <c r="D1570" s="14" t="n">
        <f aca="false">AVERAGE(B1551:B1570)</f>
        <v>62.7335</v>
      </c>
      <c r="E1570" s="14" t="n">
        <f aca="false">(B1570-D1570)/D1570*100</f>
        <v>-3.48059649150774</v>
      </c>
    </row>
    <row r="1571" customFormat="false" ht="15" hidden="false" customHeight="false" outlineLevel="0" collapsed="false">
      <c r="A1571" s="12" t="n">
        <v>44286</v>
      </c>
      <c r="B1571" s="15" t="n">
        <v>59.16</v>
      </c>
      <c r="C1571" s="15" t="n">
        <v>63.54</v>
      </c>
      <c r="D1571" s="14" t="n">
        <f aca="false">AVERAGE(B1552:B1571)</f>
        <v>62.6275</v>
      </c>
      <c r="E1571" s="14" t="n">
        <f aca="false">(B1571-D1571)/D1571*100</f>
        <v>-5.53670512155204</v>
      </c>
    </row>
    <row r="1572" customFormat="false" ht="15" hidden="false" customHeight="false" outlineLevel="0" collapsed="false">
      <c r="A1572" s="12" t="n">
        <v>44287</v>
      </c>
      <c r="B1572" s="15" t="n">
        <v>61.45</v>
      </c>
      <c r="C1572" s="15" t="n">
        <v>64.86</v>
      </c>
      <c r="D1572" s="14" t="n">
        <f aca="false">AVERAGE(B1553:B1572)</f>
        <v>62.5085</v>
      </c>
      <c r="E1572" s="14" t="n">
        <f aca="false">(B1572-D1572)/D1572*100</f>
        <v>-1.69336970172057</v>
      </c>
    </row>
    <row r="1573" customFormat="false" ht="15" hidden="false" customHeight="false" outlineLevel="0" collapsed="false">
      <c r="A1573" s="12" t="n">
        <v>44291</v>
      </c>
      <c r="B1573" s="15" t="n">
        <v>58.65</v>
      </c>
      <c r="C1573" s="15" t="n">
        <v>62.15</v>
      </c>
      <c r="D1573" s="14" t="n">
        <f aca="false">AVERAGE(B1554:B1573)</f>
        <v>62.1365</v>
      </c>
      <c r="E1573" s="14" t="n">
        <f aca="false">(B1573-D1573)/D1573*100</f>
        <v>-5.6110337724204</v>
      </c>
    </row>
    <row r="1574" customFormat="false" ht="15" hidden="false" customHeight="false" outlineLevel="0" collapsed="false">
      <c r="A1574" s="12" t="n">
        <v>44292</v>
      </c>
      <c r="B1574" s="15" t="n">
        <v>59.33</v>
      </c>
      <c r="C1574" s="15" t="n">
        <v>62.74</v>
      </c>
      <c r="D1574" s="14" t="n">
        <f aca="false">AVERAGE(B1555:B1574)</f>
        <v>61.8505</v>
      </c>
      <c r="E1574" s="14" t="n">
        <f aca="false">(B1574-D1574)/D1574*100</f>
        <v>-4.07514894786622</v>
      </c>
    </row>
    <row r="1575" customFormat="false" ht="15" hidden="false" customHeight="false" outlineLevel="0" collapsed="false">
      <c r="A1575" s="12" t="n">
        <v>44293</v>
      </c>
      <c r="B1575" s="15" t="n">
        <v>59.77</v>
      </c>
      <c r="C1575" s="15" t="n">
        <v>63.16</v>
      </c>
      <c r="D1575" s="14" t="n">
        <f aca="false">AVERAGE(B1556:B1575)</f>
        <v>61.6385</v>
      </c>
      <c r="E1575" s="14" t="n">
        <f aca="false">(B1575-D1575)/D1575*100</f>
        <v>-3.03138460540084</v>
      </c>
    </row>
    <row r="1576" customFormat="false" ht="15" hidden="false" customHeight="false" outlineLevel="0" collapsed="false">
      <c r="A1576" s="12" t="n">
        <v>44294</v>
      </c>
      <c r="B1576" s="15" t="n">
        <v>59.6</v>
      </c>
      <c r="C1576" s="15" t="n">
        <v>63.2</v>
      </c>
      <c r="D1576" s="14" t="n">
        <f aca="false">AVERAGE(B1557:B1576)</f>
        <v>61.3965</v>
      </c>
      <c r="E1576" s="14" t="n">
        <f aca="false">(B1576-D1576)/D1576*100</f>
        <v>-2.92606256056942</v>
      </c>
    </row>
    <row r="1577" customFormat="false" ht="15" hidden="false" customHeight="false" outlineLevel="0" collapsed="false">
      <c r="A1577" s="12" t="n">
        <v>44295</v>
      </c>
      <c r="B1577" s="15" t="n">
        <v>59.32</v>
      </c>
      <c r="C1577" s="15" t="n">
        <v>62.95</v>
      </c>
      <c r="D1577" s="14" t="n">
        <f aca="false">AVERAGE(B1558:B1577)</f>
        <v>61.0615</v>
      </c>
      <c r="E1577" s="14" t="n">
        <f aca="false">(B1577-D1577)/D1577*100</f>
        <v>-2.85204261277565</v>
      </c>
    </row>
    <row r="1578" customFormat="false" ht="15" hidden="false" customHeight="false" outlineLevel="0" collapsed="false">
      <c r="A1578" s="12" t="n">
        <v>44298</v>
      </c>
      <c r="B1578" s="15" t="n">
        <v>59.7</v>
      </c>
      <c r="C1578" s="15" t="n">
        <v>63.28</v>
      </c>
      <c r="D1578" s="14" t="n">
        <f aca="false">AVERAGE(B1559:B1578)</f>
        <v>60.766</v>
      </c>
      <c r="E1578" s="14" t="n">
        <f aca="false">(B1578-D1578)/D1578*100</f>
        <v>-1.75427048020274</v>
      </c>
    </row>
    <row r="1579" customFormat="false" ht="15" hidden="false" customHeight="false" outlineLevel="0" collapsed="false">
      <c r="A1579" s="12" t="n">
        <v>44299</v>
      </c>
      <c r="B1579" s="15" t="n">
        <v>60.18</v>
      </c>
      <c r="C1579" s="15" t="n">
        <v>63.67</v>
      </c>
      <c r="D1579" s="14" t="n">
        <f aca="false">AVERAGE(B1560:B1579)</f>
        <v>60.5055</v>
      </c>
      <c r="E1579" s="14" t="n">
        <f aca="false">(B1579-D1579)/D1579*100</f>
        <v>-0.537967622778092</v>
      </c>
    </row>
    <row r="1580" customFormat="false" ht="15" hidden="false" customHeight="false" outlineLevel="0" collapsed="false">
      <c r="A1580" s="12" t="n">
        <v>44300</v>
      </c>
      <c r="B1580" s="15" t="n">
        <v>63.15</v>
      </c>
      <c r="C1580" s="15" t="n">
        <v>66.58</v>
      </c>
      <c r="D1580" s="14" t="n">
        <f aca="false">AVERAGE(B1561:B1580)</f>
        <v>60.423</v>
      </c>
      <c r="E1580" s="14" t="n">
        <f aca="false">(B1580-D1580)/D1580*100</f>
        <v>4.51318206643165</v>
      </c>
    </row>
    <row r="1581" customFormat="false" ht="15" hidden="false" customHeight="false" outlineLevel="0" collapsed="false">
      <c r="A1581" s="12" t="n">
        <v>44301</v>
      </c>
      <c r="B1581" s="15" t="n">
        <v>63.46</v>
      </c>
      <c r="C1581" s="15" t="n">
        <v>66.94</v>
      </c>
      <c r="D1581" s="14" t="n">
        <f aca="false">AVERAGE(B1562:B1581)</f>
        <v>60.366</v>
      </c>
      <c r="E1581" s="14" t="n">
        <f aca="false">(B1581-D1581)/D1581*100</f>
        <v>5.12540171619786</v>
      </c>
    </row>
    <row r="1582" customFormat="false" ht="15" hidden="false" customHeight="false" outlineLevel="0" collapsed="false">
      <c r="A1582" s="12" t="n">
        <v>44302</v>
      </c>
      <c r="B1582" s="15" t="n">
        <v>63.13</v>
      </c>
      <c r="C1582" s="15" t="n">
        <v>66.77</v>
      </c>
      <c r="D1582" s="14" t="n">
        <f aca="false">AVERAGE(B1563:B1582)</f>
        <v>60.5225</v>
      </c>
      <c r="E1582" s="14" t="n">
        <f aca="false">(B1582-D1582)/D1582*100</f>
        <v>4.30831508942955</v>
      </c>
    </row>
    <row r="1583" customFormat="false" ht="15" hidden="false" customHeight="false" outlineLevel="0" collapsed="false">
      <c r="A1583" s="12" t="n">
        <v>44305</v>
      </c>
      <c r="B1583" s="15" t="n">
        <v>63.38</v>
      </c>
      <c r="C1583" s="15" t="n">
        <v>67.05</v>
      </c>
      <c r="D1583" s="14" t="n">
        <f aca="false">AVERAGE(B1564:B1583)</f>
        <v>60.6205</v>
      </c>
      <c r="E1583" s="14" t="n">
        <f aca="false">(B1583-D1583)/D1583*100</f>
        <v>4.55209046444684</v>
      </c>
    </row>
    <row r="1584" customFormat="false" ht="15" hidden="false" customHeight="false" outlineLevel="0" collapsed="false">
      <c r="A1584" s="12" t="n">
        <v>44306</v>
      </c>
      <c r="B1584" s="15" t="n">
        <v>62.44</v>
      </c>
      <c r="C1584" s="15" t="n">
        <v>66.57</v>
      </c>
      <c r="D1584" s="14" t="n">
        <f aca="false">AVERAGE(B1565:B1584)</f>
        <v>60.665</v>
      </c>
      <c r="E1584" s="14" t="n">
        <f aca="false">(B1584-D1584)/D1584*100</f>
        <v>2.92590455781752</v>
      </c>
    </row>
    <row r="1585" customFormat="false" ht="15" hidden="false" customHeight="false" outlineLevel="0" collapsed="false">
      <c r="A1585" s="12" t="n">
        <v>44307</v>
      </c>
      <c r="B1585" s="15" t="n">
        <v>61.35</v>
      </c>
      <c r="C1585" s="15" t="n">
        <v>65.32</v>
      </c>
      <c r="D1585" s="14" t="n">
        <f aca="false">AVERAGE(B1566:B1585)</f>
        <v>60.8445</v>
      </c>
      <c r="E1585" s="14" t="n">
        <f aca="false">(B1585-D1585)/D1585*100</f>
        <v>0.830806399921107</v>
      </c>
    </row>
    <row r="1586" customFormat="false" ht="15" hidden="false" customHeight="false" outlineLevel="0" collapsed="false">
      <c r="A1586" s="12" t="n">
        <v>44308</v>
      </c>
      <c r="B1586" s="15" t="n">
        <v>61.43</v>
      </c>
      <c r="C1586" s="15" t="n">
        <v>65.4</v>
      </c>
      <c r="D1586" s="14" t="n">
        <f aca="false">AVERAGE(B1567:B1586)</f>
        <v>60.857</v>
      </c>
      <c r="E1586" s="14" t="n">
        <f aca="false">(B1586-D1586)/D1586*100</f>
        <v>0.94155150598944</v>
      </c>
    </row>
    <row r="1587" customFormat="false" ht="15" hidden="false" customHeight="false" outlineLevel="0" collapsed="false">
      <c r="A1587" s="12" t="n">
        <v>44309</v>
      </c>
      <c r="B1587" s="15" t="n">
        <v>62.14</v>
      </c>
      <c r="C1587" s="15" t="n">
        <v>66.11</v>
      </c>
      <c r="D1587" s="14" t="n">
        <f aca="false">AVERAGE(B1568:B1587)</f>
        <v>61.036</v>
      </c>
      <c r="E1587" s="14" t="n">
        <f aca="false">(B1587-D1587)/D1587*100</f>
        <v>1.80876859558293</v>
      </c>
    </row>
    <row r="1588" customFormat="false" ht="15" hidden="false" customHeight="false" outlineLevel="0" collapsed="false">
      <c r="A1588" s="12" t="n">
        <v>44312</v>
      </c>
      <c r="B1588" s="15" t="n">
        <v>61.91</v>
      </c>
      <c r="C1588" s="15" t="n">
        <v>65.65</v>
      </c>
      <c r="D1588" s="14" t="n">
        <f aca="false">AVERAGE(B1569:B1588)</f>
        <v>61.083</v>
      </c>
      <c r="E1588" s="14" t="n">
        <f aca="false">(B1588-D1588)/D1588*100</f>
        <v>1.35389551921155</v>
      </c>
    </row>
    <row r="1589" customFormat="false" ht="15" hidden="false" customHeight="false" outlineLevel="0" collapsed="false">
      <c r="A1589" s="12" t="n">
        <v>44313</v>
      </c>
      <c r="B1589" s="15" t="n">
        <v>62.94</v>
      </c>
      <c r="C1589" s="15" t="n">
        <v>66.42</v>
      </c>
      <c r="D1589" s="14" t="n">
        <f aca="false">AVERAGE(B1570:B1589)</f>
        <v>61.152</v>
      </c>
      <c r="E1589" s="14" t="n">
        <f aca="false">(B1589-D1589)/D1589*100</f>
        <v>2.92386185243328</v>
      </c>
    </row>
    <row r="1590" customFormat="false" ht="15" hidden="false" customHeight="false" outlineLevel="0" collapsed="false">
      <c r="A1590" s="12" t="n">
        <v>44314</v>
      </c>
      <c r="B1590" s="15" t="n">
        <v>63.86</v>
      </c>
      <c r="C1590" s="15" t="n">
        <v>67.27</v>
      </c>
      <c r="D1590" s="14" t="n">
        <f aca="false">AVERAGE(B1571:B1590)</f>
        <v>61.3175</v>
      </c>
      <c r="E1590" s="14" t="n">
        <f aca="false">(B1590-D1590)/D1590*100</f>
        <v>4.14645085008359</v>
      </c>
    </row>
    <row r="1591" customFormat="false" ht="15" hidden="false" customHeight="false" outlineLevel="0" collapsed="false">
      <c r="A1591" s="12" t="n">
        <v>44315</v>
      </c>
      <c r="B1591" s="15" t="n">
        <v>65.01</v>
      </c>
      <c r="C1591" s="15" t="n">
        <v>68.56</v>
      </c>
      <c r="D1591" s="14" t="n">
        <f aca="false">AVERAGE(B1572:B1591)</f>
        <v>61.61</v>
      </c>
      <c r="E1591" s="14" t="n">
        <f aca="false">(B1591-D1591)/D1591*100</f>
        <v>5.51858464534979</v>
      </c>
    </row>
    <row r="1592" customFormat="false" ht="15" hidden="false" customHeight="false" outlineLevel="0" collapsed="false">
      <c r="A1592" s="12" t="n">
        <v>44316</v>
      </c>
      <c r="B1592" s="15" t="n">
        <v>63.58</v>
      </c>
      <c r="C1592" s="15" t="n">
        <v>67.25</v>
      </c>
      <c r="D1592" s="14" t="n">
        <f aca="false">AVERAGE(B1573:B1592)</f>
        <v>61.7165</v>
      </c>
      <c r="E1592" s="14" t="n">
        <f aca="false">(B1592-D1592)/D1592*100</f>
        <v>3.01945184837118</v>
      </c>
    </row>
    <row r="1593" customFormat="false" ht="15" hidden="false" customHeight="false" outlineLevel="0" collapsed="false">
      <c r="A1593" s="12" t="n">
        <v>44319</v>
      </c>
      <c r="B1593" s="15" t="n">
        <v>64.49</v>
      </c>
      <c r="C1593" s="15" t="n">
        <v>67.56</v>
      </c>
      <c r="D1593" s="14" t="n">
        <f aca="false">AVERAGE(B1574:B1593)</f>
        <v>62.0085</v>
      </c>
      <c r="E1593" s="14" t="n">
        <f aca="false">(B1593-D1593)/D1593*100</f>
        <v>4.00187071127344</v>
      </c>
    </row>
    <row r="1594" customFormat="false" ht="15" hidden="false" customHeight="false" outlineLevel="0" collapsed="false">
      <c r="A1594" s="12" t="n">
        <v>44320</v>
      </c>
      <c r="B1594" s="15" t="n">
        <v>65.69</v>
      </c>
      <c r="C1594" s="15" t="n">
        <v>68.88</v>
      </c>
      <c r="D1594" s="14" t="n">
        <f aca="false">AVERAGE(B1575:B1594)</f>
        <v>62.3265</v>
      </c>
      <c r="E1594" s="14" t="n">
        <f aca="false">(B1594-D1594)/D1594*100</f>
        <v>5.39658090860228</v>
      </c>
    </row>
    <row r="1595" customFormat="false" ht="15" hidden="false" customHeight="false" outlineLevel="0" collapsed="false">
      <c r="A1595" s="12" t="n">
        <v>44321</v>
      </c>
      <c r="B1595" s="15" t="n">
        <v>65.63</v>
      </c>
      <c r="C1595" s="15" t="n">
        <v>68.96</v>
      </c>
      <c r="D1595" s="14" t="n">
        <f aca="false">AVERAGE(B1576:B1595)</f>
        <v>62.6195</v>
      </c>
      <c r="E1595" s="14" t="n">
        <f aca="false">(B1595-D1595)/D1595*100</f>
        <v>4.80760785378356</v>
      </c>
    </row>
    <row r="1596" customFormat="false" ht="15" hidden="false" customHeight="false" outlineLevel="0" collapsed="false">
      <c r="A1596" s="12" t="n">
        <v>44322</v>
      </c>
      <c r="B1596" s="15" t="n">
        <v>64.71</v>
      </c>
      <c r="C1596" s="15" t="n">
        <v>68.09</v>
      </c>
      <c r="D1596" s="14" t="n">
        <f aca="false">AVERAGE(B1577:B1596)</f>
        <v>62.875</v>
      </c>
      <c r="E1596" s="14" t="n">
        <f aca="false">(B1596-D1596)/D1596*100</f>
        <v>2.91848906560635</v>
      </c>
    </row>
    <row r="1597" customFormat="false" ht="15" hidden="false" customHeight="false" outlineLevel="0" collapsed="false">
      <c r="A1597" s="12" t="n">
        <v>44323</v>
      </c>
      <c r="B1597" s="15" t="n">
        <v>64.9</v>
      </c>
      <c r="C1597" s="15" t="n">
        <v>68.28</v>
      </c>
      <c r="D1597" s="14" t="n">
        <f aca="false">AVERAGE(B1578:B1597)</f>
        <v>63.154</v>
      </c>
      <c r="E1597" s="14" t="n">
        <f aca="false">(B1597-D1597)/D1597*100</f>
        <v>2.76467048801344</v>
      </c>
    </row>
    <row r="1598" customFormat="false" ht="15" hidden="false" customHeight="false" outlineLevel="0" collapsed="false">
      <c r="A1598" s="12" t="n">
        <v>44326</v>
      </c>
      <c r="B1598" s="15" t="n">
        <v>64.92</v>
      </c>
      <c r="C1598" s="15" t="n">
        <v>68.32</v>
      </c>
      <c r="D1598" s="14" t="n">
        <f aca="false">AVERAGE(B1579:B1598)</f>
        <v>63.415</v>
      </c>
      <c r="E1598" s="14" t="n">
        <f aca="false">(B1598-D1598)/D1598*100</f>
        <v>2.37325553891036</v>
      </c>
    </row>
    <row r="1599" customFormat="false" ht="15" hidden="false" customHeight="false" outlineLevel="0" collapsed="false">
      <c r="A1599" s="12" t="n">
        <v>44327</v>
      </c>
      <c r="B1599" s="15" t="n">
        <v>65.28</v>
      </c>
      <c r="C1599" s="15" t="n">
        <v>68.55</v>
      </c>
      <c r="D1599" s="14" t="n">
        <f aca="false">AVERAGE(B1580:B1599)</f>
        <v>63.67</v>
      </c>
      <c r="E1599" s="14" t="n">
        <f aca="false">(B1599-D1599)/D1599*100</f>
        <v>2.52866342076331</v>
      </c>
    </row>
    <row r="1600" customFormat="false" ht="15" hidden="false" customHeight="false" outlineLevel="0" collapsed="false">
      <c r="A1600" s="12" t="n">
        <v>44328</v>
      </c>
      <c r="B1600" s="15" t="n">
        <v>66.08</v>
      </c>
      <c r="C1600" s="15" t="n">
        <v>69.32</v>
      </c>
      <c r="D1600" s="14" t="n">
        <f aca="false">AVERAGE(B1581:B1600)</f>
        <v>63.8165</v>
      </c>
      <c r="E1600" s="14" t="n">
        <f aca="false">(B1600-D1600)/D1600*100</f>
        <v>3.54688834392359</v>
      </c>
    </row>
    <row r="1601" customFormat="false" ht="15" hidden="false" customHeight="false" outlineLevel="0" collapsed="false">
      <c r="A1601" s="12" t="n">
        <v>44329</v>
      </c>
      <c r="B1601" s="15" t="n">
        <v>63.82</v>
      </c>
      <c r="C1601" s="15" t="n">
        <v>67.05</v>
      </c>
      <c r="D1601" s="14" t="n">
        <f aca="false">AVERAGE(B1582:B1601)</f>
        <v>63.8345</v>
      </c>
      <c r="E1601" s="14" t="n">
        <f aca="false">(B1601-D1601)/D1601*100</f>
        <v>-0.0227149895432803</v>
      </c>
    </row>
    <row r="1602" customFormat="false" ht="15" hidden="false" customHeight="false" outlineLevel="0" collapsed="false">
      <c r="A1602" s="12" t="n">
        <v>44330</v>
      </c>
      <c r="B1602" s="15" t="n">
        <v>65.37</v>
      </c>
      <c r="C1602" s="15" t="n">
        <v>68.71</v>
      </c>
      <c r="D1602" s="14" t="n">
        <f aca="false">AVERAGE(B1583:B1602)</f>
        <v>63.9465</v>
      </c>
      <c r="E1602" s="14" t="n">
        <f aca="false">(B1602-D1602)/D1602*100</f>
        <v>2.22607961342686</v>
      </c>
    </row>
    <row r="1603" customFormat="false" ht="15" hidden="false" customHeight="false" outlineLevel="0" collapsed="false">
      <c r="A1603" s="12" t="n">
        <v>44333</v>
      </c>
      <c r="B1603" s="15" t="n">
        <v>66.27</v>
      </c>
      <c r="C1603" s="15" t="n">
        <v>69.46</v>
      </c>
      <c r="D1603" s="14" t="n">
        <f aca="false">AVERAGE(B1584:B1603)</f>
        <v>64.091</v>
      </c>
      <c r="E1603" s="14" t="n">
        <f aca="false">(B1603-D1603)/D1603*100</f>
        <v>3.39985333354137</v>
      </c>
    </row>
    <row r="1604" customFormat="false" ht="15" hidden="false" customHeight="false" outlineLevel="0" collapsed="false">
      <c r="A1604" s="12" t="n">
        <v>44334</v>
      </c>
      <c r="B1604" s="15" t="n">
        <v>65.49</v>
      </c>
      <c r="C1604" s="15" t="n">
        <v>68.71</v>
      </c>
      <c r="D1604" s="14" t="n">
        <f aca="false">AVERAGE(B1585:B1604)</f>
        <v>64.2435</v>
      </c>
      <c r="E1604" s="14" t="n">
        <f aca="false">(B1604-D1604)/D1604*100</f>
        <v>1.94027411333442</v>
      </c>
    </row>
    <row r="1605" customFormat="false" ht="15" hidden="false" customHeight="false" outlineLevel="0" collapsed="false">
      <c r="A1605" s="12" t="n">
        <v>44335</v>
      </c>
      <c r="B1605" s="15" t="n">
        <v>63.36</v>
      </c>
      <c r="C1605" s="15" t="n">
        <v>66.66</v>
      </c>
      <c r="D1605" s="14" t="n">
        <f aca="false">AVERAGE(B1586:B1605)</f>
        <v>64.344</v>
      </c>
      <c r="E1605" s="14" t="n">
        <f aca="false">(B1605-D1605)/D1605*100</f>
        <v>-1.52928011935844</v>
      </c>
    </row>
    <row r="1606" customFormat="false" ht="15" hidden="false" customHeight="false" outlineLevel="0" collapsed="false">
      <c r="A1606" s="12" t="n">
        <v>44336</v>
      </c>
      <c r="B1606" s="15" t="n">
        <v>62.05</v>
      </c>
      <c r="C1606" s="15" t="n">
        <v>65.11</v>
      </c>
      <c r="D1606" s="14" t="n">
        <f aca="false">AVERAGE(B1587:B1606)</f>
        <v>64.375</v>
      </c>
      <c r="E1606" s="14" t="n">
        <f aca="false">(B1606-D1606)/D1606*100</f>
        <v>-3.6116504854369</v>
      </c>
    </row>
    <row r="1607" customFormat="false" ht="15" hidden="false" customHeight="false" outlineLevel="0" collapsed="false">
      <c r="A1607" s="12" t="n">
        <v>44337</v>
      </c>
      <c r="B1607" s="15" t="n">
        <v>63.58</v>
      </c>
      <c r="C1607" s="15" t="n">
        <v>66.44</v>
      </c>
      <c r="D1607" s="14" t="n">
        <f aca="false">AVERAGE(B1588:B1607)</f>
        <v>64.447</v>
      </c>
      <c r="E1607" s="14" t="n">
        <f aca="false">(B1607-D1607)/D1607*100</f>
        <v>-1.34529147982063</v>
      </c>
    </row>
    <row r="1608" customFormat="false" ht="15" hidden="false" customHeight="false" outlineLevel="0" collapsed="false">
      <c r="A1608" s="12" t="n">
        <v>44340</v>
      </c>
      <c r="B1608" s="15" t="n">
        <v>66.05</v>
      </c>
      <c r="C1608" s="15" t="n">
        <v>68.46</v>
      </c>
      <c r="D1608" s="14" t="n">
        <f aca="false">AVERAGE(B1589:B1608)</f>
        <v>64.654</v>
      </c>
      <c r="E1608" s="14" t="n">
        <f aca="false">(B1608-D1608)/D1608*100</f>
        <v>2.15918581990287</v>
      </c>
    </row>
    <row r="1609" customFormat="false" ht="15" hidden="false" customHeight="false" outlineLevel="0" collapsed="false">
      <c r="A1609" s="12" t="n">
        <v>44341</v>
      </c>
      <c r="B1609" s="15" t="n">
        <v>66.07</v>
      </c>
      <c r="C1609" s="15" t="n">
        <v>68.65</v>
      </c>
      <c r="D1609" s="14" t="n">
        <f aca="false">AVERAGE(B1590:B1609)</f>
        <v>64.8105</v>
      </c>
      <c r="E1609" s="14" t="n">
        <f aca="false">(B1609-D1609)/D1609*100</f>
        <v>1.94335794354308</v>
      </c>
    </row>
    <row r="1610" customFormat="false" ht="15" hidden="false" customHeight="false" outlineLevel="0" collapsed="false">
      <c r="A1610" s="12" t="n">
        <v>44342</v>
      </c>
      <c r="B1610" s="15" t="n">
        <v>66.21</v>
      </c>
      <c r="C1610" s="15" t="n">
        <v>68.87</v>
      </c>
      <c r="D1610" s="14" t="n">
        <f aca="false">AVERAGE(B1591:B1610)</f>
        <v>64.928</v>
      </c>
      <c r="E1610" s="14" t="n">
        <f aca="false">(B1610-D1610)/D1610*100</f>
        <v>1.97449482503696</v>
      </c>
    </row>
    <row r="1611" customFormat="false" ht="15" hidden="false" customHeight="false" outlineLevel="0" collapsed="false">
      <c r="A1611" s="12" t="n">
        <v>44343</v>
      </c>
      <c r="B1611" s="15" t="n">
        <v>66.85</v>
      </c>
      <c r="C1611" s="15" t="n">
        <v>69.46</v>
      </c>
      <c r="D1611" s="14" t="n">
        <f aca="false">AVERAGE(B1592:B1611)</f>
        <v>65.02</v>
      </c>
      <c r="E1611" s="14" t="n">
        <f aca="false">(B1611-D1611)/D1611*100</f>
        <v>2.81451860965856</v>
      </c>
    </row>
    <row r="1612" customFormat="false" ht="15" hidden="false" customHeight="false" outlineLevel="0" collapsed="false">
      <c r="A1612" s="12" t="n">
        <v>44344</v>
      </c>
      <c r="B1612" s="15" t="n">
        <v>66.32</v>
      </c>
      <c r="C1612" s="15" t="n">
        <v>69.63</v>
      </c>
      <c r="D1612" s="14" t="n">
        <f aca="false">AVERAGE(B1593:B1612)</f>
        <v>65.157</v>
      </c>
      <c r="E1612" s="14" t="n">
        <f aca="false">(B1612-D1612)/D1612*100</f>
        <v>1.78491950212563</v>
      </c>
    </row>
    <row r="1613" customFormat="false" ht="15" hidden="false" customHeight="false" outlineLevel="0" collapsed="false">
      <c r="A1613" s="12" t="n">
        <v>44348</v>
      </c>
      <c r="B1613" s="15" t="n">
        <v>67.72</v>
      </c>
      <c r="C1613" s="15" t="n">
        <v>70.25</v>
      </c>
      <c r="D1613" s="14" t="n">
        <f aca="false">AVERAGE(B1594:B1613)</f>
        <v>65.3185</v>
      </c>
      <c r="E1613" s="14" t="n">
        <f aca="false">(B1613-D1613)/D1613*100</f>
        <v>3.67660004439783</v>
      </c>
    </row>
    <row r="1614" customFormat="false" ht="15" hidden="false" customHeight="false" outlineLevel="0" collapsed="false">
      <c r="A1614" s="12" t="n">
        <v>44349</v>
      </c>
      <c r="B1614" s="15" t="n">
        <v>68.83</v>
      </c>
      <c r="C1614" s="15" t="n">
        <v>71.35</v>
      </c>
      <c r="D1614" s="14" t="n">
        <f aca="false">AVERAGE(B1595:B1614)</f>
        <v>65.4755</v>
      </c>
      <c r="E1614" s="14" t="n">
        <f aca="false">(B1614-D1614)/D1614*100</f>
        <v>5.12329039106231</v>
      </c>
    </row>
    <row r="1615" customFormat="false" ht="15" hidden="false" customHeight="false" outlineLevel="0" collapsed="false">
      <c r="A1615" s="12" t="n">
        <v>44350</v>
      </c>
      <c r="B1615" s="15" t="n">
        <v>68.81</v>
      </c>
      <c r="C1615" s="15" t="n">
        <v>71.31</v>
      </c>
      <c r="D1615" s="14" t="n">
        <f aca="false">AVERAGE(B1596:B1615)</f>
        <v>65.6345</v>
      </c>
      <c r="E1615" s="14" t="n">
        <f aca="false">(B1615-D1615)/D1615*100</f>
        <v>4.83815676206873</v>
      </c>
    </row>
    <row r="1616" customFormat="false" ht="15" hidden="false" customHeight="false" outlineLevel="0" collapsed="false">
      <c r="A1616" s="12" t="n">
        <v>44351</v>
      </c>
      <c r="B1616" s="15" t="n">
        <v>69.62</v>
      </c>
      <c r="C1616" s="15" t="n">
        <v>71.89</v>
      </c>
      <c r="D1616" s="14" t="n">
        <f aca="false">AVERAGE(B1597:B1616)</f>
        <v>65.88</v>
      </c>
      <c r="E1616" s="14" t="n">
        <f aca="false">(B1616-D1616)/D1616*100</f>
        <v>5.67698846387372</v>
      </c>
    </row>
    <row r="1617" customFormat="false" ht="15" hidden="false" customHeight="false" outlineLevel="0" collapsed="false">
      <c r="A1617" s="12" t="n">
        <v>44354</v>
      </c>
      <c r="B1617" s="15" t="n">
        <v>69.23</v>
      </c>
      <c r="C1617" s="15" t="n">
        <v>71.49</v>
      </c>
      <c r="D1617" s="14" t="n">
        <f aca="false">AVERAGE(B1598:B1617)</f>
        <v>66.0965</v>
      </c>
      <c r="E1617" s="14" t="n">
        <f aca="false">(B1617-D1617)/D1617*100</f>
        <v>4.740795654838</v>
      </c>
    </row>
    <row r="1618" customFormat="false" ht="15" hidden="false" customHeight="false" outlineLevel="0" collapsed="false">
      <c r="A1618" s="12" t="n">
        <v>44355</v>
      </c>
      <c r="B1618" s="15" t="n">
        <v>70.05</v>
      </c>
      <c r="C1618" s="15" t="n">
        <v>72.22</v>
      </c>
      <c r="D1618" s="14" t="n">
        <f aca="false">AVERAGE(B1599:B1618)</f>
        <v>66.353</v>
      </c>
      <c r="E1618" s="14" t="n">
        <f aca="false">(B1618-D1618)/D1618*100</f>
        <v>5.57171491869245</v>
      </c>
    </row>
    <row r="1619" customFormat="false" ht="15" hidden="false" customHeight="false" outlineLevel="0" collapsed="false">
      <c r="A1619" s="12" t="n">
        <v>44356</v>
      </c>
      <c r="B1619" s="15" t="n">
        <v>69.96</v>
      </c>
      <c r="C1619" s="15" t="n">
        <v>72.22</v>
      </c>
      <c r="D1619" s="14" t="n">
        <f aca="false">AVERAGE(B1600:B1619)</f>
        <v>66.587</v>
      </c>
      <c r="E1619" s="14" t="n">
        <f aca="false">(B1619-D1619)/D1619*100</f>
        <v>5.06555333623679</v>
      </c>
    </row>
    <row r="1620" customFormat="false" ht="15" hidden="false" customHeight="false" outlineLevel="0" collapsed="false">
      <c r="A1620" s="12" t="n">
        <v>44357</v>
      </c>
      <c r="B1620" s="15" t="n">
        <v>70.29</v>
      </c>
      <c r="C1620" s="15" t="n">
        <v>72.52</v>
      </c>
      <c r="D1620" s="14" t="n">
        <f aca="false">AVERAGE(B1601:B1620)</f>
        <v>66.7975</v>
      </c>
      <c r="E1620" s="14" t="n">
        <f aca="false">(B1620-D1620)/D1620*100</f>
        <v>5.22848909016057</v>
      </c>
    </row>
    <row r="1621" customFormat="false" ht="15" hidden="false" customHeight="false" outlineLevel="0" collapsed="false">
      <c r="A1621" s="12" t="n">
        <v>44358</v>
      </c>
      <c r="B1621" s="15" t="n">
        <v>70.91</v>
      </c>
      <c r="C1621" s="15" t="n">
        <v>72.69</v>
      </c>
      <c r="D1621" s="14" t="n">
        <f aca="false">AVERAGE(B1602:B1621)</f>
        <v>67.152</v>
      </c>
      <c r="E1621" s="14" t="n">
        <f aca="false">(B1621-D1621)/D1621*100</f>
        <v>5.59625923278532</v>
      </c>
    </row>
    <row r="1622" customFormat="false" ht="15" hidden="false" customHeight="false" outlineLevel="0" collapsed="false">
      <c r="A1622" s="12" t="n">
        <v>44361</v>
      </c>
      <c r="B1622" s="15" t="n">
        <v>70.88</v>
      </c>
      <c r="C1622" s="15" t="n">
        <v>72.86</v>
      </c>
      <c r="D1622" s="14" t="n">
        <f aca="false">AVERAGE(B1603:B1622)</f>
        <v>67.4275</v>
      </c>
      <c r="E1622" s="14" t="n">
        <f aca="false">(B1622-D1622)/D1622*100</f>
        <v>5.12031441177561</v>
      </c>
    </row>
    <row r="1623" customFormat="false" ht="15" hidden="false" customHeight="false" outlineLevel="0" collapsed="false">
      <c r="A1623" s="12" t="n">
        <v>44362</v>
      </c>
      <c r="B1623" s="15" t="n">
        <v>72.12</v>
      </c>
      <c r="C1623" s="15" t="n">
        <v>73.99</v>
      </c>
      <c r="D1623" s="14" t="n">
        <f aca="false">AVERAGE(B1604:B1623)</f>
        <v>67.72</v>
      </c>
      <c r="E1623" s="14" t="n">
        <f aca="false">(B1623-D1623)/D1623*100</f>
        <v>6.497341996456</v>
      </c>
    </row>
    <row r="1624" customFormat="false" ht="15" hidden="false" customHeight="false" outlineLevel="0" collapsed="false">
      <c r="A1624" s="12" t="n">
        <v>44363</v>
      </c>
      <c r="B1624" s="15" t="n">
        <v>72.15</v>
      </c>
      <c r="C1624" s="15" t="n">
        <v>74.39</v>
      </c>
      <c r="D1624" s="14" t="n">
        <f aca="false">AVERAGE(B1605:B1624)</f>
        <v>68.053</v>
      </c>
      <c r="E1624" s="14" t="n">
        <f aca="false">(B1624-D1624)/D1624*100</f>
        <v>6.02030770135043</v>
      </c>
    </row>
    <row r="1625" customFormat="false" ht="15" hidden="false" customHeight="false" outlineLevel="0" collapsed="false">
      <c r="A1625" s="12" t="n">
        <v>44364</v>
      </c>
      <c r="B1625" s="15" t="n">
        <v>71.04</v>
      </c>
      <c r="C1625" s="15" t="n">
        <v>73.08</v>
      </c>
      <c r="D1625" s="14" t="n">
        <f aca="false">AVERAGE(B1606:B1625)</f>
        <v>68.437</v>
      </c>
      <c r="E1625" s="14" t="n">
        <f aca="false">(B1625-D1625)/D1625*100</f>
        <v>3.80349810774875</v>
      </c>
    </row>
    <row r="1626" customFormat="false" ht="15" hidden="false" customHeight="false" outlineLevel="0" collapsed="false">
      <c r="A1626" s="12" t="n">
        <v>44365</v>
      </c>
      <c r="B1626" s="15" t="n">
        <v>71.64</v>
      </c>
      <c r="C1626" s="15" t="n">
        <v>73.51</v>
      </c>
      <c r="D1626" s="14" t="n">
        <f aca="false">AVERAGE(B1607:B1626)</f>
        <v>68.9165</v>
      </c>
      <c r="E1626" s="14" t="n">
        <f aca="false">(B1626-D1626)/D1626*100</f>
        <v>3.95188380141186</v>
      </c>
    </row>
    <row r="1627" customFormat="false" ht="15" hidden="false" customHeight="false" outlineLevel="0" collapsed="false">
      <c r="A1627" s="12" t="n">
        <v>44368</v>
      </c>
      <c r="B1627" s="15" t="n">
        <v>73.66</v>
      </c>
      <c r="C1627" s="15" t="n">
        <v>74.9</v>
      </c>
      <c r="D1627" s="14" t="n">
        <f aca="false">AVERAGE(B1608:B1627)</f>
        <v>69.4205</v>
      </c>
      <c r="E1627" s="14" t="n">
        <f aca="false">(B1627-D1627)/D1627*100</f>
        <v>6.10698568866544</v>
      </c>
    </row>
    <row r="1628" customFormat="false" ht="15" hidden="false" customHeight="false" outlineLevel="0" collapsed="false">
      <c r="A1628" s="12" t="n">
        <v>44369</v>
      </c>
      <c r="B1628" s="15" t="n">
        <v>73.06</v>
      </c>
      <c r="C1628" s="15" t="n">
        <v>74.81</v>
      </c>
      <c r="D1628" s="14" t="n">
        <f aca="false">AVERAGE(B1609:B1628)</f>
        <v>69.771</v>
      </c>
      <c r="E1628" s="14" t="n">
        <f aca="false">(B1628-D1628)/D1628*100</f>
        <v>4.71399291969443</v>
      </c>
    </row>
    <row r="1629" customFormat="false" ht="15" hidden="false" customHeight="false" outlineLevel="0" collapsed="false">
      <c r="A1629" s="12" t="n">
        <v>44370</v>
      </c>
      <c r="B1629" s="15" t="n">
        <v>73.08</v>
      </c>
      <c r="C1629" s="15" t="n">
        <v>75.19</v>
      </c>
      <c r="D1629" s="14" t="n">
        <f aca="false">AVERAGE(B1610:B1629)</f>
        <v>70.1215</v>
      </c>
      <c r="E1629" s="14" t="n">
        <f aca="false">(B1629-D1629)/D1629*100</f>
        <v>4.21910540989568</v>
      </c>
    </row>
    <row r="1630" customFormat="false" ht="15" hidden="false" customHeight="false" outlineLevel="0" collapsed="false">
      <c r="A1630" s="12" t="n">
        <v>44371</v>
      </c>
      <c r="B1630" s="15" t="n">
        <v>73.3</v>
      </c>
      <c r="C1630" s="15" t="n">
        <v>75.56</v>
      </c>
      <c r="D1630" s="14" t="n">
        <f aca="false">AVERAGE(B1611:B1630)</f>
        <v>70.476</v>
      </c>
      <c r="E1630" s="14" t="n">
        <f aca="false">(B1630-D1630)/D1630*100</f>
        <v>4.00703785685907</v>
      </c>
    </row>
    <row r="1631" customFormat="false" ht="15" hidden="false" customHeight="false" outlineLevel="0" collapsed="false">
      <c r="A1631" s="12" t="n">
        <v>44372</v>
      </c>
      <c r="B1631" s="15" t="n">
        <v>74.05</v>
      </c>
      <c r="C1631" s="15" t="n">
        <v>76.18</v>
      </c>
      <c r="D1631" s="14" t="n">
        <f aca="false">AVERAGE(B1612:B1631)</f>
        <v>70.836</v>
      </c>
      <c r="E1631" s="14" t="n">
        <f aca="false">(B1631-D1631)/D1631*100</f>
        <v>4.5372409509289</v>
      </c>
    </row>
    <row r="1632" customFormat="false" ht="15" hidden="false" customHeight="false" outlineLevel="0" collapsed="false">
      <c r="A1632" s="12" t="n">
        <v>44375</v>
      </c>
      <c r="B1632" s="15" t="n">
        <v>72.91</v>
      </c>
      <c r="C1632" s="15" t="n">
        <v>74.68</v>
      </c>
      <c r="D1632" s="14" t="n">
        <f aca="false">AVERAGE(B1613:B1632)</f>
        <v>71.1655</v>
      </c>
      <c r="E1632" s="14" t="n">
        <f aca="false">(B1632-D1632)/D1632*100</f>
        <v>2.45132824191498</v>
      </c>
    </row>
    <row r="1633" customFormat="false" ht="15" hidden="false" customHeight="false" outlineLevel="0" collapsed="false">
      <c r="A1633" s="12" t="n">
        <v>44376</v>
      </c>
      <c r="B1633" s="15" t="n">
        <v>72.98</v>
      </c>
      <c r="C1633" s="15" t="n">
        <v>74.76</v>
      </c>
      <c r="D1633" s="14" t="n">
        <f aca="false">AVERAGE(B1614:B1633)</f>
        <v>71.4285</v>
      </c>
      <c r="E1633" s="14" t="n">
        <f aca="false">(B1633-D1633)/D1633*100</f>
        <v>2.17210217210218</v>
      </c>
    </row>
    <row r="1634" customFormat="false" ht="15" hidden="false" customHeight="false" outlineLevel="0" collapsed="false">
      <c r="A1634" s="12" t="n">
        <v>44377</v>
      </c>
      <c r="B1634" s="15" t="n">
        <v>73.47</v>
      </c>
      <c r="C1634" s="15" t="n">
        <v>75.13</v>
      </c>
      <c r="D1634" s="14" t="n">
        <f aca="false">AVERAGE(B1615:B1634)</f>
        <v>71.6605</v>
      </c>
      <c r="E1634" s="14" t="n">
        <f aca="false">(B1634-D1634)/D1634*100</f>
        <v>2.52510099706254</v>
      </c>
    </row>
    <row r="1635" customFormat="false" ht="15" hidden="false" customHeight="false" outlineLevel="0" collapsed="false">
      <c r="A1635" s="12" t="n">
        <v>44378</v>
      </c>
      <c r="B1635" s="15" t="n">
        <v>75.23</v>
      </c>
      <c r="C1635" s="15" t="n">
        <v>75.84</v>
      </c>
      <c r="D1635" s="14" t="n">
        <f aca="false">AVERAGE(B1616:B1635)</f>
        <v>71.9815</v>
      </c>
      <c r="E1635" s="14" t="n">
        <f aca="false">(B1635-D1635)/D1635*100</f>
        <v>4.51296513687544</v>
      </c>
    </row>
    <row r="1636" customFormat="false" ht="15" hidden="false" customHeight="false" outlineLevel="0" collapsed="false">
      <c r="A1636" s="12" t="n">
        <v>44379</v>
      </c>
      <c r="B1636" s="15" t="n">
        <v>75.16</v>
      </c>
      <c r="C1636" s="15" t="n">
        <v>76.17</v>
      </c>
      <c r="D1636" s="14" t="n">
        <f aca="false">AVERAGE(B1617:B1636)</f>
        <v>72.2585</v>
      </c>
      <c r="E1636" s="14" t="n">
        <f aca="false">(B1636-D1636)/D1636*100</f>
        <v>4.01544454977615</v>
      </c>
    </row>
    <row r="1637" customFormat="false" ht="15" hidden="false" customHeight="false" outlineLevel="0" collapsed="false">
      <c r="A1637" s="12" t="n">
        <v>44383</v>
      </c>
      <c r="B1637" s="15" t="n">
        <v>73.37</v>
      </c>
      <c r="C1637" s="15" t="n">
        <v>74.53</v>
      </c>
      <c r="D1637" s="14" t="n">
        <f aca="false">AVERAGE(B1618:B1637)</f>
        <v>72.4655</v>
      </c>
      <c r="E1637" s="14" t="n">
        <f aca="false">(B1637-D1637)/D1637*100</f>
        <v>1.24818016849399</v>
      </c>
    </row>
    <row r="1638" customFormat="false" ht="15" hidden="false" customHeight="false" outlineLevel="0" collapsed="false">
      <c r="A1638" s="12" t="n">
        <v>44384</v>
      </c>
      <c r="B1638" s="15" t="n">
        <v>72.2</v>
      </c>
      <c r="C1638" s="15" t="n">
        <v>73.43</v>
      </c>
      <c r="D1638" s="14" t="n">
        <f aca="false">AVERAGE(B1619:B1638)</f>
        <v>72.573</v>
      </c>
      <c r="E1638" s="14" t="n">
        <f aca="false">(B1638-D1638)/D1638*100</f>
        <v>-0.513965248783989</v>
      </c>
    </row>
    <row r="1639" customFormat="false" ht="15" hidden="false" customHeight="false" outlineLevel="0" collapsed="false">
      <c r="A1639" s="12" t="n">
        <v>44385</v>
      </c>
      <c r="B1639" s="15" t="n">
        <v>72.94</v>
      </c>
      <c r="C1639" s="15" t="n">
        <v>74.12</v>
      </c>
      <c r="D1639" s="14" t="n">
        <f aca="false">AVERAGE(B1620:B1639)</f>
        <v>72.722</v>
      </c>
      <c r="E1639" s="14" t="n">
        <f aca="false">(B1639-D1639)/D1639*100</f>
        <v>0.29977173345066</v>
      </c>
    </row>
    <row r="1640" customFormat="false" ht="15" hidden="false" customHeight="false" outlineLevel="0" collapsed="false">
      <c r="A1640" s="12" t="n">
        <v>44386</v>
      </c>
      <c r="B1640" s="15" t="n">
        <v>74.56</v>
      </c>
      <c r="C1640" s="15" t="n">
        <v>75.55</v>
      </c>
      <c r="D1640" s="14" t="n">
        <f aca="false">AVERAGE(B1621:B1640)</f>
        <v>72.9355</v>
      </c>
      <c r="E1640" s="14" t="n">
        <f aca="false">(B1640-D1640)/D1640*100</f>
        <v>2.22731043181989</v>
      </c>
    </row>
    <row r="1641" customFormat="false" ht="15" hidden="false" customHeight="false" outlineLevel="0" collapsed="false">
      <c r="A1641" s="12" t="n">
        <v>44389</v>
      </c>
      <c r="B1641" s="15" t="n">
        <v>74.1</v>
      </c>
      <c r="C1641" s="15" t="n">
        <v>75.16</v>
      </c>
      <c r="D1641" s="14" t="n">
        <f aca="false">AVERAGE(B1622:B1641)</f>
        <v>73.095</v>
      </c>
      <c r="E1641" s="14" t="n">
        <f aca="false">(B1641-D1641)/D1641*100</f>
        <v>1.37492304535193</v>
      </c>
    </row>
    <row r="1642" customFormat="false" ht="15" hidden="false" customHeight="false" outlineLevel="0" collapsed="false">
      <c r="A1642" s="12" t="n">
        <v>44390</v>
      </c>
      <c r="B1642" s="15" t="n">
        <v>75.25</v>
      </c>
      <c r="C1642" s="15" t="n">
        <v>76.49</v>
      </c>
      <c r="D1642" s="14" t="n">
        <f aca="false">AVERAGE(B1623:B1642)</f>
        <v>73.3135</v>
      </c>
      <c r="E1642" s="14" t="n">
        <f aca="false">(B1642-D1642)/D1642*100</f>
        <v>2.64139619578931</v>
      </c>
    </row>
    <row r="1643" customFormat="false" ht="15" hidden="false" customHeight="false" outlineLevel="0" collapsed="false">
      <c r="A1643" s="12" t="n">
        <v>44391</v>
      </c>
      <c r="B1643" s="15" t="n">
        <v>73.13</v>
      </c>
      <c r="C1643" s="15" t="n">
        <v>74.76</v>
      </c>
      <c r="D1643" s="14" t="n">
        <f aca="false">AVERAGE(B1624:B1643)</f>
        <v>73.364</v>
      </c>
      <c r="E1643" s="14" t="n">
        <f aca="false">(B1643-D1643)/D1643*100</f>
        <v>-0.318957526852419</v>
      </c>
    </row>
    <row r="1644" customFormat="false" ht="15" hidden="false" customHeight="false" outlineLevel="0" collapsed="false">
      <c r="A1644" s="12" t="n">
        <v>44392</v>
      </c>
      <c r="B1644" s="15" t="n">
        <v>71.65</v>
      </c>
      <c r="C1644" s="15" t="n">
        <v>73.47</v>
      </c>
      <c r="D1644" s="14" t="n">
        <f aca="false">AVERAGE(B1625:B1644)</f>
        <v>73.339</v>
      </c>
      <c r="E1644" s="14" t="n">
        <f aca="false">(B1644-D1644)/D1644*100</f>
        <v>-2.30300385879272</v>
      </c>
    </row>
    <row r="1645" customFormat="false" ht="15" hidden="false" customHeight="false" outlineLevel="0" collapsed="false">
      <c r="A1645" s="12" t="n">
        <v>44393</v>
      </c>
      <c r="B1645" s="15" t="n">
        <v>71.81</v>
      </c>
      <c r="C1645" s="15" t="n">
        <v>73.59</v>
      </c>
      <c r="D1645" s="14" t="n">
        <f aca="false">AVERAGE(B1626:B1645)</f>
        <v>73.3775</v>
      </c>
      <c r="E1645" s="14" t="n">
        <f aca="false">(B1645-D1645)/D1645*100</f>
        <v>-2.13621341691935</v>
      </c>
    </row>
    <row r="1646" customFormat="false" ht="15" hidden="false" customHeight="false" outlineLevel="0" collapsed="false">
      <c r="A1646" s="12" t="n">
        <v>44396</v>
      </c>
      <c r="B1646" s="15" t="n">
        <v>66.42</v>
      </c>
      <c r="C1646" s="15" t="n">
        <v>68.62</v>
      </c>
      <c r="D1646" s="14" t="n">
        <f aca="false">AVERAGE(B1627:B1646)</f>
        <v>73.1165</v>
      </c>
      <c r="E1646" s="14" t="n">
        <f aca="false">(B1646-D1646)/D1646*100</f>
        <v>-9.15867143531214</v>
      </c>
    </row>
    <row r="1647" customFormat="false" ht="15" hidden="false" customHeight="false" outlineLevel="0" collapsed="false">
      <c r="A1647" s="12" t="n">
        <v>44397</v>
      </c>
      <c r="B1647" s="15" t="n">
        <v>67.42</v>
      </c>
      <c r="C1647" s="15" t="n">
        <v>69.35</v>
      </c>
      <c r="D1647" s="14" t="n">
        <f aca="false">AVERAGE(B1628:B1647)</f>
        <v>72.8045</v>
      </c>
      <c r="E1647" s="14" t="n">
        <f aca="false">(B1647-D1647)/D1647*100</f>
        <v>-7.3958340487195</v>
      </c>
    </row>
    <row r="1648" customFormat="false" ht="15" hidden="false" customHeight="false" outlineLevel="0" collapsed="false">
      <c r="A1648" s="12" t="n">
        <v>44398</v>
      </c>
      <c r="B1648" s="15" t="n">
        <v>70.3</v>
      </c>
      <c r="C1648" s="15" t="n">
        <v>72.23</v>
      </c>
      <c r="D1648" s="14" t="n">
        <f aca="false">AVERAGE(B1629:B1648)</f>
        <v>72.6665</v>
      </c>
      <c r="E1648" s="14" t="n">
        <f aca="false">(B1648-D1648)/D1648*100</f>
        <v>-3.25665884554781</v>
      </c>
    </row>
    <row r="1649" customFormat="false" ht="15" hidden="false" customHeight="false" outlineLevel="0" collapsed="false">
      <c r="A1649" s="12" t="n">
        <v>44399</v>
      </c>
      <c r="B1649" s="15" t="n">
        <v>71.91</v>
      </c>
      <c r="C1649" s="15" t="n">
        <v>73.79</v>
      </c>
      <c r="D1649" s="14" t="n">
        <f aca="false">AVERAGE(B1630:B1649)</f>
        <v>72.608</v>
      </c>
      <c r="E1649" s="14" t="n">
        <f aca="false">(B1649-D1649)/D1649*100</f>
        <v>-0.961326575583968</v>
      </c>
    </row>
    <row r="1650" customFormat="false" ht="15" hidden="false" customHeight="false" outlineLevel="0" collapsed="false">
      <c r="A1650" s="12" t="n">
        <v>44400</v>
      </c>
      <c r="B1650" s="15" t="n">
        <v>72.07</v>
      </c>
      <c r="C1650" s="15" t="n">
        <v>74.1</v>
      </c>
      <c r="D1650" s="14" t="n">
        <f aca="false">AVERAGE(B1631:B1650)</f>
        <v>72.5465</v>
      </c>
      <c r="E1650" s="14" t="n">
        <f aca="false">(B1650-D1650)/D1650*100</f>
        <v>-0.656820108482168</v>
      </c>
    </row>
    <row r="1651" customFormat="false" ht="15" hidden="false" customHeight="false" outlineLevel="0" collapsed="false">
      <c r="A1651" s="12" t="n">
        <v>44403</v>
      </c>
      <c r="B1651" s="15" t="n">
        <v>71.91</v>
      </c>
      <c r="C1651" s="15" t="n">
        <v>74.5</v>
      </c>
      <c r="D1651" s="14" t="n">
        <f aca="false">AVERAGE(B1632:B1651)</f>
        <v>72.4395</v>
      </c>
      <c r="E1651" s="14" t="n">
        <f aca="false">(B1651-D1651)/D1651*100</f>
        <v>-0.730954796761434</v>
      </c>
    </row>
    <row r="1652" customFormat="false" ht="15" hidden="false" customHeight="false" outlineLevel="0" collapsed="false">
      <c r="A1652" s="12" t="n">
        <v>44404</v>
      </c>
      <c r="B1652" s="15" t="n">
        <v>71.65</v>
      </c>
      <c r="C1652" s="15" t="n">
        <v>74.48</v>
      </c>
      <c r="D1652" s="14" t="n">
        <f aca="false">AVERAGE(B1633:B1652)</f>
        <v>72.3765</v>
      </c>
      <c r="E1652" s="14" t="n">
        <f aca="false">(B1652-D1652)/D1652*100</f>
        <v>-1.00377885087009</v>
      </c>
    </row>
    <row r="1653" customFormat="false" ht="15" hidden="false" customHeight="false" outlineLevel="0" collapsed="false">
      <c r="A1653" s="12" t="n">
        <v>44405</v>
      </c>
      <c r="B1653" s="15" t="n">
        <v>72.39</v>
      </c>
      <c r="C1653" s="15" t="n">
        <v>74.74</v>
      </c>
      <c r="D1653" s="14" t="n">
        <f aca="false">AVERAGE(B1634:B1653)</f>
        <v>72.347</v>
      </c>
      <c r="E1653" s="14" t="n">
        <f aca="false">(B1653-D1653)/D1653*100</f>
        <v>0.059435774807514</v>
      </c>
    </row>
    <row r="1654" customFormat="false" ht="15" hidden="false" customHeight="false" outlineLevel="0" collapsed="false">
      <c r="A1654" s="12" t="n">
        <v>44406</v>
      </c>
      <c r="B1654" s="15" t="n">
        <v>73.62</v>
      </c>
      <c r="C1654" s="15" t="n">
        <v>76.05</v>
      </c>
      <c r="D1654" s="14" t="n">
        <f aca="false">AVERAGE(B1635:B1654)</f>
        <v>72.3545</v>
      </c>
      <c r="E1654" s="14" t="n">
        <f aca="false">(B1654-D1654)/D1654*100</f>
        <v>1.74902735835367</v>
      </c>
    </row>
    <row r="1655" customFormat="false" ht="15" hidden="false" customHeight="false" outlineLevel="0" collapsed="false">
      <c r="A1655" s="12" t="n">
        <v>44407</v>
      </c>
      <c r="B1655" s="15" t="n">
        <v>73.95</v>
      </c>
      <c r="C1655" s="15" t="n">
        <v>76.33</v>
      </c>
      <c r="D1655" s="14" t="n">
        <f aca="false">AVERAGE(B1636:B1655)</f>
        <v>72.2905</v>
      </c>
      <c r="E1655" s="14" t="n">
        <f aca="false">(B1655-D1655)/D1655*100</f>
        <v>2.29559900678514</v>
      </c>
    </row>
    <row r="1656" customFormat="false" ht="15" hidden="false" customHeight="false" outlineLevel="0" collapsed="false">
      <c r="A1656" s="12" t="n">
        <v>44410</v>
      </c>
      <c r="B1656" s="15" t="n">
        <v>71.26</v>
      </c>
      <c r="C1656" s="15" t="n">
        <v>72.89</v>
      </c>
      <c r="D1656" s="14" t="n">
        <f aca="false">AVERAGE(B1637:B1656)</f>
        <v>72.0955</v>
      </c>
      <c r="E1656" s="14" t="n">
        <f aca="false">(B1656-D1656)/D1656*100</f>
        <v>-1.15887954171896</v>
      </c>
    </row>
    <row r="1657" customFormat="false" ht="15" hidden="false" customHeight="false" outlineLevel="0" collapsed="false">
      <c r="A1657" s="12" t="n">
        <v>44411</v>
      </c>
      <c r="B1657" s="15" t="n">
        <v>70.56</v>
      </c>
      <c r="C1657" s="15" t="n">
        <v>72.41</v>
      </c>
      <c r="D1657" s="14" t="n">
        <f aca="false">AVERAGE(B1638:B1657)</f>
        <v>71.955</v>
      </c>
      <c r="E1657" s="14" t="n">
        <f aca="false">(B1657-D1657)/D1657*100</f>
        <v>-1.93871169480925</v>
      </c>
    </row>
    <row r="1658" customFormat="false" ht="15" hidden="false" customHeight="false" outlineLevel="0" collapsed="false">
      <c r="A1658" s="12" t="n">
        <v>44412</v>
      </c>
      <c r="B1658" s="15" t="n">
        <v>68.15</v>
      </c>
      <c r="C1658" s="15" t="n">
        <v>70.38</v>
      </c>
      <c r="D1658" s="14" t="n">
        <f aca="false">AVERAGE(B1639:B1658)</f>
        <v>71.7525</v>
      </c>
      <c r="E1658" s="14" t="n">
        <f aca="false">(B1658-D1658)/D1658*100</f>
        <v>-5.02073098498309</v>
      </c>
    </row>
    <row r="1659" customFormat="false" ht="15" hidden="false" customHeight="false" outlineLevel="0" collapsed="false">
      <c r="A1659" s="12" t="n">
        <v>44413</v>
      </c>
      <c r="B1659" s="15" t="n">
        <v>69.09</v>
      </c>
      <c r="C1659" s="15" t="n">
        <v>71.29</v>
      </c>
      <c r="D1659" s="14" t="n">
        <f aca="false">AVERAGE(B1640:B1659)</f>
        <v>71.56</v>
      </c>
      <c r="E1659" s="14" t="n">
        <f aca="false">(B1659-D1659)/D1659*100</f>
        <v>-3.45164896590274</v>
      </c>
    </row>
    <row r="1660" customFormat="false" ht="15" hidden="false" customHeight="false" outlineLevel="0" collapsed="false">
      <c r="A1660" s="12" t="n">
        <v>44414</v>
      </c>
      <c r="B1660" s="15" t="n">
        <v>68.28</v>
      </c>
      <c r="C1660" s="15" t="n">
        <v>70.7</v>
      </c>
      <c r="D1660" s="14" t="n">
        <f aca="false">AVERAGE(B1641:B1660)</f>
        <v>71.246</v>
      </c>
      <c r="E1660" s="14" t="n">
        <f aca="false">(B1660-D1660)/D1660*100</f>
        <v>-4.16304073211129</v>
      </c>
    </row>
    <row r="1661" customFormat="false" ht="15" hidden="false" customHeight="false" outlineLevel="0" collapsed="false">
      <c r="A1661" s="12" t="n">
        <v>44417</v>
      </c>
      <c r="B1661" s="15" t="n">
        <v>66.48</v>
      </c>
      <c r="C1661" s="15" t="n">
        <v>69.04</v>
      </c>
      <c r="D1661" s="14" t="n">
        <f aca="false">AVERAGE(B1642:B1661)</f>
        <v>70.865</v>
      </c>
      <c r="E1661" s="14" t="n">
        <f aca="false">(B1661-D1661)/D1661*100</f>
        <v>-6.18782191490862</v>
      </c>
    </row>
    <row r="1662" customFormat="false" ht="15" hidden="false" customHeight="false" outlineLevel="0" collapsed="false">
      <c r="A1662" s="12" t="n">
        <v>44418</v>
      </c>
      <c r="B1662" s="15" t="n">
        <v>68.29</v>
      </c>
      <c r="C1662" s="15" t="n">
        <v>70.63</v>
      </c>
      <c r="D1662" s="14" t="n">
        <f aca="false">AVERAGE(B1643:B1662)</f>
        <v>70.517</v>
      </c>
      <c r="E1662" s="14" t="n">
        <f aca="false">(B1662-D1662)/D1662*100</f>
        <v>-3.15810371967044</v>
      </c>
    </row>
    <row r="1663" customFormat="false" ht="15" hidden="false" customHeight="false" outlineLevel="0" collapsed="false">
      <c r="A1663" s="12" t="n">
        <v>44419</v>
      </c>
      <c r="B1663" s="15" t="n">
        <v>69.25</v>
      </c>
      <c r="C1663" s="15" t="n">
        <v>71.44</v>
      </c>
      <c r="D1663" s="14" t="n">
        <f aca="false">AVERAGE(B1644:B1663)</f>
        <v>70.323</v>
      </c>
      <c r="E1663" s="14" t="n">
        <f aca="false">(B1663-D1663)/D1663*100</f>
        <v>-1.52581658916714</v>
      </c>
    </row>
    <row r="1664" customFormat="false" ht="15" hidden="false" customHeight="false" outlineLevel="0" collapsed="false">
      <c r="A1664" s="12" t="n">
        <v>44420</v>
      </c>
      <c r="B1664" s="15" t="n">
        <v>69.09</v>
      </c>
      <c r="C1664" s="15" t="n">
        <v>71.31</v>
      </c>
      <c r="D1664" s="14" t="n">
        <f aca="false">AVERAGE(B1645:B1664)</f>
        <v>70.195</v>
      </c>
      <c r="E1664" s="14" t="n">
        <f aca="false">(B1664-D1664)/D1664*100</f>
        <v>-1.57418619559798</v>
      </c>
    </row>
    <row r="1665" customFormat="false" ht="15" hidden="false" customHeight="false" outlineLevel="0" collapsed="false">
      <c r="A1665" s="12" t="n">
        <v>44421</v>
      </c>
      <c r="B1665" s="15" t="n">
        <v>68.44</v>
      </c>
      <c r="C1665" s="15" t="n">
        <v>70.59</v>
      </c>
      <c r="D1665" s="14" t="n">
        <f aca="false">AVERAGE(B1646:B1665)</f>
        <v>70.0265</v>
      </c>
      <c r="E1665" s="14" t="n">
        <f aca="false">(B1665-D1665)/D1665*100</f>
        <v>-2.26557089101983</v>
      </c>
    </row>
    <row r="1666" customFormat="false" ht="15" hidden="false" customHeight="false" outlineLevel="0" collapsed="false">
      <c r="A1666" s="12" t="n">
        <v>44424</v>
      </c>
      <c r="B1666" s="15" t="n">
        <v>67.29</v>
      </c>
      <c r="C1666" s="15" t="n">
        <v>69.51</v>
      </c>
      <c r="D1666" s="14" t="n">
        <f aca="false">AVERAGE(B1647:B1666)</f>
        <v>70.07</v>
      </c>
      <c r="E1666" s="14" t="n">
        <f aca="false">(B1666-D1666)/D1666*100</f>
        <v>-3.96746111031825</v>
      </c>
    </row>
    <row r="1667" customFormat="false" ht="15" hidden="false" customHeight="false" outlineLevel="0" collapsed="false">
      <c r="A1667" s="12" t="n">
        <v>44425</v>
      </c>
      <c r="B1667" s="15" t="n">
        <v>66.59</v>
      </c>
      <c r="C1667" s="15" t="n">
        <v>69.03</v>
      </c>
      <c r="D1667" s="14" t="n">
        <f aca="false">AVERAGE(B1648:B1667)</f>
        <v>70.0285</v>
      </c>
      <c r="E1667" s="14" t="n">
        <f aca="false">(B1667-D1667)/D1667*100</f>
        <v>-4.91014372719677</v>
      </c>
    </row>
    <row r="1668" customFormat="false" ht="15" hidden="false" customHeight="false" outlineLevel="0" collapsed="false">
      <c r="A1668" s="12" t="n">
        <v>44426</v>
      </c>
      <c r="B1668" s="15" t="n">
        <v>65.46</v>
      </c>
      <c r="C1668" s="15" t="n">
        <v>68.23</v>
      </c>
      <c r="D1668" s="14" t="n">
        <f aca="false">AVERAGE(B1649:B1668)</f>
        <v>69.7865</v>
      </c>
      <c r="E1668" s="14" t="n">
        <f aca="false">(B1668-D1668)/D1668*100</f>
        <v>-6.19962313627995</v>
      </c>
    </row>
    <row r="1669" customFormat="false" ht="15" hidden="false" customHeight="false" outlineLevel="0" collapsed="false">
      <c r="A1669" s="12" t="n">
        <v>44427</v>
      </c>
      <c r="B1669" s="15" t="n">
        <v>63.69</v>
      </c>
      <c r="C1669" s="15" t="n">
        <v>66.45</v>
      </c>
      <c r="D1669" s="14" t="n">
        <f aca="false">AVERAGE(B1650:B1669)</f>
        <v>69.3755</v>
      </c>
      <c r="E1669" s="14" t="n">
        <f aca="false">(B1669-D1669)/D1669*100</f>
        <v>-8.19525625040541</v>
      </c>
    </row>
    <row r="1670" customFormat="false" ht="15" hidden="false" customHeight="false" outlineLevel="0" collapsed="false">
      <c r="A1670" s="12" t="n">
        <v>44428</v>
      </c>
      <c r="B1670" s="15" t="n">
        <v>62.32</v>
      </c>
      <c r="C1670" s="15" t="n">
        <v>65.18</v>
      </c>
      <c r="D1670" s="14" t="n">
        <f aca="false">AVERAGE(B1651:B1670)</f>
        <v>68.888</v>
      </c>
      <c r="E1670" s="14" t="n">
        <f aca="false">(B1670-D1670)/D1670*100</f>
        <v>-9.53431657182674</v>
      </c>
    </row>
    <row r="1671" customFormat="false" ht="15" hidden="false" customHeight="false" outlineLevel="0" collapsed="false">
      <c r="A1671" s="12" t="n">
        <v>44431</v>
      </c>
      <c r="B1671" s="15" t="n">
        <v>65.64</v>
      </c>
      <c r="C1671" s="15" t="n">
        <v>68.75</v>
      </c>
      <c r="D1671" s="14" t="n">
        <f aca="false">AVERAGE(B1652:B1671)</f>
        <v>68.5745</v>
      </c>
      <c r="E1671" s="14" t="n">
        <f aca="false">(B1671-D1671)/D1671*100</f>
        <v>-4.27928749024783</v>
      </c>
    </row>
    <row r="1672" customFormat="false" ht="15" hidden="false" customHeight="false" outlineLevel="0" collapsed="false">
      <c r="A1672" s="12" t="n">
        <v>44432</v>
      </c>
      <c r="B1672" s="15" t="n">
        <v>67.54</v>
      </c>
      <c r="C1672" s="15" t="n">
        <v>71.05</v>
      </c>
      <c r="D1672" s="14" t="n">
        <f aca="false">AVERAGE(B1653:B1672)</f>
        <v>68.369</v>
      </c>
      <c r="E1672" s="14" t="n">
        <f aca="false">(B1672-D1672)/D1672*100</f>
        <v>-1.21253784609983</v>
      </c>
    </row>
    <row r="1673" customFormat="false" ht="15" hidden="false" customHeight="false" outlineLevel="0" collapsed="false">
      <c r="A1673" s="12" t="n">
        <v>44433</v>
      </c>
      <c r="B1673" s="15" t="n">
        <v>68.36</v>
      </c>
      <c r="C1673" s="15" t="n">
        <v>72.25</v>
      </c>
      <c r="D1673" s="14" t="n">
        <f aca="false">AVERAGE(B1654:B1673)</f>
        <v>68.1675</v>
      </c>
      <c r="E1673" s="14" t="n">
        <f aca="false">(B1673-D1673)/D1673*100</f>
        <v>0.282392635786842</v>
      </c>
    </row>
    <row r="1674" customFormat="false" ht="15" hidden="false" customHeight="false" outlineLevel="0" collapsed="false">
      <c r="A1674" s="12" t="n">
        <v>44434</v>
      </c>
      <c r="B1674" s="15" t="n">
        <v>67.42</v>
      </c>
      <c r="C1674" s="15" t="n">
        <v>71.07</v>
      </c>
      <c r="D1674" s="14" t="n">
        <f aca="false">AVERAGE(B1655:B1674)</f>
        <v>67.8575</v>
      </c>
      <c r="E1674" s="14" t="n">
        <f aca="false">(B1674-D1674)/D1674*100</f>
        <v>-0.644733448771322</v>
      </c>
    </row>
    <row r="1675" customFormat="false" ht="15" hidden="false" customHeight="false" outlineLevel="0" collapsed="false">
      <c r="A1675" s="12" t="n">
        <v>44435</v>
      </c>
      <c r="B1675" s="15" t="n">
        <v>68.74</v>
      </c>
      <c r="C1675" s="15" t="n">
        <v>72.7</v>
      </c>
      <c r="D1675" s="14" t="n">
        <f aca="false">AVERAGE(B1656:B1675)</f>
        <v>67.597</v>
      </c>
      <c r="E1675" s="14" t="n">
        <f aca="false">(B1675-D1675)/D1675*100</f>
        <v>1.69090344246044</v>
      </c>
    </row>
    <row r="1676" customFormat="false" ht="15" hidden="false" customHeight="false" outlineLevel="0" collapsed="false">
      <c r="A1676" s="12" t="n">
        <v>44438</v>
      </c>
      <c r="B1676" s="15" t="n">
        <v>69.21</v>
      </c>
      <c r="C1676" s="15" t="n">
        <v>73.41</v>
      </c>
      <c r="D1676" s="14" t="n">
        <f aca="false">AVERAGE(B1657:B1676)</f>
        <v>67.4945</v>
      </c>
      <c r="E1676" s="14" t="n">
        <f aca="false">(B1676-D1676)/D1676*100</f>
        <v>2.5416885820326</v>
      </c>
    </row>
    <row r="1677" customFormat="false" ht="15" hidden="false" customHeight="false" outlineLevel="0" collapsed="false">
      <c r="A1677" s="12" t="n">
        <v>44439</v>
      </c>
      <c r="B1677" s="15" t="n">
        <v>68.5</v>
      </c>
      <c r="C1677" s="15" t="n">
        <v>72.99</v>
      </c>
      <c r="D1677" s="14" t="n">
        <f aca="false">AVERAGE(B1658:B1677)</f>
        <v>67.3915</v>
      </c>
      <c r="E1677" s="14" t="n">
        <f aca="false">(B1677-D1677)/D1677*100</f>
        <v>1.64486619232397</v>
      </c>
    </row>
    <row r="1678" customFormat="false" ht="15" hidden="false" customHeight="false" outlineLevel="0" collapsed="false">
      <c r="A1678" s="12" t="n">
        <v>44440</v>
      </c>
      <c r="B1678" s="15" t="n">
        <v>68.59</v>
      </c>
      <c r="C1678" s="15" t="n">
        <v>71.59</v>
      </c>
      <c r="D1678" s="14" t="n">
        <f aca="false">AVERAGE(B1659:B1678)</f>
        <v>67.4135</v>
      </c>
      <c r="E1678" s="14" t="n">
        <f aca="false">(B1678-D1678)/D1678*100</f>
        <v>1.74519940368028</v>
      </c>
    </row>
    <row r="1679" customFormat="false" ht="15" hidden="false" customHeight="false" outlineLevel="0" collapsed="false">
      <c r="A1679" s="12" t="n">
        <v>44441</v>
      </c>
      <c r="B1679" s="15" t="n">
        <v>69.99</v>
      </c>
      <c r="C1679" s="15" t="n">
        <v>73.03</v>
      </c>
      <c r="D1679" s="14" t="n">
        <f aca="false">AVERAGE(B1660:B1679)</f>
        <v>67.4585</v>
      </c>
      <c r="E1679" s="14" t="n">
        <f aca="false">(B1679-D1679)/D1679*100</f>
        <v>3.75267757213693</v>
      </c>
    </row>
    <row r="1680" customFormat="false" ht="15" hidden="false" customHeight="false" outlineLevel="0" collapsed="false">
      <c r="A1680" s="12" t="n">
        <v>44442</v>
      </c>
      <c r="B1680" s="15" t="n">
        <v>69.29</v>
      </c>
      <c r="C1680" s="15" t="n">
        <v>72.61</v>
      </c>
      <c r="D1680" s="14" t="n">
        <f aca="false">AVERAGE(B1661:B1680)</f>
        <v>67.509</v>
      </c>
      <c r="E1680" s="14" t="n">
        <f aca="false">(B1680-D1680)/D1680*100</f>
        <v>2.63816676295013</v>
      </c>
    </row>
    <row r="1681" customFormat="false" ht="15" hidden="false" customHeight="false" outlineLevel="0" collapsed="false">
      <c r="A1681" s="12" t="n">
        <v>44446</v>
      </c>
      <c r="B1681" s="15" t="n">
        <v>68.35</v>
      </c>
      <c r="C1681" s="15" t="n">
        <v>71.69</v>
      </c>
      <c r="D1681" s="14" t="n">
        <f aca="false">AVERAGE(B1662:B1681)</f>
        <v>67.6025</v>
      </c>
      <c r="E1681" s="14" t="n">
        <f aca="false">(B1681-D1681)/D1681*100</f>
        <v>1.10572833844903</v>
      </c>
    </row>
    <row r="1682" customFormat="false" ht="15" hidden="false" customHeight="false" outlineLevel="0" collapsed="false">
      <c r="A1682" s="12" t="n">
        <v>44447</v>
      </c>
      <c r="B1682" s="15" t="n">
        <v>69.3</v>
      </c>
      <c r="C1682" s="15" t="n">
        <v>72.6</v>
      </c>
      <c r="D1682" s="14" t="n">
        <f aca="false">AVERAGE(B1663:B1682)</f>
        <v>67.653</v>
      </c>
      <c r="E1682" s="14" t="n">
        <f aca="false">(B1682-D1682)/D1682*100</f>
        <v>2.43448184116005</v>
      </c>
    </row>
    <row r="1683" customFormat="false" ht="15" hidden="false" customHeight="false" outlineLevel="0" collapsed="false">
      <c r="A1683" s="12" t="n">
        <v>44448</v>
      </c>
      <c r="B1683" s="15" t="n">
        <v>68.14</v>
      </c>
      <c r="C1683" s="15" t="n">
        <v>71.45</v>
      </c>
      <c r="D1683" s="14" t="n">
        <f aca="false">AVERAGE(B1664:B1683)</f>
        <v>67.5975</v>
      </c>
      <c r="E1683" s="14" t="n">
        <f aca="false">(B1683-D1683)/D1683*100</f>
        <v>0.802544472798556</v>
      </c>
    </row>
    <row r="1684" customFormat="false" ht="15" hidden="false" customHeight="false" outlineLevel="0" collapsed="false">
      <c r="A1684" s="12" t="n">
        <v>44449</v>
      </c>
      <c r="B1684" s="15" t="n">
        <v>69.72</v>
      </c>
      <c r="C1684" s="15" t="n">
        <v>72.92</v>
      </c>
      <c r="D1684" s="14" t="n">
        <f aca="false">AVERAGE(B1665:B1684)</f>
        <v>67.629</v>
      </c>
      <c r="E1684" s="14" t="n">
        <f aca="false">(B1684-D1684)/D1684*100</f>
        <v>3.09186887282084</v>
      </c>
    </row>
    <row r="1685" customFormat="false" ht="15" hidden="false" customHeight="false" outlineLevel="0" collapsed="false">
      <c r="A1685" s="12" t="n">
        <v>44452</v>
      </c>
      <c r="B1685" s="15" t="n">
        <v>70.45</v>
      </c>
      <c r="C1685" s="15" t="n">
        <v>73.51</v>
      </c>
      <c r="D1685" s="14" t="n">
        <f aca="false">AVERAGE(B1666:B1685)</f>
        <v>67.7295</v>
      </c>
      <c r="E1685" s="14" t="n">
        <f aca="false">(B1685-D1685)/D1685*100</f>
        <v>4.01671354431969</v>
      </c>
    </row>
    <row r="1686" customFormat="false" ht="15" hidden="false" customHeight="false" outlineLevel="0" collapsed="false">
      <c r="A1686" s="12" t="n">
        <v>44453</v>
      </c>
      <c r="B1686" s="15" t="n">
        <v>70.46</v>
      </c>
      <c r="C1686" s="15" t="n">
        <v>73.6</v>
      </c>
      <c r="D1686" s="14" t="n">
        <f aca="false">AVERAGE(B1667:B1686)</f>
        <v>67.888</v>
      </c>
      <c r="E1686" s="14" t="n">
        <f aca="false">(B1686-D1686)/D1686*100</f>
        <v>3.78859297666744</v>
      </c>
    </row>
    <row r="1687" customFormat="false" ht="15" hidden="false" customHeight="false" outlineLevel="0" collapsed="false">
      <c r="A1687" s="12" t="n">
        <v>44454</v>
      </c>
      <c r="B1687" s="15" t="n">
        <v>72.61</v>
      </c>
      <c r="C1687" s="15" t="n">
        <v>75.46</v>
      </c>
      <c r="D1687" s="14" t="n">
        <f aca="false">AVERAGE(B1668:B1687)</f>
        <v>68.189</v>
      </c>
      <c r="E1687" s="14" t="n">
        <f aca="false">(B1687-D1687)/D1687*100</f>
        <v>6.48345040989017</v>
      </c>
    </row>
    <row r="1688" customFormat="false" ht="15" hidden="false" customHeight="false" outlineLevel="0" collapsed="false">
      <c r="A1688" s="12" t="n">
        <v>44455</v>
      </c>
      <c r="B1688" s="15" t="n">
        <v>72.61</v>
      </c>
      <c r="C1688" s="15" t="n">
        <v>75.67</v>
      </c>
      <c r="D1688" s="14" t="n">
        <f aca="false">AVERAGE(B1669:B1688)</f>
        <v>68.5465</v>
      </c>
      <c r="E1688" s="14" t="n">
        <f aca="false">(B1688-D1688)/D1688*100</f>
        <v>5.9280926086671</v>
      </c>
    </row>
    <row r="1689" customFormat="false" ht="15" hidden="false" customHeight="false" outlineLevel="0" collapsed="false">
      <c r="A1689" s="12" t="n">
        <v>44456</v>
      </c>
      <c r="B1689" s="15" t="n">
        <v>71.97</v>
      </c>
      <c r="C1689" s="15" t="n">
        <v>75.34</v>
      </c>
      <c r="D1689" s="14" t="n">
        <f aca="false">AVERAGE(B1670:B1689)</f>
        <v>68.9605</v>
      </c>
      <c r="E1689" s="14" t="n">
        <f aca="false">(B1689-D1689)/D1689*100</f>
        <v>4.36409248772849</v>
      </c>
    </row>
    <row r="1690" customFormat="false" ht="15" hidden="false" customHeight="false" outlineLevel="0" collapsed="false">
      <c r="A1690" s="12" t="n">
        <v>44459</v>
      </c>
      <c r="B1690" s="15" t="n">
        <v>70.29</v>
      </c>
      <c r="C1690" s="15" t="n">
        <v>73.92</v>
      </c>
      <c r="D1690" s="14" t="n">
        <f aca="false">AVERAGE(B1671:B1690)</f>
        <v>69.359</v>
      </c>
      <c r="E1690" s="14" t="n">
        <f aca="false">(B1690-D1690)/D1690*100</f>
        <v>1.34229155552992</v>
      </c>
    </row>
    <row r="1691" customFormat="false" ht="15" hidden="false" customHeight="false" outlineLevel="0" collapsed="false">
      <c r="A1691" s="12" t="n">
        <v>44460</v>
      </c>
      <c r="B1691" s="15" t="n">
        <v>70.56</v>
      </c>
      <c r="C1691" s="15" t="n">
        <v>74.36</v>
      </c>
      <c r="D1691" s="14" t="n">
        <f aca="false">AVERAGE(B1672:B1691)</f>
        <v>69.605</v>
      </c>
      <c r="E1691" s="14" t="n">
        <f aca="false">(B1691-D1691)/D1691*100</f>
        <v>1.37202787156097</v>
      </c>
    </row>
    <row r="1692" customFormat="false" ht="15" hidden="false" customHeight="false" outlineLevel="0" collapsed="false">
      <c r="A1692" s="12" t="n">
        <v>44461</v>
      </c>
      <c r="B1692" s="15" t="n">
        <v>72.23</v>
      </c>
      <c r="C1692" s="15" t="n">
        <v>76.19</v>
      </c>
      <c r="D1692" s="14" t="n">
        <f aca="false">AVERAGE(B1673:B1692)</f>
        <v>69.8395</v>
      </c>
      <c r="E1692" s="14" t="n">
        <f aca="false">(B1692-D1692)/D1692*100</f>
        <v>3.42284810171895</v>
      </c>
    </row>
    <row r="1693" customFormat="false" ht="15" hidden="false" customHeight="false" outlineLevel="0" collapsed="false">
      <c r="A1693" s="12" t="n">
        <v>44462</v>
      </c>
      <c r="B1693" s="15" t="n">
        <v>73.3</v>
      </c>
      <c r="C1693" s="15" t="n">
        <v>77.25</v>
      </c>
      <c r="D1693" s="14" t="n">
        <f aca="false">AVERAGE(B1674:B1693)</f>
        <v>70.0865</v>
      </c>
      <c r="E1693" s="14" t="n">
        <f aca="false">(B1693-D1693)/D1693*100</f>
        <v>4.58504847581203</v>
      </c>
    </row>
    <row r="1694" customFormat="false" ht="15" hidden="false" customHeight="false" outlineLevel="0" collapsed="false">
      <c r="A1694" s="12" t="n">
        <v>44463</v>
      </c>
      <c r="B1694" s="15" t="n">
        <v>73.98</v>
      </c>
      <c r="C1694" s="15" t="n">
        <v>78.09</v>
      </c>
      <c r="D1694" s="14" t="n">
        <f aca="false">AVERAGE(B1675:B1694)</f>
        <v>70.4145</v>
      </c>
      <c r="E1694" s="14" t="n">
        <f aca="false">(B1694-D1694)/D1694*100</f>
        <v>5.06358775536289</v>
      </c>
    </row>
    <row r="1695" customFormat="false" ht="15" hidden="false" customHeight="false" outlineLevel="0" collapsed="false">
      <c r="A1695" s="12" t="n">
        <v>44466</v>
      </c>
      <c r="B1695" s="15" t="n">
        <v>75.45</v>
      </c>
      <c r="C1695" s="15" t="n">
        <v>79.53</v>
      </c>
      <c r="D1695" s="14" t="n">
        <f aca="false">AVERAGE(B1676:B1695)</f>
        <v>70.75</v>
      </c>
      <c r="E1695" s="14" t="n">
        <f aca="false">(B1695-D1695)/D1695*100</f>
        <v>6.64310954063605</v>
      </c>
    </row>
    <row r="1696" customFormat="false" ht="15" hidden="false" customHeight="false" outlineLevel="0" collapsed="false">
      <c r="A1696" s="12" t="n">
        <v>44467</v>
      </c>
      <c r="B1696" s="15" t="n">
        <v>75.29</v>
      </c>
      <c r="C1696" s="15" t="n">
        <v>79.09</v>
      </c>
      <c r="D1696" s="14" t="n">
        <f aca="false">AVERAGE(B1677:B1696)</f>
        <v>71.054</v>
      </c>
      <c r="E1696" s="14" t="n">
        <f aca="false">(B1696-D1696)/D1696*100</f>
        <v>5.96166296056521</v>
      </c>
    </row>
    <row r="1697" customFormat="false" ht="15" hidden="false" customHeight="false" outlineLevel="0" collapsed="false">
      <c r="A1697" s="12" t="n">
        <v>44468</v>
      </c>
      <c r="B1697" s="15" t="n">
        <v>74.83</v>
      </c>
      <c r="C1697" s="15" t="n">
        <v>78.64</v>
      </c>
      <c r="D1697" s="14" t="n">
        <f aca="false">AVERAGE(B1678:B1697)</f>
        <v>71.3705</v>
      </c>
      <c r="E1697" s="14" t="n">
        <f aca="false">(B1697-D1697)/D1697*100</f>
        <v>4.8472408067759</v>
      </c>
    </row>
    <row r="1698" customFormat="false" ht="15" hidden="false" customHeight="false" outlineLevel="0" collapsed="false">
      <c r="A1698" s="12" t="n">
        <v>44469</v>
      </c>
      <c r="B1698" s="15" t="n">
        <v>75.03</v>
      </c>
      <c r="C1698" s="15" t="n">
        <v>78.52</v>
      </c>
      <c r="D1698" s="14" t="n">
        <f aca="false">AVERAGE(B1679:B1698)</f>
        <v>71.6925</v>
      </c>
      <c r="E1698" s="14" t="n">
        <f aca="false">(B1698-D1698)/D1698*100</f>
        <v>4.65529867140915</v>
      </c>
    </row>
    <row r="1699" customFormat="false" ht="15" hidden="false" customHeight="false" outlineLevel="0" collapsed="false">
      <c r="A1699" s="12" t="n">
        <v>44470</v>
      </c>
      <c r="B1699" s="15" t="n">
        <v>75.88</v>
      </c>
      <c r="C1699" s="15" t="n">
        <v>79.28</v>
      </c>
      <c r="D1699" s="14" t="n">
        <f aca="false">AVERAGE(B1680:B1699)</f>
        <v>71.987</v>
      </c>
      <c r="E1699" s="14" t="n">
        <f aca="false">(B1699-D1699)/D1699*100</f>
        <v>5.40792087460236</v>
      </c>
    </row>
    <row r="1700" customFormat="false" ht="15" hidden="false" customHeight="false" outlineLevel="0" collapsed="false">
      <c r="A1700" s="12" t="n">
        <v>44473</v>
      </c>
      <c r="B1700" s="15" t="n">
        <v>77.62</v>
      </c>
      <c r="C1700" s="15" t="n">
        <v>81.26</v>
      </c>
      <c r="D1700" s="14" t="n">
        <f aca="false">AVERAGE(B1681:B1700)</f>
        <v>72.4035</v>
      </c>
      <c r="E1700" s="14" t="n">
        <f aca="false">(B1700-D1700)/D1700*100</f>
        <v>7.20476220072236</v>
      </c>
    </row>
    <row r="1701" customFormat="false" ht="15" hidden="false" customHeight="false" outlineLevel="0" collapsed="false">
      <c r="A1701" s="12" t="n">
        <v>44474</v>
      </c>
      <c r="B1701" s="15" t="n">
        <v>78.93</v>
      </c>
      <c r="C1701" s="15" t="n">
        <v>82.56</v>
      </c>
      <c r="D1701" s="14" t="n">
        <f aca="false">AVERAGE(B1682:B1701)</f>
        <v>72.9325</v>
      </c>
      <c r="E1701" s="14" t="n">
        <f aca="false">(B1701-D1701)/D1701*100</f>
        <v>8.22335721386214</v>
      </c>
    </row>
    <row r="1702" customFormat="false" ht="15" hidden="false" customHeight="false" outlineLevel="0" collapsed="false">
      <c r="A1702" s="12" t="n">
        <v>44475</v>
      </c>
      <c r="B1702" s="15" t="n">
        <v>77.43</v>
      </c>
      <c r="C1702" s="15" t="n">
        <v>81.08</v>
      </c>
      <c r="D1702" s="14" t="n">
        <f aca="false">AVERAGE(B1683:B1702)</f>
        <v>73.339</v>
      </c>
      <c r="E1702" s="14" t="n">
        <f aca="false">(B1702-D1702)/D1702*100</f>
        <v>5.57820532049797</v>
      </c>
    </row>
    <row r="1703" customFormat="false" ht="15" hidden="false" customHeight="false" outlineLevel="0" collapsed="false">
      <c r="A1703" s="12" t="n">
        <v>44476</v>
      </c>
      <c r="B1703" s="15" t="n">
        <v>78.3</v>
      </c>
      <c r="C1703" s="15" t="n">
        <v>81.95</v>
      </c>
      <c r="D1703" s="14" t="n">
        <f aca="false">AVERAGE(B1684:B1703)</f>
        <v>73.847</v>
      </c>
      <c r="E1703" s="14" t="n">
        <f aca="false">(B1703-D1703)/D1703*100</f>
        <v>6.03003507251478</v>
      </c>
    </row>
    <row r="1704" customFormat="false" ht="15" hidden="false" customHeight="false" outlineLevel="0" collapsed="false">
      <c r="A1704" s="12" t="n">
        <v>44477</v>
      </c>
      <c r="B1704" s="15" t="n">
        <v>79.35</v>
      </c>
      <c r="C1704" s="15" t="n">
        <v>82.39</v>
      </c>
      <c r="D1704" s="14" t="n">
        <f aca="false">AVERAGE(B1685:B1704)</f>
        <v>74.3285</v>
      </c>
      <c r="E1704" s="14" t="n">
        <f aca="false">(B1704-D1704)/D1704*100</f>
        <v>6.75582044572406</v>
      </c>
    </row>
    <row r="1705" customFormat="false" ht="15" hidden="false" customHeight="false" outlineLevel="0" collapsed="false">
      <c r="A1705" s="12" t="n">
        <v>44480</v>
      </c>
      <c r="B1705" s="15" t="n">
        <v>80.52</v>
      </c>
      <c r="C1705" s="15" t="n">
        <v>83.65</v>
      </c>
      <c r="D1705" s="14" t="n">
        <f aca="false">AVERAGE(B1686:B1705)</f>
        <v>74.832</v>
      </c>
      <c r="E1705" s="14" t="n">
        <f aca="false">(B1705-D1705)/D1705*100</f>
        <v>7.60102629890954</v>
      </c>
    </row>
    <row r="1706" customFormat="false" ht="15" hidden="false" customHeight="false" outlineLevel="0" collapsed="false">
      <c r="A1706" s="12" t="n">
        <v>44481</v>
      </c>
      <c r="B1706" s="15" t="n">
        <v>80.64</v>
      </c>
      <c r="C1706" s="15" t="n">
        <v>83.42</v>
      </c>
      <c r="D1706" s="14" t="n">
        <f aca="false">AVERAGE(B1687:B1706)</f>
        <v>75.341</v>
      </c>
      <c r="E1706" s="14" t="n">
        <f aca="false">(B1706-D1706)/D1706*100</f>
        <v>7.03335501254298</v>
      </c>
    </row>
    <row r="1707" customFormat="false" ht="15" hidden="false" customHeight="false" outlineLevel="0" collapsed="false">
      <c r="A1707" s="12" t="n">
        <v>44482</v>
      </c>
      <c r="B1707" s="15" t="n">
        <v>80.44</v>
      </c>
      <c r="C1707" s="15" t="n">
        <v>83.18</v>
      </c>
      <c r="D1707" s="14" t="n">
        <f aca="false">AVERAGE(B1688:B1707)</f>
        <v>75.7325</v>
      </c>
      <c r="E1707" s="14" t="n">
        <f aca="false">(B1707-D1707)/D1707*100</f>
        <v>6.21595748192651</v>
      </c>
    </row>
    <row r="1708" customFormat="false" ht="15" hidden="false" customHeight="false" outlineLevel="0" collapsed="false">
      <c r="A1708" s="12" t="n">
        <v>44483</v>
      </c>
      <c r="B1708" s="15" t="n">
        <v>81.31</v>
      </c>
      <c r="C1708" s="15" t="n">
        <v>84</v>
      </c>
      <c r="D1708" s="14" t="n">
        <f aca="false">AVERAGE(B1689:B1708)</f>
        <v>76.1675</v>
      </c>
      <c r="E1708" s="14" t="n">
        <f aca="false">(B1708-D1708)/D1708*100</f>
        <v>6.75156726950473</v>
      </c>
    </row>
    <row r="1709" customFormat="false" ht="15" hidden="false" customHeight="false" outlineLevel="0" collapsed="false">
      <c r="A1709" s="12" t="n">
        <v>44484</v>
      </c>
      <c r="B1709" s="15" t="n">
        <v>82.28</v>
      </c>
      <c r="C1709" s="15" t="n">
        <v>84.86</v>
      </c>
      <c r="D1709" s="14" t="n">
        <f aca="false">AVERAGE(B1690:B1709)</f>
        <v>76.683</v>
      </c>
      <c r="E1709" s="14" t="n">
        <f aca="false">(B1709-D1709)/D1709*100</f>
        <v>7.29887980386786</v>
      </c>
    </row>
    <row r="1710" customFormat="false" ht="15" hidden="false" customHeight="false" outlineLevel="0" collapsed="false">
      <c r="A1710" s="12" t="n">
        <v>44487</v>
      </c>
      <c r="B1710" s="15" t="n">
        <v>82.44</v>
      </c>
      <c r="C1710" s="15" t="n">
        <v>84.33</v>
      </c>
      <c r="D1710" s="14" t="n">
        <f aca="false">AVERAGE(B1691:B1710)</f>
        <v>77.2905</v>
      </c>
      <c r="E1710" s="14" t="n">
        <f aca="false">(B1710-D1710)/D1710*100</f>
        <v>6.66252644244765</v>
      </c>
    </row>
    <row r="1711" customFormat="false" ht="15" hidden="false" customHeight="false" outlineLevel="0" collapsed="false">
      <c r="A1711" s="12" t="n">
        <v>44488</v>
      </c>
      <c r="B1711" s="15" t="n">
        <v>82.96</v>
      </c>
      <c r="C1711" s="15" t="n">
        <v>85.08</v>
      </c>
      <c r="D1711" s="14" t="n">
        <f aca="false">AVERAGE(B1692:B1711)</f>
        <v>77.9105</v>
      </c>
      <c r="E1711" s="14" t="n">
        <f aca="false">(B1711-D1711)/D1711*100</f>
        <v>6.48115465822963</v>
      </c>
    </row>
    <row r="1712" customFormat="false" ht="15" hidden="false" customHeight="false" outlineLevel="0" collapsed="false">
      <c r="A1712" s="12" t="n">
        <v>44489</v>
      </c>
      <c r="B1712" s="15" t="n">
        <v>83.87</v>
      </c>
      <c r="C1712" s="15" t="n">
        <v>85.82</v>
      </c>
      <c r="D1712" s="14" t="n">
        <f aca="false">AVERAGE(B1693:B1712)</f>
        <v>78.4925</v>
      </c>
      <c r="E1712" s="14" t="n">
        <f aca="false">(B1712-D1712)/D1712*100</f>
        <v>6.85097302290029</v>
      </c>
    </row>
    <row r="1713" customFormat="false" ht="15" hidden="false" customHeight="false" outlineLevel="0" collapsed="false">
      <c r="A1713" s="12" t="n">
        <v>44490</v>
      </c>
      <c r="B1713" s="15" t="n">
        <v>82.5</v>
      </c>
      <c r="C1713" s="15" t="n">
        <v>84.61</v>
      </c>
      <c r="D1713" s="14" t="n">
        <f aca="false">AVERAGE(B1694:B1713)</f>
        <v>78.9525</v>
      </c>
      <c r="E1713" s="14" t="n">
        <f aca="false">(B1713-D1713)/D1713*100</f>
        <v>4.4932079414838</v>
      </c>
    </row>
    <row r="1714" customFormat="false" ht="15" hidden="false" customHeight="false" outlineLevel="0" collapsed="false">
      <c r="A1714" s="12" t="n">
        <v>44491</v>
      </c>
      <c r="B1714" s="15" t="n">
        <v>83.76</v>
      </c>
      <c r="C1714" s="15" t="n">
        <v>85.53</v>
      </c>
      <c r="D1714" s="14" t="n">
        <f aca="false">AVERAGE(B1695:B1714)</f>
        <v>79.4415</v>
      </c>
      <c r="E1714" s="14" t="n">
        <f aca="false">(B1714-D1714)/D1714*100</f>
        <v>5.43607560280208</v>
      </c>
    </row>
    <row r="1715" customFormat="false" ht="15" hidden="false" customHeight="false" outlineLevel="0" collapsed="false">
      <c r="A1715" s="12" t="n">
        <v>44494</v>
      </c>
      <c r="B1715" s="15" t="n">
        <v>83.76</v>
      </c>
      <c r="C1715" s="15" t="n">
        <v>85.99</v>
      </c>
      <c r="D1715" s="14" t="n">
        <f aca="false">AVERAGE(B1696:B1715)</f>
        <v>79.857</v>
      </c>
      <c r="E1715" s="14" t="n">
        <f aca="false">(B1715-D1715)/D1715*100</f>
        <v>4.88748638190767</v>
      </c>
    </row>
    <row r="1716" customFormat="false" ht="15" hidden="false" customHeight="false" outlineLevel="0" collapsed="false">
      <c r="A1716" s="12" t="n">
        <v>44495</v>
      </c>
      <c r="B1716" s="15" t="n">
        <v>84.65</v>
      </c>
      <c r="C1716" s="15" t="n">
        <v>86.4</v>
      </c>
      <c r="D1716" s="14" t="n">
        <f aca="false">AVERAGE(B1697:B1716)</f>
        <v>80.325</v>
      </c>
      <c r="E1716" s="14" t="n">
        <f aca="false">(B1716-D1716)/D1716*100</f>
        <v>5.38437597261127</v>
      </c>
    </row>
    <row r="1717" customFormat="false" ht="15" hidden="false" customHeight="false" outlineLevel="0" collapsed="false">
      <c r="A1717" s="12" t="n">
        <v>44496</v>
      </c>
      <c r="B1717" s="15" t="n">
        <v>82.66</v>
      </c>
      <c r="C1717" s="15" t="n">
        <v>84.58</v>
      </c>
      <c r="D1717" s="14" t="n">
        <f aca="false">AVERAGE(B1698:B1717)</f>
        <v>80.7165</v>
      </c>
      <c r="E1717" s="14" t="n">
        <f aca="false">(B1717-D1717)/D1717*100</f>
        <v>2.40781005122868</v>
      </c>
    </row>
    <row r="1718" customFormat="false" ht="15" hidden="false" customHeight="false" outlineLevel="0" collapsed="false">
      <c r="A1718" s="12" t="n">
        <v>44497</v>
      </c>
      <c r="B1718" s="15" t="n">
        <v>82.81</v>
      </c>
      <c r="C1718" s="15" t="n">
        <v>84.32</v>
      </c>
      <c r="D1718" s="14" t="n">
        <f aca="false">AVERAGE(B1699:B1718)</f>
        <v>81.1055</v>
      </c>
      <c r="E1718" s="14" t="n">
        <f aca="false">(B1718-D1718)/D1718*100</f>
        <v>2.10158373969706</v>
      </c>
    </row>
    <row r="1719" customFormat="false" ht="15" hidden="false" customHeight="false" outlineLevel="0" collapsed="false">
      <c r="A1719" s="12" t="n">
        <v>44498</v>
      </c>
      <c r="B1719" s="15" t="n">
        <v>83.57</v>
      </c>
      <c r="C1719" s="15" t="n">
        <v>84.38</v>
      </c>
      <c r="D1719" s="14" t="n">
        <f aca="false">AVERAGE(B1700:B1719)</f>
        <v>81.49</v>
      </c>
      <c r="E1719" s="14" t="n">
        <f aca="false">(B1719-D1719)/D1719*100</f>
        <v>2.55246042459197</v>
      </c>
    </row>
    <row r="1720" customFormat="false" ht="15" hidden="false" customHeight="false" outlineLevel="0" collapsed="false">
      <c r="A1720" s="12" t="n">
        <v>44501</v>
      </c>
      <c r="B1720" s="15" t="n">
        <v>84.05</v>
      </c>
      <c r="C1720" s="15" t="n">
        <v>84.71</v>
      </c>
      <c r="D1720" s="14" t="n">
        <f aca="false">AVERAGE(B1701:B1720)</f>
        <v>81.8115</v>
      </c>
      <c r="E1720" s="14" t="n">
        <f aca="false">(B1720-D1720)/D1720*100</f>
        <v>2.73616789815613</v>
      </c>
    </row>
    <row r="1721" customFormat="false" ht="15" hidden="false" customHeight="false" outlineLevel="0" collapsed="false">
      <c r="A1721" s="12" t="n">
        <v>44502</v>
      </c>
      <c r="B1721" s="15" t="n">
        <v>83.91</v>
      </c>
      <c r="C1721" s="15" t="n">
        <v>84.72</v>
      </c>
      <c r="D1721" s="14" t="n">
        <f aca="false">AVERAGE(B1702:B1721)</f>
        <v>82.0605</v>
      </c>
      <c r="E1721" s="14" t="n">
        <f aca="false">(B1721-D1721)/D1721*100</f>
        <v>2.25382492185643</v>
      </c>
    </row>
    <row r="1722" customFormat="false" ht="15" hidden="false" customHeight="false" outlineLevel="0" collapsed="false">
      <c r="A1722" s="12" t="n">
        <v>44503</v>
      </c>
      <c r="B1722" s="15" t="n">
        <v>80.86</v>
      </c>
      <c r="C1722" s="15" t="n">
        <v>81.99</v>
      </c>
      <c r="D1722" s="14" t="n">
        <f aca="false">AVERAGE(B1703:B1722)</f>
        <v>82.232</v>
      </c>
      <c r="E1722" s="14" t="n">
        <f aca="false">(B1722-D1722)/D1722*100</f>
        <v>-1.66845023835003</v>
      </c>
    </row>
    <row r="1723" customFormat="false" ht="15" hidden="false" customHeight="false" outlineLevel="0" collapsed="false">
      <c r="A1723" s="12" t="n">
        <v>44504</v>
      </c>
      <c r="B1723" s="15" t="n">
        <v>78.81</v>
      </c>
      <c r="C1723" s="15" t="n">
        <v>80.54</v>
      </c>
      <c r="D1723" s="14" t="n">
        <f aca="false">AVERAGE(B1704:B1723)</f>
        <v>82.2575</v>
      </c>
      <c r="E1723" s="14" t="n">
        <f aca="false">(B1723-D1723)/D1723*100</f>
        <v>-4.19110719387291</v>
      </c>
    </row>
    <row r="1724" customFormat="false" ht="15" hidden="false" customHeight="false" outlineLevel="0" collapsed="false">
      <c r="A1724" s="12" t="n">
        <v>44505</v>
      </c>
      <c r="B1724" s="15" t="n">
        <v>81.27</v>
      </c>
      <c r="C1724" s="15" t="n">
        <v>82.74</v>
      </c>
      <c r="D1724" s="14" t="n">
        <f aca="false">AVERAGE(B1705:B1724)</f>
        <v>82.3535</v>
      </c>
      <c r="E1724" s="14" t="n">
        <f aca="false">(B1724-D1724)/D1724*100</f>
        <v>-1.31566964367028</v>
      </c>
    </row>
    <row r="1725" customFormat="false" ht="15" hidden="false" customHeight="false" outlineLevel="0" collapsed="false">
      <c r="A1725" s="12" t="n">
        <v>44508</v>
      </c>
      <c r="B1725" s="15" t="n">
        <v>81.93</v>
      </c>
      <c r="C1725" s="15" t="n">
        <v>83.43</v>
      </c>
      <c r="D1725" s="14" t="n">
        <f aca="false">AVERAGE(B1706:B1725)</f>
        <v>82.424</v>
      </c>
      <c r="E1725" s="14" t="n">
        <f aca="false">(B1725-D1725)/D1725*100</f>
        <v>-0.599339998058817</v>
      </c>
    </row>
    <row r="1726" customFormat="false" ht="15" hidden="false" customHeight="false" outlineLevel="0" collapsed="false">
      <c r="A1726" s="12" t="n">
        <v>44509</v>
      </c>
      <c r="B1726" s="15" t="n">
        <v>84.15</v>
      </c>
      <c r="C1726" s="15" t="n">
        <v>84.78</v>
      </c>
      <c r="D1726" s="14" t="n">
        <f aca="false">AVERAGE(B1707:B1726)</f>
        <v>82.5995</v>
      </c>
      <c r="E1726" s="14" t="n">
        <f aca="false">(B1726-D1726)/D1726*100</f>
        <v>1.87713000684023</v>
      </c>
    </row>
    <row r="1727" customFormat="false" ht="15" hidden="false" customHeight="false" outlineLevel="0" collapsed="false">
      <c r="A1727" s="12" t="n">
        <v>44510</v>
      </c>
      <c r="B1727" s="15" t="n">
        <v>81.34</v>
      </c>
      <c r="C1727" s="15" t="n">
        <v>82.64</v>
      </c>
      <c r="D1727" s="14" t="n">
        <f aca="false">AVERAGE(B1708:B1727)</f>
        <v>82.6445</v>
      </c>
      <c r="E1727" s="14" t="n">
        <f aca="false">(B1727-D1727)/D1727*100</f>
        <v>-1.57844744659355</v>
      </c>
    </row>
    <row r="1728" customFormat="false" ht="15" hidden="false" customHeight="false" outlineLevel="0" collapsed="false">
      <c r="A1728" s="12" t="n">
        <v>44511</v>
      </c>
      <c r="B1728" s="15" t="n">
        <v>81.59</v>
      </c>
      <c r="C1728" s="15" t="n">
        <v>82.87</v>
      </c>
      <c r="D1728" s="14" t="n">
        <f aca="false">AVERAGE(B1709:B1728)</f>
        <v>82.6585</v>
      </c>
      <c r="E1728" s="14" t="n">
        <f aca="false">(B1728-D1728)/D1728*100</f>
        <v>-1.29266802567189</v>
      </c>
    </row>
    <row r="1729" customFormat="false" ht="15" hidden="false" customHeight="false" outlineLevel="0" collapsed="false">
      <c r="A1729" s="12" t="n">
        <v>44512</v>
      </c>
      <c r="B1729" s="15" t="n">
        <v>80.79</v>
      </c>
      <c r="C1729" s="15" t="n">
        <v>82.17</v>
      </c>
      <c r="D1729" s="14" t="n">
        <f aca="false">AVERAGE(B1710:B1729)</f>
        <v>82.584</v>
      </c>
      <c r="E1729" s="14" t="n">
        <f aca="false">(B1729-D1729)/D1729*100</f>
        <v>-2.17233362394652</v>
      </c>
    </row>
    <row r="1730" customFormat="false" ht="15" hidden="false" customHeight="false" outlineLevel="0" collapsed="false">
      <c r="A1730" s="12" t="n">
        <v>44515</v>
      </c>
      <c r="B1730" s="15" t="n">
        <v>80.88</v>
      </c>
      <c r="C1730" s="15" t="n">
        <v>82.05</v>
      </c>
      <c r="D1730" s="14" t="n">
        <f aca="false">AVERAGE(B1711:B1730)</f>
        <v>82.506</v>
      </c>
      <c r="E1730" s="14" t="n">
        <f aca="false">(B1730-D1730)/D1730*100</f>
        <v>-1.97076576249001</v>
      </c>
    </row>
    <row r="1731" customFormat="false" ht="15" hidden="false" customHeight="false" outlineLevel="0" collapsed="false">
      <c r="A1731" s="12" t="n">
        <v>44516</v>
      </c>
      <c r="B1731" s="15" t="n">
        <v>80.76</v>
      </c>
      <c r="C1731" s="15" t="n">
        <v>82.43</v>
      </c>
      <c r="D1731" s="14" t="n">
        <f aca="false">AVERAGE(B1712:B1731)</f>
        <v>82.396</v>
      </c>
      <c r="E1731" s="14" t="n">
        <f aca="false">(B1731-D1731)/D1731*100</f>
        <v>-1.98553327831448</v>
      </c>
    </row>
    <row r="1732" customFormat="false" ht="15" hidden="false" customHeight="false" outlineLevel="0" collapsed="false">
      <c r="A1732" s="12" t="n">
        <v>44517</v>
      </c>
      <c r="B1732" s="15" t="n">
        <v>78.36</v>
      </c>
      <c r="C1732" s="15" t="n">
        <v>80.28</v>
      </c>
      <c r="D1732" s="14" t="n">
        <f aca="false">AVERAGE(B1713:B1732)</f>
        <v>82.1205</v>
      </c>
      <c r="E1732" s="14" t="n">
        <f aca="false">(B1732-D1732)/D1732*100</f>
        <v>-4.57924635139826</v>
      </c>
    </row>
    <row r="1733" customFormat="false" ht="15" hidden="false" customHeight="false" outlineLevel="0" collapsed="false">
      <c r="A1733" s="12" t="n">
        <v>44518</v>
      </c>
      <c r="B1733" s="15" t="n">
        <v>79.01</v>
      </c>
      <c r="C1733" s="15" t="n">
        <v>81.24</v>
      </c>
      <c r="D1733" s="14" t="n">
        <f aca="false">AVERAGE(B1714:B1733)</f>
        <v>81.946</v>
      </c>
      <c r="E1733" s="14" t="n">
        <f aca="false">(B1733-D1733)/D1733*100</f>
        <v>-3.58284724086593</v>
      </c>
    </row>
    <row r="1734" customFormat="false" ht="15" hidden="false" customHeight="false" outlineLevel="0" collapsed="false">
      <c r="A1734" s="12" t="n">
        <v>44519</v>
      </c>
      <c r="B1734" s="15" t="n">
        <v>76.1</v>
      </c>
      <c r="C1734" s="15" t="n">
        <v>78.89</v>
      </c>
      <c r="D1734" s="14" t="n">
        <f aca="false">AVERAGE(B1715:B1734)</f>
        <v>81.563</v>
      </c>
      <c r="E1734" s="14" t="n">
        <f aca="false">(B1734-D1734)/D1734*100</f>
        <v>-6.69788997462086</v>
      </c>
    </row>
    <row r="1735" customFormat="false" ht="15" hidden="false" customHeight="false" outlineLevel="0" collapsed="false">
      <c r="A1735" s="12" t="n">
        <v>44522</v>
      </c>
      <c r="B1735" s="15" t="n">
        <v>76.75</v>
      </c>
      <c r="C1735" s="15" t="n">
        <v>79.7</v>
      </c>
      <c r="D1735" s="14" t="n">
        <f aca="false">AVERAGE(B1716:B1735)</f>
        <v>81.2125</v>
      </c>
      <c r="E1735" s="14" t="n">
        <f aca="false">(B1735-D1735)/D1735*100</f>
        <v>-5.49484377404957</v>
      </c>
    </row>
    <row r="1736" customFormat="false" ht="15" hidden="false" customHeight="false" outlineLevel="0" collapsed="false">
      <c r="A1736" s="12" t="n">
        <v>44523</v>
      </c>
      <c r="B1736" s="15" t="n">
        <v>78.5</v>
      </c>
      <c r="C1736" s="15" t="n">
        <v>82.31</v>
      </c>
      <c r="D1736" s="14" t="n">
        <f aca="false">AVERAGE(B1717:B1736)</f>
        <v>80.905</v>
      </c>
      <c r="E1736" s="14" t="n">
        <f aca="false">(B1736-D1736)/D1736*100</f>
        <v>-2.9726222112354</v>
      </c>
    </row>
    <row r="1737" customFormat="false" ht="15" hidden="false" customHeight="false" outlineLevel="0" collapsed="false">
      <c r="A1737" s="12" t="n">
        <v>44524</v>
      </c>
      <c r="B1737" s="15" t="n">
        <v>78.39</v>
      </c>
      <c r="C1737" s="15" t="n">
        <v>82.25</v>
      </c>
      <c r="D1737" s="14" t="n">
        <f aca="false">AVERAGE(B1718:B1737)</f>
        <v>80.6915</v>
      </c>
      <c r="E1737" s="14" t="n">
        <f aca="false">(B1737-D1737)/D1737*100</f>
        <v>-2.85222111374803</v>
      </c>
    </row>
    <row r="1738" customFormat="false" ht="15" hidden="false" customHeight="false" outlineLevel="0" collapsed="false">
      <c r="A1738" s="12" t="n">
        <v>44526</v>
      </c>
      <c r="B1738" s="15" t="n">
        <v>68.15</v>
      </c>
      <c r="C1738" s="15" t="n">
        <v>72.72</v>
      </c>
      <c r="D1738" s="14" t="n">
        <f aca="false">AVERAGE(B1719:B1738)</f>
        <v>79.9585</v>
      </c>
      <c r="E1738" s="14" t="n">
        <f aca="false">(B1738-D1738)/D1738*100</f>
        <v>-14.7682860483876</v>
      </c>
    </row>
    <row r="1739" customFormat="false" ht="15" hidden="false" customHeight="false" outlineLevel="0" collapsed="false">
      <c r="A1739" s="12" t="n">
        <v>44529</v>
      </c>
      <c r="B1739" s="15" t="n">
        <v>69.95</v>
      </c>
      <c r="C1739" s="15" t="n">
        <v>73.44</v>
      </c>
      <c r="D1739" s="14" t="n">
        <f aca="false">AVERAGE(B1720:B1739)</f>
        <v>79.2775</v>
      </c>
      <c r="E1739" s="14" t="n">
        <f aca="false">(B1739-D1739)/D1739*100</f>
        <v>-11.7656333764309</v>
      </c>
    </row>
    <row r="1740" customFormat="false" ht="15" hidden="false" customHeight="false" outlineLevel="0" collapsed="false">
      <c r="A1740" s="12" t="n">
        <v>44530</v>
      </c>
      <c r="B1740" s="15" t="n">
        <v>66.18</v>
      </c>
      <c r="C1740" s="15" t="n">
        <v>70.57</v>
      </c>
      <c r="D1740" s="14" t="n">
        <f aca="false">AVERAGE(B1721:B1740)</f>
        <v>78.384</v>
      </c>
      <c r="E1740" s="14" t="n">
        <f aca="false">(B1740-D1740)/D1740*100</f>
        <v>-15.5695039804042</v>
      </c>
    </row>
    <row r="1741" customFormat="false" ht="15" hidden="false" customHeight="false" outlineLevel="0" collapsed="false">
      <c r="A1741" s="12" t="n">
        <v>44531</v>
      </c>
      <c r="B1741" s="15" t="n">
        <v>65.57</v>
      </c>
      <c r="C1741" s="15" t="n">
        <v>68.87</v>
      </c>
      <c r="D1741" s="14" t="n">
        <f aca="false">AVERAGE(B1722:B1741)</f>
        <v>77.467</v>
      </c>
      <c r="E1741" s="14" t="n">
        <f aca="false">(B1741-D1741)/D1741*100</f>
        <v>-15.3575070675256</v>
      </c>
    </row>
    <row r="1742" customFormat="false" ht="15" hidden="false" customHeight="false" outlineLevel="0" collapsed="false">
      <c r="A1742" s="12" t="n">
        <v>44532</v>
      </c>
      <c r="B1742" s="15" t="n">
        <v>66.5</v>
      </c>
      <c r="C1742" s="15" t="n">
        <v>69.67</v>
      </c>
      <c r="D1742" s="14" t="n">
        <f aca="false">AVERAGE(B1723:B1742)</f>
        <v>76.749</v>
      </c>
      <c r="E1742" s="14" t="n">
        <f aca="false">(B1742-D1742)/D1742*100</f>
        <v>-13.3539199207807</v>
      </c>
    </row>
    <row r="1743" customFormat="false" ht="15" hidden="false" customHeight="false" outlineLevel="0" collapsed="false">
      <c r="A1743" s="12" t="n">
        <v>44533</v>
      </c>
      <c r="B1743" s="15" t="n">
        <v>66.26</v>
      </c>
      <c r="C1743" s="15" t="n">
        <v>69.88</v>
      </c>
      <c r="D1743" s="14" t="n">
        <f aca="false">AVERAGE(B1724:B1743)</f>
        <v>76.1215</v>
      </c>
      <c r="E1743" s="14" t="n">
        <f aca="false">(B1743-D1743)/D1743*100</f>
        <v>-12.954947025479</v>
      </c>
    </row>
    <row r="1744" customFormat="false" ht="15" hidden="false" customHeight="false" outlineLevel="0" collapsed="false">
      <c r="A1744" s="12" t="n">
        <v>44536</v>
      </c>
      <c r="B1744" s="15" t="n">
        <v>69.49</v>
      </c>
      <c r="C1744" s="15" t="n">
        <v>73.08</v>
      </c>
      <c r="D1744" s="14" t="n">
        <f aca="false">AVERAGE(B1725:B1744)</f>
        <v>75.5325</v>
      </c>
      <c r="E1744" s="14" t="n">
        <f aca="false">(B1744-D1744)/D1744*100</f>
        <v>-7.99986760665939</v>
      </c>
    </row>
    <row r="1745" customFormat="false" ht="15" hidden="false" customHeight="false" outlineLevel="0" collapsed="false">
      <c r="A1745" s="12" t="n">
        <v>44537</v>
      </c>
      <c r="B1745" s="15" t="n">
        <v>72.05</v>
      </c>
      <c r="C1745" s="15" t="n">
        <v>75.44</v>
      </c>
      <c r="D1745" s="14" t="n">
        <f aca="false">AVERAGE(B1726:B1745)</f>
        <v>75.0385</v>
      </c>
      <c r="E1745" s="14" t="n">
        <f aca="false">(B1745-D1745)/D1745*100</f>
        <v>-3.98262225390966</v>
      </c>
    </row>
    <row r="1746" customFormat="false" ht="15" hidden="false" customHeight="false" outlineLevel="0" collapsed="false">
      <c r="A1746" s="12" t="n">
        <v>44538</v>
      </c>
      <c r="B1746" s="15" t="n">
        <v>72.36</v>
      </c>
      <c r="C1746" s="15" t="n">
        <v>75.82</v>
      </c>
      <c r="D1746" s="14" t="n">
        <f aca="false">AVERAGE(B1727:B1746)</f>
        <v>74.449</v>
      </c>
      <c r="E1746" s="14" t="n">
        <f aca="false">(B1746-D1746)/D1746*100</f>
        <v>-2.80594769573802</v>
      </c>
    </row>
    <row r="1747" customFormat="false" ht="15" hidden="false" customHeight="false" outlineLevel="0" collapsed="false">
      <c r="A1747" s="12" t="n">
        <v>44539</v>
      </c>
      <c r="B1747" s="15" t="n">
        <v>70.94</v>
      </c>
      <c r="C1747" s="15" t="n">
        <v>74.42</v>
      </c>
      <c r="D1747" s="14" t="n">
        <f aca="false">AVERAGE(B1728:B1747)</f>
        <v>73.929</v>
      </c>
      <c r="E1747" s="14" t="n">
        <f aca="false">(B1747-D1747)/D1747*100</f>
        <v>-4.04306834936223</v>
      </c>
    </row>
    <row r="1748" customFormat="false" ht="15" hidden="false" customHeight="false" outlineLevel="0" collapsed="false">
      <c r="A1748" s="12" t="n">
        <v>44540</v>
      </c>
      <c r="B1748" s="15" t="n">
        <v>71.67</v>
      </c>
      <c r="C1748" s="15" t="n">
        <v>75.15</v>
      </c>
      <c r="D1748" s="14" t="n">
        <f aca="false">AVERAGE(B1729:B1748)</f>
        <v>73.433</v>
      </c>
      <c r="E1748" s="14" t="n">
        <f aca="false">(B1748-D1748)/D1748*100</f>
        <v>-2.40082796562854</v>
      </c>
    </row>
    <row r="1749" customFormat="false" ht="15" hidden="false" customHeight="false" outlineLevel="0" collapsed="false">
      <c r="A1749" s="12" t="n">
        <v>44543</v>
      </c>
      <c r="B1749" s="15" t="n">
        <v>71.29</v>
      </c>
      <c r="C1749" s="15" t="n">
        <v>74.39</v>
      </c>
      <c r="D1749" s="14" t="n">
        <f aca="false">AVERAGE(B1730:B1749)</f>
        <v>72.958</v>
      </c>
      <c r="E1749" s="14" t="n">
        <f aca="false">(B1749-D1749)/D1749*100</f>
        <v>-2.28624688176758</v>
      </c>
    </row>
    <row r="1750" customFormat="false" ht="15" hidden="false" customHeight="false" outlineLevel="0" collapsed="false">
      <c r="A1750" s="12" t="n">
        <v>44544</v>
      </c>
      <c r="B1750" s="15" t="n">
        <v>70.73</v>
      </c>
      <c r="C1750" s="15" t="n">
        <v>73.7</v>
      </c>
      <c r="D1750" s="14" t="n">
        <f aca="false">AVERAGE(B1731:B1750)</f>
        <v>72.4505</v>
      </c>
      <c r="E1750" s="14" t="n">
        <f aca="false">(B1750-D1750)/D1750*100</f>
        <v>-2.3747248121131</v>
      </c>
    </row>
    <row r="1751" customFormat="false" ht="15" hidden="false" customHeight="false" outlineLevel="0" collapsed="false">
      <c r="A1751" s="12" t="n">
        <v>44545</v>
      </c>
      <c r="B1751" s="15" t="n">
        <v>70.87</v>
      </c>
      <c r="C1751" s="15" t="n">
        <v>73.88</v>
      </c>
      <c r="D1751" s="14" t="n">
        <f aca="false">AVERAGE(B1732:B1751)</f>
        <v>71.956</v>
      </c>
      <c r="E1751" s="14" t="n">
        <f aca="false">(B1751-D1751)/D1751*100</f>
        <v>-1.50925565623436</v>
      </c>
    </row>
    <row r="1752" customFormat="false" ht="15" hidden="false" customHeight="false" outlineLevel="0" collapsed="false">
      <c r="A1752" s="12" t="n">
        <v>44546</v>
      </c>
      <c r="B1752" s="15" t="n">
        <v>72.38</v>
      </c>
      <c r="C1752" s="15" t="n">
        <v>75.02</v>
      </c>
      <c r="D1752" s="14" t="n">
        <f aca="false">AVERAGE(B1733:B1752)</f>
        <v>71.657</v>
      </c>
      <c r="E1752" s="14" t="n">
        <f aca="false">(B1752-D1752)/D1752*100</f>
        <v>1.00897330337578</v>
      </c>
    </row>
    <row r="1753" customFormat="false" ht="15" hidden="false" customHeight="false" outlineLevel="0" collapsed="false">
      <c r="A1753" s="12" t="n">
        <v>44547</v>
      </c>
      <c r="B1753" s="15" t="n">
        <v>70.86</v>
      </c>
      <c r="C1753" s="15" t="n">
        <v>73.52</v>
      </c>
      <c r="D1753" s="14" t="n">
        <f aca="false">AVERAGE(B1734:B1753)</f>
        <v>71.2495</v>
      </c>
      <c r="E1753" s="14" t="n">
        <f aca="false">(B1753-D1753)/D1753*100</f>
        <v>-0.546670502950895</v>
      </c>
    </row>
    <row r="1754" customFormat="false" ht="15" hidden="false" customHeight="false" outlineLevel="0" collapsed="false">
      <c r="A1754" s="12" t="n">
        <v>44550</v>
      </c>
      <c r="B1754" s="15" t="n">
        <v>68.23</v>
      </c>
      <c r="C1754" s="15" t="n">
        <v>71.52</v>
      </c>
      <c r="D1754" s="14" t="n">
        <f aca="false">AVERAGE(B1735:B1754)</f>
        <v>70.856</v>
      </c>
      <c r="E1754" s="14" t="n">
        <f aca="false">(B1754-D1754)/D1754*100</f>
        <v>-3.70610816303489</v>
      </c>
    </row>
    <row r="1755" customFormat="false" ht="15" hidden="false" customHeight="false" outlineLevel="0" collapsed="false">
      <c r="A1755" s="12" t="n">
        <v>44551</v>
      </c>
      <c r="B1755" s="15" t="n">
        <v>71.12</v>
      </c>
      <c r="C1755" s="15" t="n">
        <v>73.98</v>
      </c>
      <c r="D1755" s="14" t="n">
        <f aca="false">AVERAGE(B1736:B1755)</f>
        <v>70.5745</v>
      </c>
      <c r="E1755" s="14" t="n">
        <f aca="false">(B1755-D1755)/D1755*100</f>
        <v>0.772942068310798</v>
      </c>
    </row>
    <row r="1756" customFormat="false" ht="15" hidden="false" customHeight="false" outlineLevel="0" collapsed="false">
      <c r="A1756" s="12" t="n">
        <v>44552</v>
      </c>
      <c r="B1756" s="15" t="n">
        <v>72.76</v>
      </c>
      <c r="C1756" s="15" t="n">
        <v>75.29</v>
      </c>
      <c r="D1756" s="14" t="n">
        <f aca="false">AVERAGE(B1737:B1756)</f>
        <v>70.2875</v>
      </c>
      <c r="E1756" s="14" t="n">
        <f aca="false">(B1756-D1756)/D1756*100</f>
        <v>3.51769518050864</v>
      </c>
    </row>
    <row r="1757" customFormat="false" ht="15" hidden="false" customHeight="false" outlineLevel="0" collapsed="false">
      <c r="A1757" s="12" t="n">
        <v>44553</v>
      </c>
      <c r="B1757" s="15" t="n">
        <v>73.79</v>
      </c>
      <c r="C1757" s="15" t="n">
        <v>76.85</v>
      </c>
      <c r="D1757" s="14" t="n">
        <f aca="false">AVERAGE(B1738:B1757)</f>
        <v>70.0575</v>
      </c>
      <c r="E1757" s="14" t="n">
        <f aca="false">(B1757-D1757)/D1757*100</f>
        <v>5.32776647753631</v>
      </c>
    </row>
    <row r="1758" customFormat="false" ht="15" hidden="false" customHeight="false" outlineLevel="0" collapsed="false">
      <c r="A1758" s="12" t="n">
        <v>44557</v>
      </c>
      <c r="B1758" s="15" t="n">
        <v>75.57</v>
      </c>
      <c r="C1758" s="15" t="n">
        <v>78.6</v>
      </c>
      <c r="D1758" s="14" t="n">
        <f aca="false">AVERAGE(B1739:B1758)</f>
        <v>70.4285</v>
      </c>
      <c r="E1758" s="14" t="n">
        <f aca="false">(B1758-D1758)/D1758*100</f>
        <v>7.30031166360208</v>
      </c>
    </row>
    <row r="1759" customFormat="false" ht="15" hidden="false" customHeight="false" outlineLevel="0" collapsed="false">
      <c r="A1759" s="12" t="n">
        <v>44558</v>
      </c>
      <c r="B1759" s="15" t="n">
        <v>75.98</v>
      </c>
      <c r="C1759" s="15" t="n">
        <v>78.94</v>
      </c>
      <c r="D1759" s="14" t="n">
        <f aca="false">AVERAGE(B1740:B1759)</f>
        <v>70.73</v>
      </c>
      <c r="E1759" s="14" t="n">
        <f aca="false">(B1759-D1759)/D1759*100</f>
        <v>7.42259295914041</v>
      </c>
    </row>
    <row r="1760" customFormat="false" ht="15" hidden="false" customHeight="false" outlineLevel="0" collapsed="false">
      <c r="A1760" s="12" t="n">
        <v>44559</v>
      </c>
      <c r="B1760" s="15" t="n">
        <v>76.56</v>
      </c>
      <c r="C1760" s="15" t="n">
        <v>79.23</v>
      </c>
      <c r="D1760" s="14" t="n">
        <f aca="false">AVERAGE(B1741:B1760)</f>
        <v>71.249</v>
      </c>
      <c r="E1760" s="14" t="n">
        <f aca="false">(B1760-D1760)/D1760*100</f>
        <v>7.45413970722397</v>
      </c>
    </row>
    <row r="1761" customFormat="false" ht="15" hidden="false" customHeight="false" outlineLevel="0" collapsed="false">
      <c r="A1761" s="12" t="n">
        <v>44560</v>
      </c>
      <c r="B1761" s="15" t="n">
        <v>76.99</v>
      </c>
      <c r="C1761" s="15" t="n">
        <v>79.32</v>
      </c>
      <c r="D1761" s="14" t="n">
        <f aca="false">AVERAGE(B1742:B1761)</f>
        <v>71.82</v>
      </c>
      <c r="E1761" s="14" t="n">
        <f aca="false">(B1761-D1761)/D1761*100</f>
        <v>7.19855193539402</v>
      </c>
    </row>
    <row r="1762" customFormat="false" ht="15" hidden="false" customHeight="false" outlineLevel="0" collapsed="false">
      <c r="A1762" s="12" t="n">
        <v>44561</v>
      </c>
      <c r="B1762" s="15" t="n">
        <v>75.21</v>
      </c>
      <c r="C1762" s="15" t="n">
        <v>77.78</v>
      </c>
      <c r="D1762" s="14" t="n">
        <f aca="false">AVERAGE(B1743:B1762)</f>
        <v>72.2555</v>
      </c>
      <c r="E1762" s="14" t="n">
        <f aca="false">(B1762-D1762)/D1762*100</f>
        <v>4.08896208593115</v>
      </c>
    </row>
    <row r="1763" customFormat="false" ht="15" hidden="false" customHeight="false" outlineLevel="0" collapsed="false">
      <c r="A1763" s="12" t="n">
        <v>44564</v>
      </c>
      <c r="B1763" s="15" t="n">
        <v>76.08</v>
      </c>
      <c r="C1763" s="15" t="n">
        <v>78.98</v>
      </c>
      <c r="D1763" s="14" t="n">
        <f aca="false">AVERAGE(B1744:B1763)</f>
        <v>72.7465</v>
      </c>
      <c r="E1763" s="14" t="n">
        <f aca="false">(B1763-D1763)/D1763*100</f>
        <v>4.58235104094355</v>
      </c>
    </row>
    <row r="1764" customFormat="false" ht="15" hidden="false" customHeight="false" outlineLevel="0" collapsed="false">
      <c r="A1764" s="12" t="n">
        <v>44565</v>
      </c>
      <c r="B1764" s="15" t="n">
        <v>76.99</v>
      </c>
      <c r="C1764" s="15" t="n">
        <v>80</v>
      </c>
      <c r="D1764" s="14" t="n">
        <f aca="false">AVERAGE(B1745:B1764)</f>
        <v>73.1215</v>
      </c>
      <c r="E1764" s="14" t="n">
        <f aca="false">(B1764-D1764)/D1764*100</f>
        <v>5.29050963123021</v>
      </c>
    </row>
    <row r="1765" customFormat="false" ht="15" hidden="false" customHeight="false" outlineLevel="0" collapsed="false">
      <c r="A1765" s="12" t="n">
        <v>44566</v>
      </c>
      <c r="B1765" s="15" t="n">
        <v>77.85</v>
      </c>
      <c r="C1765" s="15" t="n">
        <v>80.8</v>
      </c>
      <c r="D1765" s="14" t="n">
        <f aca="false">AVERAGE(B1746:B1765)</f>
        <v>73.4115</v>
      </c>
      <c r="E1765" s="14" t="n">
        <f aca="false">(B1765-D1765)/D1765*100</f>
        <v>6.04605545452687</v>
      </c>
    </row>
    <row r="1766" customFormat="false" ht="15" hidden="false" customHeight="false" outlineLevel="0" collapsed="false">
      <c r="A1766" s="12" t="n">
        <v>44567</v>
      </c>
      <c r="B1766" s="15" t="n">
        <v>79.46</v>
      </c>
      <c r="C1766" s="15" t="n">
        <v>81.99</v>
      </c>
      <c r="D1766" s="14" t="n">
        <f aca="false">AVERAGE(B1747:B1766)</f>
        <v>73.7665</v>
      </c>
      <c r="E1766" s="14" t="n">
        <f aca="false">(B1766-D1766)/D1766*100</f>
        <v>7.71827319989426</v>
      </c>
    </row>
    <row r="1767" customFormat="false" ht="15" hidden="false" customHeight="false" outlineLevel="0" collapsed="false">
      <c r="A1767" s="12" t="n">
        <v>44568</v>
      </c>
      <c r="B1767" s="15" t="n">
        <v>78.9</v>
      </c>
      <c r="C1767" s="15" t="n">
        <v>81.75</v>
      </c>
      <c r="D1767" s="14" t="n">
        <f aca="false">AVERAGE(B1748:B1767)</f>
        <v>74.1645</v>
      </c>
      <c r="E1767" s="14" t="n">
        <f aca="false">(B1767-D1767)/D1767*100</f>
        <v>6.38513035212265</v>
      </c>
    </row>
    <row r="1768" customFormat="false" ht="15" hidden="false" customHeight="false" outlineLevel="0" collapsed="false">
      <c r="A1768" s="12" t="n">
        <v>44571</v>
      </c>
      <c r="B1768" s="15" t="n">
        <v>78.23</v>
      </c>
      <c r="C1768" s="15" t="n">
        <v>80.87</v>
      </c>
      <c r="D1768" s="14" t="n">
        <f aca="false">AVERAGE(B1749:B1768)</f>
        <v>74.4925</v>
      </c>
      <c r="E1768" s="14" t="n">
        <f aca="false">(B1768-D1768)/D1768*100</f>
        <v>5.01728361915631</v>
      </c>
    </row>
    <row r="1769" customFormat="false" ht="15" hidden="false" customHeight="false" outlineLevel="0" collapsed="false">
      <c r="A1769" s="12" t="n">
        <v>44572</v>
      </c>
      <c r="B1769" s="15" t="n">
        <v>81.22</v>
      </c>
      <c r="C1769" s="15" t="n">
        <v>83.72</v>
      </c>
      <c r="D1769" s="14" t="n">
        <f aca="false">AVERAGE(B1750:B1769)</f>
        <v>74.989</v>
      </c>
      <c r="E1769" s="14" t="n">
        <f aca="false">(B1769-D1769)/D1769*100</f>
        <v>8.30921868540719</v>
      </c>
    </row>
    <row r="1770" customFormat="false" ht="15" hidden="false" customHeight="false" outlineLevel="0" collapsed="false">
      <c r="A1770" s="12" t="n">
        <v>44573</v>
      </c>
      <c r="B1770" s="15" t="n">
        <v>82.64</v>
      </c>
      <c r="C1770" s="15" t="n">
        <v>84.67</v>
      </c>
      <c r="D1770" s="14" t="n">
        <f aca="false">AVERAGE(B1751:B1770)</f>
        <v>75.5845</v>
      </c>
      <c r="E1770" s="14" t="n">
        <f aca="false">(B1770-D1770)/D1770*100</f>
        <v>9.33458579470658</v>
      </c>
    </row>
    <row r="1771" customFormat="false" ht="15" hidden="false" customHeight="false" outlineLevel="0" collapsed="false">
      <c r="A1771" s="12" t="n">
        <v>44574</v>
      </c>
      <c r="B1771" s="15" t="n">
        <v>82.12</v>
      </c>
      <c r="C1771" s="15" t="n">
        <v>84.47</v>
      </c>
      <c r="D1771" s="14" t="n">
        <f aca="false">AVERAGE(B1752:B1771)</f>
        <v>76.147</v>
      </c>
      <c r="E1771" s="14" t="n">
        <f aca="false">(B1771-D1771)/D1771*100</f>
        <v>7.84403850447161</v>
      </c>
    </row>
    <row r="1772" customFormat="false" ht="15" hidden="false" customHeight="false" outlineLevel="0" collapsed="false">
      <c r="A1772" s="12" t="n">
        <v>44575</v>
      </c>
      <c r="B1772" s="15" t="n">
        <v>83.82</v>
      </c>
      <c r="C1772" s="15" t="n">
        <v>86.06</v>
      </c>
      <c r="D1772" s="14" t="n">
        <f aca="false">AVERAGE(B1753:B1772)</f>
        <v>76.719</v>
      </c>
      <c r="E1772" s="14" t="n">
        <f aca="false">(B1772-D1772)/D1772*100</f>
        <v>9.25585578539864</v>
      </c>
    </row>
    <row r="1773" customFormat="false" ht="15" hidden="false" customHeight="false" outlineLevel="0" collapsed="false">
      <c r="A1773" s="12" t="n">
        <v>44579</v>
      </c>
      <c r="B1773" s="15" t="n">
        <v>85.43</v>
      </c>
      <c r="C1773" s="15" t="n">
        <v>87.51</v>
      </c>
      <c r="D1773" s="14" t="n">
        <f aca="false">AVERAGE(B1754:B1773)</f>
        <v>77.4475</v>
      </c>
      <c r="E1773" s="14" t="n">
        <f aca="false">(B1773-D1773)/D1773*100</f>
        <v>10.3069821491978</v>
      </c>
    </row>
    <row r="1774" customFormat="false" ht="15" hidden="false" customHeight="false" outlineLevel="0" collapsed="false">
      <c r="A1774" s="12" t="n">
        <v>44580</v>
      </c>
      <c r="B1774" s="15" t="n">
        <v>86.96</v>
      </c>
      <c r="C1774" s="15" t="n">
        <v>88.44</v>
      </c>
      <c r="D1774" s="14" t="n">
        <f aca="false">AVERAGE(B1755:B1774)</f>
        <v>78.384</v>
      </c>
      <c r="E1774" s="14" t="n">
        <f aca="false">(B1774-D1774)/D1774*100</f>
        <v>10.9410083690549</v>
      </c>
    </row>
    <row r="1775" customFormat="false" ht="15" hidden="false" customHeight="false" outlineLevel="0" collapsed="false">
      <c r="A1775" s="12" t="n">
        <v>44581</v>
      </c>
      <c r="B1775" s="15" t="n">
        <v>86.9</v>
      </c>
      <c r="C1775" s="15" t="n">
        <v>88.38</v>
      </c>
      <c r="D1775" s="14" t="n">
        <f aca="false">AVERAGE(B1756:B1775)</f>
        <v>79.173</v>
      </c>
      <c r="E1775" s="14" t="n">
        <f aca="false">(B1775-D1775)/D1775*100</f>
        <v>9.75964028140907</v>
      </c>
    </row>
    <row r="1776" customFormat="false" ht="15" hidden="false" customHeight="false" outlineLevel="0" collapsed="false">
      <c r="A1776" s="12" t="n">
        <v>44582</v>
      </c>
      <c r="B1776" s="15" t="n">
        <v>85.14</v>
      </c>
      <c r="C1776" s="15" t="n">
        <v>87.89</v>
      </c>
      <c r="D1776" s="14" t="n">
        <f aca="false">AVERAGE(B1757:B1776)</f>
        <v>79.792</v>
      </c>
      <c r="E1776" s="14" t="n">
        <f aca="false">(B1776-D1776)/D1776*100</f>
        <v>6.70242630840184</v>
      </c>
    </row>
    <row r="1777" customFormat="false" ht="15" hidden="false" customHeight="false" outlineLevel="0" collapsed="false">
      <c r="A1777" s="12" t="n">
        <v>44585</v>
      </c>
      <c r="B1777" s="15" t="n">
        <v>83.31</v>
      </c>
      <c r="C1777" s="15" t="n">
        <v>86.27</v>
      </c>
      <c r="D1777" s="14" t="n">
        <f aca="false">AVERAGE(B1758:B1777)</f>
        <v>80.268</v>
      </c>
      <c r="E1777" s="14" t="n">
        <f aca="false">(B1777-D1777)/D1777*100</f>
        <v>3.78980415607714</v>
      </c>
    </row>
    <row r="1778" customFormat="false" ht="15" hidden="false" customHeight="false" outlineLevel="0" collapsed="false">
      <c r="A1778" s="12" t="n">
        <v>44586</v>
      </c>
      <c r="B1778" s="15" t="n">
        <v>85.6</v>
      </c>
      <c r="C1778" s="15" t="n">
        <v>88.2</v>
      </c>
      <c r="D1778" s="14" t="n">
        <f aca="false">AVERAGE(B1759:B1778)</f>
        <v>80.7695</v>
      </c>
      <c r="E1778" s="14" t="n">
        <f aca="false">(B1778-D1778)/D1778*100</f>
        <v>5.98059911228867</v>
      </c>
    </row>
    <row r="1779" customFormat="false" ht="15" hidden="false" customHeight="false" outlineLevel="0" collapsed="false">
      <c r="A1779" s="12" t="n">
        <v>44587</v>
      </c>
      <c r="B1779" s="15" t="n">
        <v>87.35</v>
      </c>
      <c r="C1779" s="15" t="n">
        <v>89.96</v>
      </c>
      <c r="D1779" s="14" t="n">
        <f aca="false">AVERAGE(B1760:B1779)</f>
        <v>81.338</v>
      </c>
      <c r="E1779" s="14" t="n">
        <f aca="false">(B1779-D1779)/D1779*100</f>
        <v>7.39137918316162</v>
      </c>
    </row>
    <row r="1780" customFormat="false" ht="15" hidden="false" customHeight="false" outlineLevel="0" collapsed="false">
      <c r="A1780" s="12" t="n">
        <v>44588</v>
      </c>
      <c r="B1780" s="15" t="n">
        <v>86.61</v>
      </c>
      <c r="C1780" s="15" t="n">
        <v>89.34</v>
      </c>
      <c r="D1780" s="14" t="n">
        <f aca="false">AVERAGE(B1761:B1780)</f>
        <v>81.8405</v>
      </c>
      <c r="E1780" s="14" t="n">
        <f aca="false">(B1780-D1780)/D1780*100</f>
        <v>5.82779919477521</v>
      </c>
    </row>
    <row r="1781" customFormat="false" ht="15" hidden="false" customHeight="false" outlineLevel="0" collapsed="false">
      <c r="A1781" s="12" t="n">
        <v>44589</v>
      </c>
      <c r="B1781" s="15" t="n">
        <v>86.82</v>
      </c>
      <c r="C1781" s="15" t="n">
        <v>90.03</v>
      </c>
      <c r="D1781" s="14" t="n">
        <f aca="false">AVERAGE(B1762:B1781)</f>
        <v>82.332</v>
      </c>
      <c r="E1781" s="14" t="n">
        <f aca="false">(B1781-D1781)/D1781*100</f>
        <v>5.45110042267891</v>
      </c>
    </row>
    <row r="1782" customFormat="false" ht="15" hidden="false" customHeight="false" outlineLevel="0" collapsed="false">
      <c r="A1782" s="12" t="n">
        <v>44592</v>
      </c>
      <c r="B1782" s="15" t="n">
        <v>88.15</v>
      </c>
      <c r="C1782" s="15" t="n">
        <v>91.21</v>
      </c>
      <c r="D1782" s="14" t="n">
        <f aca="false">AVERAGE(B1763:B1782)</f>
        <v>82.979</v>
      </c>
      <c r="E1782" s="14" t="n">
        <f aca="false">(B1782-D1782)/D1782*100</f>
        <v>6.23169717639404</v>
      </c>
    </row>
    <row r="1783" customFormat="false" ht="15" hidden="false" customHeight="false" outlineLevel="0" collapsed="false">
      <c r="A1783" s="12" t="n">
        <v>44593</v>
      </c>
      <c r="B1783" s="15" t="n">
        <v>88.2</v>
      </c>
      <c r="C1783" s="15" t="n">
        <v>89.16</v>
      </c>
      <c r="D1783" s="14" t="n">
        <f aca="false">AVERAGE(B1764:B1783)</f>
        <v>83.585</v>
      </c>
      <c r="E1783" s="14" t="n">
        <f aca="false">(B1783-D1783)/D1783*100</f>
        <v>5.52132559669797</v>
      </c>
    </row>
    <row r="1784" customFormat="false" ht="15" hidden="false" customHeight="false" outlineLevel="0" collapsed="false">
      <c r="A1784" s="12" t="n">
        <v>44594</v>
      </c>
      <c r="B1784" s="15" t="n">
        <v>88.26</v>
      </c>
      <c r="C1784" s="15" t="n">
        <v>89.47</v>
      </c>
      <c r="D1784" s="14" t="n">
        <f aca="false">AVERAGE(B1765:B1784)</f>
        <v>84.1485</v>
      </c>
      <c r="E1784" s="14" t="n">
        <f aca="false">(B1784-D1784)/D1784*100</f>
        <v>4.8860050981301</v>
      </c>
    </row>
    <row r="1785" customFormat="false" ht="15" hidden="false" customHeight="false" outlineLevel="0" collapsed="false">
      <c r="A1785" s="12" t="n">
        <v>44595</v>
      </c>
      <c r="B1785" s="15" t="n">
        <v>90.27</v>
      </c>
      <c r="C1785" s="15" t="n">
        <v>91.11</v>
      </c>
      <c r="D1785" s="14" t="n">
        <f aca="false">AVERAGE(B1766:B1785)</f>
        <v>84.7695</v>
      </c>
      <c r="E1785" s="14" t="n">
        <f aca="false">(B1785-D1785)/D1785*100</f>
        <v>6.48877249482419</v>
      </c>
    </row>
    <row r="1786" customFormat="false" ht="15" hidden="false" customHeight="false" outlineLevel="0" collapsed="false">
      <c r="A1786" s="12" t="n">
        <v>44596</v>
      </c>
      <c r="B1786" s="15" t="n">
        <v>92.31</v>
      </c>
      <c r="C1786" s="15" t="n">
        <v>93.27</v>
      </c>
      <c r="D1786" s="14" t="n">
        <f aca="false">AVERAGE(B1767:B1786)</f>
        <v>85.412</v>
      </c>
      <c r="E1786" s="14" t="n">
        <f aca="false">(B1786-D1786)/D1786*100</f>
        <v>8.07614855055495</v>
      </c>
    </row>
    <row r="1787" customFormat="false" ht="15" hidden="false" customHeight="false" outlineLevel="0" collapsed="false">
      <c r="A1787" s="12" t="n">
        <v>44599</v>
      </c>
      <c r="B1787" s="15" t="n">
        <v>91.32</v>
      </c>
      <c r="C1787" s="15" t="n">
        <v>92.69</v>
      </c>
      <c r="D1787" s="14" t="n">
        <f aca="false">AVERAGE(B1768:B1787)</f>
        <v>86.033</v>
      </c>
      <c r="E1787" s="14" t="n">
        <f aca="false">(B1787-D1787)/D1787*100</f>
        <v>6.14531633210511</v>
      </c>
    </row>
    <row r="1788" customFormat="false" ht="15" hidden="false" customHeight="false" outlineLevel="0" collapsed="false">
      <c r="A1788" s="12" t="n">
        <v>44600</v>
      </c>
      <c r="B1788" s="15" t="n">
        <v>89.36</v>
      </c>
      <c r="C1788" s="15" t="n">
        <v>90.78</v>
      </c>
      <c r="D1788" s="14" t="n">
        <f aca="false">AVERAGE(B1769:B1788)</f>
        <v>86.5895</v>
      </c>
      <c r="E1788" s="14" t="n">
        <f aca="false">(B1788-D1788)/D1788*100</f>
        <v>3.19957962570519</v>
      </c>
    </row>
    <row r="1789" customFormat="false" ht="15" hidden="false" customHeight="false" outlineLevel="0" collapsed="false">
      <c r="A1789" s="12" t="n">
        <v>44601</v>
      </c>
      <c r="B1789" s="15" t="n">
        <v>89.66</v>
      </c>
      <c r="C1789" s="15" t="n">
        <v>91.55</v>
      </c>
      <c r="D1789" s="14" t="n">
        <f aca="false">AVERAGE(B1770:B1789)</f>
        <v>87.0115</v>
      </c>
      <c r="E1789" s="14" t="n">
        <f aca="false">(B1789-D1789)/D1789*100</f>
        <v>3.04385052550525</v>
      </c>
    </row>
    <row r="1790" customFormat="false" ht="15" hidden="false" customHeight="false" outlineLevel="0" collapsed="false">
      <c r="A1790" s="12" t="n">
        <v>44602</v>
      </c>
      <c r="B1790" s="15" t="n">
        <v>89.88</v>
      </c>
      <c r="C1790" s="15" t="n">
        <v>91.41</v>
      </c>
      <c r="D1790" s="14" t="n">
        <f aca="false">AVERAGE(B1771:B1790)</f>
        <v>87.3735</v>
      </c>
      <c r="E1790" s="14" t="n">
        <f aca="false">(B1790-D1790)/D1790*100</f>
        <v>2.86871877628799</v>
      </c>
    </row>
    <row r="1791" customFormat="false" ht="15" hidden="false" customHeight="false" outlineLevel="0" collapsed="false">
      <c r="A1791" s="12" t="n">
        <v>44603</v>
      </c>
      <c r="B1791" s="15" t="n">
        <v>93.1</v>
      </c>
      <c r="C1791" s="15" t="n">
        <v>94.44</v>
      </c>
      <c r="D1791" s="14" t="n">
        <f aca="false">AVERAGE(B1772:B1791)</f>
        <v>87.9225</v>
      </c>
      <c r="E1791" s="14" t="n">
        <f aca="false">(B1791-D1791)/D1791*100</f>
        <v>5.88870880605078</v>
      </c>
    </row>
    <row r="1792" customFormat="false" ht="15" hidden="false" customHeight="false" outlineLevel="0" collapsed="false">
      <c r="A1792" s="12" t="n">
        <v>44606</v>
      </c>
      <c r="B1792" s="15" t="n">
        <v>95.46</v>
      </c>
      <c r="C1792" s="15" t="n">
        <v>96.48</v>
      </c>
      <c r="D1792" s="14" t="n">
        <f aca="false">AVERAGE(B1773:B1792)</f>
        <v>88.5045</v>
      </c>
      <c r="E1792" s="14" t="n">
        <f aca="false">(B1792-D1792)/D1792*100</f>
        <v>7.85892242767317</v>
      </c>
    </row>
    <row r="1793" customFormat="false" ht="15" hidden="false" customHeight="false" outlineLevel="0" collapsed="false">
      <c r="A1793" s="12" t="n">
        <v>44607</v>
      </c>
      <c r="B1793" s="15" t="n">
        <v>92.07</v>
      </c>
      <c r="C1793" s="15" t="n">
        <v>93.28</v>
      </c>
      <c r="D1793" s="14" t="n">
        <f aca="false">AVERAGE(B1774:B1793)</f>
        <v>88.8365</v>
      </c>
      <c r="E1793" s="14" t="n">
        <f aca="false">(B1793-D1793)/D1793*100</f>
        <v>3.63983272641312</v>
      </c>
    </row>
    <row r="1794" customFormat="false" ht="15" hidden="false" customHeight="false" outlineLevel="0" collapsed="false">
      <c r="A1794" s="12" t="n">
        <v>44608</v>
      </c>
      <c r="B1794" s="15" t="n">
        <v>93.66</v>
      </c>
      <c r="C1794" s="15" t="n">
        <v>94.81</v>
      </c>
      <c r="D1794" s="14" t="n">
        <f aca="false">AVERAGE(B1775:B1794)</f>
        <v>89.1715</v>
      </c>
      <c r="E1794" s="14" t="n">
        <f aca="false">(B1794-D1794)/D1794*100</f>
        <v>5.03355892858143</v>
      </c>
    </row>
    <row r="1795" customFormat="false" ht="15" hidden="false" customHeight="false" outlineLevel="0" collapsed="false">
      <c r="A1795" s="12" t="n">
        <v>44609</v>
      </c>
      <c r="B1795" s="15" t="n">
        <v>91.76</v>
      </c>
      <c r="C1795" s="15" t="n">
        <v>92.97</v>
      </c>
      <c r="D1795" s="14" t="n">
        <f aca="false">AVERAGE(B1776:B1795)</f>
        <v>89.4145</v>
      </c>
      <c r="E1795" s="14" t="n">
        <f aca="false">(B1795-D1795)/D1795*100</f>
        <v>2.62317633046094</v>
      </c>
    </row>
    <row r="1796" customFormat="false" ht="15" hidden="false" customHeight="false" outlineLevel="0" collapsed="false">
      <c r="A1796" s="12" t="n">
        <v>44610</v>
      </c>
      <c r="B1796" s="15" t="n">
        <v>91.07</v>
      </c>
      <c r="C1796" s="15" t="n">
        <v>93.54</v>
      </c>
      <c r="D1796" s="14" t="n">
        <f aca="false">AVERAGE(B1777:B1796)</f>
        <v>89.711</v>
      </c>
      <c r="E1796" s="14" t="n">
        <f aca="false">(B1796-D1796)/D1796*100</f>
        <v>1.51486439789992</v>
      </c>
    </row>
    <row r="1797" customFormat="false" ht="15" hidden="false" customHeight="false" outlineLevel="0" collapsed="false">
      <c r="A1797" s="12" t="n">
        <v>44614</v>
      </c>
      <c r="B1797" s="15" t="n">
        <v>92.35</v>
      </c>
      <c r="C1797" s="15" t="n">
        <v>96.84</v>
      </c>
      <c r="D1797" s="14" t="n">
        <f aca="false">AVERAGE(B1778:B1797)</f>
        <v>90.163</v>
      </c>
      <c r="E1797" s="14" t="n">
        <f aca="false">(B1797-D1797)/D1797*100</f>
        <v>2.42560695629027</v>
      </c>
    </row>
    <row r="1798" customFormat="false" ht="15" hidden="false" customHeight="false" outlineLevel="0" collapsed="false">
      <c r="A1798" s="12" t="n">
        <v>44615</v>
      </c>
      <c r="B1798" s="15" t="n">
        <v>92.1</v>
      </c>
      <c r="C1798" s="15" t="n">
        <v>96.84</v>
      </c>
      <c r="D1798" s="14" t="n">
        <f aca="false">AVERAGE(B1779:B1798)</f>
        <v>90.488</v>
      </c>
      <c r="E1798" s="14" t="n">
        <f aca="false">(B1798-D1798)/D1798*100</f>
        <v>1.78145168420121</v>
      </c>
    </row>
    <row r="1799" customFormat="false" ht="15" hidden="false" customHeight="false" outlineLevel="0" collapsed="false">
      <c r="A1799" s="12" t="n">
        <v>44616</v>
      </c>
      <c r="B1799" s="15" t="n">
        <v>92.81</v>
      </c>
      <c r="C1799" s="15" t="n">
        <v>99.08</v>
      </c>
      <c r="D1799" s="14" t="n">
        <f aca="false">AVERAGE(B1780:B1799)</f>
        <v>90.761</v>
      </c>
      <c r="E1799" s="14" t="n">
        <f aca="false">(B1799-D1799)/D1799*100</f>
        <v>2.25757759390047</v>
      </c>
    </row>
    <row r="1800" customFormat="false" ht="15" hidden="false" customHeight="false" outlineLevel="0" collapsed="false">
      <c r="A1800" s="12" t="n">
        <v>44617</v>
      </c>
      <c r="B1800" s="15" t="n">
        <v>91.59</v>
      </c>
      <c r="C1800" s="15" t="n">
        <v>97.93</v>
      </c>
      <c r="D1800" s="14" t="n">
        <f aca="false">AVERAGE(B1781:B1800)</f>
        <v>91.01</v>
      </c>
      <c r="E1800" s="14" t="n">
        <f aca="false">(B1800-D1800)/D1800*100</f>
        <v>0.637292605208217</v>
      </c>
    </row>
    <row r="1801" customFormat="false" ht="15" hidden="false" customHeight="false" outlineLevel="0" collapsed="false">
      <c r="A1801" s="12" t="n">
        <v>44620</v>
      </c>
      <c r="B1801" s="15" t="n">
        <v>95.72</v>
      </c>
      <c r="C1801" s="15" t="n">
        <v>100.99</v>
      </c>
      <c r="D1801" s="14" t="n">
        <f aca="false">AVERAGE(B1782:B1801)</f>
        <v>91.455</v>
      </c>
      <c r="E1801" s="14" t="n">
        <f aca="false">(B1801-D1801)/D1801*100</f>
        <v>4.66349570827183</v>
      </c>
    </row>
    <row r="1802" customFormat="false" ht="15" hidden="false" customHeight="false" outlineLevel="0" collapsed="false">
      <c r="A1802" s="12" t="n">
        <v>44621</v>
      </c>
      <c r="B1802" s="15" t="n">
        <v>103.41</v>
      </c>
      <c r="C1802" s="15" t="n">
        <v>104.97</v>
      </c>
      <c r="D1802" s="14" t="n">
        <f aca="false">AVERAGE(B1783:B1802)</f>
        <v>92.218</v>
      </c>
      <c r="E1802" s="14" t="n">
        <f aca="false">(B1802-D1802)/D1802*100</f>
        <v>12.1364592595806</v>
      </c>
    </row>
    <row r="1803" customFormat="false" ht="15" hidden="false" customHeight="false" outlineLevel="0" collapsed="false">
      <c r="A1803" s="12" t="n">
        <v>44622</v>
      </c>
      <c r="B1803" s="15" t="n">
        <v>110.6</v>
      </c>
      <c r="C1803" s="15" t="n">
        <v>112.93</v>
      </c>
      <c r="D1803" s="14" t="n">
        <f aca="false">AVERAGE(B1784:B1803)</f>
        <v>93.338</v>
      </c>
      <c r="E1803" s="14" t="n">
        <f aca="false">(B1803-D1803)/D1803*100</f>
        <v>18.4940752962352</v>
      </c>
    </row>
    <row r="1804" customFormat="false" ht="15" hidden="false" customHeight="false" outlineLevel="0" collapsed="false">
      <c r="A1804" s="12" t="n">
        <v>44623</v>
      </c>
      <c r="B1804" s="15" t="n">
        <v>107.67</v>
      </c>
      <c r="C1804" s="15" t="n">
        <v>110.46</v>
      </c>
      <c r="D1804" s="14" t="n">
        <f aca="false">AVERAGE(B1785:B1804)</f>
        <v>94.3085</v>
      </c>
      <c r="E1804" s="14" t="n">
        <f aca="false">(B1804-D1804)/D1804*100</f>
        <v>14.1678639783265</v>
      </c>
    </row>
    <row r="1805" customFormat="false" ht="15" hidden="false" customHeight="false" outlineLevel="0" collapsed="false">
      <c r="A1805" s="12" t="n">
        <v>44624</v>
      </c>
      <c r="B1805" s="15" t="n">
        <v>115.68</v>
      </c>
      <c r="C1805" s="15" t="n">
        <v>118.11</v>
      </c>
      <c r="D1805" s="14" t="n">
        <f aca="false">AVERAGE(B1786:B1805)</f>
        <v>95.579</v>
      </c>
      <c r="E1805" s="14" t="n">
        <f aca="false">(B1805-D1805)/D1805*100</f>
        <v>21.0307703575053</v>
      </c>
    </row>
    <row r="1806" customFormat="false" ht="15" hidden="false" customHeight="false" outlineLevel="0" collapsed="false">
      <c r="A1806" s="12" t="n">
        <v>44627</v>
      </c>
      <c r="B1806" s="15" t="n">
        <v>119.4</v>
      </c>
      <c r="C1806" s="15" t="n">
        <v>123.21</v>
      </c>
      <c r="D1806" s="14" t="n">
        <f aca="false">AVERAGE(B1787:B1806)</f>
        <v>96.9335</v>
      </c>
      <c r="E1806" s="14" t="n">
        <f aca="false">(B1806-D1806)/D1806*100</f>
        <v>23.1772297502927</v>
      </c>
    </row>
    <row r="1807" customFormat="false" ht="15" hidden="false" customHeight="false" outlineLevel="0" collapsed="false">
      <c r="A1807" s="12" t="n">
        <v>44628</v>
      </c>
      <c r="B1807" s="15" t="n">
        <v>123.7</v>
      </c>
      <c r="C1807" s="15" t="n">
        <v>127.98</v>
      </c>
      <c r="D1807" s="14" t="n">
        <f aca="false">AVERAGE(B1788:B1807)</f>
        <v>98.5525</v>
      </c>
      <c r="E1807" s="14" t="n">
        <f aca="false">(B1807-D1807)/D1807*100</f>
        <v>25.5168564978057</v>
      </c>
    </row>
    <row r="1808" customFormat="false" ht="15" hidden="false" customHeight="false" outlineLevel="0" collapsed="false">
      <c r="A1808" s="12" t="n">
        <v>44629</v>
      </c>
      <c r="B1808" s="15" t="n">
        <v>108.7</v>
      </c>
      <c r="C1808" s="15" t="n">
        <v>111.14</v>
      </c>
      <c r="D1808" s="14" t="n">
        <f aca="false">AVERAGE(B1789:B1808)</f>
        <v>99.5195</v>
      </c>
      <c r="E1808" s="14" t="n">
        <f aca="false">(B1808-D1808)/D1808*100</f>
        <v>9.22482528549682</v>
      </c>
    </row>
    <row r="1809" customFormat="false" ht="15" hidden="false" customHeight="false" outlineLevel="0" collapsed="false">
      <c r="A1809" s="12" t="n">
        <v>44630</v>
      </c>
      <c r="B1809" s="15" t="n">
        <v>106.02</v>
      </c>
      <c r="C1809" s="15" t="n">
        <v>109.33</v>
      </c>
      <c r="D1809" s="14" t="n">
        <f aca="false">AVERAGE(B1790:B1809)</f>
        <v>100.3375</v>
      </c>
      <c r="E1809" s="14" t="n">
        <f aca="false">(B1809-D1809)/D1809*100</f>
        <v>5.66338607200697</v>
      </c>
    </row>
    <row r="1810" customFormat="false" ht="15" hidden="false" customHeight="false" outlineLevel="0" collapsed="false">
      <c r="A1810" s="12" t="n">
        <v>44631</v>
      </c>
      <c r="B1810" s="15" t="n">
        <v>109.33</v>
      </c>
      <c r="C1810" s="15" t="n">
        <v>112.67</v>
      </c>
      <c r="D1810" s="14" t="n">
        <f aca="false">AVERAGE(B1791:B1810)</f>
        <v>101.31</v>
      </c>
      <c r="E1810" s="14" t="n">
        <f aca="false">(B1810-D1810)/D1810*100</f>
        <v>7.91629651564505</v>
      </c>
    </row>
    <row r="1811" customFormat="false" ht="15" hidden="false" customHeight="false" outlineLevel="0" collapsed="false">
      <c r="A1811" s="12" t="n">
        <v>44634</v>
      </c>
      <c r="B1811" s="15" t="n">
        <v>103.01</v>
      </c>
      <c r="C1811" s="15" t="n">
        <v>106.9</v>
      </c>
      <c r="D1811" s="14" t="n">
        <f aca="false">AVERAGE(B1792:B1811)</f>
        <v>101.8055</v>
      </c>
      <c r="E1811" s="14" t="n">
        <f aca="false">(B1811-D1811)/D1811*100</f>
        <v>1.18313843554622</v>
      </c>
    </row>
    <row r="1812" customFormat="false" ht="15" hidden="false" customHeight="false" outlineLevel="0" collapsed="false">
      <c r="A1812" s="12" t="n">
        <v>44635</v>
      </c>
      <c r="B1812" s="15" t="n">
        <v>96.44</v>
      </c>
      <c r="C1812" s="15" t="n">
        <v>99.91</v>
      </c>
      <c r="D1812" s="14" t="n">
        <f aca="false">AVERAGE(B1793:B1812)</f>
        <v>101.8545</v>
      </c>
      <c r="E1812" s="14" t="n">
        <f aca="false">(B1812-D1812)/D1812*100</f>
        <v>-5.31591633162993</v>
      </c>
    </row>
    <row r="1813" customFormat="false" ht="15" hidden="false" customHeight="false" outlineLevel="0" collapsed="false">
      <c r="A1813" s="12" t="n">
        <v>44636</v>
      </c>
      <c r="B1813" s="15" t="n">
        <v>95.04</v>
      </c>
      <c r="C1813" s="15" t="n">
        <v>98.02</v>
      </c>
      <c r="D1813" s="14" t="n">
        <f aca="false">AVERAGE(B1794:B1813)</f>
        <v>102.003</v>
      </c>
      <c r="E1813" s="14" t="n">
        <f aca="false">(B1813-D1813)/D1813*100</f>
        <v>-6.82626981559365</v>
      </c>
    </row>
    <row r="1814" customFormat="false" ht="15" hidden="false" customHeight="false" outlineLevel="0" collapsed="false">
      <c r="A1814" s="12" t="n">
        <v>44637</v>
      </c>
      <c r="B1814" s="15" t="n">
        <v>102.98</v>
      </c>
      <c r="C1814" s="15" t="n">
        <v>106.64</v>
      </c>
      <c r="D1814" s="14" t="n">
        <f aca="false">AVERAGE(B1795:B1814)</f>
        <v>102.469</v>
      </c>
      <c r="E1814" s="14" t="n">
        <f aca="false">(B1814-D1814)/D1814*100</f>
        <v>0.49868740789897</v>
      </c>
    </row>
    <row r="1815" customFormat="false" ht="15" hidden="false" customHeight="false" outlineLevel="0" collapsed="false">
      <c r="A1815" s="12" t="n">
        <v>44638</v>
      </c>
      <c r="B1815" s="15" t="n">
        <v>104.7</v>
      </c>
      <c r="C1815" s="15" t="n">
        <v>107.93</v>
      </c>
      <c r="D1815" s="14" t="n">
        <f aca="false">AVERAGE(B1796:B1815)</f>
        <v>103.116</v>
      </c>
      <c r="E1815" s="14" t="n">
        <f aca="false">(B1815-D1815)/D1815*100</f>
        <v>1.53613406260909</v>
      </c>
    </row>
    <row r="1816" customFormat="false" ht="15" hidden="false" customHeight="false" outlineLevel="0" collapsed="false">
      <c r="A1816" s="12" t="n">
        <v>44641</v>
      </c>
      <c r="B1816" s="15" t="n">
        <v>112.12</v>
      </c>
      <c r="C1816" s="15" t="n">
        <v>115.62</v>
      </c>
      <c r="D1816" s="14" t="n">
        <f aca="false">AVERAGE(B1797:B1816)</f>
        <v>104.1685</v>
      </c>
      <c r="E1816" s="14" t="n">
        <f aca="false">(B1816-D1816)/D1816*100</f>
        <v>7.6333056538205</v>
      </c>
    </row>
    <row r="1817" customFormat="false" ht="15" hidden="false" customHeight="false" outlineLevel="0" collapsed="false">
      <c r="A1817" s="12" t="n">
        <v>44642</v>
      </c>
      <c r="B1817" s="15" t="n">
        <v>111.76</v>
      </c>
      <c r="C1817" s="15" t="n">
        <v>115.48</v>
      </c>
      <c r="D1817" s="14" t="n">
        <f aca="false">AVERAGE(B1798:B1817)</f>
        <v>105.139</v>
      </c>
      <c r="E1817" s="14" t="n">
        <f aca="false">(B1817-D1817)/D1817*100</f>
        <v>6.29737775706445</v>
      </c>
    </row>
    <row r="1818" customFormat="false" ht="15" hidden="false" customHeight="false" outlineLevel="0" collapsed="false">
      <c r="A1818" s="12" t="n">
        <v>44643</v>
      </c>
      <c r="B1818" s="15" t="n">
        <v>114.93</v>
      </c>
      <c r="C1818" s="15" t="n">
        <v>121.6</v>
      </c>
      <c r="D1818" s="14" t="n">
        <f aca="false">AVERAGE(B1799:B1818)</f>
        <v>106.2805</v>
      </c>
      <c r="E1818" s="14" t="n">
        <f aca="false">(B1818-D1818)/D1818*100</f>
        <v>8.13836969152385</v>
      </c>
    </row>
    <row r="1819" customFormat="false" ht="15" hidden="false" customHeight="false" outlineLevel="0" collapsed="false">
      <c r="A1819" s="12" t="n">
        <v>44644</v>
      </c>
      <c r="B1819" s="15" t="n">
        <v>112.34</v>
      </c>
      <c r="C1819" s="15" t="n">
        <v>119.03</v>
      </c>
      <c r="D1819" s="14" t="n">
        <f aca="false">AVERAGE(B1800:B1819)</f>
        <v>107.257</v>
      </c>
      <c r="E1819" s="14" t="n">
        <f aca="false">(B1819-D1819)/D1819*100</f>
        <v>4.73908462850911</v>
      </c>
    </row>
    <row r="1820" customFormat="false" ht="15" hidden="false" customHeight="false" outlineLevel="0" collapsed="false">
      <c r="A1820" s="12" t="n">
        <v>44645</v>
      </c>
      <c r="B1820" s="15" t="n">
        <v>113.9</v>
      </c>
      <c r="C1820" s="15" t="n">
        <v>120.65</v>
      </c>
      <c r="D1820" s="14" t="n">
        <f aca="false">AVERAGE(B1801:B1820)</f>
        <v>108.3725</v>
      </c>
      <c r="E1820" s="14" t="n">
        <f aca="false">(B1820-D1820)/D1820*100</f>
        <v>5.10046367851625</v>
      </c>
    </row>
    <row r="1821" customFormat="false" ht="15" hidden="false" customHeight="false" outlineLevel="0" collapsed="false">
      <c r="A1821" s="12" t="n">
        <v>44648</v>
      </c>
      <c r="B1821" s="15" t="n">
        <v>105.96</v>
      </c>
      <c r="C1821" s="15" t="n">
        <v>112.48</v>
      </c>
      <c r="D1821" s="14" t="n">
        <f aca="false">AVERAGE(B1802:B1821)</f>
        <v>108.8845</v>
      </c>
      <c r="E1821" s="14" t="n">
        <f aca="false">(B1821-D1821)/D1821*100</f>
        <v>-2.68587356327118</v>
      </c>
    </row>
    <row r="1822" customFormat="false" ht="15" hidden="false" customHeight="false" outlineLevel="0" collapsed="false">
      <c r="A1822" s="12" t="n">
        <v>44649</v>
      </c>
      <c r="B1822" s="15" t="n">
        <v>104.24</v>
      </c>
      <c r="C1822" s="15" t="n">
        <v>110.23</v>
      </c>
      <c r="D1822" s="14" t="n">
        <f aca="false">AVERAGE(B1803:B1822)</f>
        <v>108.926</v>
      </c>
      <c r="E1822" s="14" t="n">
        <f aca="false">(B1822-D1822)/D1822*100</f>
        <v>-4.30200319482952</v>
      </c>
    </row>
    <row r="1823" customFormat="false" ht="15" hidden="false" customHeight="false" outlineLevel="0" collapsed="false">
      <c r="A1823" s="12" t="n">
        <v>44650</v>
      </c>
      <c r="B1823" s="15" t="n">
        <v>107.82</v>
      </c>
      <c r="C1823" s="15" t="n">
        <v>113.45</v>
      </c>
      <c r="D1823" s="14" t="n">
        <f aca="false">AVERAGE(B1804:B1823)</f>
        <v>108.787</v>
      </c>
      <c r="E1823" s="14" t="n">
        <f aca="false">(B1823-D1823)/D1823*100</f>
        <v>-0.888892974344373</v>
      </c>
    </row>
    <row r="1824" customFormat="false" ht="15" hidden="false" customHeight="false" outlineLevel="0" collapsed="false">
      <c r="A1824" s="12" t="n">
        <v>44651</v>
      </c>
      <c r="B1824" s="15" t="n">
        <v>100.28</v>
      </c>
      <c r="C1824" s="15" t="n">
        <v>107.91</v>
      </c>
      <c r="D1824" s="14" t="n">
        <f aca="false">AVERAGE(B1805:B1824)</f>
        <v>108.4175</v>
      </c>
      <c r="E1824" s="14" t="n">
        <f aca="false">(B1824-D1824)/D1824*100</f>
        <v>-7.50570710448036</v>
      </c>
    </row>
    <row r="1825" customFormat="false" ht="15" hidden="false" customHeight="false" outlineLevel="0" collapsed="false">
      <c r="A1825" s="12" t="n">
        <v>44652</v>
      </c>
      <c r="B1825" s="15" t="n">
        <v>99.27</v>
      </c>
      <c r="C1825" s="15" t="n">
        <v>104.39</v>
      </c>
      <c r="D1825" s="14" t="n">
        <f aca="false">AVERAGE(B1806:B1825)</f>
        <v>107.597</v>
      </c>
      <c r="E1825" s="14" t="n">
        <f aca="false">(B1825-D1825)/D1825*100</f>
        <v>-7.73906335678505</v>
      </c>
    </row>
    <row r="1826" customFormat="false" ht="15" hidden="false" customHeight="false" outlineLevel="0" collapsed="false">
      <c r="A1826" s="12" t="n">
        <v>44655</v>
      </c>
      <c r="B1826" s="15" t="n">
        <v>103.28</v>
      </c>
      <c r="C1826" s="15" t="n">
        <v>107.53</v>
      </c>
      <c r="D1826" s="14" t="n">
        <f aca="false">AVERAGE(B1807:B1826)</f>
        <v>106.791</v>
      </c>
      <c r="E1826" s="14" t="n">
        <f aca="false">(B1826-D1826)/D1826*100</f>
        <v>-3.28773023943966</v>
      </c>
    </row>
    <row r="1827" customFormat="false" ht="15" hidden="false" customHeight="false" outlineLevel="0" collapsed="false">
      <c r="A1827" s="12" t="n">
        <v>44656</v>
      </c>
      <c r="B1827" s="15" t="n">
        <v>101.96</v>
      </c>
      <c r="C1827" s="15" t="n">
        <v>106.64</v>
      </c>
      <c r="D1827" s="14" t="n">
        <f aca="false">AVERAGE(B1808:B1827)</f>
        <v>105.704</v>
      </c>
      <c r="E1827" s="14" t="n">
        <f aca="false">(B1827-D1827)/D1827*100</f>
        <v>-3.54196624536441</v>
      </c>
    </row>
    <row r="1828" customFormat="false" ht="15" hidden="false" customHeight="false" outlineLevel="0" collapsed="false">
      <c r="A1828" s="12" t="n">
        <v>44657</v>
      </c>
      <c r="B1828" s="15" t="n">
        <v>96.23</v>
      </c>
      <c r="C1828" s="15" t="n">
        <v>101.07</v>
      </c>
      <c r="D1828" s="14" t="n">
        <f aca="false">AVERAGE(B1809:B1828)</f>
        <v>105.0805</v>
      </c>
      <c r="E1828" s="14" t="n">
        <f aca="false">(B1828-D1828)/D1828*100</f>
        <v>-8.42259029981776</v>
      </c>
    </row>
    <row r="1829" customFormat="false" ht="15" hidden="false" customHeight="false" outlineLevel="0" collapsed="false">
      <c r="A1829" s="12" t="n">
        <v>44658</v>
      </c>
      <c r="B1829" s="15" t="n">
        <v>96.03</v>
      </c>
      <c r="C1829" s="15" t="n">
        <v>100.58</v>
      </c>
      <c r="D1829" s="14" t="n">
        <f aca="false">AVERAGE(B1810:B1829)</f>
        <v>104.581</v>
      </c>
      <c r="E1829" s="14" t="n">
        <f aca="false">(B1829-D1829)/D1829*100</f>
        <v>-8.17643740258746</v>
      </c>
    </row>
    <row r="1830" customFormat="false" ht="15" hidden="false" customHeight="false" outlineLevel="0" collapsed="false">
      <c r="A1830" s="12" t="n">
        <v>44659</v>
      </c>
      <c r="B1830" s="15" t="n">
        <v>98.26</v>
      </c>
      <c r="C1830" s="15" t="n">
        <v>102.78</v>
      </c>
      <c r="D1830" s="14" t="n">
        <f aca="false">AVERAGE(B1811:B1830)</f>
        <v>104.0275</v>
      </c>
      <c r="E1830" s="14" t="n">
        <f aca="false">(B1830-D1830)/D1830*100</f>
        <v>-5.544207060633</v>
      </c>
    </row>
    <row r="1831" customFormat="false" ht="15" hidden="false" customHeight="false" outlineLevel="0" collapsed="false">
      <c r="A1831" s="12" t="n">
        <v>44662</v>
      </c>
      <c r="B1831" s="15" t="n">
        <v>94.29</v>
      </c>
      <c r="C1831" s="15" t="n">
        <v>98.48</v>
      </c>
      <c r="D1831" s="14" t="n">
        <f aca="false">AVERAGE(B1812:B1831)</f>
        <v>103.5915</v>
      </c>
      <c r="E1831" s="14" t="n">
        <f aca="false">(B1831-D1831)/D1831*100</f>
        <v>-8.97901854881915</v>
      </c>
    </row>
    <row r="1832" customFormat="false" ht="15" hidden="false" customHeight="false" outlineLevel="0" collapsed="false">
      <c r="A1832" s="12" t="n">
        <v>44663</v>
      </c>
      <c r="B1832" s="15" t="n">
        <v>100.6</v>
      </c>
      <c r="C1832" s="15" t="n">
        <v>104.64</v>
      </c>
      <c r="D1832" s="14" t="n">
        <f aca="false">AVERAGE(B1813:B1832)</f>
        <v>103.7995</v>
      </c>
      <c r="E1832" s="14" t="n">
        <f aca="false">(B1832-D1832)/D1832*100</f>
        <v>-3.08238478990748</v>
      </c>
    </row>
    <row r="1833" customFormat="false" ht="15" hidden="false" customHeight="false" outlineLevel="0" collapsed="false">
      <c r="A1833" s="12" t="n">
        <v>44664</v>
      </c>
      <c r="B1833" s="15" t="n">
        <v>104.25</v>
      </c>
      <c r="C1833" s="15" t="n">
        <v>108.78</v>
      </c>
      <c r="D1833" s="14" t="n">
        <f aca="false">AVERAGE(B1814:B1833)</f>
        <v>104.26</v>
      </c>
      <c r="E1833" s="14" t="n">
        <f aca="false">(B1833-D1833)/D1833*100</f>
        <v>-0.00959140610012556</v>
      </c>
    </row>
    <row r="1834" customFormat="false" ht="15" hidden="false" customHeight="false" outlineLevel="0" collapsed="false">
      <c r="A1834" s="12" t="n">
        <v>44665</v>
      </c>
      <c r="B1834" s="15" t="n">
        <v>106.95</v>
      </c>
      <c r="C1834" s="15" t="n">
        <v>111.7</v>
      </c>
      <c r="D1834" s="14" t="n">
        <f aca="false">AVERAGE(B1815:B1834)</f>
        <v>104.4585</v>
      </c>
      <c r="E1834" s="14" t="n">
        <f aca="false">(B1834-D1834)/D1834*100</f>
        <v>2.38515774206982</v>
      </c>
    </row>
    <row r="1835" customFormat="false" ht="15" hidden="false" customHeight="false" outlineLevel="0" collapsed="false">
      <c r="A1835" s="12" t="n">
        <v>44669</v>
      </c>
      <c r="B1835" s="15" t="n">
        <v>108.21</v>
      </c>
      <c r="C1835" s="15" t="n">
        <v>113.16</v>
      </c>
      <c r="D1835" s="14" t="n">
        <f aca="false">AVERAGE(B1816:B1835)</f>
        <v>104.634</v>
      </c>
      <c r="E1835" s="14" t="n">
        <f aca="false">(B1835-D1835)/D1835*100</f>
        <v>3.41762715752051</v>
      </c>
    </row>
    <row r="1836" customFormat="false" ht="15" hidden="false" customHeight="false" outlineLevel="0" collapsed="false">
      <c r="A1836" s="12" t="n">
        <v>44670</v>
      </c>
      <c r="B1836" s="15" t="n">
        <v>102.56</v>
      </c>
      <c r="C1836" s="15" t="n">
        <v>107.25</v>
      </c>
      <c r="D1836" s="14" t="n">
        <f aca="false">AVERAGE(B1817:B1836)</f>
        <v>104.156</v>
      </c>
      <c r="E1836" s="14" t="n">
        <f aca="false">(B1836-D1836)/D1836*100</f>
        <v>-1.5323169092515</v>
      </c>
    </row>
    <row r="1837" customFormat="false" ht="15" hidden="false" customHeight="false" outlineLevel="0" collapsed="false">
      <c r="A1837" s="12" t="n">
        <v>44671</v>
      </c>
      <c r="B1837" s="15" t="n">
        <v>102.75</v>
      </c>
      <c r="C1837" s="15" t="n">
        <v>106.8</v>
      </c>
      <c r="D1837" s="14" t="n">
        <f aca="false">AVERAGE(B1818:B1837)</f>
        <v>103.7055</v>
      </c>
      <c r="E1837" s="14" t="n">
        <f aca="false">(B1837-D1837)/D1837*100</f>
        <v>-0.921359040745188</v>
      </c>
    </row>
    <row r="1838" customFormat="false" ht="15" hidden="false" customHeight="false" outlineLevel="0" collapsed="false">
      <c r="A1838" s="12" t="n">
        <v>44672</v>
      </c>
      <c r="B1838" s="15" t="n">
        <v>103.79</v>
      </c>
      <c r="C1838" s="15" t="n">
        <v>108.33</v>
      </c>
      <c r="D1838" s="14" t="n">
        <f aca="false">AVERAGE(B1819:B1838)</f>
        <v>103.1485</v>
      </c>
      <c r="E1838" s="14" t="n">
        <f aca="false">(B1838-D1838)/D1838*100</f>
        <v>0.621918883939197</v>
      </c>
    </row>
    <row r="1839" customFormat="false" ht="15" hidden="false" customHeight="false" outlineLevel="0" collapsed="false">
      <c r="A1839" s="12" t="n">
        <v>44673</v>
      </c>
      <c r="B1839" s="15" t="n">
        <v>102.07</v>
      </c>
      <c r="C1839" s="15" t="n">
        <v>106.65</v>
      </c>
      <c r="D1839" s="14" t="n">
        <f aca="false">AVERAGE(B1820:B1839)</f>
        <v>102.635</v>
      </c>
      <c r="E1839" s="14" t="n">
        <f aca="false">(B1839-D1839)/D1839*100</f>
        <v>-0.550494470697128</v>
      </c>
    </row>
    <row r="1840" customFormat="false" ht="15" hidden="false" customHeight="false" outlineLevel="0" collapsed="false">
      <c r="A1840" s="12" t="n">
        <v>44676</v>
      </c>
      <c r="B1840" s="15" t="n">
        <v>98.54</v>
      </c>
      <c r="C1840" s="15" t="n">
        <v>102.32</v>
      </c>
      <c r="D1840" s="14" t="n">
        <f aca="false">AVERAGE(B1821:B1840)</f>
        <v>101.867</v>
      </c>
      <c r="E1840" s="14" t="n">
        <f aca="false">(B1840-D1840)/D1840*100</f>
        <v>-3.26602334416443</v>
      </c>
    </row>
    <row r="1841" customFormat="false" ht="15" hidden="false" customHeight="false" outlineLevel="0" collapsed="false">
      <c r="A1841" s="12" t="n">
        <v>44677</v>
      </c>
      <c r="B1841" s="15" t="n">
        <v>101.7</v>
      </c>
      <c r="C1841" s="15" t="n">
        <v>104.99</v>
      </c>
      <c r="D1841" s="14" t="n">
        <f aca="false">AVERAGE(B1822:B1841)</f>
        <v>101.654</v>
      </c>
      <c r="E1841" s="14" t="n">
        <f aca="false">(B1841-D1841)/D1841*100</f>
        <v>0.0452515395360797</v>
      </c>
    </row>
    <row r="1842" customFormat="false" ht="15" hidden="false" customHeight="false" outlineLevel="0" collapsed="false">
      <c r="A1842" s="12" t="n">
        <v>44678</v>
      </c>
      <c r="B1842" s="15" t="n">
        <v>102.02</v>
      </c>
      <c r="C1842" s="15" t="n">
        <v>105.32</v>
      </c>
      <c r="D1842" s="14" t="n">
        <f aca="false">AVERAGE(B1823:B1842)</f>
        <v>101.543</v>
      </c>
      <c r="E1842" s="14" t="n">
        <f aca="false">(B1842-D1842)/D1842*100</f>
        <v>0.469751730793855</v>
      </c>
    </row>
    <row r="1843" customFormat="false" ht="15" hidden="false" customHeight="false" outlineLevel="0" collapsed="false">
      <c r="A1843" s="12" t="n">
        <v>44679</v>
      </c>
      <c r="B1843" s="15" t="n">
        <v>105.36</v>
      </c>
      <c r="C1843" s="15" t="n">
        <v>107.59</v>
      </c>
      <c r="D1843" s="14" t="n">
        <f aca="false">AVERAGE(B1824:B1843)</f>
        <v>101.42</v>
      </c>
      <c r="E1843" s="14" t="n">
        <f aca="false">(B1843-D1843)/D1843*100</f>
        <v>3.88483533819759</v>
      </c>
    </row>
    <row r="1844" customFormat="false" ht="15" hidden="false" customHeight="false" outlineLevel="0" collapsed="false">
      <c r="A1844" s="12" t="n">
        <v>44680</v>
      </c>
      <c r="B1844" s="15" t="n">
        <v>104.69</v>
      </c>
      <c r="C1844" s="15" t="n">
        <v>109.34</v>
      </c>
      <c r="D1844" s="14" t="n">
        <f aca="false">AVERAGE(B1825:B1844)</f>
        <v>101.6405</v>
      </c>
      <c r="E1844" s="14" t="n">
        <f aca="false">(B1844-D1844)/D1844*100</f>
        <v>3.00028040003738</v>
      </c>
    </row>
    <row r="1845" customFormat="false" ht="15" hidden="false" customHeight="false" outlineLevel="0" collapsed="false">
      <c r="A1845" s="12" t="n">
        <v>44683</v>
      </c>
      <c r="B1845" s="15" t="n">
        <v>105.17</v>
      </c>
      <c r="C1845" s="15" t="n">
        <v>107.58</v>
      </c>
      <c r="D1845" s="14" t="n">
        <f aca="false">AVERAGE(B1826:B1845)</f>
        <v>101.9355</v>
      </c>
      <c r="E1845" s="14" t="n">
        <f aca="false">(B1845-D1845)/D1845*100</f>
        <v>3.17308494096757</v>
      </c>
    </row>
    <row r="1846" customFormat="false" ht="15" hidden="false" customHeight="false" outlineLevel="0" collapsed="false">
      <c r="A1846" s="12" t="n">
        <v>44684</v>
      </c>
      <c r="B1846" s="15" t="n">
        <v>102.41</v>
      </c>
      <c r="C1846" s="15" t="n">
        <v>104.97</v>
      </c>
      <c r="D1846" s="14" t="n">
        <f aca="false">AVERAGE(B1827:B1846)</f>
        <v>101.892</v>
      </c>
      <c r="E1846" s="14" t="n">
        <f aca="false">(B1846-D1846)/D1846*100</f>
        <v>0.508381423467986</v>
      </c>
    </row>
    <row r="1847" customFormat="false" ht="15" hidden="false" customHeight="false" outlineLevel="0" collapsed="false">
      <c r="A1847" s="12" t="n">
        <v>44685</v>
      </c>
      <c r="B1847" s="15" t="n">
        <v>107.81</v>
      </c>
      <c r="C1847" s="15" t="n">
        <v>110.14</v>
      </c>
      <c r="D1847" s="14" t="n">
        <f aca="false">AVERAGE(B1828:B1847)</f>
        <v>102.1845</v>
      </c>
      <c r="E1847" s="14" t="n">
        <f aca="false">(B1847-D1847)/D1847*100</f>
        <v>5.50523807426763</v>
      </c>
    </row>
    <row r="1848" customFormat="false" ht="15" hidden="false" customHeight="false" outlineLevel="0" collapsed="false">
      <c r="A1848" s="12" t="n">
        <v>44686</v>
      </c>
      <c r="B1848" s="15" t="n">
        <v>108.26</v>
      </c>
      <c r="C1848" s="15" t="n">
        <v>110.9</v>
      </c>
      <c r="D1848" s="14" t="n">
        <f aca="false">AVERAGE(B1829:B1848)</f>
        <v>102.786</v>
      </c>
      <c r="E1848" s="14" t="n">
        <f aca="false">(B1848-D1848)/D1848*100</f>
        <v>5.32562800381377</v>
      </c>
    </row>
    <row r="1849" customFormat="false" ht="15" hidden="false" customHeight="false" outlineLevel="0" collapsed="false">
      <c r="A1849" s="12" t="n">
        <v>44687</v>
      </c>
      <c r="B1849" s="15" t="n">
        <v>109.77</v>
      </c>
      <c r="C1849" s="15" t="n">
        <v>112.39</v>
      </c>
      <c r="D1849" s="14" t="n">
        <f aca="false">AVERAGE(B1830:B1849)</f>
        <v>103.473</v>
      </c>
      <c r="E1849" s="14" t="n">
        <f aca="false">(B1849-D1849)/D1849*100</f>
        <v>6.08564553071816</v>
      </c>
    </row>
    <row r="1850" customFormat="false" ht="15" hidden="false" customHeight="false" outlineLevel="0" collapsed="false">
      <c r="A1850" s="12" t="n">
        <v>44690</v>
      </c>
      <c r="B1850" s="15" t="n">
        <v>103.09</v>
      </c>
      <c r="C1850" s="15" t="n">
        <v>105.94</v>
      </c>
      <c r="D1850" s="14" t="n">
        <f aca="false">AVERAGE(B1831:B1850)</f>
        <v>103.7145</v>
      </c>
      <c r="E1850" s="14" t="n">
        <f aca="false">(B1850-D1850)/D1850*100</f>
        <v>-0.602133742147913</v>
      </c>
    </row>
    <row r="1851" customFormat="false" ht="15" hidden="false" customHeight="false" outlineLevel="0" collapsed="false">
      <c r="A1851" s="12" t="n">
        <v>44691</v>
      </c>
      <c r="B1851" s="15" t="n">
        <v>99.76</v>
      </c>
      <c r="C1851" s="15" t="n">
        <v>102.46</v>
      </c>
      <c r="D1851" s="14" t="n">
        <f aca="false">AVERAGE(B1832:B1851)</f>
        <v>103.988</v>
      </c>
      <c r="E1851" s="14" t="n">
        <f aca="false">(B1851-D1851)/D1851*100</f>
        <v>-4.06585375235605</v>
      </c>
    </row>
    <row r="1852" customFormat="false" ht="15" hidden="false" customHeight="false" outlineLevel="0" collapsed="false">
      <c r="A1852" s="12" t="n">
        <v>44692</v>
      </c>
      <c r="B1852" s="15" t="n">
        <v>105.71</v>
      </c>
      <c r="C1852" s="15" t="n">
        <v>107.51</v>
      </c>
      <c r="D1852" s="14" t="n">
        <f aca="false">AVERAGE(B1833:B1852)</f>
        <v>104.2435</v>
      </c>
      <c r="E1852" s="14" t="n">
        <f aca="false">(B1852-D1852)/D1852*100</f>
        <v>1.4068023425921</v>
      </c>
    </row>
    <row r="1853" customFormat="false" ht="15" hidden="false" customHeight="false" outlineLevel="0" collapsed="false">
      <c r="A1853" s="12" t="n">
        <v>44693</v>
      </c>
      <c r="B1853" s="15" t="n">
        <v>106.13</v>
      </c>
      <c r="C1853" s="15" t="n">
        <v>107.45</v>
      </c>
      <c r="D1853" s="14" t="n">
        <f aca="false">AVERAGE(B1834:B1853)</f>
        <v>104.3375</v>
      </c>
      <c r="E1853" s="14" t="n">
        <f aca="false">(B1853-D1853)/D1853*100</f>
        <v>1.71798250868575</v>
      </c>
    </row>
    <row r="1854" customFormat="false" ht="15" hidden="false" customHeight="false" outlineLevel="0" collapsed="false">
      <c r="A1854" s="12" t="n">
        <v>44694</v>
      </c>
      <c r="B1854" s="15" t="n">
        <v>110.49</v>
      </c>
      <c r="C1854" s="15" t="n">
        <v>111.55</v>
      </c>
      <c r="D1854" s="14" t="n">
        <f aca="false">AVERAGE(B1835:B1854)</f>
        <v>104.5145</v>
      </c>
      <c r="E1854" s="14" t="n">
        <f aca="false">(B1854-D1854)/D1854*100</f>
        <v>5.71738849633304</v>
      </c>
    </row>
    <row r="1855" customFormat="false" ht="15" hidden="false" customHeight="false" outlineLevel="0" collapsed="false">
      <c r="A1855" s="12" t="n">
        <v>44697</v>
      </c>
      <c r="B1855" s="15" t="n">
        <v>114.2</v>
      </c>
      <c r="C1855" s="15" t="n">
        <v>114.24</v>
      </c>
      <c r="D1855" s="14" t="n">
        <f aca="false">AVERAGE(B1836:B1855)</f>
        <v>104.814</v>
      </c>
      <c r="E1855" s="14" t="n">
        <f aca="false">(B1855-D1855)/D1855*100</f>
        <v>8.95491060354532</v>
      </c>
    </row>
    <row r="1856" customFormat="false" ht="15" hidden="false" customHeight="false" outlineLevel="0" collapsed="false">
      <c r="A1856" s="12" t="n">
        <v>44698</v>
      </c>
      <c r="B1856" s="15" t="n">
        <v>112.4</v>
      </c>
      <c r="C1856" s="15" t="n">
        <v>111.93</v>
      </c>
      <c r="D1856" s="14" t="n">
        <f aca="false">AVERAGE(B1837:B1856)</f>
        <v>105.306</v>
      </c>
      <c r="E1856" s="14" t="n">
        <f aca="false">(B1856-D1856)/D1856*100</f>
        <v>6.73655822080414</v>
      </c>
    </row>
    <row r="1857" customFormat="false" ht="15" hidden="false" customHeight="false" outlineLevel="0" collapsed="false">
      <c r="A1857" s="12" t="n">
        <v>44699</v>
      </c>
      <c r="B1857" s="15" t="n">
        <v>109.59</v>
      </c>
      <c r="C1857" s="15" t="n">
        <v>109.11</v>
      </c>
      <c r="D1857" s="14" t="n">
        <f aca="false">AVERAGE(B1838:B1857)</f>
        <v>105.648</v>
      </c>
      <c r="E1857" s="14" t="n">
        <f aca="false">(B1857-D1857)/D1857*100</f>
        <v>3.73125851885507</v>
      </c>
    </row>
    <row r="1858" customFormat="false" ht="15" hidden="false" customHeight="false" outlineLevel="0" collapsed="false">
      <c r="A1858" s="12" t="n">
        <v>44700</v>
      </c>
      <c r="B1858" s="15" t="n">
        <v>112.21</v>
      </c>
      <c r="C1858" s="15" t="n">
        <v>112.04</v>
      </c>
      <c r="D1858" s="14" t="n">
        <f aca="false">AVERAGE(B1839:B1858)</f>
        <v>106.069</v>
      </c>
      <c r="E1858" s="14" t="n">
        <f aca="false">(B1858-D1858)/D1858*100</f>
        <v>5.78962750662304</v>
      </c>
    </row>
    <row r="1859" customFormat="false" ht="15" hidden="false" customHeight="false" outlineLevel="0" collapsed="false">
      <c r="A1859" s="12" t="n">
        <v>44701</v>
      </c>
      <c r="B1859" s="15" t="n">
        <v>113.23</v>
      </c>
      <c r="C1859" s="15" t="n">
        <v>112.55</v>
      </c>
      <c r="D1859" s="14" t="n">
        <f aca="false">AVERAGE(B1840:B1859)</f>
        <v>106.627</v>
      </c>
      <c r="E1859" s="14" t="n">
        <f aca="false">(B1859-D1859)/D1859*100</f>
        <v>6.19261537884402</v>
      </c>
    </row>
    <row r="1860" customFormat="false" ht="15" hidden="false" customHeight="false" outlineLevel="0" collapsed="false">
      <c r="A1860" s="12" t="n">
        <v>44704</v>
      </c>
      <c r="B1860" s="15" t="n">
        <v>110.29</v>
      </c>
      <c r="C1860" s="15" t="n">
        <v>113.42</v>
      </c>
      <c r="D1860" s="14" t="n">
        <f aca="false">AVERAGE(B1841:B1860)</f>
        <v>107.2145</v>
      </c>
      <c r="E1860" s="14" t="n">
        <f aca="false">(B1860-D1860)/D1860*100</f>
        <v>2.8685485638603</v>
      </c>
    </row>
    <row r="1861" customFormat="false" ht="15" hidden="false" customHeight="false" outlineLevel="0" collapsed="false">
      <c r="A1861" s="12" t="n">
        <v>44705</v>
      </c>
      <c r="B1861" s="15" t="n">
        <v>109.77</v>
      </c>
      <c r="C1861" s="15" t="n">
        <v>113.56</v>
      </c>
      <c r="D1861" s="14" t="n">
        <f aca="false">AVERAGE(B1842:B1861)</f>
        <v>107.618</v>
      </c>
      <c r="E1861" s="14" t="n">
        <f aca="false">(B1861-D1861)/D1861*100</f>
        <v>1.9996654834693</v>
      </c>
    </row>
    <row r="1862" customFormat="false" ht="15" hidden="false" customHeight="false" outlineLevel="0" collapsed="false">
      <c r="A1862" s="12" t="n">
        <v>44706</v>
      </c>
      <c r="B1862" s="15" t="n">
        <v>110.33</v>
      </c>
      <c r="C1862" s="15" t="n">
        <v>114.03</v>
      </c>
      <c r="D1862" s="14" t="n">
        <f aca="false">AVERAGE(B1843:B1862)</f>
        <v>108.0335</v>
      </c>
      <c r="E1862" s="14" t="n">
        <f aca="false">(B1862-D1862)/D1862*100</f>
        <v>2.12572951908435</v>
      </c>
    </row>
    <row r="1863" customFormat="false" ht="15" hidden="false" customHeight="false" outlineLevel="0" collapsed="false">
      <c r="A1863" s="12" t="n">
        <v>44707</v>
      </c>
      <c r="B1863" s="15" t="n">
        <v>114.09</v>
      </c>
      <c r="C1863" s="15" t="n">
        <v>117.4</v>
      </c>
      <c r="D1863" s="14" t="n">
        <f aca="false">AVERAGE(B1844:B1863)</f>
        <v>108.47</v>
      </c>
      <c r="E1863" s="14" t="n">
        <f aca="false">(B1863-D1863)/D1863*100</f>
        <v>5.18115608002213</v>
      </c>
    </row>
    <row r="1864" customFormat="false" ht="15" hidden="false" customHeight="false" outlineLevel="0" collapsed="false">
      <c r="A1864" s="12" t="n">
        <v>44708</v>
      </c>
      <c r="B1864" s="15" t="n">
        <v>115.07</v>
      </c>
      <c r="C1864" s="15" t="n">
        <v>119.43</v>
      </c>
      <c r="D1864" s="14" t="n">
        <f aca="false">AVERAGE(B1845:B1864)</f>
        <v>108.989</v>
      </c>
      <c r="E1864" s="14" t="n">
        <f aca="false">(B1864-D1864)/D1864*100</f>
        <v>5.57946214755617</v>
      </c>
    </row>
    <row r="1865" customFormat="false" ht="15" hidden="false" customHeight="false" outlineLevel="0" collapsed="false">
      <c r="A1865" s="12" t="n">
        <v>44712</v>
      </c>
      <c r="B1865" s="15" t="n">
        <v>114.67</v>
      </c>
      <c r="C1865" s="15" t="n">
        <v>122.84</v>
      </c>
      <c r="D1865" s="14" t="n">
        <f aca="false">AVERAGE(B1846:B1865)</f>
        <v>109.464</v>
      </c>
      <c r="E1865" s="14" t="n">
        <f aca="false">(B1865-D1865)/D1865*100</f>
        <v>4.75590148359277</v>
      </c>
    </row>
    <row r="1866" customFormat="false" ht="15" hidden="false" customHeight="false" outlineLevel="0" collapsed="false">
      <c r="A1866" s="12" t="n">
        <v>44713</v>
      </c>
      <c r="B1866" s="15" t="n">
        <v>115.26</v>
      </c>
      <c r="C1866" s="15" t="n">
        <v>116.29</v>
      </c>
      <c r="D1866" s="14" t="n">
        <f aca="false">AVERAGE(B1847:B1866)</f>
        <v>110.1065</v>
      </c>
      <c r="E1866" s="14" t="n">
        <f aca="false">(B1866-D1866)/D1866*100</f>
        <v>4.68046845554077</v>
      </c>
    </row>
    <row r="1867" customFormat="false" ht="15" hidden="false" customHeight="false" outlineLevel="0" collapsed="false">
      <c r="A1867" s="12" t="n">
        <v>44714</v>
      </c>
      <c r="B1867" s="15" t="n">
        <v>116.87</v>
      </c>
      <c r="C1867" s="15" t="n">
        <v>117.61</v>
      </c>
      <c r="D1867" s="14" t="n">
        <f aca="false">AVERAGE(B1848:B1867)</f>
        <v>110.5595</v>
      </c>
      <c r="E1867" s="14" t="n">
        <f aca="false">(B1867-D1867)/D1867*100</f>
        <v>5.70778630511173</v>
      </c>
    </row>
    <row r="1868" customFormat="false" ht="15" hidden="false" customHeight="false" outlineLevel="0" collapsed="false">
      <c r="A1868" s="12" t="n">
        <v>44715</v>
      </c>
      <c r="B1868" s="15" t="n">
        <v>118.87</v>
      </c>
      <c r="C1868" s="15" t="n">
        <v>119.72</v>
      </c>
      <c r="D1868" s="14" t="n">
        <f aca="false">AVERAGE(B1849:B1868)</f>
        <v>111.09</v>
      </c>
      <c r="E1868" s="14" t="n">
        <f aca="false">(B1868-D1868)/D1868*100</f>
        <v>7.00333063282024</v>
      </c>
    </row>
    <row r="1869" customFormat="false" ht="15" hidden="false" customHeight="false" outlineLevel="0" collapsed="false">
      <c r="A1869" s="12" t="n">
        <v>44718</v>
      </c>
      <c r="B1869" s="15" t="n">
        <v>118.5</v>
      </c>
      <c r="C1869" s="15" t="n">
        <v>119.51</v>
      </c>
      <c r="D1869" s="14" t="n">
        <f aca="false">AVERAGE(B1850:B1869)</f>
        <v>111.5265</v>
      </c>
      <c r="E1869" s="14" t="n">
        <f aca="false">(B1869-D1869)/D1869*100</f>
        <v>6.2527740043846</v>
      </c>
    </row>
    <row r="1870" customFormat="false" ht="15" hidden="false" customHeight="false" outlineLevel="0" collapsed="false">
      <c r="A1870" s="12" t="n">
        <v>44719</v>
      </c>
      <c r="B1870" s="15" t="n">
        <v>119.41</v>
      </c>
      <c r="C1870" s="15" t="n">
        <v>120.57</v>
      </c>
      <c r="D1870" s="14" t="n">
        <f aca="false">AVERAGE(B1851:B1870)</f>
        <v>112.3425</v>
      </c>
      <c r="E1870" s="14" t="n">
        <f aca="false">(B1870-D1870)/D1870*100</f>
        <v>6.29102966375147</v>
      </c>
    </row>
    <row r="1871" customFormat="false" ht="15" hidden="false" customHeight="false" outlineLevel="0" collapsed="false">
      <c r="A1871" s="12" t="n">
        <v>44720</v>
      </c>
      <c r="B1871" s="15" t="n">
        <v>122.11</v>
      </c>
      <c r="C1871" s="15" t="n">
        <v>123.58</v>
      </c>
      <c r="D1871" s="14" t="n">
        <f aca="false">AVERAGE(B1852:B1871)</f>
        <v>113.46</v>
      </c>
      <c r="E1871" s="14" t="n">
        <f aca="false">(B1871-D1871)/D1871*100</f>
        <v>7.62383218755509</v>
      </c>
    </row>
    <row r="1872" customFormat="false" ht="15" hidden="false" customHeight="false" outlineLevel="0" collapsed="false">
      <c r="A1872" s="12" t="n">
        <v>44721</v>
      </c>
      <c r="B1872" s="15" t="n">
        <v>121.51</v>
      </c>
      <c r="C1872" s="15" t="n">
        <v>123.07</v>
      </c>
      <c r="D1872" s="14" t="n">
        <f aca="false">AVERAGE(B1853:B1872)</f>
        <v>114.25</v>
      </c>
      <c r="E1872" s="14" t="n">
        <f aca="false">(B1872-D1872)/D1872*100</f>
        <v>6.35448577680526</v>
      </c>
    </row>
    <row r="1873" customFormat="false" ht="15" hidden="false" customHeight="false" outlineLevel="0" collapsed="false">
      <c r="A1873" s="12" t="n">
        <v>44722</v>
      </c>
      <c r="B1873" s="15" t="n">
        <v>120.67</v>
      </c>
      <c r="C1873" s="15" t="n">
        <v>122.01</v>
      </c>
      <c r="D1873" s="14" t="n">
        <f aca="false">AVERAGE(B1854:B1873)</f>
        <v>114.977</v>
      </c>
      <c r="E1873" s="14" t="n">
        <f aca="false">(B1873-D1873)/D1873*100</f>
        <v>4.95142506762222</v>
      </c>
    </row>
    <row r="1874" customFormat="false" ht="15" hidden="false" customHeight="false" outlineLevel="0" collapsed="false">
      <c r="A1874" s="12" t="n">
        <v>44725</v>
      </c>
      <c r="B1874" s="15" t="n">
        <v>120.93</v>
      </c>
      <c r="C1874" s="15" t="n">
        <v>122.27</v>
      </c>
      <c r="D1874" s="14" t="n">
        <f aca="false">AVERAGE(B1855:B1874)</f>
        <v>115.499</v>
      </c>
      <c r="E1874" s="14" t="n">
        <f aca="false">(B1874-D1874)/D1874*100</f>
        <v>4.70220521389797</v>
      </c>
    </row>
    <row r="1875" customFormat="false" ht="15" hidden="false" customHeight="false" outlineLevel="0" collapsed="false">
      <c r="A1875" s="12" t="n">
        <v>44726</v>
      </c>
      <c r="B1875" s="15" t="n">
        <v>118.93</v>
      </c>
      <c r="C1875" s="15" t="n">
        <v>121.17</v>
      </c>
      <c r="D1875" s="14" t="n">
        <f aca="false">AVERAGE(B1856:B1875)</f>
        <v>115.7355</v>
      </c>
      <c r="E1875" s="14" t="n">
        <f aca="false">(B1875-D1875)/D1875*100</f>
        <v>2.76017298063257</v>
      </c>
    </row>
    <row r="1876" customFormat="false" ht="15" hidden="false" customHeight="false" outlineLevel="0" collapsed="false">
      <c r="A1876" s="12" t="n">
        <v>44727</v>
      </c>
      <c r="B1876" s="15" t="n">
        <v>115.31</v>
      </c>
      <c r="C1876" s="15" t="n">
        <v>118.51</v>
      </c>
      <c r="D1876" s="14" t="n">
        <f aca="false">AVERAGE(B1857:B1876)</f>
        <v>115.881</v>
      </c>
      <c r="E1876" s="14" t="n">
        <f aca="false">(B1876-D1876)/D1876*100</f>
        <v>-0.492746869633502</v>
      </c>
    </row>
    <row r="1877" customFormat="false" ht="15" hidden="false" customHeight="false" outlineLevel="0" collapsed="false">
      <c r="A1877" s="12" t="n">
        <v>44728</v>
      </c>
      <c r="B1877" s="15" t="n">
        <v>117.59</v>
      </c>
      <c r="C1877" s="15" t="n">
        <v>119.81</v>
      </c>
      <c r="D1877" s="14" t="n">
        <f aca="false">AVERAGE(B1858:B1877)</f>
        <v>116.281</v>
      </c>
      <c r="E1877" s="14" t="n">
        <f aca="false">(B1877-D1877)/D1877*100</f>
        <v>1.12572131302621</v>
      </c>
    </row>
    <row r="1878" customFormat="false" ht="15" hidden="false" customHeight="false" outlineLevel="0" collapsed="false">
      <c r="A1878" s="12" t="n">
        <v>44729</v>
      </c>
      <c r="B1878" s="15" t="n">
        <v>109.56</v>
      </c>
      <c r="C1878" s="15" t="n">
        <v>113.12</v>
      </c>
      <c r="D1878" s="14" t="n">
        <f aca="false">AVERAGE(B1859:B1878)</f>
        <v>116.1485</v>
      </c>
      <c r="E1878" s="14" t="n">
        <f aca="false">(B1878-D1878)/D1878*100</f>
        <v>-5.67247962737359</v>
      </c>
    </row>
    <row r="1879" customFormat="false" ht="15" hidden="false" customHeight="false" outlineLevel="0" collapsed="false">
      <c r="A1879" s="12" t="n">
        <v>44733</v>
      </c>
      <c r="B1879" s="15" t="n">
        <v>110.65</v>
      </c>
      <c r="C1879" s="15" t="n">
        <v>114.65</v>
      </c>
      <c r="D1879" s="14" t="n">
        <f aca="false">AVERAGE(B1860:B1879)</f>
        <v>116.0195</v>
      </c>
      <c r="E1879" s="14" t="n">
        <f aca="false">(B1879-D1879)/D1879*100</f>
        <v>-4.62810131055554</v>
      </c>
    </row>
    <row r="1880" customFormat="false" ht="15" hidden="false" customHeight="false" outlineLevel="0" collapsed="false">
      <c r="A1880" s="12" t="n">
        <v>44734</v>
      </c>
      <c r="B1880" s="15" t="n">
        <v>106.19</v>
      </c>
      <c r="C1880" s="15" t="n">
        <v>111.74</v>
      </c>
      <c r="D1880" s="14" t="n">
        <f aca="false">AVERAGE(B1861:B1880)</f>
        <v>115.8145</v>
      </c>
      <c r="E1880" s="14" t="n">
        <f aca="false">(B1880-D1880)/D1880*100</f>
        <v>-8.31027202984082</v>
      </c>
    </row>
    <row r="1881" customFormat="false" ht="15" hidden="false" customHeight="false" outlineLevel="0" collapsed="false">
      <c r="A1881" s="12" t="n">
        <v>44735</v>
      </c>
      <c r="B1881" s="15" t="n">
        <v>104.27</v>
      </c>
      <c r="C1881" s="15" t="n">
        <v>110.05</v>
      </c>
      <c r="D1881" s="14" t="n">
        <f aca="false">AVERAGE(B1862:B1881)</f>
        <v>115.5395</v>
      </c>
      <c r="E1881" s="14" t="n">
        <f aca="false">(B1881-D1881)/D1881*100</f>
        <v>-9.75380713954968</v>
      </c>
    </row>
    <row r="1882" customFormat="false" ht="15" hidden="false" customHeight="false" outlineLevel="0" collapsed="false">
      <c r="A1882" s="12" t="n">
        <v>44736</v>
      </c>
      <c r="B1882" s="15" t="n">
        <v>107.62</v>
      </c>
      <c r="C1882" s="15" t="n">
        <v>113.12</v>
      </c>
      <c r="D1882" s="14" t="n">
        <f aca="false">AVERAGE(B1863:B1882)</f>
        <v>115.404</v>
      </c>
      <c r="E1882" s="14" t="n">
        <f aca="false">(B1882-D1882)/D1882*100</f>
        <v>-6.74500017330421</v>
      </c>
    </row>
    <row r="1883" customFormat="false" ht="15" hidden="false" customHeight="false" outlineLevel="0" collapsed="false">
      <c r="A1883" s="12" t="n">
        <v>44739</v>
      </c>
      <c r="B1883" s="15" t="n">
        <v>109.57</v>
      </c>
      <c r="C1883" s="15" t="n">
        <v>115.09</v>
      </c>
      <c r="D1883" s="14" t="n">
        <f aca="false">AVERAGE(B1864:B1883)</f>
        <v>115.178</v>
      </c>
      <c r="E1883" s="14" t="n">
        <f aca="false">(B1883-D1883)/D1883*100</f>
        <v>-4.8689853965167</v>
      </c>
    </row>
    <row r="1884" customFormat="false" ht="15" hidden="false" customHeight="false" outlineLevel="0" collapsed="false">
      <c r="A1884" s="12" t="n">
        <v>44740</v>
      </c>
      <c r="B1884" s="15" t="n">
        <v>111.76</v>
      </c>
      <c r="C1884" s="15" t="n">
        <v>117.98</v>
      </c>
      <c r="D1884" s="14" t="n">
        <f aca="false">AVERAGE(B1865:B1884)</f>
        <v>115.0125</v>
      </c>
      <c r="E1884" s="14" t="n">
        <f aca="false">(B1884-D1884)/D1884*100</f>
        <v>-2.82795348331703</v>
      </c>
    </row>
    <row r="1885" customFormat="false" ht="15" hidden="false" customHeight="false" outlineLevel="0" collapsed="false">
      <c r="A1885" s="12" t="n">
        <v>44741</v>
      </c>
      <c r="B1885" s="15" t="n">
        <v>109.78</v>
      </c>
      <c r="C1885" s="15" t="n">
        <v>116.26</v>
      </c>
      <c r="D1885" s="14" t="n">
        <f aca="false">AVERAGE(B1866:B1885)</f>
        <v>114.768</v>
      </c>
      <c r="E1885" s="14" t="n">
        <f aca="false">(B1885-D1885)/D1885*100</f>
        <v>-4.34615920814164</v>
      </c>
    </row>
    <row r="1886" customFormat="false" ht="15" hidden="false" customHeight="false" outlineLevel="0" collapsed="false">
      <c r="A1886" s="12" t="n">
        <v>44742</v>
      </c>
      <c r="B1886" s="15" t="n">
        <v>105.76</v>
      </c>
      <c r="C1886" s="15" t="n">
        <v>114.81</v>
      </c>
      <c r="D1886" s="14" t="n">
        <f aca="false">AVERAGE(B1867:B1886)</f>
        <v>114.293</v>
      </c>
      <c r="E1886" s="14" t="n">
        <f aca="false">(B1886-D1886)/D1886*100</f>
        <v>-7.46589904893563</v>
      </c>
    </row>
    <row r="1887" customFormat="false" ht="15" hidden="false" customHeight="false" outlineLevel="0" collapsed="false">
      <c r="A1887" s="12" t="n">
        <v>44743</v>
      </c>
      <c r="B1887" s="15" t="n">
        <v>108.43</v>
      </c>
      <c r="C1887" s="15" t="n">
        <v>111.63</v>
      </c>
      <c r="D1887" s="14" t="n">
        <f aca="false">AVERAGE(B1868:B1887)</f>
        <v>113.871</v>
      </c>
      <c r="E1887" s="14" t="n">
        <f aca="false">(B1887-D1887)/D1887*100</f>
        <v>-4.77821394384874</v>
      </c>
    </row>
    <row r="1888" customFormat="false" ht="15" hidden="false" customHeight="false" outlineLevel="0" collapsed="false">
      <c r="A1888" s="12" t="n">
        <v>44747</v>
      </c>
      <c r="B1888" s="15" t="n">
        <v>99.5</v>
      </c>
      <c r="C1888" s="15" t="n">
        <v>102.77</v>
      </c>
      <c r="D1888" s="14" t="n">
        <f aca="false">AVERAGE(B1869:B1888)</f>
        <v>112.9025</v>
      </c>
      <c r="E1888" s="14" t="n">
        <f aca="false">(B1888-D1888)/D1888*100</f>
        <v>-11.8708620269702</v>
      </c>
    </row>
    <row r="1889" customFormat="false" ht="15" hidden="false" customHeight="false" outlineLevel="0" collapsed="false">
      <c r="A1889" s="12" t="n">
        <v>44748</v>
      </c>
      <c r="B1889" s="15" t="n">
        <v>98.53</v>
      </c>
      <c r="C1889" s="15" t="n">
        <v>100.69</v>
      </c>
      <c r="D1889" s="14" t="n">
        <f aca="false">AVERAGE(B1870:B1889)</f>
        <v>111.904</v>
      </c>
      <c r="E1889" s="14" t="n">
        <f aca="false">(B1889-D1889)/D1889*100</f>
        <v>-11.9513154132113</v>
      </c>
    </row>
    <row r="1890" customFormat="false" ht="15" hidden="false" customHeight="false" outlineLevel="0" collapsed="false">
      <c r="A1890" s="12" t="n">
        <v>44749</v>
      </c>
      <c r="B1890" s="15" t="n">
        <v>102.73</v>
      </c>
      <c r="C1890" s="15" t="n">
        <v>104.65</v>
      </c>
      <c r="D1890" s="14" t="n">
        <f aca="false">AVERAGE(B1871:B1890)</f>
        <v>111.07</v>
      </c>
      <c r="E1890" s="14" t="n">
        <f aca="false">(B1890-D1890)/D1890*100</f>
        <v>-7.50877824795175</v>
      </c>
    </row>
    <row r="1891" customFormat="false" ht="15" hidden="false" customHeight="false" outlineLevel="0" collapsed="false">
      <c r="A1891" s="12" t="n">
        <v>44750</v>
      </c>
      <c r="B1891" s="15" t="n">
        <v>104.79</v>
      </c>
      <c r="C1891" s="15" t="n">
        <v>107.02</v>
      </c>
      <c r="D1891" s="14" t="n">
        <f aca="false">AVERAGE(B1872:B1891)</f>
        <v>110.204</v>
      </c>
      <c r="E1891" s="14" t="n">
        <f aca="false">(B1891-D1891)/D1891*100</f>
        <v>-4.91270734274617</v>
      </c>
    </row>
    <row r="1892" customFormat="false" ht="15" hidden="false" customHeight="false" outlineLevel="0" collapsed="false">
      <c r="A1892" s="12" t="n">
        <v>44753</v>
      </c>
      <c r="B1892" s="15" t="n">
        <v>104.09</v>
      </c>
      <c r="C1892" s="15" t="n">
        <v>107.1</v>
      </c>
      <c r="D1892" s="14" t="n">
        <f aca="false">AVERAGE(B1873:B1892)</f>
        <v>109.333</v>
      </c>
      <c r="E1892" s="14" t="n">
        <f aca="false">(B1892-D1892)/D1892*100</f>
        <v>-4.79544144951661</v>
      </c>
    </row>
    <row r="1893" customFormat="false" ht="15" hidden="false" customHeight="false" outlineLevel="0" collapsed="false">
      <c r="A1893" s="12" t="n">
        <v>44754</v>
      </c>
      <c r="B1893" s="15" t="n">
        <v>95.84</v>
      </c>
      <c r="C1893" s="15" t="n">
        <v>99.49</v>
      </c>
      <c r="D1893" s="14" t="n">
        <f aca="false">AVERAGE(B1874:B1893)</f>
        <v>108.0915</v>
      </c>
      <c r="E1893" s="14" t="n">
        <f aca="false">(B1893-D1893)/D1893*100</f>
        <v>-11.3343787439345</v>
      </c>
    </row>
    <row r="1894" customFormat="false" ht="15" hidden="false" customHeight="false" outlineLevel="0" collapsed="false">
      <c r="A1894" s="12" t="n">
        <v>44755</v>
      </c>
      <c r="B1894" s="15" t="n">
        <v>96.3</v>
      </c>
      <c r="C1894" s="15" t="n">
        <v>99.57</v>
      </c>
      <c r="D1894" s="14" t="n">
        <f aca="false">AVERAGE(B1875:B1894)</f>
        <v>106.86</v>
      </c>
      <c r="E1894" s="14" t="n">
        <f aca="false">(B1894-D1894)/D1894*100</f>
        <v>-9.88208871420549</v>
      </c>
    </row>
    <row r="1895" customFormat="false" ht="15" hidden="false" customHeight="false" outlineLevel="0" collapsed="false">
      <c r="A1895" s="12" t="n">
        <v>44756</v>
      </c>
      <c r="B1895" s="15" t="n">
        <v>95.78</v>
      </c>
      <c r="C1895" s="15" t="n">
        <v>99.1</v>
      </c>
      <c r="D1895" s="14" t="n">
        <f aca="false">AVERAGE(B1876:B1895)</f>
        <v>105.7025</v>
      </c>
      <c r="E1895" s="14" t="n">
        <f aca="false">(B1895-D1895)/D1895*100</f>
        <v>-9.38719519405881</v>
      </c>
    </row>
    <row r="1896" customFormat="false" ht="15" hidden="false" customHeight="false" outlineLevel="0" collapsed="false">
      <c r="A1896" s="12" t="n">
        <v>44757</v>
      </c>
      <c r="B1896" s="15" t="n">
        <v>97.59</v>
      </c>
      <c r="C1896" s="15" t="n">
        <v>101.16</v>
      </c>
      <c r="D1896" s="14" t="n">
        <f aca="false">AVERAGE(B1877:B1896)</f>
        <v>104.8165</v>
      </c>
      <c r="E1896" s="14" t="n">
        <f aca="false">(B1896-D1896)/D1896*100</f>
        <v>-6.89442978920302</v>
      </c>
    </row>
    <row r="1897" customFormat="false" ht="15" hidden="false" customHeight="false" outlineLevel="0" collapsed="false">
      <c r="A1897" s="12" t="n">
        <v>44760</v>
      </c>
      <c r="B1897" s="15" t="n">
        <v>102.6</v>
      </c>
      <c r="C1897" s="15" t="n">
        <v>106.27</v>
      </c>
      <c r="D1897" s="14" t="n">
        <f aca="false">AVERAGE(B1878:B1897)</f>
        <v>104.067</v>
      </c>
      <c r="E1897" s="14" t="n">
        <f aca="false">(B1897-D1897)/D1897*100</f>
        <v>-1.40966877108018</v>
      </c>
    </row>
    <row r="1898" customFormat="false" ht="15" hidden="false" customHeight="false" outlineLevel="0" collapsed="false">
      <c r="A1898" s="12" t="n">
        <v>44761</v>
      </c>
      <c r="B1898" s="15" t="n">
        <v>104.22</v>
      </c>
      <c r="C1898" s="15" t="n">
        <v>107.35</v>
      </c>
      <c r="D1898" s="14" t="n">
        <f aca="false">AVERAGE(B1879:B1898)</f>
        <v>103.8</v>
      </c>
      <c r="E1898" s="14" t="n">
        <f aca="false">(B1898-D1898)/D1898*100</f>
        <v>0.404624277456649</v>
      </c>
    </row>
    <row r="1899" customFormat="false" ht="15" hidden="false" customHeight="false" outlineLevel="0" collapsed="false">
      <c r="A1899" s="12" t="n">
        <v>44762</v>
      </c>
      <c r="B1899" s="15" t="n">
        <v>102.26</v>
      </c>
      <c r="C1899" s="15" t="n">
        <v>106.92</v>
      </c>
      <c r="D1899" s="14" t="n">
        <f aca="false">AVERAGE(B1880:B1899)</f>
        <v>103.3805</v>
      </c>
      <c r="E1899" s="14" t="n">
        <f aca="false">(B1899-D1899)/D1899*100</f>
        <v>-1.08386010901476</v>
      </c>
    </row>
    <row r="1900" customFormat="false" ht="15" hidden="false" customHeight="false" outlineLevel="0" collapsed="false">
      <c r="A1900" s="12" t="n">
        <v>44763</v>
      </c>
      <c r="B1900" s="15" t="n">
        <v>96.35</v>
      </c>
      <c r="C1900" s="15" t="n">
        <v>103.86</v>
      </c>
      <c r="D1900" s="14" t="n">
        <f aca="false">AVERAGE(B1881:B1900)</f>
        <v>102.8885</v>
      </c>
      <c r="E1900" s="14" t="n">
        <f aca="false">(B1900-D1900)/D1900*100</f>
        <v>-6.3549376266541</v>
      </c>
    </row>
    <row r="1901" customFormat="false" ht="15" hidden="false" customHeight="false" outlineLevel="0" collapsed="false">
      <c r="A1901" s="12" t="n">
        <v>44764</v>
      </c>
      <c r="B1901" s="15" t="n">
        <v>94.7</v>
      </c>
      <c r="C1901" s="15" t="n">
        <v>103.2</v>
      </c>
      <c r="D1901" s="14" t="n">
        <f aca="false">AVERAGE(B1882:B1901)</f>
        <v>102.41</v>
      </c>
      <c r="E1901" s="14" t="n">
        <f aca="false">(B1901-D1901)/D1901*100</f>
        <v>-7.5285616639</v>
      </c>
    </row>
    <row r="1902" customFormat="false" ht="15" hidden="false" customHeight="false" outlineLevel="0" collapsed="false">
      <c r="A1902" s="12" t="n">
        <v>44767</v>
      </c>
      <c r="B1902" s="15" t="n">
        <v>96.7</v>
      </c>
      <c r="C1902" s="15" t="n">
        <v>105.15</v>
      </c>
      <c r="D1902" s="14" t="n">
        <f aca="false">AVERAGE(B1883:B1902)</f>
        <v>101.864</v>
      </c>
      <c r="E1902" s="14" t="n">
        <f aca="false">(B1902-D1902)/D1902*100</f>
        <v>-5.06950443728894</v>
      </c>
    </row>
    <row r="1903" customFormat="false" ht="15" hidden="false" customHeight="false" outlineLevel="0" collapsed="false">
      <c r="A1903" s="12" t="n">
        <v>44768</v>
      </c>
      <c r="B1903" s="15" t="n">
        <v>94.98</v>
      </c>
      <c r="C1903" s="15" t="n">
        <v>104.4</v>
      </c>
      <c r="D1903" s="14" t="n">
        <f aca="false">AVERAGE(B1884:B1903)</f>
        <v>101.1345</v>
      </c>
      <c r="E1903" s="14" t="n">
        <f aca="false">(B1903-D1903)/D1903*100</f>
        <v>-6.08546045118135</v>
      </c>
    </row>
    <row r="1904" customFormat="false" ht="15" hidden="false" customHeight="false" outlineLevel="0" collapsed="false">
      <c r="A1904" s="12" t="n">
        <v>44769</v>
      </c>
      <c r="B1904" s="15" t="n">
        <v>97.26</v>
      </c>
      <c r="C1904" s="15" t="n">
        <v>106.62</v>
      </c>
      <c r="D1904" s="14" t="n">
        <f aca="false">AVERAGE(B1885:B1904)</f>
        <v>100.4095</v>
      </c>
      <c r="E1904" s="14" t="n">
        <f aca="false">(B1904-D1904)/D1904*100</f>
        <v>-3.13665539615276</v>
      </c>
    </row>
    <row r="1905" customFormat="false" ht="15" hidden="false" customHeight="false" outlineLevel="0" collapsed="false">
      <c r="A1905" s="12" t="n">
        <v>44770</v>
      </c>
      <c r="B1905" s="15" t="n">
        <v>96.42</v>
      </c>
      <c r="C1905" s="15" t="n">
        <v>107.14</v>
      </c>
      <c r="D1905" s="14" t="n">
        <f aca="false">AVERAGE(B1886:B1905)</f>
        <v>99.7415</v>
      </c>
      <c r="E1905" s="14" t="n">
        <f aca="false">(B1905-D1905)/D1905*100</f>
        <v>-3.33010833003314</v>
      </c>
    </row>
    <row r="1906" customFormat="false" ht="15" hidden="false" customHeight="false" outlineLevel="0" collapsed="false">
      <c r="A1906" s="12" t="n">
        <v>44771</v>
      </c>
      <c r="B1906" s="15" t="n">
        <v>98.62</v>
      </c>
      <c r="C1906" s="15" t="n">
        <v>110.01</v>
      </c>
      <c r="D1906" s="14" t="n">
        <f aca="false">AVERAGE(B1887:B1906)</f>
        <v>99.3845</v>
      </c>
      <c r="E1906" s="14" t="n">
        <f aca="false">(B1906-D1906)/D1906*100</f>
        <v>-0.769234639204301</v>
      </c>
    </row>
    <row r="1907" customFormat="false" ht="15" hidden="false" customHeight="false" outlineLevel="0" collapsed="false">
      <c r="A1907" s="12" t="n">
        <v>44774</v>
      </c>
      <c r="B1907" s="15" t="n">
        <v>93.89</v>
      </c>
      <c r="C1907" s="15" t="n">
        <v>100.03</v>
      </c>
      <c r="D1907" s="14" t="n">
        <f aca="false">AVERAGE(B1888:B1907)</f>
        <v>98.6575</v>
      </c>
      <c r="E1907" s="14" t="n">
        <f aca="false">(B1907-D1907)/D1907*100</f>
        <v>-4.83237462939969</v>
      </c>
    </row>
    <row r="1908" customFormat="false" ht="15" hidden="false" customHeight="false" outlineLevel="0" collapsed="false">
      <c r="A1908" s="12" t="n">
        <v>44775</v>
      </c>
      <c r="B1908" s="15" t="n">
        <v>94.42</v>
      </c>
      <c r="C1908" s="15" t="n">
        <v>100.54</v>
      </c>
      <c r="D1908" s="14" t="n">
        <f aca="false">AVERAGE(B1889:B1908)</f>
        <v>98.4035</v>
      </c>
      <c r="E1908" s="14" t="n">
        <f aca="false">(B1908-D1908)/D1908*100</f>
        <v>-4.04812836941775</v>
      </c>
    </row>
    <row r="1909" customFormat="false" ht="15" hidden="false" customHeight="false" outlineLevel="0" collapsed="false">
      <c r="A1909" s="12" t="n">
        <v>44776</v>
      </c>
      <c r="B1909" s="15" t="n">
        <v>90.66</v>
      </c>
      <c r="C1909" s="15" t="n">
        <v>96.78</v>
      </c>
      <c r="D1909" s="14" t="n">
        <f aca="false">AVERAGE(B1890:B1909)</f>
        <v>98.01</v>
      </c>
      <c r="E1909" s="14" t="n">
        <f aca="false">(B1909-D1909)/D1909*100</f>
        <v>-7.49923477196205</v>
      </c>
    </row>
    <row r="1910" customFormat="false" ht="15" hidden="false" customHeight="false" outlineLevel="0" collapsed="false">
      <c r="A1910" s="12" t="n">
        <v>44777</v>
      </c>
      <c r="B1910" s="15" t="n">
        <v>88.54</v>
      </c>
      <c r="C1910" s="15" t="n">
        <v>94.12</v>
      </c>
      <c r="D1910" s="14" t="n">
        <f aca="false">AVERAGE(B1891:B1910)</f>
        <v>97.3005</v>
      </c>
      <c r="E1910" s="14" t="n">
        <f aca="false">(B1910-D1910)/D1910*100</f>
        <v>-9.00355085533989</v>
      </c>
    </row>
    <row r="1911" customFormat="false" ht="15" hidden="false" customHeight="false" outlineLevel="0" collapsed="false">
      <c r="A1911" s="12" t="n">
        <v>44778</v>
      </c>
      <c r="B1911" s="15" t="n">
        <v>89.01</v>
      </c>
      <c r="C1911" s="15" t="n">
        <v>94.92</v>
      </c>
      <c r="D1911" s="14" t="n">
        <f aca="false">AVERAGE(B1892:B1911)</f>
        <v>96.5115</v>
      </c>
      <c r="E1911" s="14" t="n">
        <f aca="false">(B1911-D1911)/D1911*100</f>
        <v>-7.77264885531775</v>
      </c>
    </row>
    <row r="1912" customFormat="false" ht="15" hidden="false" customHeight="false" outlineLevel="0" collapsed="false">
      <c r="A1912" s="12" t="n">
        <v>44781</v>
      </c>
      <c r="B1912" s="15" t="n">
        <v>90.76</v>
      </c>
      <c r="C1912" s="15" t="n">
        <v>96.65</v>
      </c>
      <c r="D1912" s="14" t="n">
        <f aca="false">AVERAGE(B1893:B1912)</f>
        <v>95.845</v>
      </c>
      <c r="E1912" s="14" t="n">
        <f aca="false">(B1912-D1912)/D1912*100</f>
        <v>-5.30544107673848</v>
      </c>
    </row>
    <row r="1913" customFormat="false" ht="15" hidden="false" customHeight="false" outlineLevel="0" collapsed="false">
      <c r="A1913" s="12" t="n">
        <v>44782</v>
      </c>
      <c r="B1913" s="15" t="n">
        <v>90.5</v>
      </c>
      <c r="C1913" s="15" t="n">
        <v>96.31</v>
      </c>
      <c r="D1913" s="14" t="n">
        <f aca="false">AVERAGE(B1894:B1913)</f>
        <v>95.578</v>
      </c>
      <c r="E1913" s="14" t="n">
        <f aca="false">(B1913-D1913)/D1913*100</f>
        <v>-5.31293812383603</v>
      </c>
    </row>
    <row r="1914" customFormat="false" ht="15" hidden="false" customHeight="false" outlineLevel="0" collapsed="false">
      <c r="A1914" s="12" t="n">
        <v>44783</v>
      </c>
      <c r="B1914" s="15" t="n">
        <v>91.93</v>
      </c>
      <c r="C1914" s="15" t="n">
        <v>97.4</v>
      </c>
      <c r="D1914" s="14" t="n">
        <f aca="false">AVERAGE(B1895:B1914)</f>
        <v>95.3595</v>
      </c>
      <c r="E1914" s="14" t="n">
        <f aca="false">(B1914-D1914)/D1914*100</f>
        <v>-3.59639050120857</v>
      </c>
    </row>
    <row r="1915" customFormat="false" ht="15" hidden="false" customHeight="false" outlineLevel="0" collapsed="false">
      <c r="A1915" s="12" t="n">
        <v>44784</v>
      </c>
      <c r="B1915" s="15" t="n">
        <v>94.34</v>
      </c>
      <c r="C1915" s="15" t="n">
        <v>99.6</v>
      </c>
      <c r="D1915" s="14" t="n">
        <f aca="false">AVERAGE(B1896:B1915)</f>
        <v>95.2875</v>
      </c>
      <c r="E1915" s="14" t="n">
        <f aca="false">(B1915-D1915)/D1915*100</f>
        <v>-0.994359176177349</v>
      </c>
    </row>
    <row r="1916" customFormat="false" ht="15" hidden="false" customHeight="false" outlineLevel="0" collapsed="false">
      <c r="A1916" s="12" t="n">
        <v>44785</v>
      </c>
      <c r="B1916" s="15" t="n">
        <v>92.09</v>
      </c>
      <c r="C1916" s="15" t="n">
        <v>98.15</v>
      </c>
      <c r="D1916" s="14" t="n">
        <f aca="false">AVERAGE(B1897:B1916)</f>
        <v>95.0125</v>
      </c>
      <c r="E1916" s="14" t="n">
        <f aca="false">(B1916-D1916)/D1916*100</f>
        <v>-3.07591106433364</v>
      </c>
    </row>
    <row r="1917" customFormat="false" ht="15" hidden="false" customHeight="false" outlineLevel="0" collapsed="false">
      <c r="A1917" s="12" t="n">
        <v>44788</v>
      </c>
      <c r="B1917" s="15" t="n">
        <v>89.41</v>
      </c>
      <c r="C1917" s="15" t="n">
        <v>95.1</v>
      </c>
      <c r="D1917" s="14" t="n">
        <f aca="false">AVERAGE(B1898:B1917)</f>
        <v>94.353</v>
      </c>
      <c r="E1917" s="14" t="n">
        <f aca="false">(B1917-D1917)/D1917*100</f>
        <v>-5.23883713289455</v>
      </c>
    </row>
    <row r="1918" customFormat="false" ht="15" hidden="false" customHeight="false" outlineLevel="0" collapsed="false">
      <c r="A1918" s="12" t="n">
        <v>44789</v>
      </c>
      <c r="B1918" s="15" t="n">
        <v>86.53</v>
      </c>
      <c r="C1918" s="15" t="n">
        <v>92.34</v>
      </c>
      <c r="D1918" s="14" t="n">
        <f aca="false">AVERAGE(B1899:B1918)</f>
        <v>93.4685</v>
      </c>
      <c r="E1918" s="14" t="n">
        <f aca="false">(B1918-D1918)/D1918*100</f>
        <v>-7.42335653187973</v>
      </c>
    </row>
    <row r="1919" customFormat="false" ht="15" hidden="false" customHeight="false" outlineLevel="0" collapsed="false">
      <c r="A1919" s="12" t="n">
        <v>44790</v>
      </c>
      <c r="B1919" s="15" t="n">
        <v>88.11</v>
      </c>
      <c r="C1919" s="15" t="n">
        <v>93.65</v>
      </c>
      <c r="D1919" s="14" t="n">
        <f aca="false">AVERAGE(B1900:B1919)</f>
        <v>92.761</v>
      </c>
      <c r="E1919" s="14" t="n">
        <f aca="false">(B1919-D1919)/D1919*100</f>
        <v>-5.01396060844536</v>
      </c>
    </row>
    <row r="1920" customFormat="false" ht="15" hidden="false" customHeight="false" outlineLevel="0" collapsed="false">
      <c r="A1920" s="12" t="n">
        <v>44791</v>
      </c>
      <c r="B1920" s="15" t="n">
        <v>90.5</v>
      </c>
      <c r="C1920" s="15" t="n">
        <v>96.59</v>
      </c>
      <c r="D1920" s="14" t="n">
        <f aca="false">AVERAGE(B1901:B1920)</f>
        <v>92.4685</v>
      </c>
      <c r="E1920" s="14" t="n">
        <f aca="false">(B1920-D1920)/D1920*100</f>
        <v>-2.12883306206979</v>
      </c>
    </row>
    <row r="1921" customFormat="false" ht="15" hidden="false" customHeight="false" outlineLevel="0" collapsed="false">
      <c r="A1921" s="12" t="n">
        <v>44792</v>
      </c>
      <c r="B1921" s="15" t="n">
        <v>90.77</v>
      </c>
      <c r="C1921" s="15" t="n">
        <v>96.72</v>
      </c>
      <c r="D1921" s="14" t="n">
        <f aca="false">AVERAGE(B1902:B1921)</f>
        <v>92.272</v>
      </c>
      <c r="E1921" s="14" t="n">
        <f aca="false">(B1921-D1921)/D1921*100</f>
        <v>-1.62779608115139</v>
      </c>
    </row>
    <row r="1922" customFormat="false" ht="15" hidden="false" customHeight="false" outlineLevel="0" collapsed="false">
      <c r="A1922" s="12" t="n">
        <v>44795</v>
      </c>
      <c r="B1922" s="15" t="n">
        <v>90.23</v>
      </c>
      <c r="C1922" s="15" t="n">
        <v>96.48</v>
      </c>
      <c r="D1922" s="14" t="n">
        <f aca="false">AVERAGE(B1903:B1922)</f>
        <v>91.9485</v>
      </c>
      <c r="E1922" s="14" t="n">
        <f aca="false">(B1922-D1922)/D1922*100</f>
        <v>-1.86898100567164</v>
      </c>
    </row>
    <row r="1923" customFormat="false" ht="15" hidden="false" customHeight="false" outlineLevel="0" collapsed="false">
      <c r="A1923" s="12" t="n">
        <v>44796</v>
      </c>
      <c r="B1923" s="15" t="n">
        <v>93.74</v>
      </c>
      <c r="C1923" s="15" t="n">
        <v>100.22</v>
      </c>
      <c r="D1923" s="14" t="n">
        <f aca="false">AVERAGE(B1904:B1923)</f>
        <v>91.8865</v>
      </c>
      <c r="E1923" s="14" t="n">
        <f aca="false">(B1923-D1923)/D1923*100</f>
        <v>2.01716247762185</v>
      </c>
    </row>
    <row r="1924" customFormat="false" ht="15" hidden="false" customHeight="false" outlineLevel="0" collapsed="false">
      <c r="A1924" s="12" t="n">
        <v>44797</v>
      </c>
      <c r="B1924" s="15" t="n">
        <v>94.89</v>
      </c>
      <c r="C1924" s="15" t="n">
        <v>101.22</v>
      </c>
      <c r="D1924" s="14" t="n">
        <f aca="false">AVERAGE(B1905:B1924)</f>
        <v>91.768</v>
      </c>
      <c r="E1924" s="14" t="n">
        <f aca="false">(B1924-D1924)/D1924*100</f>
        <v>3.40205736204341</v>
      </c>
    </row>
    <row r="1925" customFormat="false" ht="15" hidden="false" customHeight="false" outlineLevel="0" collapsed="false">
      <c r="A1925" s="12" t="n">
        <v>44798</v>
      </c>
      <c r="B1925" s="15" t="n">
        <v>92.52</v>
      </c>
      <c r="C1925" s="15" t="n">
        <v>99.34</v>
      </c>
      <c r="D1925" s="14" t="n">
        <f aca="false">AVERAGE(B1906:B1925)</f>
        <v>91.573</v>
      </c>
      <c r="E1925" s="14" t="n">
        <f aca="false">(B1925-D1925)/D1925*100</f>
        <v>1.03414761993163</v>
      </c>
    </row>
    <row r="1926" customFormat="false" ht="15" hidden="false" customHeight="false" outlineLevel="0" collapsed="false">
      <c r="A1926" s="12" t="n">
        <v>44799</v>
      </c>
      <c r="B1926" s="15" t="n">
        <v>93.06</v>
      </c>
      <c r="C1926" s="15" t="n">
        <v>100.99</v>
      </c>
      <c r="D1926" s="14" t="n">
        <f aca="false">AVERAGE(B1907:B1926)</f>
        <v>91.295</v>
      </c>
      <c r="E1926" s="14" t="n">
        <f aca="false">(B1926-D1926)/D1926*100</f>
        <v>1.93329317049127</v>
      </c>
    </row>
    <row r="1927" customFormat="false" ht="15" hidden="false" customHeight="false" outlineLevel="0" collapsed="false">
      <c r="A1927" s="12" t="n">
        <v>44802</v>
      </c>
      <c r="B1927" s="15" t="n">
        <v>97.01</v>
      </c>
      <c r="C1927" s="15" t="n">
        <v>105.09</v>
      </c>
      <c r="D1927" s="14" t="n">
        <f aca="false">AVERAGE(B1908:B1927)</f>
        <v>91.451</v>
      </c>
      <c r="E1927" s="14" t="n">
        <f aca="false">(B1927-D1927)/D1927*100</f>
        <v>6.0786650774732</v>
      </c>
    </row>
    <row r="1928" customFormat="false" ht="15" hidden="false" customHeight="false" outlineLevel="0" collapsed="false">
      <c r="A1928" s="12" t="n">
        <v>44803</v>
      </c>
      <c r="B1928" s="15" t="n">
        <v>91.64</v>
      </c>
      <c r="C1928" s="15" t="n">
        <v>99.31</v>
      </c>
      <c r="D1928" s="14" t="n">
        <f aca="false">AVERAGE(B1909:B1928)</f>
        <v>91.312</v>
      </c>
      <c r="E1928" s="14" t="n">
        <f aca="false">(B1928-D1928)/D1928*100</f>
        <v>0.359207990187492</v>
      </c>
    </row>
    <row r="1929" customFormat="false" ht="15" hidden="false" customHeight="false" outlineLevel="0" collapsed="false">
      <c r="A1929" s="12" t="n">
        <v>44804</v>
      </c>
      <c r="B1929" s="15" t="n">
        <v>89.55</v>
      </c>
      <c r="C1929" s="15" t="n">
        <v>96.49</v>
      </c>
      <c r="D1929" s="14" t="n">
        <f aca="false">AVERAGE(B1910:B1929)</f>
        <v>91.2565</v>
      </c>
      <c r="E1929" s="14" t="n">
        <f aca="false">(B1929-D1929)/D1929*100</f>
        <v>-1.87000378055262</v>
      </c>
    </row>
    <row r="1930" customFormat="false" ht="15" hidden="false" customHeight="false" outlineLevel="0" collapsed="false">
      <c r="A1930" s="12" t="n">
        <v>44805</v>
      </c>
      <c r="B1930" s="15" t="n">
        <v>86.61</v>
      </c>
      <c r="C1930" s="15" t="n">
        <v>92.36</v>
      </c>
      <c r="D1930" s="14" t="n">
        <f aca="false">AVERAGE(B1911:B1930)</f>
        <v>91.16</v>
      </c>
      <c r="E1930" s="14" t="n">
        <f aca="false">(B1930-D1930)/D1930*100</f>
        <v>-4.99122422114962</v>
      </c>
    </row>
    <row r="1931" customFormat="false" ht="15" hidden="false" customHeight="false" outlineLevel="0" collapsed="false">
      <c r="A1931" s="12" t="n">
        <v>44806</v>
      </c>
      <c r="B1931" s="15" t="n">
        <v>86.87</v>
      </c>
      <c r="C1931" s="15" t="n">
        <v>93.02</v>
      </c>
      <c r="D1931" s="14" t="n">
        <f aca="false">AVERAGE(B1912:B1931)</f>
        <v>91.053</v>
      </c>
      <c r="E1931" s="14" t="n">
        <f aca="false">(B1931-D1931)/D1931*100</f>
        <v>-4.59402765422336</v>
      </c>
    </row>
    <row r="1932" customFormat="false" ht="15" hidden="false" customHeight="false" outlineLevel="0" collapsed="false">
      <c r="A1932" s="12" t="n">
        <v>44810</v>
      </c>
      <c r="B1932" s="15" t="n">
        <v>86.88</v>
      </c>
      <c r="C1932" s="15" t="n">
        <v>92.83</v>
      </c>
      <c r="D1932" s="14" t="n">
        <f aca="false">AVERAGE(B1913:B1932)</f>
        <v>90.859</v>
      </c>
      <c r="E1932" s="14" t="n">
        <f aca="false">(B1932-D1932)/D1932*100</f>
        <v>-4.37931300146382</v>
      </c>
    </row>
    <row r="1933" customFormat="false" ht="15" hidden="false" customHeight="false" outlineLevel="0" collapsed="false">
      <c r="A1933" s="12" t="n">
        <v>44811</v>
      </c>
      <c r="B1933" s="15" t="n">
        <v>81.94</v>
      </c>
      <c r="C1933" s="15" t="n">
        <v>88</v>
      </c>
      <c r="D1933" s="14" t="n">
        <f aca="false">AVERAGE(B1914:B1933)</f>
        <v>90.431</v>
      </c>
      <c r="E1933" s="14" t="n">
        <f aca="false">(B1933-D1933)/D1933*100</f>
        <v>-9.38947927148876</v>
      </c>
    </row>
    <row r="1934" customFormat="false" ht="15" hidden="false" customHeight="false" outlineLevel="0" collapsed="false">
      <c r="A1934" s="12" t="n">
        <v>44812</v>
      </c>
      <c r="B1934" s="15" t="n">
        <v>83.54</v>
      </c>
      <c r="C1934" s="15" t="n">
        <v>89.15</v>
      </c>
      <c r="D1934" s="14" t="n">
        <f aca="false">AVERAGE(B1915:B1934)</f>
        <v>90.0115</v>
      </c>
      <c r="E1934" s="14" t="n">
        <f aca="false">(B1934-D1934)/D1934*100</f>
        <v>-7.18963687973203</v>
      </c>
    </row>
    <row r="1935" customFormat="false" ht="15" hidden="false" customHeight="false" outlineLevel="0" collapsed="false">
      <c r="A1935" s="12" t="n">
        <v>44813</v>
      </c>
      <c r="B1935" s="15" t="n">
        <v>86.79</v>
      </c>
      <c r="C1935" s="15" t="n">
        <v>92.84</v>
      </c>
      <c r="D1935" s="14" t="n">
        <f aca="false">AVERAGE(B1916:B1935)</f>
        <v>89.634</v>
      </c>
      <c r="E1935" s="14" t="n">
        <f aca="false">(B1935-D1935)/D1935*100</f>
        <v>-3.17290313943369</v>
      </c>
    </row>
    <row r="1936" customFormat="false" ht="15" hidden="false" customHeight="false" outlineLevel="0" collapsed="false">
      <c r="A1936" s="12" t="n">
        <v>44816</v>
      </c>
      <c r="B1936" s="15" t="n">
        <v>87.78</v>
      </c>
      <c r="C1936" s="15" t="n">
        <v>94</v>
      </c>
      <c r="D1936" s="14" t="n">
        <f aca="false">AVERAGE(B1917:B1936)</f>
        <v>89.4185</v>
      </c>
      <c r="E1936" s="14" t="n">
        <f aca="false">(B1936-D1936)/D1936*100</f>
        <v>-1.83239486236069</v>
      </c>
    </row>
    <row r="1937" customFormat="false" ht="15" hidden="false" customHeight="false" outlineLevel="0" collapsed="false">
      <c r="A1937" s="12" t="n">
        <v>44817</v>
      </c>
      <c r="B1937" s="15" t="n">
        <v>87.31</v>
      </c>
      <c r="C1937" s="15" t="n">
        <v>93.17</v>
      </c>
      <c r="D1937" s="14" t="n">
        <f aca="false">AVERAGE(B1918:B1937)</f>
        <v>89.3135</v>
      </c>
      <c r="E1937" s="14" t="n">
        <f aca="false">(B1937-D1937)/D1937*100</f>
        <v>-2.24322190934182</v>
      </c>
    </row>
    <row r="1938" customFormat="false" ht="15" hidden="false" customHeight="false" outlineLevel="0" collapsed="false">
      <c r="A1938" s="12" t="n">
        <v>44818</v>
      </c>
      <c r="B1938" s="15" t="n">
        <v>88.48</v>
      </c>
      <c r="C1938" s="15" t="n">
        <v>94.1</v>
      </c>
      <c r="D1938" s="14" t="n">
        <f aca="false">AVERAGE(B1919:B1938)</f>
        <v>89.411</v>
      </c>
      <c r="E1938" s="14" t="n">
        <f aca="false">(B1938-D1938)/D1938*100</f>
        <v>-1.04125890550379</v>
      </c>
    </row>
    <row r="1939" customFormat="false" ht="15" hidden="false" customHeight="false" outlineLevel="0" collapsed="false">
      <c r="A1939" s="12" t="n">
        <v>44819</v>
      </c>
      <c r="B1939" s="15" t="n">
        <v>85.1</v>
      </c>
      <c r="C1939" s="15" t="n">
        <v>90.84</v>
      </c>
      <c r="D1939" s="14" t="n">
        <f aca="false">AVERAGE(B1920:B1939)</f>
        <v>89.2605</v>
      </c>
      <c r="E1939" s="14" t="n">
        <f aca="false">(B1939-D1939)/D1939*100</f>
        <v>-4.66107628794373</v>
      </c>
    </row>
    <row r="1940" customFormat="false" ht="15" hidden="false" customHeight="false" outlineLevel="0" collapsed="false">
      <c r="A1940" s="12" t="n">
        <v>44820</v>
      </c>
      <c r="B1940" s="15" t="n">
        <v>85.11</v>
      </c>
      <c r="C1940" s="15" t="n">
        <v>91.35</v>
      </c>
      <c r="D1940" s="14" t="n">
        <f aca="false">AVERAGE(B1921:B1940)</f>
        <v>88.991</v>
      </c>
      <c r="E1940" s="14" t="n">
        <f aca="false">(B1940-D1940)/D1940*100</f>
        <v>-4.36111516894967</v>
      </c>
    </row>
    <row r="1941" customFormat="false" ht="15" hidden="false" customHeight="false" outlineLevel="0" collapsed="false">
      <c r="A1941" s="12" t="n">
        <v>44823</v>
      </c>
      <c r="B1941" s="15" t="n">
        <v>85.73</v>
      </c>
      <c r="C1941" s="15" t="n">
        <v>92</v>
      </c>
      <c r="D1941" s="14" t="n">
        <f aca="false">AVERAGE(B1922:B1941)</f>
        <v>88.739</v>
      </c>
      <c r="E1941" s="14" t="n">
        <f aca="false">(B1941-D1941)/D1941*100</f>
        <v>-3.39084280868615</v>
      </c>
    </row>
    <row r="1942" customFormat="false" ht="15" hidden="false" customHeight="false" outlineLevel="0" collapsed="false">
      <c r="A1942" s="12" t="n">
        <v>44824</v>
      </c>
      <c r="B1942" s="15" t="n">
        <v>84.45</v>
      </c>
      <c r="C1942" s="15" t="n">
        <v>90.62</v>
      </c>
      <c r="D1942" s="14" t="n">
        <f aca="false">AVERAGE(B1923:B1942)</f>
        <v>88.45</v>
      </c>
      <c r="E1942" s="14" t="n">
        <f aca="false">(B1942-D1942)/D1942*100</f>
        <v>-4.52232899943471</v>
      </c>
    </row>
    <row r="1943" customFormat="false" ht="15" hidden="false" customHeight="false" outlineLevel="0" collapsed="false">
      <c r="A1943" s="12" t="n">
        <v>44825</v>
      </c>
      <c r="B1943" s="15" t="n">
        <v>82.94</v>
      </c>
      <c r="C1943" s="15" t="n">
        <v>89.83</v>
      </c>
      <c r="D1943" s="14" t="n">
        <f aca="false">AVERAGE(B1924:B1943)</f>
        <v>87.91</v>
      </c>
      <c r="E1943" s="14" t="n">
        <f aca="false">(B1943-D1943)/D1943*100</f>
        <v>-5.65350927084518</v>
      </c>
    </row>
    <row r="1944" customFormat="false" ht="15" hidden="false" customHeight="false" outlineLevel="0" collapsed="false">
      <c r="A1944" s="12" t="n">
        <v>44826</v>
      </c>
      <c r="B1944" s="15" t="n">
        <v>83.49</v>
      </c>
      <c r="C1944" s="15" t="n">
        <v>90.46</v>
      </c>
      <c r="D1944" s="14" t="n">
        <f aca="false">AVERAGE(B1925:B1944)</f>
        <v>87.34</v>
      </c>
      <c r="E1944" s="14" t="n">
        <f aca="false">(B1944-D1944)/D1944*100</f>
        <v>-4.40806045340051</v>
      </c>
    </row>
    <row r="1945" customFormat="false" ht="15" hidden="false" customHeight="false" outlineLevel="0" collapsed="false">
      <c r="A1945" s="12" t="n">
        <v>44827</v>
      </c>
      <c r="B1945" s="15" t="n">
        <v>78.74</v>
      </c>
      <c r="C1945" s="15" t="n">
        <v>86.15</v>
      </c>
      <c r="D1945" s="14" t="n">
        <f aca="false">AVERAGE(B1926:B1945)</f>
        <v>86.651</v>
      </c>
      <c r="E1945" s="14" t="n">
        <f aca="false">(B1945-D1945)/D1945*100</f>
        <v>-9.12972729685751</v>
      </c>
    </row>
    <row r="1946" customFormat="false" ht="15" hidden="false" customHeight="false" outlineLevel="0" collapsed="false">
      <c r="A1946" s="12" t="n">
        <v>44830</v>
      </c>
      <c r="B1946" s="15" t="n">
        <v>76.71</v>
      </c>
      <c r="C1946" s="15" t="n">
        <v>84.06</v>
      </c>
      <c r="D1946" s="14" t="n">
        <f aca="false">AVERAGE(B1927:B1946)</f>
        <v>85.8335</v>
      </c>
      <c r="E1946" s="14" t="n">
        <f aca="false">(B1946-D1946)/D1946*100</f>
        <v>-10.6292997489325</v>
      </c>
    </row>
    <row r="1947" customFormat="false" ht="15" hidden="false" customHeight="false" outlineLevel="0" collapsed="false">
      <c r="A1947" s="12" t="n">
        <v>44831</v>
      </c>
      <c r="B1947" s="15" t="n">
        <v>78.5</v>
      </c>
      <c r="C1947" s="15" t="n">
        <v>86.27</v>
      </c>
      <c r="D1947" s="14" t="n">
        <f aca="false">AVERAGE(B1928:B1947)</f>
        <v>84.908</v>
      </c>
      <c r="E1947" s="14" t="n">
        <f aca="false">(B1947-D1947)/D1947*100</f>
        <v>-7.54699203844161</v>
      </c>
    </row>
    <row r="1948" customFormat="false" ht="15" hidden="false" customHeight="false" outlineLevel="0" collapsed="false">
      <c r="A1948" s="12" t="n">
        <v>44832</v>
      </c>
      <c r="B1948" s="15" t="n">
        <v>82.15</v>
      </c>
      <c r="C1948" s="15" t="n">
        <v>89.32</v>
      </c>
      <c r="D1948" s="14" t="n">
        <f aca="false">AVERAGE(B1929:B1948)</f>
        <v>84.4335</v>
      </c>
      <c r="E1948" s="14" t="n">
        <f aca="false">(B1948-D1948)/D1948*100</f>
        <v>-2.70449525366117</v>
      </c>
    </row>
    <row r="1949" customFormat="false" ht="15" hidden="false" customHeight="false" outlineLevel="0" collapsed="false">
      <c r="A1949" s="12" t="n">
        <v>44833</v>
      </c>
      <c r="B1949" s="15" t="n">
        <v>81.23</v>
      </c>
      <c r="C1949" s="15" t="n">
        <v>88.49</v>
      </c>
      <c r="D1949" s="14" t="n">
        <f aca="false">AVERAGE(B1930:B1949)</f>
        <v>84.0175</v>
      </c>
      <c r="E1949" s="14" t="n">
        <f aca="false">(B1949-D1949)/D1949*100</f>
        <v>-3.31776118070639</v>
      </c>
    </row>
    <row r="1950" customFormat="false" ht="15" hidden="false" customHeight="false" outlineLevel="0" collapsed="false">
      <c r="A1950" s="12" t="n">
        <v>44834</v>
      </c>
      <c r="B1950" s="15" t="n">
        <v>79.49</v>
      </c>
      <c r="C1950" s="15" t="n">
        <v>87.96</v>
      </c>
      <c r="D1950" s="14" t="n">
        <f aca="false">AVERAGE(B1931:B1950)</f>
        <v>83.6615</v>
      </c>
      <c r="E1950" s="14" t="n">
        <f aca="false">(B1950-D1950)/D1950*100</f>
        <v>-4.98616448426099</v>
      </c>
    </row>
    <row r="1951" customFormat="false" ht="15" hidden="false" customHeight="false" outlineLevel="0" collapsed="false">
      <c r="A1951" s="12" t="n">
        <v>44837</v>
      </c>
      <c r="B1951" s="15" t="n">
        <v>83.63</v>
      </c>
      <c r="C1951" s="15" t="n">
        <v>88.86</v>
      </c>
      <c r="D1951" s="14" t="n">
        <f aca="false">AVERAGE(B1932:B1951)</f>
        <v>83.4995</v>
      </c>
      <c r="E1951" s="14" t="n">
        <f aca="false">(B1951-D1951)/D1951*100</f>
        <v>0.156288361008147</v>
      </c>
    </row>
    <row r="1952" customFormat="false" ht="15" hidden="false" customHeight="false" outlineLevel="0" collapsed="false">
      <c r="A1952" s="12" t="n">
        <v>44838</v>
      </c>
      <c r="B1952" s="15" t="n">
        <v>86.52</v>
      </c>
      <c r="C1952" s="15" t="n">
        <v>91.8</v>
      </c>
      <c r="D1952" s="14" t="n">
        <f aca="false">AVERAGE(B1933:B1952)</f>
        <v>83.4815</v>
      </c>
      <c r="E1952" s="14" t="n">
        <f aca="false">(B1952-D1952)/D1952*100</f>
        <v>3.63972856261565</v>
      </c>
    </row>
    <row r="1953" customFormat="false" ht="15" hidden="false" customHeight="false" outlineLevel="0" collapsed="false">
      <c r="A1953" s="12" t="n">
        <v>44839</v>
      </c>
      <c r="B1953" s="15" t="n">
        <v>87.76</v>
      </c>
      <c r="C1953" s="15" t="n">
        <v>93.37</v>
      </c>
      <c r="D1953" s="14" t="n">
        <f aca="false">AVERAGE(B1934:B1953)</f>
        <v>83.7725</v>
      </c>
      <c r="E1953" s="14" t="n">
        <f aca="false">(B1953-D1953)/D1953*100</f>
        <v>4.75991524665015</v>
      </c>
    </row>
    <row r="1954" customFormat="false" ht="15" hidden="false" customHeight="false" outlineLevel="0" collapsed="false">
      <c r="A1954" s="12" t="n">
        <v>44840</v>
      </c>
      <c r="B1954" s="15" t="n">
        <v>88.45</v>
      </c>
      <c r="C1954" s="15" t="n">
        <v>94.42</v>
      </c>
      <c r="D1954" s="14" t="n">
        <f aca="false">AVERAGE(B1935:B1954)</f>
        <v>84.018</v>
      </c>
      <c r="E1954" s="14" t="n">
        <f aca="false">(B1954-D1954)/D1954*100</f>
        <v>5.27506010616773</v>
      </c>
    </row>
    <row r="1955" customFormat="false" ht="15" hidden="false" customHeight="false" outlineLevel="0" collapsed="false">
      <c r="A1955" s="12" t="n">
        <v>44841</v>
      </c>
      <c r="B1955" s="15" t="n">
        <v>92.64</v>
      </c>
      <c r="C1955" s="15" t="n">
        <v>97.92</v>
      </c>
      <c r="D1955" s="14" t="n">
        <f aca="false">AVERAGE(B1936:B1955)</f>
        <v>84.3105</v>
      </c>
      <c r="E1955" s="14" t="n">
        <f aca="false">(B1955-D1955)/D1955*100</f>
        <v>9.87955236892202</v>
      </c>
    </row>
    <row r="1956" customFormat="false" ht="15" hidden="false" customHeight="false" outlineLevel="0" collapsed="false">
      <c r="A1956" s="12" t="n">
        <v>44844</v>
      </c>
      <c r="B1956" s="15" t="n">
        <v>91.13</v>
      </c>
      <c r="C1956" s="15" t="n">
        <v>96.19</v>
      </c>
      <c r="D1956" s="14" t="n">
        <f aca="false">AVERAGE(B1937:B1956)</f>
        <v>84.478</v>
      </c>
      <c r="E1956" s="14" t="n">
        <f aca="false">(B1956-D1956)/D1956*100</f>
        <v>7.87423944695661</v>
      </c>
    </row>
    <row r="1957" customFormat="false" ht="15" hidden="false" customHeight="false" outlineLevel="0" collapsed="false">
      <c r="A1957" s="12" t="n">
        <v>44845</v>
      </c>
      <c r="B1957" s="15" t="n">
        <v>89.35</v>
      </c>
      <c r="C1957" s="15" t="n">
        <v>94.29</v>
      </c>
      <c r="D1957" s="14" t="n">
        <f aca="false">AVERAGE(B1938:B1957)</f>
        <v>84.58</v>
      </c>
      <c r="E1957" s="14" t="n">
        <f aca="false">(B1957-D1957)/D1957*100</f>
        <v>5.63963111846772</v>
      </c>
    </row>
    <row r="1958" customFormat="false" ht="15" hidden="false" customHeight="false" outlineLevel="0" collapsed="false">
      <c r="A1958" s="12" t="n">
        <v>44846</v>
      </c>
      <c r="B1958" s="15" t="n">
        <v>87.27</v>
      </c>
      <c r="C1958" s="15" t="n">
        <v>92.45</v>
      </c>
      <c r="D1958" s="14" t="n">
        <f aca="false">AVERAGE(B1939:B1958)</f>
        <v>84.5195</v>
      </c>
      <c r="E1958" s="14" t="n">
        <f aca="false">(B1958-D1958)/D1958*100</f>
        <v>3.25427859842995</v>
      </c>
    </row>
    <row r="1959" customFormat="false" ht="15" hidden="false" customHeight="false" outlineLevel="0" collapsed="false">
      <c r="A1959" s="12" t="n">
        <v>44847</v>
      </c>
      <c r="B1959" s="15" t="n">
        <v>89.11</v>
      </c>
      <c r="C1959" s="15" t="n">
        <v>94.57</v>
      </c>
      <c r="D1959" s="14" t="n">
        <f aca="false">AVERAGE(B1940:B1959)</f>
        <v>84.72</v>
      </c>
      <c r="E1959" s="14" t="n">
        <f aca="false">(B1959-D1959)/D1959*100</f>
        <v>5.18177525967894</v>
      </c>
    </row>
    <row r="1960" customFormat="false" ht="15" hidden="false" customHeight="false" outlineLevel="0" collapsed="false">
      <c r="A1960" s="12" t="n">
        <v>44848</v>
      </c>
      <c r="B1960" s="15" t="n">
        <v>85.61</v>
      </c>
      <c r="C1960" s="15" t="n">
        <v>91.63</v>
      </c>
      <c r="D1960" s="14" t="n">
        <f aca="false">AVERAGE(B1941:B1960)</f>
        <v>84.745</v>
      </c>
      <c r="E1960" s="14" t="n">
        <f aca="false">(B1960-D1960)/D1960*100</f>
        <v>1.02070918638267</v>
      </c>
    </row>
    <row r="1961" customFormat="false" ht="15" hidden="false" customHeight="false" outlineLevel="0" collapsed="false">
      <c r="A1961" s="12" t="n">
        <v>44851</v>
      </c>
      <c r="B1961" s="15" t="n">
        <v>85.46</v>
      </c>
      <c r="C1961" s="15" t="n">
        <v>91.62</v>
      </c>
      <c r="D1961" s="14" t="n">
        <f aca="false">AVERAGE(B1942:B1961)</f>
        <v>84.7315</v>
      </c>
      <c r="E1961" s="14" t="n">
        <f aca="false">(B1961-D1961)/D1961*100</f>
        <v>0.85977470008202</v>
      </c>
    </row>
    <row r="1962" customFormat="false" ht="15" hidden="false" customHeight="false" outlineLevel="0" collapsed="false">
      <c r="A1962" s="12" t="n">
        <v>44852</v>
      </c>
      <c r="B1962" s="15" t="n">
        <v>82.82</v>
      </c>
      <c r="C1962" s="15" t="n">
        <v>90.03</v>
      </c>
      <c r="D1962" s="14" t="n">
        <f aca="false">AVERAGE(B1943:B1962)</f>
        <v>84.65</v>
      </c>
      <c r="E1962" s="14" t="n">
        <f aca="false">(B1962-D1962)/D1962*100</f>
        <v>-2.16184288245719</v>
      </c>
    </row>
    <row r="1963" customFormat="false" ht="15" hidden="false" customHeight="false" outlineLevel="0" collapsed="false">
      <c r="A1963" s="12" t="n">
        <v>44853</v>
      </c>
      <c r="B1963" s="15" t="n">
        <v>85.55</v>
      </c>
      <c r="C1963" s="15" t="n">
        <v>92.41</v>
      </c>
      <c r="D1963" s="14" t="n">
        <f aca="false">AVERAGE(B1944:B1963)</f>
        <v>84.7805</v>
      </c>
      <c r="E1963" s="14" t="n">
        <f aca="false">(B1963-D1963)/D1963*100</f>
        <v>0.907637959200533</v>
      </c>
    </row>
    <row r="1964" customFormat="false" ht="15" hidden="false" customHeight="false" outlineLevel="0" collapsed="false">
      <c r="A1964" s="12" t="n">
        <v>44854</v>
      </c>
      <c r="B1964" s="15" t="n">
        <v>85.98</v>
      </c>
      <c r="C1964" s="15" t="n">
        <v>92.38</v>
      </c>
      <c r="D1964" s="14" t="n">
        <f aca="false">AVERAGE(B1945:B1964)</f>
        <v>84.905</v>
      </c>
      <c r="E1964" s="14" t="n">
        <f aca="false">(B1964-D1964)/D1964*100</f>
        <v>1.26612095871857</v>
      </c>
    </row>
    <row r="1965" customFormat="false" ht="15" hidden="false" customHeight="false" outlineLevel="0" collapsed="false">
      <c r="A1965" s="12" t="n">
        <v>44855</v>
      </c>
      <c r="B1965" s="15" t="n">
        <v>85.05</v>
      </c>
      <c r="C1965" s="15" t="n">
        <v>93.5</v>
      </c>
      <c r="D1965" s="14" t="n">
        <f aca="false">AVERAGE(B1946:B1965)</f>
        <v>85.2205</v>
      </c>
      <c r="E1965" s="14" t="n">
        <f aca="false">(B1965-D1965)/D1965*100</f>
        <v>-0.200069232168305</v>
      </c>
    </row>
    <row r="1966" customFormat="false" ht="15" hidden="false" customHeight="false" outlineLevel="0" collapsed="false">
      <c r="A1966" s="12" t="n">
        <v>44858</v>
      </c>
      <c r="B1966" s="15" t="n">
        <v>84.58</v>
      </c>
      <c r="C1966" s="15" t="n">
        <v>93.26</v>
      </c>
      <c r="D1966" s="14" t="n">
        <f aca="false">AVERAGE(B1947:B1966)</f>
        <v>85.614</v>
      </c>
      <c r="E1966" s="14" t="n">
        <f aca="false">(B1966-D1966)/D1966*100</f>
        <v>-1.20774639661738</v>
      </c>
    </row>
    <row r="1967" customFormat="false" ht="15" hidden="false" customHeight="false" outlineLevel="0" collapsed="false">
      <c r="A1967" s="12" t="n">
        <v>44859</v>
      </c>
      <c r="B1967" s="15" t="n">
        <v>85.32</v>
      </c>
      <c r="C1967" s="15" t="n">
        <v>93.52</v>
      </c>
      <c r="D1967" s="14" t="n">
        <f aca="false">AVERAGE(B1948:B1967)</f>
        <v>85.955</v>
      </c>
      <c r="E1967" s="14" t="n">
        <f aca="false">(B1967-D1967)/D1967*100</f>
        <v>-0.738758652783439</v>
      </c>
    </row>
    <row r="1968" customFormat="false" ht="15" hidden="false" customHeight="false" outlineLevel="0" collapsed="false">
      <c r="A1968" s="12" t="n">
        <v>44860</v>
      </c>
      <c r="B1968" s="15" t="n">
        <v>87.91</v>
      </c>
      <c r="C1968" s="15" t="n">
        <v>95.69</v>
      </c>
      <c r="D1968" s="14" t="n">
        <f aca="false">AVERAGE(B1949:B1968)</f>
        <v>86.243</v>
      </c>
      <c r="E1968" s="14" t="n">
        <f aca="false">(B1968-D1968)/D1968*100</f>
        <v>1.93291049708382</v>
      </c>
    </row>
    <row r="1969" customFormat="false" ht="15" hidden="false" customHeight="false" outlineLevel="0" collapsed="false">
      <c r="A1969" s="12" t="n">
        <v>44861</v>
      </c>
      <c r="B1969" s="15" t="n">
        <v>89.08</v>
      </c>
      <c r="C1969" s="15" t="n">
        <v>96.96</v>
      </c>
      <c r="D1969" s="14" t="n">
        <f aca="false">AVERAGE(B1950:B1969)</f>
        <v>86.6355</v>
      </c>
      <c r="E1969" s="14" t="n">
        <f aca="false">(B1969-D1969)/D1969*100</f>
        <v>2.82159161082927</v>
      </c>
    </row>
    <row r="1970" customFormat="false" ht="15" hidden="false" customHeight="false" outlineLevel="0" collapsed="false">
      <c r="A1970" s="12" t="n">
        <v>44862</v>
      </c>
      <c r="B1970" s="15" t="n">
        <v>87.9</v>
      </c>
      <c r="C1970" s="15" t="n">
        <v>95.77</v>
      </c>
      <c r="D1970" s="14" t="n">
        <f aca="false">AVERAGE(B1951:B1970)</f>
        <v>87.056</v>
      </c>
      <c r="E1970" s="14" t="n">
        <f aca="false">(B1970-D1970)/D1970*100</f>
        <v>0.969490902407655</v>
      </c>
    </row>
    <row r="1971" customFormat="false" ht="15" hidden="false" customHeight="false" outlineLevel="0" collapsed="false">
      <c r="A1971" s="12" t="n">
        <v>44865</v>
      </c>
      <c r="B1971" s="15" t="n">
        <v>86.53</v>
      </c>
      <c r="C1971" s="15" t="n">
        <v>94.83</v>
      </c>
      <c r="D1971" s="14" t="n">
        <f aca="false">AVERAGE(B1952:B1971)</f>
        <v>87.201</v>
      </c>
      <c r="E1971" s="14" t="n">
        <f aca="false">(B1971-D1971)/D1971*100</f>
        <v>-0.769486588456546</v>
      </c>
    </row>
    <row r="1972" customFormat="false" ht="15" hidden="false" customHeight="false" outlineLevel="0" collapsed="false">
      <c r="A1972" s="12" t="n">
        <v>44866</v>
      </c>
      <c r="B1972" s="15" t="n">
        <v>88.37</v>
      </c>
      <c r="C1972" s="15" t="n">
        <v>94.65</v>
      </c>
      <c r="D1972" s="14" t="n">
        <f aca="false">AVERAGE(B1953:B1972)</f>
        <v>87.2935</v>
      </c>
      <c r="E1972" s="14" t="n">
        <f aca="false">(B1972-D1972)/D1972*100</f>
        <v>1.2331960569802</v>
      </c>
    </row>
    <row r="1973" customFormat="false" ht="15" hidden="false" customHeight="false" outlineLevel="0" collapsed="false">
      <c r="A1973" s="12" t="n">
        <v>44867</v>
      </c>
      <c r="B1973" s="15" t="n">
        <v>90</v>
      </c>
      <c r="C1973" s="15" t="n">
        <v>96.16</v>
      </c>
      <c r="D1973" s="14" t="n">
        <f aca="false">AVERAGE(B1954:B1973)</f>
        <v>87.4055</v>
      </c>
      <c r="E1973" s="14" t="n">
        <f aca="false">(B1973-D1973)/D1973*100</f>
        <v>2.96834867371048</v>
      </c>
    </row>
    <row r="1974" customFormat="false" ht="15" hidden="false" customHeight="false" outlineLevel="0" collapsed="false">
      <c r="A1974" s="12" t="n">
        <v>44868</v>
      </c>
      <c r="B1974" s="15" t="n">
        <v>88.17</v>
      </c>
      <c r="C1974" s="15" t="n">
        <v>94.67</v>
      </c>
      <c r="D1974" s="14" t="n">
        <f aca="false">AVERAGE(B1955:B1974)</f>
        <v>87.3915</v>
      </c>
      <c r="E1974" s="14" t="n">
        <f aca="false">(B1974-D1974)/D1974*100</f>
        <v>0.890818901151723</v>
      </c>
    </row>
    <row r="1975" customFormat="false" ht="15" hidden="false" customHeight="false" outlineLevel="0" collapsed="false">
      <c r="A1975" s="12" t="n">
        <v>44869</v>
      </c>
      <c r="B1975" s="15" t="n">
        <v>92.61</v>
      </c>
      <c r="C1975" s="15" t="n">
        <v>98.57</v>
      </c>
      <c r="D1975" s="14" t="n">
        <f aca="false">AVERAGE(B1956:B1975)</f>
        <v>87.39</v>
      </c>
      <c r="E1975" s="14" t="n">
        <f aca="false">(B1975-D1975)/D1975*100</f>
        <v>5.97322348094748</v>
      </c>
    </row>
    <row r="1976" customFormat="false" ht="15" hidden="false" customHeight="false" outlineLevel="0" collapsed="false">
      <c r="A1976" s="12" t="n">
        <v>44872</v>
      </c>
      <c r="B1976" s="15" t="n">
        <v>91.79</v>
      </c>
      <c r="C1976" s="15" t="n">
        <v>97.92</v>
      </c>
      <c r="D1976" s="14" t="n">
        <f aca="false">AVERAGE(B1957:B1976)</f>
        <v>87.423</v>
      </c>
      <c r="E1976" s="14" t="n">
        <f aca="false">(B1976-D1976)/D1976*100</f>
        <v>4.99525296546676</v>
      </c>
    </row>
    <row r="1977" customFormat="false" ht="15" hidden="false" customHeight="false" outlineLevel="0" collapsed="false">
      <c r="A1977" s="12" t="n">
        <v>44873</v>
      </c>
      <c r="B1977" s="15" t="n">
        <v>88.91</v>
      </c>
      <c r="C1977" s="15" t="n">
        <v>95.36</v>
      </c>
      <c r="D1977" s="14" t="n">
        <f aca="false">AVERAGE(B1958:B1977)</f>
        <v>87.401</v>
      </c>
      <c r="E1977" s="14" t="n">
        <f aca="false">(B1977-D1977)/D1977*100</f>
        <v>1.72652486813652</v>
      </c>
    </row>
    <row r="1978" customFormat="false" ht="15" hidden="false" customHeight="false" outlineLevel="0" collapsed="false">
      <c r="A1978" s="12" t="n">
        <v>44874</v>
      </c>
      <c r="B1978" s="15" t="n">
        <v>85.83</v>
      </c>
      <c r="C1978" s="15" t="n">
        <v>92.65</v>
      </c>
      <c r="D1978" s="14" t="n">
        <f aca="false">AVERAGE(B1959:B1978)</f>
        <v>87.329</v>
      </c>
      <c r="E1978" s="14" t="n">
        <f aca="false">(B1978-D1978)/D1978*100</f>
        <v>-1.71649738345795</v>
      </c>
    </row>
    <row r="1979" customFormat="false" ht="15" hidden="false" customHeight="false" outlineLevel="0" collapsed="false">
      <c r="A1979" s="12" t="n">
        <v>44875</v>
      </c>
      <c r="B1979" s="15" t="n">
        <v>86.47</v>
      </c>
      <c r="C1979" s="15" t="n">
        <v>93.67</v>
      </c>
      <c r="D1979" s="14" t="n">
        <f aca="false">AVERAGE(B1960:B1979)</f>
        <v>87.197</v>
      </c>
      <c r="E1979" s="14" t="n">
        <f aca="false">(B1979-D1979)/D1979*100</f>
        <v>-0.83374428019313</v>
      </c>
    </row>
    <row r="1980" customFormat="false" ht="15" hidden="false" customHeight="false" outlineLevel="0" collapsed="false">
      <c r="A1980" s="12" t="n">
        <v>44876</v>
      </c>
      <c r="B1980" s="15" t="n">
        <v>88.96</v>
      </c>
      <c r="C1980" s="15" t="n">
        <v>95.99</v>
      </c>
      <c r="D1980" s="14" t="n">
        <f aca="false">AVERAGE(B1961:B1980)</f>
        <v>87.3645</v>
      </c>
      <c r="E1980" s="14" t="n">
        <f aca="false">(B1980-D1980)/D1980*100</f>
        <v>1.82625666031397</v>
      </c>
    </row>
    <row r="1981" customFormat="false" ht="15" hidden="false" customHeight="false" outlineLevel="0" collapsed="false">
      <c r="A1981" s="12" t="n">
        <v>44879</v>
      </c>
      <c r="B1981" s="15" t="n">
        <v>85.87</v>
      </c>
      <c r="C1981" s="15" t="n">
        <v>93.14</v>
      </c>
      <c r="D1981" s="14" t="n">
        <f aca="false">AVERAGE(B1962:B1981)</f>
        <v>87.385</v>
      </c>
      <c r="E1981" s="14" t="n">
        <f aca="false">(B1981-D1981)/D1981*100</f>
        <v>-1.73370715797906</v>
      </c>
    </row>
    <row r="1982" customFormat="false" ht="15" hidden="false" customHeight="false" outlineLevel="0" collapsed="false">
      <c r="A1982" s="12" t="n">
        <v>44880</v>
      </c>
      <c r="B1982" s="15" t="n">
        <v>86.92</v>
      </c>
      <c r="C1982" s="15" t="n">
        <v>93.86</v>
      </c>
      <c r="D1982" s="14" t="n">
        <f aca="false">AVERAGE(B1963:B1982)</f>
        <v>87.59</v>
      </c>
      <c r="E1982" s="14" t="n">
        <f aca="false">(B1982-D1982)/D1982*100</f>
        <v>-0.76492750313963</v>
      </c>
    </row>
    <row r="1983" customFormat="false" ht="15" hidden="false" customHeight="false" outlineLevel="0" collapsed="false">
      <c r="A1983" s="12" t="n">
        <v>44881</v>
      </c>
      <c r="B1983" s="15" t="n">
        <v>85.59</v>
      </c>
      <c r="C1983" s="15" t="n">
        <v>92.86</v>
      </c>
      <c r="D1983" s="14" t="n">
        <f aca="false">AVERAGE(B1964:B1983)</f>
        <v>87.592</v>
      </c>
      <c r="E1983" s="14" t="n">
        <f aca="false">(B1983-D1983)/D1983*100</f>
        <v>-2.28559685816056</v>
      </c>
    </row>
    <row r="1984" customFormat="false" ht="15" hidden="false" customHeight="false" outlineLevel="0" collapsed="false">
      <c r="A1984" s="12" t="n">
        <v>44882</v>
      </c>
      <c r="B1984" s="15" t="n">
        <v>81.64</v>
      </c>
      <c r="C1984" s="15" t="n">
        <v>89.78</v>
      </c>
      <c r="D1984" s="14" t="n">
        <f aca="false">AVERAGE(B1965:B1984)</f>
        <v>87.375</v>
      </c>
      <c r="E1984" s="14" t="n">
        <f aca="false">(B1984-D1984)/D1984*100</f>
        <v>-6.56366237482117</v>
      </c>
    </row>
    <row r="1985" customFormat="false" ht="15" hidden="false" customHeight="false" outlineLevel="0" collapsed="false">
      <c r="A1985" s="12" t="n">
        <v>44883</v>
      </c>
      <c r="B1985" s="15" t="n">
        <v>80.08</v>
      </c>
      <c r="C1985" s="15" t="n">
        <v>87.62</v>
      </c>
      <c r="D1985" s="14" t="n">
        <f aca="false">AVERAGE(B1966:B1985)</f>
        <v>87.1265</v>
      </c>
      <c r="E1985" s="14" t="n">
        <f aca="false">(B1985-D1985)/D1985*100</f>
        <v>-8.08766563559881</v>
      </c>
    </row>
    <row r="1986" customFormat="false" ht="15" hidden="false" customHeight="false" outlineLevel="0" collapsed="false">
      <c r="A1986" s="12" t="n">
        <v>44886</v>
      </c>
      <c r="B1986" s="15" t="n">
        <v>79.73</v>
      </c>
      <c r="C1986" s="15" t="n">
        <v>87.45</v>
      </c>
      <c r="D1986" s="14" t="n">
        <f aca="false">AVERAGE(B1967:B1986)</f>
        <v>86.884</v>
      </c>
      <c r="E1986" s="14" t="n">
        <f aca="false">(B1986-D1986)/D1986*100</f>
        <v>-8.23396712858524</v>
      </c>
    </row>
    <row r="1987" customFormat="false" ht="15" hidden="false" customHeight="false" outlineLevel="0" collapsed="false">
      <c r="A1987" s="12" t="n">
        <v>44887</v>
      </c>
      <c r="B1987" s="15" t="n">
        <v>80.95</v>
      </c>
      <c r="C1987" s="15" t="n">
        <v>88.36</v>
      </c>
      <c r="D1987" s="14" t="n">
        <f aca="false">AVERAGE(B1968:B1987)</f>
        <v>86.6655</v>
      </c>
      <c r="E1987" s="14" t="n">
        <f aca="false">(B1987-D1987)/D1987*100</f>
        <v>-6.59489646976016</v>
      </c>
    </row>
    <row r="1988" customFormat="false" ht="15" hidden="false" customHeight="false" outlineLevel="0" collapsed="false">
      <c r="A1988" s="12" t="n">
        <v>44888</v>
      </c>
      <c r="B1988" s="15" t="n">
        <v>77.94</v>
      </c>
      <c r="C1988" s="15" t="n">
        <v>85.41</v>
      </c>
      <c r="D1988" s="14" t="n">
        <f aca="false">AVERAGE(B1969:B1988)</f>
        <v>86.167</v>
      </c>
      <c r="E1988" s="14" t="n">
        <f aca="false">(B1988-D1988)/D1988*100</f>
        <v>-9.54773869346734</v>
      </c>
    </row>
    <row r="1989" customFormat="false" ht="15" hidden="false" customHeight="false" outlineLevel="0" collapsed="false">
      <c r="A1989" s="12" t="n">
        <v>44890</v>
      </c>
      <c r="B1989" s="15" t="n">
        <v>76.28</v>
      </c>
      <c r="C1989" s="15" t="n">
        <v>83.63</v>
      </c>
      <c r="D1989" s="14" t="n">
        <f aca="false">AVERAGE(B1970:B1989)</f>
        <v>85.527</v>
      </c>
      <c r="E1989" s="14" t="n">
        <f aca="false">(B1989-D1989)/D1989*100</f>
        <v>-10.8117904287535</v>
      </c>
    </row>
    <row r="1990" customFormat="false" ht="15" hidden="false" customHeight="false" outlineLevel="0" collapsed="false">
      <c r="A1990" s="12" t="n">
        <v>44893</v>
      </c>
      <c r="B1990" s="15" t="n">
        <v>77.24</v>
      </c>
      <c r="C1990" s="15" t="n">
        <v>83.19</v>
      </c>
      <c r="D1990" s="14" t="n">
        <f aca="false">AVERAGE(B1971:B1990)</f>
        <v>84.994</v>
      </c>
      <c r="E1990" s="14" t="n">
        <f aca="false">(B1990-D1990)/D1990*100</f>
        <v>-9.12299691742947</v>
      </c>
    </row>
    <row r="1991" customFormat="false" ht="15" hidden="false" customHeight="false" outlineLevel="0" collapsed="false">
      <c r="A1991" s="12" t="n">
        <v>44894</v>
      </c>
      <c r="B1991" s="15" t="n">
        <v>78.2</v>
      </c>
      <c r="C1991" s="15" t="n">
        <v>83.03</v>
      </c>
      <c r="D1991" s="14" t="n">
        <f aca="false">AVERAGE(B1972:B1991)</f>
        <v>84.5775</v>
      </c>
      <c r="E1991" s="14" t="n">
        <f aca="false">(B1991-D1991)/D1991*100</f>
        <v>-7.54042150690195</v>
      </c>
    </row>
    <row r="1992" customFormat="false" ht="15" hidden="false" customHeight="false" outlineLevel="0" collapsed="false">
      <c r="A1992" s="12" t="n">
        <v>44895</v>
      </c>
      <c r="B1992" s="15" t="n">
        <v>80.55</v>
      </c>
      <c r="C1992" s="15" t="n">
        <v>85.43</v>
      </c>
      <c r="D1992" s="14" t="n">
        <f aca="false">AVERAGE(B1973:B1992)</f>
        <v>84.1865</v>
      </c>
      <c r="E1992" s="14" t="n">
        <f aca="false">(B1992-D1992)/D1992*100</f>
        <v>-4.31957617907859</v>
      </c>
    </row>
    <row r="1993" customFormat="false" ht="15" hidden="false" customHeight="false" outlineLevel="0" collapsed="false">
      <c r="A1993" s="12" t="n">
        <v>44896</v>
      </c>
      <c r="B1993" s="15" t="n">
        <v>81.22</v>
      </c>
      <c r="C1993" s="15" t="n">
        <v>86.88</v>
      </c>
      <c r="D1993" s="14" t="n">
        <f aca="false">AVERAGE(B1974:B1993)</f>
        <v>83.7475</v>
      </c>
      <c r="E1993" s="14" t="n">
        <f aca="false">(B1993-D1993)/D1993*100</f>
        <v>-3.01800053732948</v>
      </c>
    </row>
    <row r="1994" customFormat="false" ht="15" hidden="false" customHeight="false" outlineLevel="0" collapsed="false">
      <c r="A1994" s="12" t="n">
        <v>44897</v>
      </c>
      <c r="B1994" s="15" t="n">
        <v>79.98</v>
      </c>
      <c r="C1994" s="15" t="n">
        <v>85.57</v>
      </c>
      <c r="D1994" s="14" t="n">
        <f aca="false">AVERAGE(B1975:B1994)</f>
        <v>83.338</v>
      </c>
      <c r="E1994" s="14" t="n">
        <f aca="false">(B1994-D1994)/D1994*100</f>
        <v>-4.02937435503611</v>
      </c>
    </row>
    <row r="1995" customFormat="false" ht="15" hidden="false" customHeight="false" outlineLevel="0" collapsed="false">
      <c r="A1995" s="12" t="n">
        <v>44900</v>
      </c>
      <c r="B1995" s="15" t="n">
        <v>76.93</v>
      </c>
      <c r="C1995" s="15" t="n">
        <v>82.68</v>
      </c>
      <c r="D1995" s="14" t="n">
        <f aca="false">AVERAGE(B1976:B1995)</f>
        <v>82.554</v>
      </c>
      <c r="E1995" s="14" t="n">
        <f aca="false">(B1995-D1995)/D1995*100</f>
        <v>-6.81251059912299</v>
      </c>
    </row>
    <row r="1996" customFormat="false" ht="15" hidden="false" customHeight="false" outlineLevel="0" collapsed="false">
      <c r="A1996" s="12" t="n">
        <v>44901</v>
      </c>
      <c r="B1996" s="15" t="n">
        <v>74.25</v>
      </c>
      <c r="C1996" s="15" t="n">
        <v>79.35</v>
      </c>
      <c r="D1996" s="14" t="n">
        <f aca="false">AVERAGE(B1977:B1996)</f>
        <v>81.677</v>
      </c>
      <c r="E1996" s="14" t="n">
        <f aca="false">(B1996-D1996)/D1996*100</f>
        <v>-9.0931351543274</v>
      </c>
    </row>
    <row r="1997" customFormat="false" ht="15" hidden="false" customHeight="false" outlineLevel="0" collapsed="false">
      <c r="A1997" s="12" t="n">
        <v>44902</v>
      </c>
      <c r="B1997" s="15" t="n">
        <v>72.01</v>
      </c>
      <c r="C1997" s="15" t="n">
        <v>77.17</v>
      </c>
      <c r="D1997" s="14" t="n">
        <f aca="false">AVERAGE(B1978:B1997)</f>
        <v>80.832</v>
      </c>
      <c r="E1997" s="14" t="n">
        <f aca="false">(B1997-D1997)/D1997*100</f>
        <v>-10.9139944576405</v>
      </c>
    </row>
    <row r="1998" customFormat="false" ht="15" hidden="false" customHeight="false" outlineLevel="0" collapsed="false">
      <c r="A1998" s="12" t="n">
        <v>44903</v>
      </c>
      <c r="B1998" s="15" t="n">
        <v>71.46</v>
      </c>
      <c r="C1998" s="15" t="n">
        <v>76.15</v>
      </c>
      <c r="D1998" s="14" t="n">
        <f aca="false">AVERAGE(B1979:B1998)</f>
        <v>80.1135</v>
      </c>
      <c r="E1998" s="14" t="n">
        <f aca="false">(B1998-D1998)/D1998*100</f>
        <v>-10.8015503005112</v>
      </c>
    </row>
    <row r="1999" customFormat="false" ht="15" hidden="false" customHeight="false" outlineLevel="0" collapsed="false">
      <c r="A1999" s="12" t="n">
        <v>44904</v>
      </c>
      <c r="B1999" s="15" t="n">
        <v>71.02</v>
      </c>
      <c r="C1999" s="15" t="n">
        <v>76.1</v>
      </c>
      <c r="D1999" s="14" t="n">
        <f aca="false">AVERAGE(B1980:B1999)</f>
        <v>79.341</v>
      </c>
      <c r="E1999" s="14" t="n">
        <f aca="false">(B1999-D1999)/D1999*100</f>
        <v>-10.4876419505678</v>
      </c>
    </row>
    <row r="2000" customFormat="false" ht="15" hidden="false" customHeight="false" outlineLevel="0" collapsed="false">
      <c r="A2000" s="12" t="n">
        <v>44907</v>
      </c>
      <c r="B2000" s="15" t="n">
        <v>73.17</v>
      </c>
      <c r="C2000" s="15" t="n">
        <v>77.99</v>
      </c>
      <c r="D2000" s="14" t="n">
        <f aca="false">AVERAGE(B1981:B2000)</f>
        <v>78.5515</v>
      </c>
      <c r="E2000" s="14" t="n">
        <f aca="false">(B2000-D2000)/D2000*100</f>
        <v>-6.85091946048134</v>
      </c>
    </row>
    <row r="2001" customFormat="false" ht="15" hidden="false" customHeight="false" outlineLevel="0" collapsed="false">
      <c r="A2001" s="12" t="n">
        <v>44908</v>
      </c>
      <c r="B2001" s="15" t="n">
        <v>75.39</v>
      </c>
      <c r="C2001" s="15" t="n">
        <v>80.68</v>
      </c>
      <c r="D2001" s="14" t="n">
        <f aca="false">AVERAGE(B1982:B2001)</f>
        <v>78.0275</v>
      </c>
      <c r="E2001" s="14" t="n">
        <f aca="false">(B2001-D2001)/D2001*100</f>
        <v>-3.38021851270386</v>
      </c>
    </row>
    <row r="2002" customFormat="false" ht="15" hidden="false" customHeight="false" outlineLevel="0" collapsed="false">
      <c r="A2002" s="12" t="n">
        <v>44909</v>
      </c>
      <c r="B2002" s="15" t="n">
        <v>77.28</v>
      </c>
      <c r="C2002" s="15" t="n">
        <v>82.7</v>
      </c>
      <c r="D2002" s="14" t="n">
        <f aca="false">AVERAGE(B1983:B2002)</f>
        <v>77.5455</v>
      </c>
      <c r="E2002" s="14" t="n">
        <f aca="false">(B2002-D2002)/D2002*100</f>
        <v>-0.342379635181929</v>
      </c>
    </row>
    <row r="2003" customFormat="false" ht="15" hidden="false" customHeight="false" outlineLevel="0" collapsed="false">
      <c r="A2003" s="12" t="n">
        <v>44910</v>
      </c>
      <c r="B2003" s="15" t="n">
        <v>76.11</v>
      </c>
      <c r="C2003" s="15" t="n">
        <v>81.21</v>
      </c>
      <c r="D2003" s="14" t="n">
        <f aca="false">AVERAGE(B1984:B2003)</f>
        <v>77.0715</v>
      </c>
      <c r="E2003" s="14" t="n">
        <f aca="false">(B2003-D2003)/D2003*100</f>
        <v>-1.24754286603998</v>
      </c>
    </row>
    <row r="2004" customFormat="false" ht="15" hidden="false" customHeight="false" outlineLevel="0" collapsed="false">
      <c r="A2004" s="12" t="n">
        <v>44911</v>
      </c>
      <c r="B2004" s="15" t="n">
        <v>74.29</v>
      </c>
      <c r="C2004" s="15" t="n">
        <v>79.04</v>
      </c>
      <c r="D2004" s="14" t="n">
        <f aca="false">AVERAGE(B1985:B2004)</f>
        <v>76.704</v>
      </c>
      <c r="E2004" s="14" t="n">
        <f aca="false">(B2004-D2004)/D2004*100</f>
        <v>-3.14716312056736</v>
      </c>
    </row>
    <row r="2005" customFormat="false" ht="15" hidden="false" customHeight="false" outlineLevel="0" collapsed="false">
      <c r="A2005" s="12" t="n">
        <v>44914</v>
      </c>
      <c r="B2005" s="15" t="n">
        <v>75.19</v>
      </c>
      <c r="C2005" s="15" t="n">
        <v>79.8</v>
      </c>
      <c r="D2005" s="14" t="n">
        <f aca="false">AVERAGE(B1986:B2005)</f>
        <v>76.4595</v>
      </c>
      <c r="E2005" s="14" t="n">
        <f aca="false">(B2005-D2005)/D2005*100</f>
        <v>-1.66035613625515</v>
      </c>
    </row>
    <row r="2006" customFormat="false" ht="15" hidden="false" customHeight="false" outlineLevel="0" collapsed="false">
      <c r="A2006" s="12" t="n">
        <v>44915</v>
      </c>
      <c r="B2006" s="15" t="n">
        <v>76.09</v>
      </c>
      <c r="C2006" s="15" t="n">
        <v>79.99</v>
      </c>
      <c r="D2006" s="14" t="n">
        <f aca="false">AVERAGE(B1987:B2006)</f>
        <v>76.2775</v>
      </c>
      <c r="E2006" s="14" t="n">
        <f aca="false">(B2006-D2006)/D2006*100</f>
        <v>-0.245812985480646</v>
      </c>
    </row>
    <row r="2007" customFormat="false" ht="15" hidden="false" customHeight="false" outlineLevel="0" collapsed="false">
      <c r="A2007" s="12" t="n">
        <v>44916</v>
      </c>
      <c r="B2007" s="15" t="n">
        <v>78.29</v>
      </c>
      <c r="C2007" s="15" t="n">
        <v>82.2</v>
      </c>
      <c r="D2007" s="14" t="n">
        <f aca="false">AVERAGE(B1988:B2007)</f>
        <v>76.1445</v>
      </c>
      <c r="E2007" s="14" t="n">
        <f aca="false">(B2007-D2007)/D2007*100</f>
        <v>2.81766903715961</v>
      </c>
    </row>
    <row r="2008" customFormat="false" ht="15" hidden="false" customHeight="false" outlineLevel="0" collapsed="false">
      <c r="A2008" s="12" t="n">
        <v>44917</v>
      </c>
      <c r="B2008" s="15" t="n">
        <v>77.49</v>
      </c>
      <c r="C2008" s="15" t="n">
        <v>80.98</v>
      </c>
      <c r="D2008" s="14" t="n">
        <f aca="false">AVERAGE(B1989:B2008)</f>
        <v>76.122</v>
      </c>
      <c r="E2008" s="14" t="n">
        <f aca="false">(B2008-D2008)/D2008*100</f>
        <v>1.79711515724757</v>
      </c>
    </row>
    <row r="2009" customFormat="false" ht="15" hidden="false" customHeight="false" outlineLevel="0" collapsed="false">
      <c r="A2009" s="12" t="n">
        <v>44918</v>
      </c>
      <c r="B2009" s="15" t="n">
        <v>79.56</v>
      </c>
      <c r="C2009" s="15" t="n">
        <v>83.92</v>
      </c>
      <c r="D2009" s="14" t="n">
        <f aca="false">AVERAGE(B1990:B2009)</f>
        <v>76.286</v>
      </c>
      <c r="E2009" s="14" t="n">
        <f aca="false">(B2009-D2009)/D2009*100</f>
        <v>4.29174422567706</v>
      </c>
    </row>
    <row r="2010" customFormat="false" ht="15" hidden="false" customHeight="false" outlineLevel="0" collapsed="false">
      <c r="A2010" s="12" t="n">
        <v>44922</v>
      </c>
      <c r="B2010" s="15" t="n">
        <v>79.53</v>
      </c>
      <c r="C2010" s="15" t="n">
        <v>84.33</v>
      </c>
      <c r="D2010" s="14" t="n">
        <f aca="false">AVERAGE(B1991:B2010)</f>
        <v>76.4005</v>
      </c>
      <c r="E2010" s="14" t="n">
        <f aca="false">(B2010-D2010)/D2010*100</f>
        <v>4.09617738103809</v>
      </c>
    </row>
    <row r="2011" customFormat="false" ht="15" hidden="false" customHeight="false" outlineLevel="0" collapsed="false">
      <c r="A2011" s="12" t="n">
        <v>44923</v>
      </c>
      <c r="B2011" s="15" t="n">
        <v>78.96</v>
      </c>
      <c r="C2011" s="15" t="n">
        <v>83.26</v>
      </c>
      <c r="D2011" s="14" t="n">
        <f aca="false">AVERAGE(B1992:B2011)</f>
        <v>76.4385</v>
      </c>
      <c r="E2011" s="14" t="n">
        <f aca="false">(B2011-D2011)/D2011*100</f>
        <v>3.29873035185147</v>
      </c>
    </row>
    <row r="2012" customFormat="false" ht="15" hidden="false" customHeight="false" outlineLevel="0" collapsed="false">
      <c r="A2012" s="12" t="n">
        <v>44924</v>
      </c>
      <c r="B2012" s="15" t="n">
        <v>78.4</v>
      </c>
      <c r="C2012" s="15" t="n">
        <v>82.26</v>
      </c>
      <c r="D2012" s="14" t="n">
        <f aca="false">AVERAGE(B1993:B2012)</f>
        <v>76.331</v>
      </c>
      <c r="E2012" s="14" t="n">
        <f aca="false">(B2012-D2012)/D2012*100</f>
        <v>2.7105632049888</v>
      </c>
    </row>
    <row r="2013" customFormat="false" ht="15" hidden="false" customHeight="false" outlineLevel="0" collapsed="false">
      <c r="A2013" s="12" t="n">
        <v>44925</v>
      </c>
      <c r="B2013" s="15" t="n">
        <v>80.26</v>
      </c>
      <c r="C2013" s="15" t="n">
        <v>85.91</v>
      </c>
      <c r="D2013" s="14" t="n">
        <f aca="false">AVERAGE(B1994:B2013)</f>
        <v>76.283</v>
      </c>
      <c r="E2013" s="14" t="n">
        <f aca="false">(B2013-D2013)/D2013*100</f>
        <v>5.21348137855093</v>
      </c>
    </row>
    <row r="2014" customFormat="false" ht="15" hidden="false" customHeight="false" outlineLevel="0" collapsed="false">
      <c r="A2014" s="12" t="n">
        <v>44929</v>
      </c>
      <c r="B2014" s="15" t="n">
        <v>76.93</v>
      </c>
      <c r="C2014" s="15" t="n">
        <v>82.1</v>
      </c>
      <c r="D2014" s="14" t="n">
        <f aca="false">AVERAGE(B1995:B2014)</f>
        <v>76.1305</v>
      </c>
      <c r="E2014" s="14" t="n">
        <f aca="false">(B2014-D2014)/D2014*100</f>
        <v>1.05017043103617</v>
      </c>
    </row>
    <row r="2015" customFormat="false" ht="15" hidden="false" customHeight="false" outlineLevel="0" collapsed="false">
      <c r="A2015" s="12" t="n">
        <v>44930</v>
      </c>
      <c r="B2015" s="15" t="n">
        <v>72.84</v>
      </c>
      <c r="C2015" s="15" t="n">
        <v>77.84</v>
      </c>
      <c r="D2015" s="14" t="n">
        <f aca="false">AVERAGE(B1996:B2015)</f>
        <v>75.926</v>
      </c>
      <c r="E2015" s="14" t="n">
        <f aca="false">(B2015-D2015)/D2015*100</f>
        <v>-4.06448383952796</v>
      </c>
    </row>
    <row r="2016" customFormat="false" ht="15" hidden="false" customHeight="false" outlineLevel="0" collapsed="false">
      <c r="A2016" s="12" t="n">
        <v>44931</v>
      </c>
      <c r="B2016" s="15" t="n">
        <v>73.67</v>
      </c>
      <c r="C2016" s="15" t="n">
        <v>78.69</v>
      </c>
      <c r="D2016" s="14" t="n">
        <f aca="false">AVERAGE(B1997:B2016)</f>
        <v>75.897</v>
      </c>
      <c r="E2016" s="14" t="n">
        <f aca="false">(B2016-D2016)/D2016*100</f>
        <v>-2.93423982502603</v>
      </c>
    </row>
    <row r="2017" customFormat="false" ht="15" hidden="false" customHeight="false" outlineLevel="0" collapsed="false">
      <c r="A2017" s="12" t="n">
        <v>44932</v>
      </c>
      <c r="B2017" s="15" t="n">
        <v>73.77</v>
      </c>
      <c r="C2017" s="15" t="n">
        <v>78.57</v>
      </c>
      <c r="D2017" s="14" t="n">
        <f aca="false">AVERAGE(B1998:B2017)</f>
        <v>75.985</v>
      </c>
      <c r="E2017" s="14" t="n">
        <f aca="false">(B2017-D2017)/D2017*100</f>
        <v>-2.91504902283346</v>
      </c>
    </row>
    <row r="2018" customFormat="false" ht="15" hidden="false" customHeight="false" outlineLevel="0" collapsed="false">
      <c r="A2018" s="12" t="n">
        <v>44935</v>
      </c>
      <c r="B2018" s="15" t="n">
        <v>74.63</v>
      </c>
      <c r="C2018" s="15" t="n">
        <v>79.65</v>
      </c>
      <c r="D2018" s="14" t="n">
        <f aca="false">AVERAGE(B1999:B2018)</f>
        <v>76.1435</v>
      </c>
      <c r="E2018" s="14" t="n">
        <f aca="false">(B2018-D2018)/D2018*100</f>
        <v>-1.98769428775931</v>
      </c>
    </row>
    <row r="2019" customFormat="false" ht="15" hidden="false" customHeight="false" outlineLevel="0" collapsed="false">
      <c r="A2019" s="12" t="n">
        <v>44936</v>
      </c>
      <c r="B2019" s="15" t="n">
        <v>75.12</v>
      </c>
      <c r="C2019" s="15" t="n">
        <v>80.1</v>
      </c>
      <c r="D2019" s="14" t="n">
        <f aca="false">AVERAGE(B2000:B2019)</f>
        <v>76.3485</v>
      </c>
      <c r="E2019" s="14" t="n">
        <f aca="false">(B2019-D2019)/D2019*100</f>
        <v>-1.60906894045069</v>
      </c>
    </row>
    <row r="2020" customFormat="false" ht="15" hidden="false" customHeight="false" outlineLevel="0" collapsed="false">
      <c r="A2020" s="12" t="n">
        <v>44937</v>
      </c>
      <c r="B2020" s="15" t="n">
        <v>77.41</v>
      </c>
      <c r="C2020" s="15" t="n">
        <v>82.67</v>
      </c>
      <c r="D2020" s="14" t="n">
        <f aca="false">AVERAGE(B2001:B2020)</f>
        <v>76.5605</v>
      </c>
      <c r="E2020" s="14" t="n">
        <f aca="false">(B2020-D2020)/D2020*100</f>
        <v>1.10958000535523</v>
      </c>
    </row>
    <row r="2021" customFormat="false" ht="15" hidden="false" customHeight="false" outlineLevel="0" collapsed="false">
      <c r="A2021" s="12" t="n">
        <v>44938</v>
      </c>
      <c r="B2021" s="15" t="n">
        <v>78.39</v>
      </c>
      <c r="C2021" s="15" t="n">
        <v>84.03</v>
      </c>
      <c r="D2021" s="14" t="n">
        <f aca="false">AVERAGE(B2002:B2021)</f>
        <v>76.7105</v>
      </c>
      <c r="E2021" s="14" t="n">
        <f aca="false">(B2021-D2021)/D2021*100</f>
        <v>2.18940040802759</v>
      </c>
    </row>
    <row r="2022" customFormat="false" ht="15" hidden="false" customHeight="false" outlineLevel="0" collapsed="false">
      <c r="A2022" s="12" t="n">
        <v>44939</v>
      </c>
      <c r="B2022" s="15" t="n">
        <v>79.86</v>
      </c>
      <c r="C2022" s="15" t="n">
        <v>85.28</v>
      </c>
      <c r="D2022" s="14" t="n">
        <f aca="false">AVERAGE(B2003:B2022)</f>
        <v>76.8395</v>
      </c>
      <c r="E2022" s="14" t="n">
        <f aca="false">(B2022-D2022)/D2022*100</f>
        <v>3.9309209456074</v>
      </c>
    </row>
    <row r="2023" customFormat="false" ht="15" hidden="false" customHeight="false" outlineLevel="0" collapsed="false">
      <c r="A2023" s="12" t="n">
        <v>44943</v>
      </c>
      <c r="B2023" s="15" t="n">
        <v>80.18</v>
      </c>
      <c r="C2023" s="15" t="n">
        <v>85.92</v>
      </c>
      <c r="D2023" s="14" t="n">
        <f aca="false">AVERAGE(B2004:B2023)</f>
        <v>77.043</v>
      </c>
      <c r="E2023" s="14" t="n">
        <f aca="false">(B2023-D2023)/D2023*100</f>
        <v>4.07175213841621</v>
      </c>
    </row>
    <row r="2024" customFormat="false" ht="15" hidden="false" customHeight="false" outlineLevel="0" collapsed="false">
      <c r="A2024" s="12" t="n">
        <v>44944</v>
      </c>
      <c r="B2024" s="15" t="n">
        <v>79.48</v>
      </c>
      <c r="C2024" s="15" t="n">
        <v>84.98</v>
      </c>
      <c r="D2024" s="14" t="n">
        <f aca="false">AVERAGE(B2005:B2024)</f>
        <v>77.3025</v>
      </c>
      <c r="E2024" s="14" t="n">
        <f aca="false">(B2024-D2024)/D2024*100</f>
        <v>2.81685585847807</v>
      </c>
    </row>
    <row r="2025" customFormat="false" ht="15" hidden="false" customHeight="false" outlineLevel="0" collapsed="false">
      <c r="A2025" s="12" t="n">
        <v>44945</v>
      </c>
      <c r="B2025" s="15" t="n">
        <v>80.33</v>
      </c>
      <c r="C2025" s="15" t="n">
        <v>86.16</v>
      </c>
      <c r="D2025" s="14" t="n">
        <f aca="false">AVERAGE(B2006:B2025)</f>
        <v>77.5595</v>
      </c>
      <c r="E2025" s="14" t="n">
        <f aca="false">(B2025-D2025)/D2025*100</f>
        <v>3.57209626157982</v>
      </c>
    </row>
    <row r="2026" customFormat="false" ht="15" hidden="false" customHeight="false" outlineLevel="0" collapsed="false">
      <c r="A2026" s="12" t="n">
        <v>44946</v>
      </c>
      <c r="B2026" s="15" t="n">
        <v>81.31</v>
      </c>
      <c r="C2026" s="15" t="n">
        <v>87.63</v>
      </c>
      <c r="D2026" s="14" t="n">
        <f aca="false">AVERAGE(B2007:B2026)</f>
        <v>77.8205</v>
      </c>
      <c r="E2026" s="14" t="n">
        <f aca="false">(B2026-D2026)/D2026*100</f>
        <v>4.48403698254315</v>
      </c>
    </row>
    <row r="2027" customFormat="false" ht="15" hidden="false" customHeight="false" outlineLevel="0" collapsed="false">
      <c r="A2027" s="12" t="n">
        <v>44949</v>
      </c>
      <c r="B2027" s="15" t="n">
        <v>81.62</v>
      </c>
      <c r="C2027" s="15" t="n">
        <v>88.19</v>
      </c>
      <c r="D2027" s="14" t="n">
        <f aca="false">AVERAGE(B2008:B2027)</f>
        <v>77.987</v>
      </c>
      <c r="E2027" s="14" t="n">
        <f aca="false">(B2027-D2027)/D2027*100</f>
        <v>4.65846871914551</v>
      </c>
    </row>
    <row r="2028" customFormat="false" ht="15" hidden="false" customHeight="false" outlineLevel="0" collapsed="false">
      <c r="A2028" s="12" t="n">
        <v>44950</v>
      </c>
      <c r="B2028" s="15" t="n">
        <v>80.13</v>
      </c>
      <c r="C2028" s="15" t="n">
        <v>86.13</v>
      </c>
      <c r="D2028" s="14" t="n">
        <f aca="false">AVERAGE(B2009:B2028)</f>
        <v>78.119</v>
      </c>
      <c r="E2028" s="14" t="n">
        <f aca="false">(B2028-D2028)/D2028*100</f>
        <v>2.5742777045277</v>
      </c>
    </row>
    <row r="2029" customFormat="false" ht="15" hidden="false" customHeight="false" outlineLevel="0" collapsed="false">
      <c r="A2029" s="12" t="n">
        <v>44951</v>
      </c>
      <c r="B2029" s="15" t="n">
        <v>80.15</v>
      </c>
      <c r="C2029" s="15" t="n">
        <v>86.12</v>
      </c>
      <c r="D2029" s="14" t="n">
        <f aca="false">AVERAGE(B2010:B2029)</f>
        <v>78.1485</v>
      </c>
      <c r="E2029" s="14" t="n">
        <f aca="false">(B2029-D2029)/D2029*100</f>
        <v>2.56114960619846</v>
      </c>
    </row>
    <row r="2030" customFormat="false" ht="15" hidden="false" customHeight="false" outlineLevel="0" collapsed="false">
      <c r="A2030" s="12" t="n">
        <v>44952</v>
      </c>
      <c r="B2030" s="15" t="n">
        <v>81.01</v>
      </c>
      <c r="C2030" s="15" t="n">
        <v>87.47</v>
      </c>
      <c r="D2030" s="14" t="n">
        <f aca="false">AVERAGE(B2011:B2030)</f>
        <v>78.2225</v>
      </c>
      <c r="E2030" s="14" t="n">
        <f aca="false">(B2030-D2030)/D2030*100</f>
        <v>3.56355268624757</v>
      </c>
    </row>
    <row r="2031" customFormat="false" ht="15" hidden="false" customHeight="false" outlineLevel="0" collapsed="false">
      <c r="A2031" s="12" t="n">
        <v>44953</v>
      </c>
      <c r="B2031" s="15" t="n">
        <v>79.68</v>
      </c>
      <c r="C2031" s="15" t="n">
        <v>86.66</v>
      </c>
      <c r="D2031" s="14" t="n">
        <f aca="false">AVERAGE(B2012:B2031)</f>
        <v>78.2585</v>
      </c>
      <c r="E2031" s="14" t="n">
        <f aca="false">(B2031-D2031)/D2031*100</f>
        <v>1.8164161081544</v>
      </c>
    </row>
    <row r="2032" customFormat="false" ht="15" hidden="false" customHeight="false" outlineLevel="0" collapsed="false">
      <c r="A2032" s="12" t="n">
        <v>44956</v>
      </c>
      <c r="B2032" s="15" t="n">
        <v>77.9</v>
      </c>
      <c r="C2032" s="15" t="n">
        <v>84.9</v>
      </c>
      <c r="D2032" s="14" t="n">
        <f aca="false">AVERAGE(B2013:B2032)</f>
        <v>78.2335</v>
      </c>
      <c r="E2032" s="14" t="n">
        <f aca="false">(B2032-D2032)/D2032*100</f>
        <v>-0.426287971265507</v>
      </c>
    </row>
    <row r="2033" customFormat="false" ht="15" hidden="false" customHeight="false" outlineLevel="0" collapsed="false">
      <c r="A2033" s="12" t="n">
        <v>44957</v>
      </c>
      <c r="B2033" s="15" t="n">
        <v>78.87</v>
      </c>
      <c r="C2033" s="15" t="n">
        <v>84.49</v>
      </c>
      <c r="D2033" s="14" t="n">
        <f aca="false">AVERAGE(B2014:B2033)</f>
        <v>78.164</v>
      </c>
      <c r="E2033" s="14" t="n">
        <f aca="false">(B2033-D2033)/D2033*100</f>
        <v>0.903229108029276</v>
      </c>
    </row>
    <row r="2034" customFormat="false" ht="15" hidden="false" customHeight="false" outlineLevel="0" collapsed="false">
      <c r="A2034" s="12" t="n">
        <v>44958</v>
      </c>
      <c r="B2034" s="15" t="n">
        <v>76.41</v>
      </c>
      <c r="C2034" s="15" t="n">
        <v>82.84</v>
      </c>
      <c r="D2034" s="14" t="n">
        <f aca="false">AVERAGE(B2015:B2034)</f>
        <v>78.138</v>
      </c>
      <c r="E2034" s="14" t="n">
        <f aca="false">(B2034-D2034)/D2034*100</f>
        <v>-2.21147201105737</v>
      </c>
    </row>
    <row r="2035" customFormat="false" ht="15" hidden="false" customHeight="false" outlineLevel="0" collapsed="false">
      <c r="A2035" s="12" t="n">
        <v>44959</v>
      </c>
      <c r="B2035" s="15" t="n">
        <v>75.88</v>
      </c>
      <c r="C2035" s="15" t="n">
        <v>82.17</v>
      </c>
      <c r="D2035" s="14" t="n">
        <f aca="false">AVERAGE(B2016:B2035)</f>
        <v>78.29</v>
      </c>
      <c r="E2035" s="14" t="n">
        <f aca="false">(B2035-D2035)/D2035*100</f>
        <v>-3.0782986332865</v>
      </c>
    </row>
    <row r="2036" customFormat="false" ht="15" hidden="false" customHeight="false" outlineLevel="0" collapsed="false">
      <c r="A2036" s="12" t="n">
        <v>44960</v>
      </c>
      <c r="B2036" s="15" t="n">
        <v>73.39</v>
      </c>
      <c r="C2036" s="15" t="n">
        <v>79.94</v>
      </c>
      <c r="D2036" s="14" t="n">
        <f aca="false">AVERAGE(B2017:B2036)</f>
        <v>78.276</v>
      </c>
      <c r="E2036" s="14" t="n">
        <f aca="false">(B2036-D2036)/D2036*100</f>
        <v>-6.24201543257192</v>
      </c>
    </row>
    <row r="2037" customFormat="false" ht="15" hidden="false" customHeight="false" outlineLevel="0" collapsed="false">
      <c r="A2037" s="12" t="n">
        <v>44963</v>
      </c>
      <c r="B2037" s="15" t="n">
        <v>74.11</v>
      </c>
      <c r="C2037" s="15" t="n">
        <v>80.99</v>
      </c>
      <c r="D2037" s="14" t="n">
        <f aca="false">AVERAGE(B2018:B2037)</f>
        <v>78.293</v>
      </c>
      <c r="E2037" s="14" t="n">
        <f aca="false">(B2037-D2037)/D2037*100</f>
        <v>-5.34275094836065</v>
      </c>
    </row>
    <row r="2038" customFormat="false" ht="15" hidden="false" customHeight="false" outlineLevel="0" collapsed="false">
      <c r="A2038" s="12" t="n">
        <v>44964</v>
      </c>
      <c r="B2038" s="15" t="n">
        <v>77.14</v>
      </c>
      <c r="C2038" s="15" t="n">
        <v>83.69</v>
      </c>
      <c r="D2038" s="14" t="n">
        <f aca="false">AVERAGE(B2019:B2038)</f>
        <v>78.4185</v>
      </c>
      <c r="E2038" s="14" t="n">
        <f aca="false">(B2038-D2038)/D2038*100</f>
        <v>-1.63035508202785</v>
      </c>
    </row>
    <row r="2039" customFormat="false" ht="15" hidden="false" customHeight="false" outlineLevel="0" collapsed="false">
      <c r="A2039" s="12" t="n">
        <v>44965</v>
      </c>
      <c r="B2039" s="15" t="n">
        <v>78.47</v>
      </c>
      <c r="C2039" s="15" t="n">
        <v>85.09</v>
      </c>
      <c r="D2039" s="14" t="n">
        <f aca="false">AVERAGE(B2020:B2039)</f>
        <v>78.586</v>
      </c>
      <c r="E2039" s="14" t="n">
        <f aca="false">(B2039-D2039)/D2039*100</f>
        <v>-0.147608988878426</v>
      </c>
    </row>
    <row r="2040" customFormat="false" ht="15" hidden="false" customHeight="false" outlineLevel="0" collapsed="false">
      <c r="A2040" s="12" t="n">
        <v>44966</v>
      </c>
      <c r="B2040" s="15" t="n">
        <v>78.06</v>
      </c>
      <c r="C2040" s="15" t="n">
        <v>84.5</v>
      </c>
      <c r="D2040" s="14" t="n">
        <f aca="false">AVERAGE(B2021:B2040)</f>
        <v>78.6185</v>
      </c>
      <c r="E2040" s="14" t="n">
        <f aca="false">(B2040-D2040)/D2040*100</f>
        <v>-0.710392592074396</v>
      </c>
    </row>
    <row r="2041" customFormat="false" ht="15" hidden="false" customHeight="false" outlineLevel="0" collapsed="false">
      <c r="A2041" s="12" t="n">
        <v>44967</v>
      </c>
      <c r="B2041" s="15" t="n">
        <v>79.72</v>
      </c>
      <c r="C2041" s="15" t="n">
        <v>86.39</v>
      </c>
      <c r="D2041" s="14" t="n">
        <f aca="false">AVERAGE(B2022:B2041)</f>
        <v>78.685</v>
      </c>
      <c r="E2041" s="14" t="n">
        <f aca="false">(B2041-D2041)/D2041*100</f>
        <v>1.31537141767808</v>
      </c>
    </row>
    <row r="2042" customFormat="false" ht="15" hidden="false" customHeight="false" outlineLevel="0" collapsed="false">
      <c r="A2042" s="12" t="n">
        <v>44970</v>
      </c>
      <c r="B2042" s="15" t="n">
        <v>80.14</v>
      </c>
      <c r="C2042" s="15" t="n">
        <v>86.61</v>
      </c>
      <c r="D2042" s="14" t="n">
        <f aca="false">AVERAGE(B2023:B2042)</f>
        <v>78.699</v>
      </c>
      <c r="E2042" s="14" t="n">
        <f aca="false">(B2042-D2042)/D2042*100</f>
        <v>1.8310270778536</v>
      </c>
    </row>
    <row r="2043" customFormat="false" ht="15" hidden="false" customHeight="false" outlineLevel="0" collapsed="false">
      <c r="A2043" s="12" t="n">
        <v>44971</v>
      </c>
      <c r="B2043" s="15" t="n">
        <v>79.06</v>
      </c>
      <c r="C2043" s="15" t="n">
        <v>85.58</v>
      </c>
      <c r="D2043" s="14" t="n">
        <f aca="false">AVERAGE(B2024:B2043)</f>
        <v>78.643</v>
      </c>
      <c r="E2043" s="14" t="n">
        <f aca="false">(B2043-D2043)/D2043*100</f>
        <v>0.530244268402784</v>
      </c>
    </row>
    <row r="2044" customFormat="false" ht="15" hidden="false" customHeight="false" outlineLevel="0" collapsed="false">
      <c r="A2044" s="12" t="n">
        <v>44972</v>
      </c>
      <c r="B2044" s="15" t="n">
        <v>78.59</v>
      </c>
      <c r="C2044" s="15" t="n">
        <v>85.38</v>
      </c>
      <c r="D2044" s="14" t="n">
        <f aca="false">AVERAGE(B2025:B2044)</f>
        <v>78.5985</v>
      </c>
      <c r="E2044" s="14" t="n">
        <f aca="false">(B2044-D2044)/D2044*100</f>
        <v>-0.0108144557466083</v>
      </c>
    </row>
    <row r="2045" customFormat="false" ht="15" hidden="false" customHeight="false" outlineLevel="0" collapsed="false">
      <c r="A2045" s="12" t="n">
        <v>44973</v>
      </c>
      <c r="B2045" s="15" t="n">
        <v>78.49</v>
      </c>
      <c r="C2045" s="15" t="n">
        <v>85.14</v>
      </c>
      <c r="D2045" s="14" t="n">
        <f aca="false">AVERAGE(B2026:B2045)</f>
        <v>78.5065</v>
      </c>
      <c r="E2045" s="14" t="n">
        <f aca="false">(B2045-D2045)/D2045*100</f>
        <v>-0.0210173679886477</v>
      </c>
    </row>
    <row r="2046" customFormat="false" ht="15" hidden="false" customHeight="false" outlineLevel="0" collapsed="false">
      <c r="A2046" s="12" t="n">
        <v>44974</v>
      </c>
      <c r="B2046" s="15" t="n">
        <v>76.34</v>
      </c>
      <c r="C2046" s="15" t="n">
        <v>83</v>
      </c>
      <c r="D2046" s="14" t="n">
        <f aca="false">AVERAGE(B2027:B2046)</f>
        <v>78.258</v>
      </c>
      <c r="E2046" s="14" t="n">
        <f aca="false">(B2046-D2046)/D2046*100</f>
        <v>-2.45086764292469</v>
      </c>
    </row>
    <row r="2047" customFormat="false" ht="15" hidden="false" customHeight="false" outlineLevel="0" collapsed="false">
      <c r="A2047" s="12" t="n">
        <v>44978</v>
      </c>
      <c r="B2047" s="15" t="n">
        <v>76.16</v>
      </c>
      <c r="C2047" s="15" t="n">
        <v>83.05</v>
      </c>
      <c r="D2047" s="14" t="n">
        <f aca="false">AVERAGE(B2028:B2047)</f>
        <v>77.985</v>
      </c>
      <c r="E2047" s="14" t="n">
        <f aca="false">(B2047-D2047)/D2047*100</f>
        <v>-2.34019362697955</v>
      </c>
    </row>
    <row r="2048" customFormat="false" ht="15" hidden="false" customHeight="false" outlineLevel="0" collapsed="false">
      <c r="A2048" s="12" t="n">
        <v>44979</v>
      </c>
      <c r="B2048" s="15" t="n">
        <v>73.95</v>
      </c>
      <c r="C2048" s="15" t="n">
        <v>80.6</v>
      </c>
      <c r="D2048" s="14" t="n">
        <f aca="false">AVERAGE(B2029:B2048)</f>
        <v>77.676</v>
      </c>
      <c r="E2048" s="14" t="n">
        <f aca="false">(B2048-D2048)/D2048*100</f>
        <v>-4.79684844739688</v>
      </c>
    </row>
    <row r="2049" customFormat="false" ht="15" hidden="false" customHeight="false" outlineLevel="0" collapsed="false">
      <c r="A2049" s="12" t="n">
        <v>44980</v>
      </c>
      <c r="B2049" s="15" t="n">
        <v>75.39</v>
      </c>
      <c r="C2049" s="15" t="n">
        <v>82.21</v>
      </c>
      <c r="D2049" s="14" t="n">
        <f aca="false">AVERAGE(B2030:B2049)</f>
        <v>77.438</v>
      </c>
      <c r="E2049" s="14" t="n">
        <f aca="false">(B2049-D2049)/D2049*100</f>
        <v>-2.64469640228312</v>
      </c>
    </row>
    <row r="2050" customFormat="false" ht="15" hidden="false" customHeight="false" outlineLevel="0" collapsed="false">
      <c r="A2050" s="12" t="n">
        <v>44981</v>
      </c>
      <c r="B2050" s="15" t="n">
        <v>76.32</v>
      </c>
      <c r="C2050" s="15" t="n">
        <v>83.16</v>
      </c>
      <c r="D2050" s="14" t="n">
        <f aca="false">AVERAGE(B2031:B2050)</f>
        <v>77.2035</v>
      </c>
      <c r="E2050" s="14" t="n">
        <f aca="false">(B2050-D2050)/D2050*100</f>
        <v>-1.14437816938351</v>
      </c>
    </row>
    <row r="2051" customFormat="false" ht="15" hidden="false" customHeight="false" outlineLevel="0" collapsed="false">
      <c r="A2051" s="12" t="n">
        <v>44984</v>
      </c>
      <c r="B2051" s="15" t="n">
        <v>75.68</v>
      </c>
      <c r="C2051" s="15" t="n">
        <v>82.45</v>
      </c>
      <c r="D2051" s="14" t="n">
        <f aca="false">AVERAGE(B2032:B2051)</f>
        <v>77.0035</v>
      </c>
      <c r="E2051" s="14" t="n">
        <f aca="false">(B2051-D2051)/D2051*100</f>
        <v>-1.71875304369281</v>
      </c>
    </row>
    <row r="2052" customFormat="false" ht="15" hidden="false" customHeight="false" outlineLevel="0" collapsed="false">
      <c r="A2052" s="12" t="n">
        <v>44985</v>
      </c>
      <c r="B2052" s="15" t="n">
        <v>77.05</v>
      </c>
      <c r="C2052" s="15" t="n">
        <v>83.89</v>
      </c>
      <c r="D2052" s="14" t="n">
        <f aca="false">AVERAGE(B2033:B2052)</f>
        <v>76.961</v>
      </c>
      <c r="E2052" s="14" t="n">
        <f aca="false">(B2052-D2052)/D2052*100</f>
        <v>0.115642988006911</v>
      </c>
    </row>
    <row r="2053" customFormat="false" ht="15" hidden="false" customHeight="false" outlineLevel="0" collapsed="false">
      <c r="A2053" s="12" t="n">
        <v>44986</v>
      </c>
      <c r="B2053" s="15" t="n">
        <v>77.69</v>
      </c>
      <c r="C2053" s="15" t="n">
        <v>84.31</v>
      </c>
      <c r="D2053" s="14" t="n">
        <f aca="false">AVERAGE(B2034:B2053)</f>
        <v>76.902</v>
      </c>
      <c r="E2053" s="14" t="n">
        <f aca="false">(B2053-D2053)/D2053*100</f>
        <v>1.02468076252893</v>
      </c>
    </row>
    <row r="2054" customFormat="false" ht="15" hidden="false" customHeight="false" outlineLevel="0" collapsed="false">
      <c r="A2054" s="12" t="n">
        <v>44987</v>
      </c>
      <c r="B2054" s="15" t="n">
        <v>78.16</v>
      </c>
      <c r="C2054" s="15" t="n">
        <v>84.75</v>
      </c>
      <c r="D2054" s="14" t="n">
        <f aca="false">AVERAGE(B2035:B2054)</f>
        <v>76.9895</v>
      </c>
      <c r="E2054" s="14" t="n">
        <f aca="false">(B2054-D2054)/D2054*100</f>
        <v>1.52033718883744</v>
      </c>
    </row>
    <row r="2055" customFormat="false" ht="15" hidden="false" customHeight="false" outlineLevel="0" collapsed="false">
      <c r="A2055" s="12" t="n">
        <v>44988</v>
      </c>
      <c r="B2055" s="15" t="n">
        <v>79.68</v>
      </c>
      <c r="C2055" s="15" t="n">
        <v>85.83</v>
      </c>
      <c r="D2055" s="14" t="n">
        <f aca="false">AVERAGE(B2036:B2055)</f>
        <v>77.1795</v>
      </c>
      <c r="E2055" s="14" t="n">
        <f aca="false">(B2055-D2055)/D2055*100</f>
        <v>3.23984996015784</v>
      </c>
    </row>
    <row r="2056" customFormat="false" ht="15" hidden="false" customHeight="false" outlineLevel="0" collapsed="false">
      <c r="A2056" s="12" t="n">
        <v>44991</v>
      </c>
      <c r="B2056" s="15" t="n">
        <v>80.46</v>
      </c>
      <c r="C2056" s="15" t="n">
        <v>86.18</v>
      </c>
      <c r="D2056" s="14" t="n">
        <f aca="false">AVERAGE(B2037:B2056)</f>
        <v>77.533</v>
      </c>
      <c r="E2056" s="14" t="n">
        <f aca="false">(B2056-D2056)/D2056*100</f>
        <v>3.77516670321024</v>
      </c>
    </row>
    <row r="2057" customFormat="false" ht="15" hidden="false" customHeight="false" outlineLevel="0" collapsed="false">
      <c r="A2057" s="12" t="n">
        <v>44992</v>
      </c>
      <c r="B2057" s="15" t="n">
        <v>77.58</v>
      </c>
      <c r="C2057" s="15" t="n">
        <v>83.29</v>
      </c>
      <c r="D2057" s="14" t="n">
        <f aca="false">AVERAGE(B2038:B2057)</f>
        <v>77.7065</v>
      </c>
      <c r="E2057" s="14" t="n">
        <f aca="false">(B2057-D2057)/D2057*100</f>
        <v>-0.162792044423577</v>
      </c>
    </row>
    <row r="2058" customFormat="false" ht="15" hidden="false" customHeight="false" outlineLevel="0" collapsed="false">
      <c r="A2058" s="12" t="n">
        <v>44993</v>
      </c>
      <c r="B2058" s="15" t="n">
        <v>76.66</v>
      </c>
      <c r="C2058" s="15" t="n">
        <v>82.66</v>
      </c>
      <c r="D2058" s="14" t="n">
        <f aca="false">AVERAGE(B2039:B2058)</f>
        <v>77.6825</v>
      </c>
      <c r="E2058" s="14" t="n">
        <f aca="false">(B2058-D2058)/D2058*100</f>
        <v>-1.31625526984843</v>
      </c>
    </row>
    <row r="2059" customFormat="false" ht="15" hidden="false" customHeight="false" outlineLevel="0" collapsed="false">
      <c r="A2059" s="12" t="n">
        <v>44994</v>
      </c>
      <c r="B2059" s="15" t="n">
        <v>75.72</v>
      </c>
      <c r="C2059" s="15" t="n">
        <v>81.59</v>
      </c>
      <c r="D2059" s="14" t="n">
        <f aca="false">AVERAGE(B2040:B2059)</f>
        <v>77.545</v>
      </c>
      <c r="E2059" s="14" t="n">
        <f aca="false">(B2059-D2059)/D2059*100</f>
        <v>-2.35347217744536</v>
      </c>
    </row>
    <row r="2060" customFormat="false" ht="15" hidden="false" customHeight="false" outlineLevel="0" collapsed="false">
      <c r="A2060" s="12" t="n">
        <v>44995</v>
      </c>
      <c r="B2060" s="15" t="n">
        <v>76.68</v>
      </c>
      <c r="C2060" s="15" t="n">
        <v>82.78</v>
      </c>
      <c r="D2060" s="14" t="n">
        <f aca="false">AVERAGE(B2041:B2060)</f>
        <v>77.476</v>
      </c>
      <c r="E2060" s="14" t="n">
        <f aca="false">(B2060-D2060)/D2060*100</f>
        <v>-1.0274149414012</v>
      </c>
    </row>
    <row r="2061" customFormat="false" ht="15" hidden="false" customHeight="false" outlineLevel="0" collapsed="false">
      <c r="A2061" s="12" t="n">
        <v>44998</v>
      </c>
      <c r="B2061" s="15" t="n">
        <v>74.8</v>
      </c>
      <c r="C2061" s="15" t="n">
        <v>80.77</v>
      </c>
      <c r="D2061" s="14" t="n">
        <f aca="false">AVERAGE(B2042:B2061)</f>
        <v>77.23</v>
      </c>
      <c r="E2061" s="14" t="n">
        <f aca="false">(B2061-D2061)/D2061*100</f>
        <v>-3.14644568172989</v>
      </c>
    </row>
    <row r="2062" customFormat="false" ht="15" hidden="false" customHeight="false" outlineLevel="0" collapsed="false">
      <c r="A2062" s="12" t="n">
        <v>44999</v>
      </c>
      <c r="B2062" s="15" t="n">
        <v>71.33</v>
      </c>
      <c r="C2062" s="15" t="n">
        <v>77.45</v>
      </c>
      <c r="D2062" s="14" t="n">
        <f aca="false">AVERAGE(B2043:B2062)</f>
        <v>76.7895</v>
      </c>
      <c r="E2062" s="14" t="n">
        <f aca="false">(B2062-D2062)/D2062*100</f>
        <v>-7.10969598708157</v>
      </c>
    </row>
    <row r="2063" customFormat="false" ht="15" hidden="false" customHeight="false" outlineLevel="0" collapsed="false">
      <c r="A2063" s="12" t="n">
        <v>45000</v>
      </c>
      <c r="B2063" s="15" t="n">
        <v>67.61</v>
      </c>
      <c r="C2063" s="15" t="n">
        <v>73.69</v>
      </c>
      <c r="D2063" s="14" t="n">
        <f aca="false">AVERAGE(B2044:B2063)</f>
        <v>76.217</v>
      </c>
      <c r="E2063" s="14" t="n">
        <f aca="false">(B2063-D2063)/D2063*100</f>
        <v>-11.2927562092447</v>
      </c>
    </row>
    <row r="2064" customFormat="false" ht="15" hidden="false" customHeight="false" outlineLevel="0" collapsed="false">
      <c r="A2064" s="12" t="n">
        <v>45001</v>
      </c>
      <c r="B2064" s="15" t="n">
        <v>68.35</v>
      </c>
      <c r="C2064" s="15" t="n">
        <v>74.7</v>
      </c>
      <c r="D2064" s="14" t="n">
        <f aca="false">AVERAGE(B2045:B2064)</f>
        <v>75.705</v>
      </c>
      <c r="E2064" s="14" t="n">
        <f aca="false">(B2064-D2064)/D2064*100</f>
        <v>-9.71534244765868</v>
      </c>
    </row>
    <row r="2065" customFormat="false" ht="15" hidden="false" customHeight="false" outlineLevel="0" collapsed="false">
      <c r="A2065" s="12" t="n">
        <v>45002</v>
      </c>
      <c r="B2065" s="15" t="n">
        <v>66.74</v>
      </c>
      <c r="C2065" s="15" t="n">
        <v>72.97</v>
      </c>
      <c r="D2065" s="14" t="n">
        <f aca="false">AVERAGE(B2046:B2065)</f>
        <v>75.1175</v>
      </c>
      <c r="E2065" s="14" t="n">
        <f aca="false">(B2065-D2065)/D2065*100</f>
        <v>-11.152527706593</v>
      </c>
    </row>
    <row r="2066" customFormat="false" ht="15" hidden="false" customHeight="false" outlineLevel="0" collapsed="false">
      <c r="A2066" s="12" t="n">
        <v>45005</v>
      </c>
      <c r="B2066" s="15" t="n">
        <v>67.64</v>
      </c>
      <c r="C2066" s="15" t="n">
        <v>73.79</v>
      </c>
      <c r="D2066" s="14" t="n">
        <f aca="false">AVERAGE(B2047:B2066)</f>
        <v>74.6825</v>
      </c>
      <c r="E2066" s="14" t="n">
        <f aca="false">(B2066-D2066)/D2066*100</f>
        <v>-9.429919994644</v>
      </c>
    </row>
    <row r="2067" customFormat="false" ht="15" hidden="false" customHeight="false" outlineLevel="0" collapsed="false">
      <c r="A2067" s="12" t="n">
        <v>45006</v>
      </c>
      <c r="B2067" s="15" t="n">
        <v>69.33</v>
      </c>
      <c r="C2067" s="15" t="n">
        <v>75.32</v>
      </c>
      <c r="D2067" s="14" t="n">
        <f aca="false">AVERAGE(B2048:B2067)</f>
        <v>74.341</v>
      </c>
      <c r="E2067" s="14" t="n">
        <f aca="false">(B2067-D2067)/D2067*100</f>
        <v>-6.74056039063235</v>
      </c>
    </row>
    <row r="2068" customFormat="false" ht="15" hidden="false" customHeight="false" outlineLevel="0" collapsed="false">
      <c r="A2068" s="12" t="n">
        <v>45007</v>
      </c>
      <c r="B2068" s="15" t="n">
        <v>70.9</v>
      </c>
      <c r="C2068" s="15" t="n">
        <v>76.69</v>
      </c>
      <c r="D2068" s="14" t="n">
        <f aca="false">AVERAGE(B2049:B2068)</f>
        <v>74.1885</v>
      </c>
      <c r="E2068" s="14" t="n">
        <f aca="false">(B2068-D2068)/D2068*100</f>
        <v>-4.43262769836295</v>
      </c>
    </row>
    <row r="2069" customFormat="false" ht="15" hidden="false" customHeight="false" outlineLevel="0" collapsed="false">
      <c r="A2069" s="12" t="n">
        <v>45008</v>
      </c>
      <c r="B2069" s="15" t="n">
        <v>69.96</v>
      </c>
      <c r="C2069" s="15" t="n">
        <v>75.91</v>
      </c>
      <c r="D2069" s="14" t="n">
        <f aca="false">AVERAGE(B2050:B2069)</f>
        <v>73.917</v>
      </c>
      <c r="E2069" s="14" t="n">
        <f aca="false">(B2069-D2069)/D2069*100</f>
        <v>-5.3533016762044</v>
      </c>
    </row>
    <row r="2070" customFormat="false" ht="15" hidden="false" customHeight="false" outlineLevel="0" collapsed="false">
      <c r="A2070" s="12" t="n">
        <v>45009</v>
      </c>
      <c r="B2070" s="15" t="n">
        <v>69.26</v>
      </c>
      <c r="C2070" s="15" t="n">
        <v>74.99</v>
      </c>
      <c r="D2070" s="14" t="n">
        <f aca="false">AVERAGE(B2051:B2070)</f>
        <v>73.564</v>
      </c>
      <c r="E2070" s="14" t="n">
        <f aca="false">(B2070-D2070)/D2070*100</f>
        <v>-5.85068783644172</v>
      </c>
    </row>
    <row r="2071" customFormat="false" ht="15" hidden="false" customHeight="false" outlineLevel="0" collapsed="false">
      <c r="A2071" s="12" t="n">
        <v>45012</v>
      </c>
      <c r="B2071" s="15" t="n">
        <v>72.81</v>
      </c>
      <c r="C2071" s="15" t="n">
        <v>78.12</v>
      </c>
      <c r="D2071" s="14" t="n">
        <f aca="false">AVERAGE(B2052:B2071)</f>
        <v>73.4205</v>
      </c>
      <c r="E2071" s="14" t="n">
        <f aca="false">(B2071-D2071)/D2071*100</f>
        <v>-0.831511635033815</v>
      </c>
    </row>
    <row r="2072" customFormat="false" ht="15" hidden="false" customHeight="false" outlineLevel="0" collapsed="false">
      <c r="A2072" s="12" t="n">
        <v>45013</v>
      </c>
      <c r="B2072" s="15" t="n">
        <v>73.2</v>
      </c>
      <c r="C2072" s="15" t="n">
        <v>78.65</v>
      </c>
      <c r="D2072" s="14" t="n">
        <f aca="false">AVERAGE(B2053:B2072)</f>
        <v>73.228</v>
      </c>
      <c r="E2072" s="14" t="n">
        <f aca="false">(B2072-D2072)/D2072*100</f>
        <v>-0.0382367400447801</v>
      </c>
    </row>
    <row r="2073" customFormat="false" ht="15" hidden="false" customHeight="false" outlineLevel="0" collapsed="false">
      <c r="A2073" s="12" t="n">
        <v>45014</v>
      </c>
      <c r="B2073" s="15" t="n">
        <v>72.97</v>
      </c>
      <c r="C2073" s="15" t="n">
        <v>78.28</v>
      </c>
      <c r="D2073" s="14" t="n">
        <f aca="false">AVERAGE(B2054:B2073)</f>
        <v>72.992</v>
      </c>
      <c r="E2073" s="14" t="n">
        <f aca="false">(B2073-D2073)/D2073*100</f>
        <v>-0.0301402893467659</v>
      </c>
    </row>
    <row r="2074" customFormat="false" ht="15" hidden="false" customHeight="false" outlineLevel="0" collapsed="false">
      <c r="A2074" s="12" t="n">
        <v>45015</v>
      </c>
      <c r="B2074" s="15" t="n">
        <v>74.37</v>
      </c>
      <c r="C2074" s="15" t="n">
        <v>79.27</v>
      </c>
      <c r="D2074" s="14" t="n">
        <f aca="false">AVERAGE(B2055:B2074)</f>
        <v>72.8025</v>
      </c>
      <c r="E2074" s="14" t="n">
        <f aca="false">(B2074-D2074)/D2074*100</f>
        <v>2.15308540228702</v>
      </c>
    </row>
    <row r="2075" customFormat="false" ht="15" hidden="false" customHeight="false" outlineLevel="0" collapsed="false">
      <c r="A2075" s="12" t="n">
        <v>45016</v>
      </c>
      <c r="B2075" s="15" t="n">
        <v>75.67</v>
      </c>
      <c r="C2075" s="15" t="n">
        <v>79.77</v>
      </c>
      <c r="D2075" s="14" t="n">
        <f aca="false">AVERAGE(B2056:B2075)</f>
        <v>72.602</v>
      </c>
      <c r="E2075" s="14" t="n">
        <f aca="false">(B2075-D2075)/D2075*100</f>
        <v>4.22577890416242</v>
      </c>
    </row>
    <row r="2076" customFormat="false" ht="15" hidden="false" customHeight="false" outlineLevel="0" collapsed="false">
      <c r="A2076" s="12" t="n">
        <v>45019</v>
      </c>
      <c r="B2076" s="15" t="n">
        <v>80.42</v>
      </c>
      <c r="C2076" s="15" t="n">
        <v>84.93</v>
      </c>
      <c r="D2076" s="14" t="n">
        <f aca="false">AVERAGE(B2057:B2076)</f>
        <v>72.6</v>
      </c>
      <c r="E2076" s="14" t="n">
        <f aca="false">(B2076-D2076)/D2076*100</f>
        <v>10.771349862259</v>
      </c>
    </row>
    <row r="2077" customFormat="false" ht="15" hidden="false" customHeight="false" outlineLevel="0" collapsed="false">
      <c r="A2077" s="12" t="n">
        <v>45020</v>
      </c>
      <c r="B2077" s="15" t="n">
        <v>80.71</v>
      </c>
      <c r="C2077" s="15" t="n">
        <v>84.94</v>
      </c>
      <c r="D2077" s="14" t="n">
        <f aca="false">AVERAGE(B2058:B2077)</f>
        <v>72.7565</v>
      </c>
      <c r="E2077" s="14" t="n">
        <f aca="false">(B2077-D2077)/D2077*100</f>
        <v>10.9316693353858</v>
      </c>
    </row>
    <row r="2078" customFormat="false" ht="15" hidden="false" customHeight="false" outlineLevel="0" collapsed="false">
      <c r="A2078" s="12" t="n">
        <v>45021</v>
      </c>
      <c r="B2078" s="15" t="n">
        <v>80.61</v>
      </c>
      <c r="C2078" s="15" t="n">
        <v>84.99</v>
      </c>
      <c r="D2078" s="14" t="n">
        <f aca="false">AVERAGE(B2059:B2078)</f>
        <v>72.954</v>
      </c>
      <c r="E2078" s="14" t="n">
        <f aca="false">(B2078-D2078)/D2078*100</f>
        <v>10.4942840694136</v>
      </c>
    </row>
    <row r="2079" customFormat="false" ht="15" hidden="false" customHeight="false" outlineLevel="0" collapsed="false">
      <c r="A2079" s="12" t="n">
        <v>45022</v>
      </c>
      <c r="B2079" s="15" t="n">
        <v>80.7</v>
      </c>
      <c r="C2079" s="15" t="n">
        <v>85.12</v>
      </c>
      <c r="D2079" s="14" t="n">
        <f aca="false">AVERAGE(B2060:B2079)</f>
        <v>73.203</v>
      </c>
      <c r="E2079" s="14" t="n">
        <f aca="false">(B2079-D2079)/D2079*100</f>
        <v>10.2413835498545</v>
      </c>
    </row>
    <row r="2080" customFormat="false" ht="15" hidden="false" customHeight="false" outlineLevel="0" collapsed="false">
      <c r="A2080" s="12" t="n">
        <v>45026</v>
      </c>
      <c r="B2080" s="15" t="n">
        <v>79.74</v>
      </c>
      <c r="C2080" s="15" t="n">
        <v>84.18</v>
      </c>
      <c r="D2080" s="14" t="n">
        <f aca="false">AVERAGE(B2061:B2080)</f>
        <v>73.356</v>
      </c>
      <c r="E2080" s="14" t="n">
        <f aca="false">(B2080-D2080)/D2080*100</f>
        <v>8.70276460003272</v>
      </c>
    </row>
    <row r="2081" customFormat="false" ht="15" hidden="false" customHeight="false" outlineLevel="0" collapsed="false">
      <c r="A2081" s="12" t="n">
        <v>45027</v>
      </c>
      <c r="B2081" s="15" t="n">
        <v>81.53</v>
      </c>
      <c r="C2081" s="15" t="n">
        <v>85.61</v>
      </c>
      <c r="D2081" s="14" t="n">
        <f aca="false">AVERAGE(B2062:B2081)</f>
        <v>73.6925</v>
      </c>
      <c r="E2081" s="14" t="n">
        <f aca="false">(B2081-D2081)/D2081*100</f>
        <v>10.635410659158</v>
      </c>
    </row>
    <row r="2082" customFormat="false" ht="15" hidden="false" customHeight="false" outlineLevel="0" collapsed="false">
      <c r="A2082" s="12" t="n">
        <v>45028</v>
      </c>
      <c r="B2082" s="15" t="n">
        <v>83.26</v>
      </c>
      <c r="C2082" s="15" t="n">
        <v>87.33</v>
      </c>
      <c r="D2082" s="14" t="n">
        <f aca="false">AVERAGE(B2063:B2082)</f>
        <v>74.289</v>
      </c>
      <c r="E2082" s="14" t="n">
        <f aca="false">(B2082-D2082)/D2082*100</f>
        <v>12.0758120313909</v>
      </c>
    </row>
    <row r="2083" customFormat="false" ht="15" hidden="false" customHeight="false" outlineLevel="0" collapsed="false">
      <c r="A2083" s="12" t="n">
        <v>45029</v>
      </c>
      <c r="B2083" s="15" t="n">
        <v>82.16</v>
      </c>
      <c r="C2083" s="15" t="n">
        <v>86.09</v>
      </c>
      <c r="D2083" s="14" t="n">
        <f aca="false">AVERAGE(B2064:B2083)</f>
        <v>75.0165</v>
      </c>
      <c r="E2083" s="14" t="n">
        <f aca="false">(B2083-D2083)/D2083*100</f>
        <v>9.52257170089248</v>
      </c>
    </row>
    <row r="2084" customFormat="false" ht="15" hidden="false" customHeight="false" outlineLevel="0" collapsed="false">
      <c r="A2084" s="12" t="n">
        <v>45030</v>
      </c>
      <c r="B2084" s="15" t="n">
        <v>82.52</v>
      </c>
      <c r="C2084" s="15" t="n">
        <v>86.31</v>
      </c>
      <c r="D2084" s="14" t="n">
        <f aca="false">AVERAGE(B2065:B2084)</f>
        <v>75.725</v>
      </c>
      <c r="E2084" s="14" t="n">
        <f aca="false">(B2084-D2084)/D2084*100</f>
        <v>8.9732585011555</v>
      </c>
    </row>
    <row r="2085" customFormat="false" ht="15" hidden="false" customHeight="false" outlineLevel="0" collapsed="false">
      <c r="A2085" s="12" t="n">
        <v>45033</v>
      </c>
      <c r="B2085" s="15" t="n">
        <v>80.83</v>
      </c>
      <c r="C2085" s="15" t="n">
        <v>84.76</v>
      </c>
      <c r="D2085" s="14" t="n">
        <f aca="false">AVERAGE(B2066:B2085)</f>
        <v>76.4295</v>
      </c>
      <c r="E2085" s="14" t="n">
        <f aca="false">(B2085-D2085)/D2085*100</f>
        <v>5.75759359933011</v>
      </c>
    </row>
    <row r="2086" customFormat="false" ht="15" hidden="false" customHeight="false" outlineLevel="0" collapsed="false">
      <c r="A2086" s="12" t="n">
        <v>45034</v>
      </c>
      <c r="B2086" s="15" t="n">
        <v>80.86</v>
      </c>
      <c r="C2086" s="15" t="n">
        <v>84.77</v>
      </c>
      <c r="D2086" s="14" t="n">
        <f aca="false">AVERAGE(B2067:B2086)</f>
        <v>77.0905</v>
      </c>
      <c r="E2086" s="14" t="n">
        <f aca="false">(B2086-D2086)/D2086*100</f>
        <v>4.88970755151414</v>
      </c>
    </row>
    <row r="2087" customFormat="false" ht="15" hidden="false" customHeight="false" outlineLevel="0" collapsed="false">
      <c r="A2087" s="12" t="n">
        <v>45035</v>
      </c>
      <c r="B2087" s="15" t="n">
        <v>79.16</v>
      </c>
      <c r="C2087" s="15" t="n">
        <v>83.12</v>
      </c>
      <c r="D2087" s="14" t="n">
        <f aca="false">AVERAGE(B2068:B2087)</f>
        <v>77.582</v>
      </c>
      <c r="E2087" s="14" t="n">
        <f aca="false">(B2087-D2087)/D2087*100</f>
        <v>2.03397695341702</v>
      </c>
    </row>
    <row r="2088" customFormat="false" ht="15" hidden="false" customHeight="false" outlineLevel="0" collapsed="false">
      <c r="A2088" s="12" t="n">
        <v>45036</v>
      </c>
      <c r="B2088" s="15" t="n">
        <v>77.29</v>
      </c>
      <c r="C2088" s="15" t="n">
        <v>81.1</v>
      </c>
      <c r="D2088" s="14" t="n">
        <f aca="false">AVERAGE(B2069:B2088)</f>
        <v>77.9015</v>
      </c>
      <c r="E2088" s="14" t="n">
        <f aca="false">(B2088-D2088)/D2088*100</f>
        <v>-0.78496562967336</v>
      </c>
    </row>
    <row r="2089" customFormat="false" ht="15" hidden="false" customHeight="false" outlineLevel="0" collapsed="false">
      <c r="A2089" s="12" t="n">
        <v>45037</v>
      </c>
      <c r="B2089" s="15" t="n">
        <v>77.87</v>
      </c>
      <c r="C2089" s="15" t="n">
        <v>81.66</v>
      </c>
      <c r="D2089" s="14" t="n">
        <f aca="false">AVERAGE(B2070:B2089)</f>
        <v>78.297</v>
      </c>
      <c r="E2089" s="14" t="n">
        <f aca="false">(B2089-D2089)/D2089*100</f>
        <v>-0.545359336883907</v>
      </c>
    </row>
    <row r="2090" customFormat="false" ht="15" hidden="false" customHeight="false" outlineLevel="0" collapsed="false">
      <c r="A2090" s="12" t="n">
        <v>45040</v>
      </c>
      <c r="B2090" s="15" t="n">
        <v>78.76</v>
      </c>
      <c r="C2090" s="15" t="n">
        <v>82.73</v>
      </c>
      <c r="D2090" s="14" t="n">
        <f aca="false">AVERAGE(B2071:B2090)</f>
        <v>78.772</v>
      </c>
      <c r="E2090" s="14" t="n">
        <f aca="false">(B2090-D2090)/D2090*100</f>
        <v>-0.0152338394353329</v>
      </c>
    </row>
    <row r="2091" customFormat="false" ht="15" hidden="false" customHeight="false" outlineLevel="0" collapsed="false">
      <c r="A2091" s="12" t="n">
        <v>45041</v>
      </c>
      <c r="B2091" s="15" t="n">
        <v>77.07</v>
      </c>
      <c r="C2091" s="15" t="n">
        <v>80.77</v>
      </c>
      <c r="D2091" s="14" t="n">
        <f aca="false">AVERAGE(B2072:B2091)</f>
        <v>78.985</v>
      </c>
      <c r="E2091" s="14" t="n">
        <f aca="false">(B2091-D2091)/D2091*100</f>
        <v>-2.42451098309806</v>
      </c>
    </row>
    <row r="2092" customFormat="false" ht="15" hidden="false" customHeight="false" outlineLevel="0" collapsed="false">
      <c r="A2092" s="12" t="n">
        <v>45042</v>
      </c>
      <c r="B2092" s="15" t="n">
        <v>74.3</v>
      </c>
      <c r="C2092" s="15" t="n">
        <v>77.69</v>
      </c>
      <c r="D2092" s="14" t="n">
        <f aca="false">AVERAGE(B2073:B2092)</f>
        <v>79.04</v>
      </c>
      <c r="E2092" s="14" t="n">
        <f aca="false">(B2092-D2092)/D2092*100</f>
        <v>-5.99696356275303</v>
      </c>
    </row>
    <row r="2093" customFormat="false" ht="15" hidden="false" customHeight="false" outlineLevel="0" collapsed="false">
      <c r="A2093" s="12" t="n">
        <v>45043</v>
      </c>
      <c r="B2093" s="15" t="n">
        <v>74.76</v>
      </c>
      <c r="C2093" s="15" t="n">
        <v>78.37</v>
      </c>
      <c r="D2093" s="14" t="n">
        <f aca="false">AVERAGE(B2074:B2093)</f>
        <v>79.1295</v>
      </c>
      <c r="E2093" s="14" t="n">
        <f aca="false">(B2093-D2093)/D2093*100</f>
        <v>-5.52196083635052</v>
      </c>
    </row>
    <row r="2094" customFormat="false" ht="15" hidden="false" customHeight="false" outlineLevel="0" collapsed="false">
      <c r="A2094" s="12" t="n">
        <v>45044</v>
      </c>
      <c r="B2094" s="15" t="n">
        <v>76.78</v>
      </c>
      <c r="C2094" s="15" t="n">
        <v>79.54</v>
      </c>
      <c r="D2094" s="14" t="n">
        <f aca="false">AVERAGE(B2075:B2094)</f>
        <v>79.25</v>
      </c>
      <c r="E2094" s="14" t="n">
        <f aca="false">(B2094-D2094)/D2094*100</f>
        <v>-3.11671924290221</v>
      </c>
    </row>
    <row r="2095" customFormat="false" ht="15" hidden="false" customHeight="false" outlineLevel="0" collapsed="false">
      <c r="A2095" s="12" t="n">
        <v>45047</v>
      </c>
      <c r="B2095" s="15" t="n">
        <v>75.66</v>
      </c>
      <c r="C2095" s="15" t="n">
        <v>79.31</v>
      </c>
      <c r="D2095" s="14" t="n">
        <f aca="false">AVERAGE(B2076:B2095)</f>
        <v>79.2495</v>
      </c>
      <c r="E2095" s="14" t="n">
        <f aca="false">(B2095-D2095)/D2095*100</f>
        <v>-4.52936611587455</v>
      </c>
    </row>
    <row r="2096" customFormat="false" ht="15" hidden="false" customHeight="false" outlineLevel="0" collapsed="false">
      <c r="A2096" s="12" t="n">
        <v>45048</v>
      </c>
      <c r="B2096" s="15" t="n">
        <v>71.66</v>
      </c>
      <c r="C2096" s="15" t="n">
        <v>75.32</v>
      </c>
      <c r="D2096" s="14" t="n">
        <f aca="false">AVERAGE(B2077:B2096)</f>
        <v>78.8115</v>
      </c>
      <c r="E2096" s="14" t="n">
        <f aca="false">(B2096-D2096)/D2096*100</f>
        <v>-9.07418333618825</v>
      </c>
    </row>
    <row r="2097" customFormat="false" ht="15" hidden="false" customHeight="false" outlineLevel="0" collapsed="false">
      <c r="A2097" s="12" t="n">
        <v>45049</v>
      </c>
      <c r="B2097" s="15" t="n">
        <v>68.6</v>
      </c>
      <c r="C2097" s="15" t="n">
        <v>72.33</v>
      </c>
      <c r="D2097" s="14" t="n">
        <f aca="false">AVERAGE(B2078:B2097)</f>
        <v>78.206</v>
      </c>
      <c r="E2097" s="14" t="n">
        <f aca="false">(B2097-D2097)/D2097*100</f>
        <v>-12.2829450425798</v>
      </c>
    </row>
    <row r="2098" customFormat="false" ht="15" hidden="false" customHeight="false" outlineLevel="0" collapsed="false">
      <c r="A2098" s="12" t="n">
        <v>45050</v>
      </c>
      <c r="B2098" s="15" t="n">
        <v>68.56</v>
      </c>
      <c r="C2098" s="15" t="n">
        <v>72.5</v>
      </c>
      <c r="D2098" s="14" t="n">
        <f aca="false">AVERAGE(B2079:B2098)</f>
        <v>77.6035</v>
      </c>
      <c r="E2098" s="14" t="n">
        <f aca="false">(B2098-D2098)/D2098*100</f>
        <v>-11.6534692378565</v>
      </c>
    </row>
    <row r="2099" customFormat="false" ht="15" hidden="false" customHeight="false" outlineLevel="0" collapsed="false">
      <c r="A2099" s="12" t="n">
        <v>45051</v>
      </c>
      <c r="B2099" s="15" t="n">
        <v>71.34</v>
      </c>
      <c r="C2099" s="15" t="n">
        <v>75.3</v>
      </c>
      <c r="D2099" s="14" t="n">
        <f aca="false">AVERAGE(B2080:B2099)</f>
        <v>77.1355</v>
      </c>
      <c r="E2099" s="14" t="n">
        <f aca="false">(B2099-D2099)/D2099*100</f>
        <v>-7.51340174109198</v>
      </c>
    </row>
    <row r="2100" customFormat="false" ht="15" hidden="false" customHeight="false" outlineLevel="0" collapsed="false">
      <c r="A2100" s="12" t="n">
        <v>45054</v>
      </c>
      <c r="B2100" s="15" t="n">
        <v>73.16</v>
      </c>
      <c r="C2100" s="15" t="n">
        <v>77.01</v>
      </c>
      <c r="D2100" s="14" t="n">
        <f aca="false">AVERAGE(B2081:B2100)</f>
        <v>76.8065</v>
      </c>
      <c r="E2100" s="14" t="n">
        <f aca="false">(B2100-D2100)/D2100*100</f>
        <v>-4.7476450560825</v>
      </c>
    </row>
    <row r="2101" customFormat="false" ht="15" hidden="false" customHeight="false" outlineLevel="0" collapsed="false">
      <c r="A2101" s="12" t="n">
        <v>45055</v>
      </c>
      <c r="B2101" s="15" t="n">
        <v>73.71</v>
      </c>
      <c r="C2101" s="15" t="n">
        <v>77.44</v>
      </c>
      <c r="D2101" s="14" t="n">
        <f aca="false">AVERAGE(B2082:B2101)</f>
        <v>76.4155</v>
      </c>
      <c r="E2101" s="14" t="n">
        <f aca="false">(B2101-D2101)/D2101*100</f>
        <v>-3.54051206888655</v>
      </c>
    </row>
    <row r="2102" customFormat="false" ht="15" hidden="false" customHeight="false" outlineLevel="0" collapsed="false">
      <c r="A2102" s="12" t="n">
        <v>45056</v>
      </c>
      <c r="B2102" s="15" t="n">
        <v>72.56</v>
      </c>
      <c r="C2102" s="15" t="n">
        <v>76.41</v>
      </c>
      <c r="D2102" s="14" t="n">
        <f aca="false">AVERAGE(B2083:B2102)</f>
        <v>75.8805</v>
      </c>
      <c r="E2102" s="14" t="n">
        <f aca="false">(B2102-D2102)/D2102*100</f>
        <v>-4.37595956800495</v>
      </c>
    </row>
    <row r="2103" customFormat="false" ht="15" hidden="false" customHeight="false" outlineLevel="0" collapsed="false">
      <c r="A2103" s="12" t="n">
        <v>45057</v>
      </c>
      <c r="B2103" s="15" t="n">
        <v>70.87</v>
      </c>
      <c r="C2103" s="15" t="n">
        <v>74.98</v>
      </c>
      <c r="D2103" s="14" t="n">
        <f aca="false">AVERAGE(B2084:B2103)</f>
        <v>75.316</v>
      </c>
      <c r="E2103" s="14" t="n">
        <f aca="false">(B2103-D2103)/D2103*100</f>
        <v>-5.90312815338042</v>
      </c>
    </row>
    <row r="2104" customFormat="false" ht="15" hidden="false" customHeight="false" outlineLevel="0" collapsed="false">
      <c r="A2104" s="12" t="n">
        <v>45058</v>
      </c>
      <c r="B2104" s="15" t="n">
        <v>70.04</v>
      </c>
      <c r="C2104" s="15" t="n">
        <v>74.17</v>
      </c>
      <c r="D2104" s="14" t="n">
        <f aca="false">AVERAGE(B2085:B2104)</f>
        <v>74.692</v>
      </c>
      <c r="E2104" s="14" t="n">
        <f aca="false">(B2104-D2104)/D2104*100</f>
        <v>-6.22824398864669</v>
      </c>
    </row>
    <row r="2105" customFormat="false" ht="15" hidden="false" customHeight="false" outlineLevel="0" collapsed="false">
      <c r="A2105" s="12" t="n">
        <v>45061</v>
      </c>
      <c r="B2105" s="15" t="n">
        <v>71.11</v>
      </c>
      <c r="C2105" s="15" t="n">
        <v>75.23</v>
      </c>
      <c r="D2105" s="14" t="n">
        <f aca="false">AVERAGE(B2086:B2105)</f>
        <v>74.206</v>
      </c>
      <c r="E2105" s="14" t="n">
        <f aca="false">(B2105-D2105)/D2105*100</f>
        <v>-4.1721693663585</v>
      </c>
    </row>
    <row r="2106" customFormat="false" ht="15" hidden="false" customHeight="false" outlineLevel="0" collapsed="false">
      <c r="A2106" s="12" t="n">
        <v>45062</v>
      </c>
      <c r="B2106" s="15" t="n">
        <v>70.86</v>
      </c>
      <c r="C2106" s="15" t="n">
        <v>74.91</v>
      </c>
      <c r="D2106" s="14" t="n">
        <f aca="false">AVERAGE(B2087:B2106)</f>
        <v>73.706</v>
      </c>
      <c r="E2106" s="14" t="n">
        <f aca="false">(B2106-D2106)/D2106*100</f>
        <v>-3.86128673378014</v>
      </c>
    </row>
    <row r="2107" customFormat="false" ht="15" hidden="false" customHeight="false" outlineLevel="0" collapsed="false">
      <c r="A2107" s="12" t="n">
        <v>45063</v>
      </c>
      <c r="B2107" s="15" t="n">
        <v>72.83</v>
      </c>
      <c r="C2107" s="15" t="n">
        <v>76.96</v>
      </c>
      <c r="D2107" s="14" t="n">
        <f aca="false">AVERAGE(B2088:B2107)</f>
        <v>73.3895</v>
      </c>
      <c r="E2107" s="14" t="n">
        <f aca="false">(B2107-D2107)/D2107*100</f>
        <v>-0.762370638851607</v>
      </c>
    </row>
    <row r="2108" customFormat="false" ht="15" hidden="false" customHeight="false" outlineLevel="0" collapsed="false">
      <c r="A2108" s="12" t="n">
        <v>45064</v>
      </c>
      <c r="B2108" s="15" t="n">
        <v>71.86</v>
      </c>
      <c r="C2108" s="15" t="n">
        <v>75.86</v>
      </c>
      <c r="D2108" s="14" t="n">
        <f aca="false">AVERAGE(B2089:B2108)</f>
        <v>73.118</v>
      </c>
      <c r="E2108" s="14" t="n">
        <f aca="false">(B2108-D2108)/D2108*100</f>
        <v>-1.7205065784075</v>
      </c>
    </row>
    <row r="2109" customFormat="false" ht="15" hidden="false" customHeight="false" outlineLevel="0" collapsed="false">
      <c r="A2109" s="12" t="n">
        <v>45065</v>
      </c>
      <c r="B2109" s="15" t="n">
        <v>71.55</v>
      </c>
      <c r="C2109" s="15" t="n">
        <v>75.58</v>
      </c>
      <c r="D2109" s="14" t="n">
        <f aca="false">AVERAGE(B2090:B2109)</f>
        <v>72.802</v>
      </c>
      <c r="E2109" s="14" t="n">
        <f aca="false">(B2109-D2109)/D2109*100</f>
        <v>-1.71973297436883</v>
      </c>
    </row>
    <row r="2110" customFormat="false" ht="15" hidden="false" customHeight="false" outlineLevel="0" collapsed="false">
      <c r="A2110" s="12" t="n">
        <v>45068</v>
      </c>
      <c r="B2110" s="15" t="n">
        <v>71.99</v>
      </c>
      <c r="C2110" s="15" t="n">
        <v>75.99</v>
      </c>
      <c r="D2110" s="14" t="n">
        <f aca="false">AVERAGE(B2091:B2110)</f>
        <v>72.4635</v>
      </c>
      <c r="E2110" s="14" t="n">
        <f aca="false">(B2110-D2110)/D2110*100</f>
        <v>-0.653432417699947</v>
      </c>
    </row>
    <row r="2111" customFormat="false" ht="15" hidden="false" customHeight="false" outlineLevel="0" collapsed="false">
      <c r="A2111" s="12" t="n">
        <v>45069</v>
      </c>
      <c r="B2111" s="15" t="n">
        <v>72.91</v>
      </c>
      <c r="C2111" s="15" t="n">
        <v>76.84</v>
      </c>
      <c r="D2111" s="14" t="n">
        <f aca="false">AVERAGE(B2092:B2111)</f>
        <v>72.2555</v>
      </c>
      <c r="E2111" s="14" t="n">
        <f aca="false">(B2111-D2111)/D2111*100</f>
        <v>0.905813398288018</v>
      </c>
    </row>
    <row r="2112" customFormat="false" ht="15" hidden="false" customHeight="false" outlineLevel="0" collapsed="false">
      <c r="A2112" s="12" t="n">
        <v>45070</v>
      </c>
      <c r="B2112" s="15" t="n">
        <v>74.34</v>
      </c>
      <c r="C2112" s="15" t="n">
        <v>78.36</v>
      </c>
      <c r="D2112" s="14" t="n">
        <f aca="false">AVERAGE(B2093:B2112)</f>
        <v>72.2575</v>
      </c>
      <c r="E2112" s="14" t="n">
        <f aca="false">(B2112-D2112)/D2112*100</f>
        <v>2.88205376604504</v>
      </c>
    </row>
    <row r="2113" customFormat="false" ht="15" hidden="false" customHeight="false" outlineLevel="0" collapsed="false">
      <c r="A2113" s="12" t="n">
        <v>45071</v>
      </c>
      <c r="B2113" s="15" t="n">
        <v>71.83</v>
      </c>
      <c r="C2113" s="15" t="n">
        <v>76.26</v>
      </c>
      <c r="D2113" s="14" t="n">
        <f aca="false">AVERAGE(B2094:B2113)</f>
        <v>72.111</v>
      </c>
      <c r="E2113" s="14" t="n">
        <f aca="false">(B2113-D2113)/D2113*100</f>
        <v>-0.389677025696504</v>
      </c>
    </row>
    <row r="2114" customFormat="false" ht="15" hidden="false" customHeight="false" outlineLevel="0" collapsed="false">
      <c r="A2114" s="12" t="n">
        <v>45072</v>
      </c>
      <c r="B2114" s="15" t="n">
        <v>72.67</v>
      </c>
      <c r="C2114" s="15" t="n">
        <v>76.95</v>
      </c>
      <c r="D2114" s="14" t="n">
        <f aca="false">AVERAGE(B2095:B2114)</f>
        <v>71.9055</v>
      </c>
      <c r="E2114" s="14" t="n">
        <f aca="false">(B2114-D2114)/D2114*100</f>
        <v>1.0632010068771</v>
      </c>
    </row>
    <row r="2115" customFormat="false" ht="15" hidden="false" customHeight="false" outlineLevel="0" collapsed="false">
      <c r="A2115" s="12" t="n">
        <v>45076</v>
      </c>
      <c r="B2115" s="15" t="n">
        <v>69.46</v>
      </c>
      <c r="C2115" s="15" t="n">
        <v>73.54</v>
      </c>
      <c r="D2115" s="14" t="n">
        <f aca="false">AVERAGE(B2096:B2115)</f>
        <v>71.5955</v>
      </c>
      <c r="E2115" s="14" t="n">
        <f aca="false">(B2115-D2115)/D2115*100</f>
        <v>-2.98272936148223</v>
      </c>
    </row>
    <row r="2116" customFormat="false" ht="15" hidden="false" customHeight="false" outlineLevel="0" collapsed="false">
      <c r="A2116" s="12" t="n">
        <v>45077</v>
      </c>
      <c r="B2116" s="15" t="n">
        <v>68.09</v>
      </c>
      <c r="C2116" s="15" t="n">
        <v>72.66</v>
      </c>
      <c r="D2116" s="14" t="n">
        <f aca="false">AVERAGE(B2097:B2116)</f>
        <v>71.417</v>
      </c>
      <c r="E2116" s="14" t="n">
        <f aca="false">(B2116-D2116)/D2116*100</f>
        <v>-4.65855468585911</v>
      </c>
    </row>
    <row r="2117" customFormat="false" ht="15" hidden="false" customHeight="false" outlineLevel="0" collapsed="false">
      <c r="A2117" s="12" t="n">
        <v>45078</v>
      </c>
      <c r="B2117" s="15" t="n">
        <v>70.1</v>
      </c>
      <c r="C2117" s="15" t="n">
        <v>74.28</v>
      </c>
      <c r="D2117" s="14" t="n">
        <f aca="false">AVERAGE(B2098:B2117)</f>
        <v>71.492</v>
      </c>
      <c r="E2117" s="14" t="n">
        <f aca="false">(B2117-D2117)/D2117*100</f>
        <v>-1.94707100095115</v>
      </c>
    </row>
    <row r="2118" customFormat="false" ht="15" hidden="false" customHeight="false" outlineLevel="0" collapsed="false">
      <c r="A2118" s="12" t="n">
        <v>45079</v>
      </c>
      <c r="B2118" s="15" t="n">
        <v>71.74</v>
      </c>
      <c r="C2118" s="15" t="n">
        <v>76.13</v>
      </c>
      <c r="D2118" s="14" t="n">
        <f aca="false">AVERAGE(B2099:B2118)</f>
        <v>71.651</v>
      </c>
      <c r="E2118" s="14" t="n">
        <f aca="false">(B2118-D2118)/D2118*100</f>
        <v>0.124213200094903</v>
      </c>
    </row>
    <row r="2119" customFormat="false" ht="15" hidden="false" customHeight="false" outlineLevel="0" collapsed="false">
      <c r="A2119" s="12" t="n">
        <v>45082</v>
      </c>
      <c r="B2119" s="15" t="n">
        <v>72.15</v>
      </c>
      <c r="C2119" s="15" t="n">
        <v>76.71</v>
      </c>
      <c r="D2119" s="14" t="n">
        <f aca="false">AVERAGE(B2100:B2119)</f>
        <v>71.6915</v>
      </c>
      <c r="E2119" s="14" t="n">
        <f aca="false">(B2119-D2119)/D2119*100</f>
        <v>0.63954583179319</v>
      </c>
    </row>
    <row r="2120" customFormat="false" ht="15" hidden="false" customHeight="false" outlineLevel="0" collapsed="false">
      <c r="A2120" s="12" t="n">
        <v>45083</v>
      </c>
      <c r="B2120" s="15" t="n">
        <v>71.74</v>
      </c>
      <c r="C2120" s="15" t="n">
        <v>76.29</v>
      </c>
      <c r="D2120" s="14" t="n">
        <f aca="false">AVERAGE(B2101:B2120)</f>
        <v>71.6205</v>
      </c>
      <c r="E2120" s="14" t="n">
        <f aca="false">(B2120-D2120)/D2120*100</f>
        <v>0.166851669563865</v>
      </c>
    </row>
    <row r="2121" customFormat="false" ht="15" hidden="false" customHeight="false" outlineLevel="0" collapsed="false">
      <c r="A2121" s="12" t="n">
        <v>45084</v>
      </c>
      <c r="B2121" s="15" t="n">
        <v>72.53</v>
      </c>
      <c r="C2121" s="15" t="n">
        <v>76.95</v>
      </c>
      <c r="D2121" s="14" t="n">
        <f aca="false">AVERAGE(B2102:B2121)</f>
        <v>71.5615</v>
      </c>
      <c r="E2121" s="14" t="n">
        <f aca="false">(B2121-D2121)/D2121*100</f>
        <v>1.35338135729408</v>
      </c>
    </row>
    <row r="2122" customFormat="false" ht="15" hidden="false" customHeight="false" outlineLevel="0" collapsed="false">
      <c r="A2122" s="12" t="n">
        <v>45085</v>
      </c>
      <c r="B2122" s="15" t="n">
        <v>71.29</v>
      </c>
      <c r="C2122" s="15" t="n">
        <v>75.96</v>
      </c>
      <c r="D2122" s="14" t="n">
        <f aca="false">AVERAGE(B2103:B2122)</f>
        <v>71.498</v>
      </c>
      <c r="E2122" s="14" t="n">
        <f aca="false">(B2122-D2122)/D2122*100</f>
        <v>-0.290917228453941</v>
      </c>
    </row>
    <row r="2123" customFormat="false" ht="15" hidden="false" customHeight="false" outlineLevel="0" collapsed="false">
      <c r="A2123" s="12" t="n">
        <v>45086</v>
      </c>
      <c r="B2123" s="15" t="n">
        <v>70.17</v>
      </c>
      <c r="C2123" s="15" t="n">
        <v>74.79</v>
      </c>
      <c r="D2123" s="14" t="n">
        <f aca="false">AVERAGE(B2104:B2123)</f>
        <v>71.463</v>
      </c>
      <c r="E2123" s="14" t="n">
        <f aca="false">(B2123-D2123)/D2123*100</f>
        <v>-1.80932790395029</v>
      </c>
    </row>
    <row r="2124" customFormat="false" ht="15" hidden="false" customHeight="false" outlineLevel="0" collapsed="false">
      <c r="A2124" s="12" t="n">
        <v>45089</v>
      </c>
      <c r="B2124" s="15" t="n">
        <v>67.12</v>
      </c>
      <c r="C2124" s="15" t="n">
        <v>71.84</v>
      </c>
      <c r="D2124" s="14" t="n">
        <f aca="false">AVERAGE(B2105:B2124)</f>
        <v>71.317</v>
      </c>
      <c r="E2124" s="14" t="n">
        <f aca="false">(B2124-D2124)/D2124*100</f>
        <v>-5.88499235806328</v>
      </c>
    </row>
    <row r="2125" customFormat="false" ht="15" hidden="false" customHeight="false" outlineLevel="0" collapsed="false">
      <c r="A2125" s="12" t="n">
        <v>45090</v>
      </c>
      <c r="B2125" s="15" t="n">
        <v>69.42</v>
      </c>
      <c r="C2125" s="15" t="n">
        <v>74.29</v>
      </c>
      <c r="D2125" s="14" t="n">
        <f aca="false">AVERAGE(B2106:B2125)</f>
        <v>71.2325</v>
      </c>
      <c r="E2125" s="14" t="n">
        <f aca="false">(B2125-D2125)/D2125*100</f>
        <v>-2.54448461025515</v>
      </c>
    </row>
    <row r="2126" customFormat="false" ht="15" hidden="false" customHeight="false" outlineLevel="0" collapsed="false">
      <c r="A2126" s="12" t="n">
        <v>45091</v>
      </c>
      <c r="B2126" s="15" t="n">
        <v>68.27</v>
      </c>
      <c r="C2126" s="15" t="n">
        <v>73.2</v>
      </c>
      <c r="D2126" s="14" t="n">
        <f aca="false">AVERAGE(B2107:B2126)</f>
        <v>71.103</v>
      </c>
      <c r="E2126" s="14" t="n">
        <f aca="false">(B2126-D2126)/D2126*100</f>
        <v>-3.98436071614418</v>
      </c>
    </row>
    <row r="2127" customFormat="false" ht="15" hidden="false" customHeight="false" outlineLevel="0" collapsed="false">
      <c r="A2127" s="12" t="n">
        <v>45092</v>
      </c>
      <c r="B2127" s="15" t="n">
        <v>70.62</v>
      </c>
      <c r="C2127" s="15" t="n">
        <v>75.67</v>
      </c>
      <c r="D2127" s="14" t="n">
        <f aca="false">AVERAGE(B2108:B2127)</f>
        <v>70.9925</v>
      </c>
      <c r="E2127" s="14" t="n">
        <f aca="false">(B2127-D2127)/D2127*100</f>
        <v>-0.524703313730307</v>
      </c>
    </row>
    <row r="2128" customFormat="false" ht="15" hidden="false" customHeight="false" outlineLevel="0" collapsed="false">
      <c r="A2128" s="12" t="n">
        <v>45093</v>
      </c>
      <c r="B2128" s="15" t="n">
        <v>71.78</v>
      </c>
      <c r="C2128" s="15" t="n">
        <v>76.61</v>
      </c>
      <c r="D2128" s="14" t="n">
        <f aca="false">AVERAGE(B2109:B2128)</f>
        <v>70.9885</v>
      </c>
      <c r="E2128" s="14" t="n">
        <f aca="false">(B2128-D2128)/D2128*100</f>
        <v>1.11496932601759</v>
      </c>
    </row>
    <row r="2129" customFormat="false" ht="15" hidden="false" customHeight="false" outlineLevel="0" collapsed="false">
      <c r="A2129" s="12" t="n">
        <v>45097</v>
      </c>
      <c r="B2129" s="15" t="n">
        <v>70.5</v>
      </c>
      <c r="C2129" s="15" t="n">
        <v>75.9</v>
      </c>
      <c r="D2129" s="14" t="n">
        <f aca="false">AVERAGE(B2110:B2129)</f>
        <v>70.936</v>
      </c>
      <c r="E2129" s="14" t="n">
        <f aca="false">(B2129-D2129)/D2129*100</f>
        <v>-0.614638547423039</v>
      </c>
    </row>
    <row r="2130" customFormat="false" ht="15" hidden="false" customHeight="false" outlineLevel="0" collapsed="false">
      <c r="A2130" s="12" t="n">
        <v>45098</v>
      </c>
      <c r="B2130" s="15" t="n">
        <v>72.53</v>
      </c>
      <c r="C2130" s="15" t="n">
        <v>77.12</v>
      </c>
      <c r="D2130" s="14" t="n">
        <f aca="false">AVERAGE(B2111:B2130)</f>
        <v>70.963</v>
      </c>
      <c r="E2130" s="14" t="n">
        <f aca="false">(B2130-D2130)/D2130*100</f>
        <v>2.20819300198696</v>
      </c>
    </row>
    <row r="2131" customFormat="false" ht="15" hidden="false" customHeight="false" outlineLevel="0" collapsed="false">
      <c r="A2131" s="12" t="n">
        <v>45099</v>
      </c>
      <c r="B2131" s="15" t="n">
        <v>69.51</v>
      </c>
      <c r="C2131" s="15" t="n">
        <v>74.14</v>
      </c>
      <c r="D2131" s="14" t="n">
        <f aca="false">AVERAGE(B2112:B2131)</f>
        <v>70.793</v>
      </c>
      <c r="E2131" s="14" t="n">
        <f aca="false">(B2131-D2131)/D2131*100</f>
        <v>-1.81232607743704</v>
      </c>
    </row>
    <row r="2132" customFormat="false" ht="15" hidden="false" customHeight="false" outlineLevel="0" collapsed="false">
      <c r="A2132" s="12" t="n">
        <v>45100</v>
      </c>
      <c r="B2132" s="15" t="n">
        <v>69.16</v>
      </c>
      <c r="C2132" s="15" t="n">
        <v>73.85</v>
      </c>
      <c r="D2132" s="14" t="n">
        <f aca="false">AVERAGE(B2113:B2132)</f>
        <v>70.534</v>
      </c>
      <c r="E2132" s="14" t="n">
        <f aca="false">(B2132-D2132)/D2132*100</f>
        <v>-1.94799671080615</v>
      </c>
    </row>
    <row r="2133" customFormat="false" ht="15" hidden="false" customHeight="false" outlineLevel="0" collapsed="false">
      <c r="A2133" s="12" t="n">
        <v>45103</v>
      </c>
      <c r="B2133" s="15" t="n">
        <v>69.37</v>
      </c>
      <c r="C2133" s="15" t="n">
        <v>74.18</v>
      </c>
      <c r="D2133" s="14" t="n">
        <f aca="false">AVERAGE(B2114:B2133)</f>
        <v>70.411</v>
      </c>
      <c r="E2133" s="14" t="n">
        <f aca="false">(B2133-D2133)/D2133*100</f>
        <v>-1.47846217210379</v>
      </c>
    </row>
    <row r="2134" customFormat="false" ht="15" hidden="false" customHeight="false" outlineLevel="0" collapsed="false">
      <c r="A2134" s="12" t="n">
        <v>45104</v>
      </c>
      <c r="B2134" s="15" t="n">
        <v>67.7</v>
      </c>
      <c r="C2134" s="15" t="n">
        <v>72.26</v>
      </c>
      <c r="D2134" s="14" t="n">
        <f aca="false">AVERAGE(B2115:B2134)</f>
        <v>70.1625</v>
      </c>
      <c r="E2134" s="14" t="n">
        <f aca="false">(B2134-D2134)/D2134*100</f>
        <v>-3.50970960270799</v>
      </c>
    </row>
    <row r="2135" customFormat="false" ht="15" hidden="false" customHeight="false" outlineLevel="0" collapsed="false">
      <c r="A2135" s="12" t="n">
        <v>45105</v>
      </c>
      <c r="B2135" s="15" t="n">
        <v>69.56</v>
      </c>
      <c r="C2135" s="15" t="n">
        <v>74.03</v>
      </c>
      <c r="D2135" s="14" t="n">
        <f aca="false">AVERAGE(B2116:B2135)</f>
        <v>70.1675</v>
      </c>
      <c r="E2135" s="14" t="n">
        <f aca="false">(B2135-D2135)/D2135*100</f>
        <v>-0.865785441978106</v>
      </c>
    </row>
    <row r="2136" customFormat="false" ht="15" hidden="false" customHeight="false" outlineLevel="0" collapsed="false">
      <c r="A2136" s="12" t="n">
        <v>45106</v>
      </c>
      <c r="B2136" s="15" t="n">
        <v>69.86</v>
      </c>
      <c r="C2136" s="15" t="n">
        <v>74.34</v>
      </c>
      <c r="D2136" s="14" t="n">
        <f aca="false">AVERAGE(B2117:B2136)</f>
        <v>70.256</v>
      </c>
      <c r="E2136" s="14" t="n">
        <f aca="false">(B2136-D2136)/D2136*100</f>
        <v>-0.563652926440448</v>
      </c>
    </row>
    <row r="2137" customFormat="false" ht="15" hidden="false" customHeight="false" outlineLevel="0" collapsed="false">
      <c r="A2137" s="12" t="n">
        <v>45107</v>
      </c>
      <c r="B2137" s="15" t="n">
        <v>70.64</v>
      </c>
      <c r="C2137" s="15" t="n">
        <v>74.9</v>
      </c>
      <c r="D2137" s="14" t="n">
        <f aca="false">AVERAGE(B2118:B2137)</f>
        <v>70.283</v>
      </c>
      <c r="E2137" s="14" t="n">
        <f aca="false">(B2137-D2137)/D2137*100</f>
        <v>0.507946445086293</v>
      </c>
    </row>
    <row r="2138" customFormat="false" ht="15" hidden="false" customHeight="false" outlineLevel="0" collapsed="false">
      <c r="A2138" s="12" t="n">
        <v>45110</v>
      </c>
      <c r="B2138" s="15" t="n">
        <v>69.79</v>
      </c>
      <c r="C2138" s="15" t="n">
        <v>74.65</v>
      </c>
      <c r="D2138" s="14" t="n">
        <f aca="false">AVERAGE(B2119:B2138)</f>
        <v>70.1855</v>
      </c>
      <c r="E2138" s="14" t="n">
        <f aca="false">(B2138-D2138)/D2138*100</f>
        <v>-0.563506707225849</v>
      </c>
    </row>
    <row r="2139" customFormat="false" ht="15" hidden="false" customHeight="false" outlineLevel="0" collapsed="false">
      <c r="A2139" s="12" t="n">
        <v>45112</v>
      </c>
      <c r="B2139" s="15" t="n">
        <v>71.79</v>
      </c>
      <c r="C2139" s="15" t="n">
        <v>76.65</v>
      </c>
      <c r="D2139" s="14" t="n">
        <f aca="false">AVERAGE(B2120:B2139)</f>
        <v>70.1675</v>
      </c>
      <c r="E2139" s="14" t="n">
        <f aca="false">(B2139-D2139)/D2139*100</f>
        <v>2.31232408166174</v>
      </c>
    </row>
    <row r="2140" customFormat="false" ht="15" hidden="false" customHeight="false" outlineLevel="0" collapsed="false">
      <c r="A2140" s="12" t="n">
        <v>45113</v>
      </c>
      <c r="B2140" s="15" t="n">
        <v>71.8</v>
      </c>
      <c r="C2140" s="15" t="n">
        <v>76.52</v>
      </c>
      <c r="D2140" s="14" t="n">
        <f aca="false">AVERAGE(B2121:B2140)</f>
        <v>70.1705</v>
      </c>
      <c r="E2140" s="14" t="n">
        <f aca="false">(B2140-D2140)/D2140*100</f>
        <v>2.32220092489008</v>
      </c>
    </row>
    <row r="2141" customFormat="false" ht="15" hidden="false" customHeight="false" outlineLevel="0" collapsed="false">
      <c r="A2141" s="12" t="n">
        <v>45114</v>
      </c>
      <c r="B2141" s="15" t="n">
        <v>73.86</v>
      </c>
      <c r="C2141" s="15" t="n">
        <v>78.47</v>
      </c>
      <c r="D2141" s="14" t="n">
        <f aca="false">AVERAGE(B2122:B2141)</f>
        <v>70.237</v>
      </c>
      <c r="E2141" s="14" t="n">
        <f aca="false">(B2141-D2141)/D2141*100</f>
        <v>5.15824992525308</v>
      </c>
    </row>
    <row r="2142" customFormat="false" ht="15" hidden="false" customHeight="false" outlineLevel="0" collapsed="false">
      <c r="A2142" s="12" t="n">
        <v>45117</v>
      </c>
      <c r="B2142" s="15" t="n">
        <v>72.99</v>
      </c>
      <c r="C2142" s="15" t="n">
        <v>77.69</v>
      </c>
      <c r="D2142" s="14" t="n">
        <f aca="false">AVERAGE(B2123:B2142)</f>
        <v>70.322</v>
      </c>
      <c r="E2142" s="14" t="n">
        <f aca="false">(B2142-D2142)/D2142*100</f>
        <v>3.79397628053808</v>
      </c>
    </row>
    <row r="2143" customFormat="false" ht="15" hidden="false" customHeight="false" outlineLevel="0" collapsed="false">
      <c r="A2143" s="12" t="n">
        <v>45118</v>
      </c>
      <c r="B2143" s="15" t="n">
        <v>74.83</v>
      </c>
      <c r="C2143" s="15" t="n">
        <v>79.4</v>
      </c>
      <c r="D2143" s="14" t="n">
        <f aca="false">AVERAGE(B2124:B2143)</f>
        <v>70.555</v>
      </c>
      <c r="E2143" s="14" t="n">
        <f aca="false">(B2143-D2143)/D2143*100</f>
        <v>6.05910282758133</v>
      </c>
    </row>
    <row r="2144" customFormat="false" ht="15" hidden="false" customHeight="false" outlineLevel="0" collapsed="false">
      <c r="A2144" s="12" t="n">
        <v>45119</v>
      </c>
      <c r="B2144" s="15" t="n">
        <v>75.75</v>
      </c>
      <c r="C2144" s="15" t="n">
        <v>80.11</v>
      </c>
      <c r="D2144" s="14" t="n">
        <f aca="false">AVERAGE(B2125:B2144)</f>
        <v>70.9865</v>
      </c>
      <c r="E2144" s="14" t="n">
        <f aca="false">(B2144-D2144)/D2144*100</f>
        <v>6.71043085657131</v>
      </c>
    </row>
    <row r="2145" customFormat="false" ht="15" hidden="false" customHeight="false" outlineLevel="0" collapsed="false">
      <c r="A2145" s="12" t="n">
        <v>45120</v>
      </c>
      <c r="B2145" s="15" t="n">
        <v>76.89</v>
      </c>
      <c r="C2145" s="15" t="n">
        <v>81.36</v>
      </c>
      <c r="D2145" s="14" t="n">
        <f aca="false">AVERAGE(B2126:B2145)</f>
        <v>71.36</v>
      </c>
      <c r="E2145" s="14" t="n">
        <f aca="false">(B2145-D2145)/D2145*100</f>
        <v>7.74943946188341</v>
      </c>
    </row>
    <row r="2146" customFormat="false" ht="15" hidden="false" customHeight="false" outlineLevel="0" collapsed="false">
      <c r="A2146" s="12" t="n">
        <v>45121</v>
      </c>
      <c r="B2146" s="15" t="n">
        <v>75.42</v>
      </c>
      <c r="C2146" s="15" t="n">
        <v>79.87</v>
      </c>
      <c r="D2146" s="14" t="n">
        <f aca="false">AVERAGE(B2127:B2146)</f>
        <v>71.7175</v>
      </c>
      <c r="E2146" s="14" t="n">
        <f aca="false">(B2146-D2146)/D2146*100</f>
        <v>5.16261721337191</v>
      </c>
    </row>
    <row r="2147" customFormat="false" ht="15" hidden="false" customHeight="false" outlineLevel="0" collapsed="false">
      <c r="A2147" s="12" t="n">
        <v>45124</v>
      </c>
      <c r="B2147" s="15" t="n">
        <v>74.15</v>
      </c>
      <c r="C2147" s="15" t="n">
        <v>78.5</v>
      </c>
      <c r="D2147" s="14" t="n">
        <f aca="false">AVERAGE(B2128:B2147)</f>
        <v>71.894</v>
      </c>
      <c r="E2147" s="14" t="n">
        <f aca="false">(B2147-D2147)/D2147*100</f>
        <v>3.13795309761593</v>
      </c>
    </row>
    <row r="2148" customFormat="false" ht="15" hidden="false" customHeight="false" outlineLevel="0" collapsed="false">
      <c r="A2148" s="12" t="n">
        <v>45125</v>
      </c>
      <c r="B2148" s="15" t="n">
        <v>75.75</v>
      </c>
      <c r="C2148" s="15" t="n">
        <v>79.63</v>
      </c>
      <c r="D2148" s="14" t="n">
        <f aca="false">AVERAGE(B2129:B2148)</f>
        <v>72.0925</v>
      </c>
      <c r="E2148" s="14" t="n">
        <f aca="false">(B2148-D2148)/D2148*100</f>
        <v>5.0733432742657</v>
      </c>
    </row>
    <row r="2149" customFormat="false" ht="15" hidden="false" customHeight="false" outlineLevel="0" collapsed="false">
      <c r="A2149" s="12" t="n">
        <v>45126</v>
      </c>
      <c r="B2149" s="15" t="n">
        <v>75.35</v>
      </c>
      <c r="C2149" s="15" t="n">
        <v>79.46</v>
      </c>
      <c r="D2149" s="14" t="n">
        <f aca="false">AVERAGE(B2130:B2149)</f>
        <v>72.335</v>
      </c>
      <c r="E2149" s="14" t="n">
        <f aca="false">(B2149-D2149)/D2149*100</f>
        <v>4.16810672565146</v>
      </c>
    </row>
    <row r="2150" customFormat="false" ht="15" hidden="false" customHeight="false" outlineLevel="0" collapsed="false">
      <c r="A2150" s="12" t="n">
        <v>45127</v>
      </c>
      <c r="B2150" s="15" t="n">
        <v>75.63</v>
      </c>
      <c r="C2150" s="15" t="n">
        <v>79.64</v>
      </c>
      <c r="D2150" s="14" t="n">
        <f aca="false">AVERAGE(B2131:B2150)</f>
        <v>72.49</v>
      </c>
      <c r="E2150" s="14" t="n">
        <f aca="false">(B2150-D2150)/D2150*100</f>
        <v>4.33163194923438</v>
      </c>
    </row>
    <row r="2151" customFormat="false" ht="15" hidden="false" customHeight="false" outlineLevel="0" collapsed="false">
      <c r="A2151" s="12" t="n">
        <v>45128</v>
      </c>
      <c r="B2151" s="15" t="n">
        <v>77.07</v>
      </c>
      <c r="C2151" s="15" t="n">
        <v>81.07</v>
      </c>
      <c r="D2151" s="14" t="n">
        <f aca="false">AVERAGE(B2132:B2151)</f>
        <v>72.868</v>
      </c>
      <c r="E2151" s="14" t="n">
        <f aca="false">(B2151-D2151)/D2151*100</f>
        <v>5.7665916451666</v>
      </c>
    </row>
    <row r="2152" customFormat="false" ht="15" hidden="false" customHeight="false" outlineLevel="0" collapsed="false">
      <c r="A2152" s="12" t="n">
        <v>45131</v>
      </c>
      <c r="B2152" s="15" t="n">
        <v>78.74</v>
      </c>
      <c r="C2152" s="15" t="n">
        <v>82.74</v>
      </c>
      <c r="D2152" s="14" t="n">
        <f aca="false">AVERAGE(B2133:B2152)</f>
        <v>73.347</v>
      </c>
      <c r="E2152" s="14" t="n">
        <f aca="false">(B2152-D2152)/D2152*100</f>
        <v>7.35272062933724</v>
      </c>
    </row>
    <row r="2153" customFormat="false" ht="15" hidden="false" customHeight="false" outlineLevel="0" collapsed="false">
      <c r="A2153" s="12" t="n">
        <v>45132</v>
      </c>
      <c r="B2153" s="15" t="n">
        <v>79.63</v>
      </c>
      <c r="C2153" s="15" t="n">
        <v>83.64</v>
      </c>
      <c r="D2153" s="14" t="n">
        <f aca="false">AVERAGE(B2134:B2153)</f>
        <v>73.86</v>
      </c>
      <c r="E2153" s="14" t="n">
        <f aca="false">(B2153-D2153)/D2153*100</f>
        <v>7.81207690224749</v>
      </c>
    </row>
    <row r="2154" customFormat="false" ht="15" hidden="false" customHeight="false" outlineLevel="0" collapsed="false">
      <c r="A2154" s="12" t="n">
        <v>45133</v>
      </c>
      <c r="B2154" s="15" t="n">
        <v>78.78</v>
      </c>
      <c r="C2154" s="15" t="n">
        <v>82.92</v>
      </c>
      <c r="D2154" s="14" t="n">
        <f aca="false">AVERAGE(B2135:B2154)</f>
        <v>74.414</v>
      </c>
      <c r="E2154" s="14" t="n">
        <f aca="false">(B2154-D2154)/D2154*100</f>
        <v>5.86717553148601</v>
      </c>
    </row>
    <row r="2155" customFormat="false" ht="15" hidden="false" customHeight="false" outlineLevel="0" collapsed="false">
      <c r="A2155" s="12" t="n">
        <v>45134</v>
      </c>
      <c r="B2155" s="15" t="n">
        <v>80.09</v>
      </c>
      <c r="C2155" s="15" t="n">
        <v>84.24</v>
      </c>
      <c r="D2155" s="14" t="n">
        <f aca="false">AVERAGE(B2136:B2155)</f>
        <v>74.9405</v>
      </c>
      <c r="E2155" s="14" t="n">
        <f aca="false">(B2155-D2155)/D2155*100</f>
        <v>6.87145135140545</v>
      </c>
    </row>
    <row r="2156" customFormat="false" ht="15" hidden="false" customHeight="false" outlineLevel="0" collapsed="false">
      <c r="A2156" s="12" t="n">
        <v>45135</v>
      </c>
      <c r="B2156" s="15" t="n">
        <v>80.58</v>
      </c>
      <c r="C2156" s="15" t="n">
        <v>84.99</v>
      </c>
      <c r="D2156" s="14" t="n">
        <f aca="false">AVERAGE(B2137:B2156)</f>
        <v>75.4765</v>
      </c>
      <c r="E2156" s="14" t="n">
        <f aca="false">(B2156-D2156)/D2156*100</f>
        <v>6.7617072863739</v>
      </c>
    </row>
    <row r="2157" customFormat="false" ht="15" hidden="false" customHeight="false" outlineLevel="0" collapsed="false">
      <c r="A2157" s="12" t="n">
        <v>45138</v>
      </c>
      <c r="B2157" s="15" t="n">
        <v>81.8</v>
      </c>
      <c r="C2157" s="15" t="n">
        <v>85.56</v>
      </c>
      <c r="D2157" s="14" t="n">
        <f aca="false">AVERAGE(B2138:B2157)</f>
        <v>76.0345</v>
      </c>
      <c r="E2157" s="14" t="n">
        <f aca="false">(B2157-D2157)/D2157*100</f>
        <v>7.58274204472968</v>
      </c>
    </row>
    <row r="2158" customFormat="false" ht="15" hidden="false" customHeight="false" outlineLevel="0" collapsed="false">
      <c r="A2158" s="12" t="n">
        <v>45139</v>
      </c>
      <c r="B2158" s="15" t="n">
        <v>81.37</v>
      </c>
      <c r="C2158" s="15" t="n">
        <v>84.91</v>
      </c>
      <c r="D2158" s="14" t="n">
        <f aca="false">AVERAGE(B2139:B2158)</f>
        <v>76.6135</v>
      </c>
      <c r="E2158" s="14" t="n">
        <f aca="false">(B2158-D2158)/D2158*100</f>
        <v>6.20843585007864</v>
      </c>
    </row>
    <row r="2159" customFormat="false" ht="15" hidden="false" customHeight="false" outlineLevel="0" collapsed="false">
      <c r="A2159" s="12" t="n">
        <v>45140</v>
      </c>
      <c r="B2159" s="15" t="n">
        <v>79.49</v>
      </c>
      <c r="C2159" s="15" t="n">
        <v>83.2</v>
      </c>
      <c r="D2159" s="14" t="n">
        <f aca="false">AVERAGE(B2140:B2159)</f>
        <v>76.9985</v>
      </c>
      <c r="E2159" s="14" t="n">
        <f aca="false">(B2159-D2159)/D2159*100</f>
        <v>3.23577732033739</v>
      </c>
    </row>
    <row r="2160" customFormat="false" ht="15" hidden="false" customHeight="false" outlineLevel="0" collapsed="false">
      <c r="A2160" s="12" t="n">
        <v>45141</v>
      </c>
      <c r="B2160" s="15" t="n">
        <v>81.55</v>
      </c>
      <c r="C2160" s="15" t="n">
        <v>85.14</v>
      </c>
      <c r="D2160" s="14" t="n">
        <f aca="false">AVERAGE(B2141:B2160)</f>
        <v>77.486</v>
      </c>
      <c r="E2160" s="14" t="n">
        <f aca="false">(B2160-D2160)/D2160*100</f>
        <v>5.24481841881113</v>
      </c>
    </row>
    <row r="2161" customFormat="false" ht="15" hidden="false" customHeight="false" outlineLevel="0" collapsed="false">
      <c r="A2161" s="12" t="n">
        <v>45142</v>
      </c>
      <c r="B2161" s="15" t="n">
        <v>82.82</v>
      </c>
      <c r="C2161" s="15" t="n">
        <v>86.24</v>
      </c>
      <c r="D2161" s="14" t="n">
        <f aca="false">AVERAGE(B2142:B2161)</f>
        <v>77.934</v>
      </c>
      <c r="E2161" s="14" t="n">
        <f aca="false">(B2161-D2161)/D2161*100</f>
        <v>6.26940744732722</v>
      </c>
    </row>
    <row r="2162" customFormat="false" ht="15" hidden="false" customHeight="false" outlineLevel="0" collapsed="false">
      <c r="A2162" s="12" t="n">
        <v>45145</v>
      </c>
      <c r="B2162" s="15" t="n">
        <v>81.94</v>
      </c>
      <c r="C2162" s="15" t="n">
        <v>85.34</v>
      </c>
      <c r="D2162" s="14" t="n">
        <f aca="false">AVERAGE(B2143:B2162)</f>
        <v>78.3815</v>
      </c>
      <c r="E2162" s="14" t="n">
        <f aca="false">(B2162-D2162)/D2162*100</f>
        <v>4.53997435619376</v>
      </c>
    </row>
    <row r="2163" customFormat="false" ht="15" hidden="false" customHeight="false" outlineLevel="0" collapsed="false">
      <c r="A2163" s="12" t="n">
        <v>45146</v>
      </c>
      <c r="B2163" s="15" t="n">
        <v>82.92</v>
      </c>
      <c r="C2163" s="15" t="n">
        <v>86.17</v>
      </c>
      <c r="D2163" s="14" t="n">
        <f aca="false">AVERAGE(B2144:B2163)</f>
        <v>78.786</v>
      </c>
      <c r="E2163" s="14" t="n">
        <f aca="false">(B2163-D2163)/D2163*100</f>
        <v>5.24712512375295</v>
      </c>
    </row>
    <row r="2164" customFormat="false" ht="15" hidden="false" customHeight="false" outlineLevel="0" collapsed="false">
      <c r="A2164" s="12" t="n">
        <v>45147</v>
      </c>
      <c r="B2164" s="15" t="n">
        <v>84.4</v>
      </c>
      <c r="C2164" s="15" t="n">
        <v>87.55</v>
      </c>
      <c r="D2164" s="14" t="n">
        <f aca="false">AVERAGE(B2145:B2164)</f>
        <v>79.2185</v>
      </c>
      <c r="E2164" s="14" t="n">
        <f aca="false">(B2164-D2164)/D2164*100</f>
        <v>6.54077014838707</v>
      </c>
    </row>
    <row r="2165" customFormat="false" ht="15" hidden="false" customHeight="false" outlineLevel="0" collapsed="false">
      <c r="A2165" s="12" t="n">
        <v>45148</v>
      </c>
      <c r="B2165" s="15" t="n">
        <v>82.82</v>
      </c>
      <c r="C2165" s="15" t="n">
        <v>86.4</v>
      </c>
      <c r="D2165" s="14" t="n">
        <f aca="false">AVERAGE(B2146:B2165)</f>
        <v>79.515</v>
      </c>
      <c r="E2165" s="14" t="n">
        <f aca="false">(B2165-D2165)/D2165*100</f>
        <v>4.15644846884235</v>
      </c>
    </row>
    <row r="2166" customFormat="false" ht="15" hidden="false" customHeight="false" outlineLevel="0" collapsed="false">
      <c r="A2166" s="12" t="n">
        <v>45149</v>
      </c>
      <c r="B2166" s="15" t="n">
        <v>83.19</v>
      </c>
      <c r="C2166" s="15" t="n">
        <v>86.81</v>
      </c>
      <c r="D2166" s="14" t="n">
        <f aca="false">AVERAGE(B2147:B2166)</f>
        <v>79.9035</v>
      </c>
      <c r="E2166" s="14" t="n">
        <f aca="false">(B2166-D2166)/D2166*100</f>
        <v>4.11308641048265</v>
      </c>
    </row>
    <row r="2167" customFormat="false" ht="15" hidden="false" customHeight="false" outlineLevel="0" collapsed="false">
      <c r="A2167" s="12" t="n">
        <v>45152</v>
      </c>
      <c r="B2167" s="15" t="n">
        <v>82.51</v>
      </c>
      <c r="C2167" s="15" t="n">
        <v>86.21</v>
      </c>
      <c r="D2167" s="14" t="n">
        <f aca="false">AVERAGE(B2148:B2167)</f>
        <v>80.3215</v>
      </c>
      <c r="E2167" s="14" t="n">
        <f aca="false">(B2167-D2167)/D2167*100</f>
        <v>2.72467521149382</v>
      </c>
    </row>
    <row r="2168" customFormat="false" ht="15" hidden="false" customHeight="false" outlineLevel="0" collapsed="false">
      <c r="A2168" s="12" t="n">
        <v>45153</v>
      </c>
      <c r="B2168" s="15" t="n">
        <v>80.99</v>
      </c>
      <c r="C2168" s="15" t="n">
        <v>84.89</v>
      </c>
      <c r="D2168" s="14" t="n">
        <f aca="false">AVERAGE(B2149:B2168)</f>
        <v>80.5835</v>
      </c>
      <c r="E2168" s="14" t="n">
        <f aca="false">(B2168-D2168)/D2168*100</f>
        <v>0.504445699181587</v>
      </c>
    </row>
    <row r="2169" customFormat="false" ht="15" hidden="false" customHeight="false" outlineLevel="0" collapsed="false">
      <c r="A2169" s="12" t="n">
        <v>45154</v>
      </c>
      <c r="B2169" s="15" t="n">
        <v>79.38</v>
      </c>
      <c r="C2169" s="15" t="n">
        <v>83.45</v>
      </c>
      <c r="D2169" s="14" t="n">
        <f aca="false">AVERAGE(B2150:B2169)</f>
        <v>80.785</v>
      </c>
      <c r="E2169" s="14" t="n">
        <f aca="false">(B2169-D2169)/D2169*100</f>
        <v>-1.73918425450269</v>
      </c>
    </row>
    <row r="2170" customFormat="false" ht="15" hidden="false" customHeight="false" outlineLevel="0" collapsed="false">
      <c r="A2170" s="12" t="n">
        <v>45155</v>
      </c>
      <c r="B2170" s="15" t="n">
        <v>80.39</v>
      </c>
      <c r="C2170" s="15" t="n">
        <v>84.12</v>
      </c>
      <c r="D2170" s="14" t="n">
        <f aca="false">AVERAGE(B2151:B2170)</f>
        <v>81.023</v>
      </c>
      <c r="E2170" s="14" t="n">
        <f aca="false">(B2170-D2170)/D2170*100</f>
        <v>-0.781259642323779</v>
      </c>
    </row>
    <row r="2171" customFormat="false" ht="15" hidden="false" customHeight="false" outlineLevel="0" collapsed="false">
      <c r="A2171" s="12" t="n">
        <v>45156</v>
      </c>
      <c r="B2171" s="15" t="n">
        <v>81.25</v>
      </c>
      <c r="C2171" s="15" t="n">
        <v>84.8</v>
      </c>
      <c r="D2171" s="14" t="n">
        <f aca="false">AVERAGE(B2152:B2171)</f>
        <v>81.232</v>
      </c>
      <c r="E2171" s="14" t="n">
        <f aca="false">(B2171-D2171)/D2171*100</f>
        <v>0.022158755170377</v>
      </c>
    </row>
    <row r="2172" customFormat="false" ht="15" hidden="false" customHeight="false" outlineLevel="0" collapsed="false">
      <c r="A2172" s="12" t="n">
        <v>45159</v>
      </c>
      <c r="B2172" s="15" t="n">
        <v>80.72</v>
      </c>
      <c r="C2172" s="15" t="n">
        <v>84.46</v>
      </c>
      <c r="D2172" s="14" t="n">
        <f aca="false">AVERAGE(B2153:B2172)</f>
        <v>81.331</v>
      </c>
      <c r="E2172" s="14" t="n">
        <f aca="false">(B2172-D2172)/D2172*100</f>
        <v>-0.751251060481231</v>
      </c>
    </row>
    <row r="2173" customFormat="false" ht="15" hidden="false" customHeight="false" outlineLevel="0" collapsed="false">
      <c r="A2173" s="12" t="n">
        <v>45160</v>
      </c>
      <c r="B2173" s="15" t="n">
        <v>80.35</v>
      </c>
      <c r="C2173" s="15" t="n">
        <v>84.03</v>
      </c>
      <c r="D2173" s="14" t="n">
        <f aca="false">AVERAGE(B2154:B2173)</f>
        <v>81.367</v>
      </c>
      <c r="E2173" s="14" t="n">
        <f aca="false">(B2173-D2173)/D2173*100</f>
        <v>-1.24989246254624</v>
      </c>
    </row>
    <row r="2174" customFormat="false" ht="15" hidden="false" customHeight="false" outlineLevel="0" collapsed="false">
      <c r="A2174" s="12" t="n">
        <v>45161</v>
      </c>
      <c r="B2174" s="15" t="n">
        <v>78.89</v>
      </c>
      <c r="C2174" s="15" t="n">
        <v>83.21</v>
      </c>
      <c r="D2174" s="14" t="n">
        <f aca="false">AVERAGE(B2155:B2174)</f>
        <v>81.3725</v>
      </c>
      <c r="E2174" s="14" t="n">
        <f aca="false">(B2174-D2174)/D2174*100</f>
        <v>-3.05078497035239</v>
      </c>
    </row>
    <row r="2175" customFormat="false" ht="15" hidden="false" customHeight="false" outlineLevel="0" collapsed="false">
      <c r="A2175" s="12" t="n">
        <v>45162</v>
      </c>
      <c r="B2175" s="15" t="n">
        <v>79.05</v>
      </c>
      <c r="C2175" s="15" t="n">
        <v>83.36</v>
      </c>
      <c r="D2175" s="14" t="n">
        <f aca="false">AVERAGE(B2156:B2175)</f>
        <v>81.3205</v>
      </c>
      <c r="E2175" s="14" t="n">
        <f aca="false">(B2175-D2175)/D2175*100</f>
        <v>-2.79203890777848</v>
      </c>
    </row>
    <row r="2176" customFormat="false" ht="15" hidden="false" customHeight="false" outlineLevel="0" collapsed="false">
      <c r="A2176" s="12" t="n">
        <v>45163</v>
      </c>
      <c r="B2176" s="15" t="n">
        <v>79.83</v>
      </c>
      <c r="C2176" s="15" t="n">
        <v>84.48</v>
      </c>
      <c r="D2176" s="14" t="n">
        <f aca="false">AVERAGE(B2157:B2176)</f>
        <v>81.283</v>
      </c>
      <c r="E2176" s="14" t="n">
        <f aca="false">(B2176-D2176)/D2176*100</f>
        <v>-1.7875816591415</v>
      </c>
    </row>
    <row r="2177" customFormat="false" ht="15" hidden="false" customHeight="false" outlineLevel="0" collapsed="false">
      <c r="A2177" s="12" t="n">
        <v>45166</v>
      </c>
      <c r="B2177" s="15" t="n">
        <v>80.1</v>
      </c>
      <c r="C2177" s="15" t="n">
        <v>84.42</v>
      </c>
      <c r="D2177" s="14" t="n">
        <f aca="false">AVERAGE(B2158:B2177)</f>
        <v>81.198</v>
      </c>
      <c r="E2177" s="14" t="n">
        <f aca="false">(B2177-D2177)/D2177*100</f>
        <v>-1.3522500554201</v>
      </c>
    </row>
    <row r="2178" customFormat="false" ht="15" hidden="false" customHeight="false" outlineLevel="0" collapsed="false">
      <c r="A2178" s="12" t="n">
        <v>45167</v>
      </c>
      <c r="B2178" s="15" t="n">
        <v>81.16</v>
      </c>
      <c r="C2178" s="15" t="n">
        <v>85.49</v>
      </c>
      <c r="D2178" s="14" t="n">
        <f aca="false">AVERAGE(B2159:B2178)</f>
        <v>81.1875</v>
      </c>
      <c r="E2178" s="14" t="n">
        <f aca="false">(B2178-D2178)/D2178*100</f>
        <v>-0.0338722093918441</v>
      </c>
    </row>
    <row r="2179" customFormat="false" ht="15" hidden="false" customHeight="false" outlineLevel="0" collapsed="false">
      <c r="A2179" s="12" t="n">
        <v>45168</v>
      </c>
      <c r="B2179" s="15" t="n">
        <v>81.63</v>
      </c>
      <c r="C2179" s="15" t="n">
        <v>85.86</v>
      </c>
      <c r="D2179" s="14" t="n">
        <f aca="false">AVERAGE(B2160:B2179)</f>
        <v>81.2945</v>
      </c>
      <c r="E2179" s="14" t="n">
        <f aca="false">(B2179-D2179)/D2179*100</f>
        <v>0.412697045925611</v>
      </c>
    </row>
    <row r="2180" customFormat="false" ht="15" hidden="false" customHeight="false" outlineLevel="0" collapsed="false">
      <c r="A2180" s="12" t="n">
        <v>45169</v>
      </c>
      <c r="B2180" s="15" t="n">
        <v>83.63</v>
      </c>
      <c r="C2180" s="15" t="n">
        <v>86.86</v>
      </c>
      <c r="D2180" s="14" t="n">
        <f aca="false">AVERAGE(B2161:B2180)</f>
        <v>81.3985</v>
      </c>
      <c r="E2180" s="14" t="n">
        <f aca="false">(B2180-D2180)/D2180*100</f>
        <v>2.74145100953948</v>
      </c>
    </row>
    <row r="2181" customFormat="false" ht="15" hidden="false" customHeight="false" outlineLevel="0" collapsed="false">
      <c r="A2181" s="12" t="n">
        <v>45170</v>
      </c>
      <c r="B2181" s="15" t="n">
        <v>85.55</v>
      </c>
      <c r="C2181" s="15" t="n">
        <v>88.55</v>
      </c>
      <c r="D2181" s="14" t="n">
        <f aca="false">AVERAGE(B2162:B2181)</f>
        <v>81.535</v>
      </c>
      <c r="E2181" s="14" t="n">
        <f aca="false">(B2181-D2181)/D2181*100</f>
        <v>4.92426565278715</v>
      </c>
    </row>
    <row r="2182" customFormat="false" ht="15" hidden="false" customHeight="false" outlineLevel="0" collapsed="false">
      <c r="A2182" s="12" t="n">
        <v>45174</v>
      </c>
      <c r="B2182" s="15" t="n">
        <v>86.69</v>
      </c>
      <c r="C2182" s="15" t="n">
        <v>90.04</v>
      </c>
      <c r="D2182" s="14" t="n">
        <f aca="false">AVERAGE(B2163:B2182)</f>
        <v>81.7725</v>
      </c>
      <c r="E2182" s="14" t="n">
        <f aca="false">(B2182-D2182)/D2182*100</f>
        <v>6.013635390871</v>
      </c>
    </row>
    <row r="2183" customFormat="false" ht="15" hidden="false" customHeight="false" outlineLevel="0" collapsed="false">
      <c r="A2183" s="12" t="n">
        <v>45175</v>
      </c>
      <c r="B2183" s="15" t="n">
        <v>87.54</v>
      </c>
      <c r="C2183" s="15" t="n">
        <v>90.6</v>
      </c>
      <c r="D2183" s="14" t="n">
        <f aca="false">AVERAGE(B2164:B2183)</f>
        <v>82.0035</v>
      </c>
      <c r="E2183" s="14" t="n">
        <f aca="false">(B2183-D2183)/D2183*100</f>
        <v>6.75154109275824</v>
      </c>
    </row>
    <row r="2184" customFormat="false" ht="15" hidden="false" customHeight="false" outlineLevel="0" collapsed="false">
      <c r="A2184" s="12" t="n">
        <v>45176</v>
      </c>
      <c r="B2184" s="15" t="n">
        <v>86.87</v>
      </c>
      <c r="C2184" s="15" t="n">
        <v>89.92</v>
      </c>
      <c r="D2184" s="14" t="n">
        <f aca="false">AVERAGE(B2165:B2184)</f>
        <v>82.127</v>
      </c>
      <c r="E2184" s="14" t="n">
        <f aca="false">(B2184-D2184)/D2184*100</f>
        <v>5.77520182156905</v>
      </c>
    </row>
    <row r="2185" customFormat="false" ht="15" hidden="false" customHeight="false" outlineLevel="0" collapsed="false">
      <c r="A2185" s="12" t="n">
        <v>45177</v>
      </c>
      <c r="B2185" s="15" t="n">
        <v>87.51</v>
      </c>
      <c r="C2185" s="15" t="n">
        <v>90.65</v>
      </c>
      <c r="D2185" s="14" t="n">
        <f aca="false">AVERAGE(B2166:B2185)</f>
        <v>82.3615</v>
      </c>
      <c r="E2185" s="14" t="n">
        <f aca="false">(B2185-D2185)/D2185*100</f>
        <v>6.25110033207263</v>
      </c>
    </row>
    <row r="2186" customFormat="false" ht="15" hidden="false" customHeight="false" outlineLevel="0" collapsed="false">
      <c r="A2186" s="12" t="n">
        <v>45180</v>
      </c>
      <c r="B2186" s="15" t="n">
        <v>87.29</v>
      </c>
      <c r="C2186" s="15" t="n">
        <v>90.64</v>
      </c>
      <c r="D2186" s="14" t="n">
        <f aca="false">AVERAGE(B2167:B2186)</f>
        <v>82.5665</v>
      </c>
      <c r="E2186" s="14" t="n">
        <f aca="false">(B2186-D2186)/D2186*100</f>
        <v>5.72084319911831</v>
      </c>
    </row>
    <row r="2187" customFormat="false" ht="15" hidden="false" customHeight="false" outlineLevel="0" collapsed="false">
      <c r="A2187" s="12" t="n">
        <v>45181</v>
      </c>
      <c r="B2187" s="15" t="n">
        <v>88.84</v>
      </c>
      <c r="C2187" s="15" t="n">
        <v>92.06</v>
      </c>
      <c r="D2187" s="14" t="n">
        <f aca="false">AVERAGE(B2168:B2187)</f>
        <v>82.883</v>
      </c>
      <c r="E2187" s="14" t="n">
        <f aca="false">(B2187-D2187)/D2187*100</f>
        <v>7.1872398441176</v>
      </c>
    </row>
    <row r="2188" customFormat="false" ht="15" hidden="false" customHeight="false" outlineLevel="0" collapsed="false">
      <c r="A2188" s="12" t="n">
        <v>45182</v>
      </c>
      <c r="B2188" s="15" t="n">
        <v>88.52</v>
      </c>
      <c r="C2188" s="15" t="n">
        <v>91.88</v>
      </c>
      <c r="D2188" s="14" t="n">
        <f aca="false">AVERAGE(B2169:B2188)</f>
        <v>83.2595</v>
      </c>
      <c r="E2188" s="14" t="n">
        <f aca="false">(B2188-D2188)/D2188*100</f>
        <v>6.31819792336009</v>
      </c>
    </row>
    <row r="2189" customFormat="false" ht="15" hidden="false" customHeight="false" outlineLevel="0" collapsed="false">
      <c r="A2189" s="12" t="n">
        <v>45183</v>
      </c>
      <c r="B2189" s="15" t="n">
        <v>90.16</v>
      </c>
      <c r="C2189" s="15" t="n">
        <v>93.7</v>
      </c>
      <c r="D2189" s="14" t="n">
        <f aca="false">AVERAGE(B2170:B2189)</f>
        <v>83.7985</v>
      </c>
      <c r="E2189" s="14" t="n">
        <f aca="false">(B2189-D2189)/D2189*100</f>
        <v>7.59142466750597</v>
      </c>
    </row>
    <row r="2190" customFormat="false" ht="15" hidden="false" customHeight="false" outlineLevel="0" collapsed="false">
      <c r="A2190" s="12" t="n">
        <v>45184</v>
      </c>
      <c r="B2190" s="15" t="n">
        <v>90.77</v>
      </c>
      <c r="C2190" s="15" t="n">
        <v>93.93</v>
      </c>
      <c r="D2190" s="14" t="n">
        <f aca="false">AVERAGE(B2171:B2190)</f>
        <v>84.3175</v>
      </c>
      <c r="E2190" s="14" t="n">
        <f aca="false">(B2190-D2190)/D2190*100</f>
        <v>7.65262252794497</v>
      </c>
    </row>
    <row r="2191" customFormat="false" ht="15" hidden="false" customHeight="false" outlineLevel="0" collapsed="false">
      <c r="A2191" s="12" t="n">
        <v>45187</v>
      </c>
      <c r="B2191" s="15" t="n">
        <v>91.48</v>
      </c>
      <c r="C2191" s="15" t="n">
        <v>94.43</v>
      </c>
      <c r="D2191" s="14" t="n">
        <f aca="false">AVERAGE(B2172:B2191)</f>
        <v>84.829</v>
      </c>
      <c r="E2191" s="14" t="n">
        <f aca="false">(B2191-D2191)/D2191*100</f>
        <v>7.84047908144622</v>
      </c>
    </row>
    <row r="2192" customFormat="false" ht="15" hidden="false" customHeight="false" outlineLevel="0" collapsed="false">
      <c r="A2192" s="12" t="n">
        <v>45188</v>
      </c>
      <c r="B2192" s="15" t="n">
        <v>91.2</v>
      </c>
      <c r="C2192" s="15" t="n">
        <v>94.34</v>
      </c>
      <c r="D2192" s="14" t="n">
        <f aca="false">AVERAGE(B2173:B2192)</f>
        <v>85.353</v>
      </c>
      <c r="E2192" s="14" t="n">
        <f aca="false">(B2192-D2192)/D2192*100</f>
        <v>6.85037432779165</v>
      </c>
    </row>
    <row r="2193" customFormat="false" ht="15" hidden="false" customHeight="false" outlineLevel="0" collapsed="false">
      <c r="A2193" s="12" t="n">
        <v>45189</v>
      </c>
      <c r="B2193" s="15" t="n">
        <v>90.28</v>
      </c>
      <c r="C2193" s="15" t="n">
        <v>93.53</v>
      </c>
      <c r="D2193" s="14" t="n">
        <f aca="false">AVERAGE(B2174:B2193)</f>
        <v>85.8495</v>
      </c>
      <c r="E2193" s="14" t="n">
        <f aca="false">(B2193-D2193)/D2193*100</f>
        <v>5.16077554324719</v>
      </c>
    </row>
    <row r="2194" customFormat="false" ht="15" hidden="false" customHeight="false" outlineLevel="0" collapsed="false">
      <c r="A2194" s="12" t="n">
        <v>45190</v>
      </c>
      <c r="B2194" s="15" t="n">
        <v>89.63</v>
      </c>
      <c r="C2194" s="15" t="n">
        <v>93.3</v>
      </c>
      <c r="D2194" s="14" t="n">
        <f aca="false">AVERAGE(B2175:B2194)</f>
        <v>86.3865</v>
      </c>
      <c r="E2194" s="14" t="n">
        <f aca="false">(B2194-D2194)/D2194*100</f>
        <v>3.75463758804906</v>
      </c>
    </row>
    <row r="2195" customFormat="false" ht="15" hidden="false" customHeight="false" outlineLevel="0" collapsed="false">
      <c r="A2195" s="12" t="n">
        <v>45191</v>
      </c>
      <c r="B2195" s="15" t="n">
        <v>90.03</v>
      </c>
      <c r="C2195" s="15" t="n">
        <v>93.27</v>
      </c>
      <c r="D2195" s="14" t="n">
        <f aca="false">AVERAGE(B2176:B2195)</f>
        <v>86.9355</v>
      </c>
      <c r="E2195" s="14" t="n">
        <f aca="false">(B2195-D2195)/D2195*100</f>
        <v>3.5595355177114</v>
      </c>
    </row>
    <row r="2196" customFormat="false" ht="15" hidden="false" customHeight="false" outlineLevel="0" collapsed="false">
      <c r="A2196" s="12" t="n">
        <v>45194</v>
      </c>
      <c r="B2196" s="15" t="n">
        <v>89.68</v>
      </c>
      <c r="C2196" s="15" t="n">
        <v>93.29</v>
      </c>
      <c r="D2196" s="14" t="n">
        <f aca="false">AVERAGE(B2177:B2196)</f>
        <v>87.428</v>
      </c>
      <c r="E2196" s="14" t="n">
        <f aca="false">(B2196-D2196)/D2196*100</f>
        <v>2.57583382897929</v>
      </c>
    </row>
    <row r="2197" customFormat="false" ht="15" hidden="false" customHeight="false" outlineLevel="0" collapsed="false">
      <c r="A2197" s="12" t="n">
        <v>45195</v>
      </c>
      <c r="B2197" s="15" t="n">
        <v>90.39</v>
      </c>
      <c r="C2197" s="15" t="n">
        <v>93.96</v>
      </c>
      <c r="D2197" s="14" t="n">
        <f aca="false">AVERAGE(B2178:B2197)</f>
        <v>87.9425</v>
      </c>
      <c r="E2197" s="14" t="n">
        <f aca="false">(B2197-D2197)/D2197*100</f>
        <v>2.78306848224693</v>
      </c>
    </row>
    <row r="2198" customFormat="false" ht="15" hidden="false" customHeight="false" outlineLevel="0" collapsed="false">
      <c r="A2198" s="12" t="n">
        <v>45196</v>
      </c>
      <c r="B2198" s="15" t="n">
        <v>93.68</v>
      </c>
      <c r="C2198" s="15" t="n">
        <v>96.55</v>
      </c>
      <c r="D2198" s="14" t="n">
        <f aca="false">AVERAGE(B2179:B2198)</f>
        <v>88.5685</v>
      </c>
      <c r="E2198" s="14" t="n">
        <f aca="false">(B2198-D2198)/D2198*100</f>
        <v>5.77123921032874</v>
      </c>
    </row>
    <row r="2199" customFormat="false" ht="15" hidden="false" customHeight="false" outlineLevel="0" collapsed="false">
      <c r="A2199" s="12" t="n">
        <v>45197</v>
      </c>
      <c r="B2199" s="15" t="n">
        <v>91.71</v>
      </c>
      <c r="C2199" s="15" t="n">
        <v>95.38</v>
      </c>
      <c r="D2199" s="14" t="n">
        <f aca="false">AVERAGE(B2180:B2199)</f>
        <v>89.0725</v>
      </c>
      <c r="E2199" s="14" t="n">
        <f aca="false">(B2199-D2199)/D2199*100</f>
        <v>2.96107103763787</v>
      </c>
    </row>
    <row r="2200" customFormat="false" ht="15" hidden="false" customHeight="false" outlineLevel="0" collapsed="false">
      <c r="A2200" s="12" t="n">
        <v>45198</v>
      </c>
      <c r="B2200" s="15" t="n">
        <v>90.79</v>
      </c>
      <c r="C2200" s="15" t="n">
        <v>95.31</v>
      </c>
      <c r="D2200" s="14" t="n">
        <f aca="false">AVERAGE(B2181:B2200)</f>
        <v>89.4305</v>
      </c>
      <c r="E2200" s="14" t="n">
        <f aca="false">(B2200-D2200)/D2200*100</f>
        <v>1.52017488440744</v>
      </c>
    </row>
    <row r="2201" customFormat="false" ht="15" hidden="false" customHeight="false" outlineLevel="0" collapsed="false">
      <c r="A2201" s="12" t="n">
        <v>45201</v>
      </c>
      <c r="B2201" s="15" t="n">
        <v>88.82</v>
      </c>
      <c r="C2201" s="15" t="n">
        <v>90.71</v>
      </c>
      <c r="D2201" s="14" t="n">
        <f aca="false">AVERAGE(B2182:B2201)</f>
        <v>89.594</v>
      </c>
      <c r="E2201" s="14" t="n">
        <f aca="false">(B2201-D2201)/D2201*100</f>
        <v>-0.863897135968943</v>
      </c>
    </row>
    <row r="2202" customFormat="false" ht="15" hidden="false" customHeight="false" outlineLevel="0" collapsed="false">
      <c r="A2202" s="12" t="n">
        <v>45202</v>
      </c>
      <c r="B2202" s="15" t="n">
        <v>89.23</v>
      </c>
      <c r="C2202" s="15" t="n">
        <v>90.92</v>
      </c>
      <c r="D2202" s="14" t="n">
        <f aca="false">AVERAGE(B2183:B2202)</f>
        <v>89.721</v>
      </c>
      <c r="E2202" s="14" t="n">
        <f aca="false">(B2202-D2202)/D2202*100</f>
        <v>-0.547252036869852</v>
      </c>
    </row>
    <row r="2203" customFormat="false" ht="15" hidden="false" customHeight="false" outlineLevel="0" collapsed="false">
      <c r="A2203" s="12" t="n">
        <v>45203</v>
      </c>
      <c r="B2203" s="15" t="n">
        <v>84.22</v>
      </c>
      <c r="C2203" s="15" t="n">
        <v>85.81</v>
      </c>
      <c r="D2203" s="14" t="n">
        <f aca="false">AVERAGE(B2184:B2203)</f>
        <v>89.555</v>
      </c>
      <c r="E2203" s="14" t="n">
        <f aca="false">(B2203-D2203)/D2203*100</f>
        <v>-5.95723298531628</v>
      </c>
    </row>
    <row r="2204" customFormat="false" ht="15" hidden="false" customHeight="false" outlineLevel="0" collapsed="false">
      <c r="A2204" s="12" t="n">
        <v>45204</v>
      </c>
      <c r="B2204" s="15" t="n">
        <v>82.31</v>
      </c>
      <c r="C2204" s="15" t="n">
        <v>84.07</v>
      </c>
      <c r="D2204" s="14" t="n">
        <f aca="false">AVERAGE(B2185:B2204)</f>
        <v>89.327</v>
      </c>
      <c r="E2204" s="14" t="n">
        <f aca="false">(B2204-D2204)/D2204*100</f>
        <v>-7.85540765949824</v>
      </c>
    </row>
    <row r="2205" customFormat="false" ht="15" hidden="false" customHeight="false" outlineLevel="0" collapsed="false">
      <c r="A2205" s="12" t="n">
        <v>45205</v>
      </c>
      <c r="B2205" s="15" t="n">
        <v>82.79</v>
      </c>
      <c r="C2205" s="15" t="n">
        <v>84.58</v>
      </c>
      <c r="D2205" s="14" t="n">
        <f aca="false">AVERAGE(B2186:B2205)</f>
        <v>89.091</v>
      </c>
      <c r="E2205" s="14" t="n">
        <f aca="false">(B2205-D2205)/D2205*100</f>
        <v>-7.07254380352672</v>
      </c>
    </row>
    <row r="2206" customFormat="false" ht="15" hidden="false" customHeight="false" outlineLevel="0" collapsed="false">
      <c r="A2206" s="12" t="n">
        <v>45208</v>
      </c>
      <c r="B2206" s="15" t="n">
        <v>86.38</v>
      </c>
      <c r="C2206" s="15" t="n">
        <v>88.15</v>
      </c>
      <c r="D2206" s="14" t="n">
        <f aca="false">AVERAGE(B2187:B2206)</f>
        <v>89.0455</v>
      </c>
      <c r="E2206" s="14" t="n">
        <f aca="false">(B2206-D2206)/D2206*100</f>
        <v>-2.99341347962559</v>
      </c>
    </row>
    <row r="2207" customFormat="false" ht="15" hidden="false" customHeight="false" outlineLevel="0" collapsed="false">
      <c r="A2207" s="12" t="n">
        <v>45209</v>
      </c>
      <c r="B2207" s="15" t="n">
        <v>85.97</v>
      </c>
      <c r="C2207" s="15" t="n">
        <v>87.65</v>
      </c>
      <c r="D2207" s="14" t="n">
        <f aca="false">AVERAGE(B2188:B2207)</f>
        <v>88.902</v>
      </c>
      <c r="E2207" s="14" t="n">
        <f aca="false">(B2207-D2207)/D2207*100</f>
        <v>-3.29801354300241</v>
      </c>
    </row>
    <row r="2208" customFormat="false" ht="15" hidden="false" customHeight="false" outlineLevel="0" collapsed="false">
      <c r="A2208" s="12" t="n">
        <v>45210</v>
      </c>
      <c r="B2208" s="15" t="n">
        <v>83.49</v>
      </c>
      <c r="C2208" s="15" t="n">
        <v>85.82</v>
      </c>
      <c r="D2208" s="14" t="n">
        <f aca="false">AVERAGE(B2189:B2208)</f>
        <v>88.6505</v>
      </c>
      <c r="E2208" s="14" t="n">
        <f aca="false">(B2208-D2208)/D2208*100</f>
        <v>-5.82117416145425</v>
      </c>
    </row>
    <row r="2209" customFormat="false" ht="15" hidden="false" customHeight="false" outlineLevel="0" collapsed="false">
      <c r="A2209" s="12" t="n">
        <v>45211</v>
      </c>
      <c r="B2209" s="15" t="n">
        <v>82.91</v>
      </c>
      <c r="C2209" s="15" t="n">
        <v>86</v>
      </c>
      <c r="D2209" s="14" t="n">
        <f aca="false">AVERAGE(B2190:B2209)</f>
        <v>88.288</v>
      </c>
      <c r="E2209" s="14" t="n">
        <f aca="false">(B2209-D2209)/D2209*100</f>
        <v>-6.09142805364262</v>
      </c>
    </row>
    <row r="2210" customFormat="false" ht="15" hidden="false" customHeight="false" outlineLevel="0" collapsed="false">
      <c r="A2210" s="12" t="n">
        <v>45212</v>
      </c>
      <c r="B2210" s="15" t="n">
        <v>87.69</v>
      </c>
      <c r="C2210" s="15" t="n">
        <v>90.89</v>
      </c>
      <c r="D2210" s="14" t="n">
        <f aca="false">AVERAGE(B2191:B2210)</f>
        <v>88.134</v>
      </c>
      <c r="E2210" s="14" t="n">
        <f aca="false">(B2210-D2210)/D2210*100</f>
        <v>-0.503778337531489</v>
      </c>
    </row>
    <row r="2211" customFormat="false" ht="15" hidden="false" customHeight="false" outlineLevel="0" collapsed="false">
      <c r="A2211" s="12" t="n">
        <v>45215</v>
      </c>
      <c r="B2211" s="15" t="n">
        <v>86.66</v>
      </c>
      <c r="C2211" s="15" t="n">
        <v>89.65</v>
      </c>
      <c r="D2211" s="14" t="n">
        <f aca="false">AVERAGE(B2192:B2211)</f>
        <v>87.893</v>
      </c>
      <c r="E2211" s="14" t="n">
        <f aca="false">(B2211-D2211)/D2211*100</f>
        <v>-1.40284209208925</v>
      </c>
    </row>
    <row r="2212" customFormat="false" ht="15" hidden="false" customHeight="false" outlineLevel="0" collapsed="false">
      <c r="A2212" s="12" t="n">
        <v>45216</v>
      </c>
      <c r="B2212" s="15" t="n">
        <v>86.66</v>
      </c>
      <c r="C2212" s="15" t="n">
        <v>89.9</v>
      </c>
      <c r="D2212" s="14" t="n">
        <f aca="false">AVERAGE(B2193:B2212)</f>
        <v>87.666</v>
      </c>
      <c r="E2212" s="14" t="n">
        <f aca="false">(B2212-D2212)/D2212*100</f>
        <v>-1.14753724362923</v>
      </c>
    </row>
    <row r="2213" customFormat="false" ht="15" hidden="false" customHeight="false" outlineLevel="0" collapsed="false">
      <c r="A2213" s="12" t="n">
        <v>45217</v>
      </c>
      <c r="B2213" s="15" t="n">
        <v>88.32</v>
      </c>
      <c r="C2213" s="15" t="n">
        <v>91.5</v>
      </c>
      <c r="D2213" s="14" t="n">
        <f aca="false">AVERAGE(B2194:B2213)</f>
        <v>87.568</v>
      </c>
      <c r="E2213" s="14" t="n">
        <f aca="false">(B2213-D2213)/D2213*100</f>
        <v>0.858761191302754</v>
      </c>
    </row>
    <row r="2214" customFormat="false" ht="15" hidden="false" customHeight="false" outlineLevel="0" collapsed="false">
      <c r="A2214" s="12" t="n">
        <v>45218</v>
      </c>
      <c r="B2214" s="15" t="n">
        <v>89.37</v>
      </c>
      <c r="C2214" s="15" t="n">
        <v>92.38</v>
      </c>
      <c r="D2214" s="14" t="n">
        <f aca="false">AVERAGE(B2195:B2214)</f>
        <v>87.555</v>
      </c>
      <c r="E2214" s="14" t="n">
        <f aca="false">(B2214-D2214)/D2214*100</f>
        <v>2.07298269659073</v>
      </c>
    </row>
    <row r="2215" customFormat="false" ht="15" hidden="false" customHeight="false" outlineLevel="0" collapsed="false">
      <c r="A2215" s="12" t="n">
        <v>45219</v>
      </c>
      <c r="B2215" s="15" t="n">
        <v>88.75</v>
      </c>
      <c r="C2215" s="15" t="n">
        <v>92.16</v>
      </c>
      <c r="D2215" s="14" t="n">
        <f aca="false">AVERAGE(B2196:B2215)</f>
        <v>87.491</v>
      </c>
      <c r="E2215" s="14" t="n">
        <f aca="false">(B2215-D2215)/D2215*100</f>
        <v>1.43900515481592</v>
      </c>
    </row>
    <row r="2216" customFormat="false" ht="15" hidden="false" customHeight="false" outlineLevel="0" collapsed="false">
      <c r="A2216" s="12" t="n">
        <v>45222</v>
      </c>
      <c r="B2216" s="15" t="n">
        <v>85.49</v>
      </c>
      <c r="C2216" s="15" t="n">
        <v>89.83</v>
      </c>
      <c r="D2216" s="14" t="n">
        <f aca="false">AVERAGE(B2197:B2216)</f>
        <v>87.2815</v>
      </c>
      <c r="E2216" s="14" t="n">
        <f aca="false">(B2216-D2216)/D2216*100</f>
        <v>-2.05255409221885</v>
      </c>
    </row>
    <row r="2217" customFormat="false" ht="15" hidden="false" customHeight="false" outlineLevel="0" collapsed="false">
      <c r="A2217" s="12" t="n">
        <v>45223</v>
      </c>
      <c r="B2217" s="15" t="n">
        <v>83.74</v>
      </c>
      <c r="C2217" s="15" t="n">
        <v>88.07</v>
      </c>
      <c r="D2217" s="14" t="n">
        <f aca="false">AVERAGE(B2198:B2217)</f>
        <v>86.949</v>
      </c>
      <c r="E2217" s="14" t="n">
        <f aca="false">(B2217-D2217)/D2217*100</f>
        <v>-3.69066924288951</v>
      </c>
    </row>
    <row r="2218" customFormat="false" ht="15" hidden="false" customHeight="false" outlineLevel="0" collapsed="false">
      <c r="A2218" s="12" t="n">
        <v>45224</v>
      </c>
      <c r="B2218" s="15" t="n">
        <v>85.39</v>
      </c>
      <c r="C2218" s="15" t="n">
        <v>90.13</v>
      </c>
      <c r="D2218" s="14" t="n">
        <f aca="false">AVERAGE(B2199:B2218)</f>
        <v>86.5345</v>
      </c>
      <c r="E2218" s="14" t="n">
        <f aca="false">(B2218-D2218)/D2218*100</f>
        <v>-1.32259387874201</v>
      </c>
    </row>
    <row r="2219" customFormat="false" ht="15" hidden="false" customHeight="false" outlineLevel="0" collapsed="false">
      <c r="A2219" s="12" t="n">
        <v>45225</v>
      </c>
      <c r="B2219" s="15" t="n">
        <v>83.21</v>
      </c>
      <c r="C2219" s="15" t="n">
        <v>87.93</v>
      </c>
      <c r="D2219" s="14" t="n">
        <f aca="false">AVERAGE(B2200:B2219)</f>
        <v>86.1095</v>
      </c>
      <c r="E2219" s="14" t="n">
        <f aca="false">(B2219-D2219)/D2219*100</f>
        <v>-3.36722429000285</v>
      </c>
    </row>
    <row r="2220" customFormat="false" ht="15" hidden="false" customHeight="false" outlineLevel="0" collapsed="false">
      <c r="A2220" s="12" t="n">
        <v>45226</v>
      </c>
      <c r="B2220" s="15" t="n">
        <v>85.54</v>
      </c>
      <c r="C2220" s="15" t="n">
        <v>90.48</v>
      </c>
      <c r="D2220" s="14" t="n">
        <f aca="false">AVERAGE(B2201:B2220)</f>
        <v>85.847</v>
      </c>
      <c r="E2220" s="14" t="n">
        <f aca="false">(B2220-D2220)/D2220*100</f>
        <v>-0.357612962596249</v>
      </c>
    </row>
    <row r="2221" customFormat="false" ht="15" hidden="false" customHeight="false" outlineLevel="0" collapsed="false">
      <c r="A2221" s="12" t="n">
        <v>45229</v>
      </c>
      <c r="B2221" s="15" t="n">
        <v>82.31</v>
      </c>
      <c r="C2221" s="15" t="n">
        <v>87.45</v>
      </c>
      <c r="D2221" s="14" t="n">
        <f aca="false">AVERAGE(B2202:B2221)</f>
        <v>85.5215</v>
      </c>
      <c r="E2221" s="14" t="n">
        <f aca="false">(B2221-D2221)/D2221*100</f>
        <v>-3.75519606180902</v>
      </c>
    </row>
    <row r="2222" customFormat="false" ht="15" hidden="false" customHeight="false" outlineLevel="0" collapsed="false">
      <c r="A2222" s="12" t="n">
        <v>45230</v>
      </c>
      <c r="B2222" s="15" t="n">
        <v>81.02</v>
      </c>
      <c r="C2222" s="15" t="n">
        <v>87.41</v>
      </c>
      <c r="D2222" s="14" t="n">
        <f aca="false">AVERAGE(B2203:B2222)</f>
        <v>85.111</v>
      </c>
      <c r="E2222" s="14" t="n">
        <f aca="false">(B2222-D2222)/D2222*100</f>
        <v>-4.80666423846507</v>
      </c>
    </row>
    <row r="2223" customFormat="false" ht="15" hidden="false" customHeight="false" outlineLevel="0" collapsed="false">
      <c r="A2223" s="12" t="n">
        <v>45231</v>
      </c>
      <c r="B2223" s="15" t="n">
        <v>80.44</v>
      </c>
      <c r="C2223" s="15" t="n">
        <v>84.63</v>
      </c>
      <c r="D2223" s="14" t="n">
        <f aca="false">AVERAGE(B2204:B2223)</f>
        <v>84.922</v>
      </c>
      <c r="E2223" s="14" t="n">
        <f aca="false">(B2223-D2223)/D2223*100</f>
        <v>-5.27778431972869</v>
      </c>
    </row>
    <row r="2224" customFormat="false" ht="15" hidden="false" customHeight="false" outlineLevel="0" collapsed="false">
      <c r="A2224" s="12" t="n">
        <v>45232</v>
      </c>
      <c r="B2224" s="15" t="n">
        <v>82.46</v>
      </c>
      <c r="C2224" s="15" t="n">
        <v>86.85</v>
      </c>
      <c r="D2224" s="14" t="n">
        <f aca="false">AVERAGE(B2205:B2224)</f>
        <v>84.9295</v>
      </c>
      <c r="E2224" s="14" t="n">
        <f aca="false">(B2224-D2224)/D2224*100</f>
        <v>-2.90770580304841</v>
      </c>
    </row>
    <row r="2225" customFormat="false" ht="15" hidden="false" customHeight="false" outlineLevel="0" collapsed="false">
      <c r="A2225" s="12" t="n">
        <v>45233</v>
      </c>
      <c r="B2225" s="15" t="n">
        <v>80.51</v>
      </c>
      <c r="C2225" s="15" t="n">
        <v>84.89</v>
      </c>
      <c r="D2225" s="14" t="n">
        <f aca="false">AVERAGE(B2206:B2225)</f>
        <v>84.8155</v>
      </c>
      <c r="E2225" s="14" t="n">
        <f aca="false">(B2225-D2225)/D2225*100</f>
        <v>-5.07631270227729</v>
      </c>
    </row>
    <row r="2226" customFormat="false" ht="15" hidden="false" customHeight="false" outlineLevel="0" collapsed="false">
      <c r="A2226" s="12" t="n">
        <v>45236</v>
      </c>
      <c r="B2226" s="15" t="n">
        <v>80.82</v>
      </c>
      <c r="C2226" s="15" t="n">
        <v>85.18</v>
      </c>
      <c r="D2226" s="14" t="n">
        <f aca="false">AVERAGE(B2207:B2226)</f>
        <v>84.5375</v>
      </c>
      <c r="E2226" s="14" t="n">
        <f aca="false">(B2226-D2226)/D2226*100</f>
        <v>-4.39745674996304</v>
      </c>
    </row>
    <row r="2227" customFormat="false" ht="15" hidden="false" customHeight="false" outlineLevel="0" collapsed="false">
      <c r="A2227" s="12" t="n">
        <v>45237</v>
      </c>
      <c r="B2227" s="15" t="n">
        <v>77.37</v>
      </c>
      <c r="C2227" s="15" t="n">
        <v>81.61</v>
      </c>
      <c r="D2227" s="14" t="n">
        <f aca="false">AVERAGE(B2208:B2227)</f>
        <v>84.1075</v>
      </c>
      <c r="E2227" s="14" t="n">
        <f aca="false">(B2227-D2227)/D2227*100</f>
        <v>-8.01058169604374</v>
      </c>
    </row>
    <row r="2228" customFormat="false" ht="15" hidden="false" customHeight="false" outlineLevel="0" collapsed="false">
      <c r="A2228" s="12" t="n">
        <v>45238</v>
      </c>
      <c r="B2228" s="15" t="n">
        <v>75.33</v>
      </c>
      <c r="C2228" s="15" t="n">
        <v>79.54</v>
      </c>
      <c r="D2228" s="14" t="n">
        <f aca="false">AVERAGE(B2209:B2228)</f>
        <v>83.6995</v>
      </c>
      <c r="E2228" s="14" t="n">
        <f aca="false">(B2228-D2228)/D2228*100</f>
        <v>-9.99946236237971</v>
      </c>
    </row>
    <row r="2229" customFormat="false" ht="15" hidden="false" customHeight="false" outlineLevel="0" collapsed="false">
      <c r="A2229" s="12" t="n">
        <v>45239</v>
      </c>
      <c r="B2229" s="15" t="n">
        <v>75.74</v>
      </c>
      <c r="C2229" s="15" t="n">
        <v>80.01</v>
      </c>
      <c r="D2229" s="14" t="n">
        <f aca="false">AVERAGE(B2210:B2229)</f>
        <v>83.341</v>
      </c>
      <c r="E2229" s="14" t="n">
        <f aca="false">(B2229-D2229)/D2229*100</f>
        <v>-9.12036092679474</v>
      </c>
    </row>
    <row r="2230" customFormat="false" ht="15" hidden="false" customHeight="false" outlineLevel="0" collapsed="false">
      <c r="A2230" s="12" t="n">
        <v>45240</v>
      </c>
      <c r="B2230" s="15" t="n">
        <v>77.17</v>
      </c>
      <c r="C2230" s="15" t="n">
        <v>81.43</v>
      </c>
      <c r="D2230" s="14" t="n">
        <f aca="false">AVERAGE(B2211:B2230)</f>
        <v>82.815</v>
      </c>
      <c r="E2230" s="14" t="n">
        <f aca="false">(B2230-D2230)/D2230*100</f>
        <v>-6.81639799553221</v>
      </c>
    </row>
    <row r="2231" customFormat="false" ht="15" hidden="false" customHeight="false" outlineLevel="0" collapsed="false">
      <c r="A2231" s="12" t="n">
        <v>45243</v>
      </c>
      <c r="B2231" s="15" t="n">
        <v>78.26</v>
      </c>
      <c r="C2231" s="15" t="n">
        <v>82.52</v>
      </c>
      <c r="D2231" s="14" t="n">
        <f aca="false">AVERAGE(B2212:B2231)</f>
        <v>82.395</v>
      </c>
      <c r="E2231" s="14" t="n">
        <f aca="false">(B2231-D2231)/D2231*100</f>
        <v>-5.01850840463621</v>
      </c>
    </row>
    <row r="2232" customFormat="false" ht="15" hidden="false" customHeight="false" outlineLevel="0" collapsed="false">
      <c r="A2232" s="12" t="n">
        <v>45244</v>
      </c>
      <c r="B2232" s="15" t="n">
        <v>78.26</v>
      </c>
      <c r="C2232" s="15" t="n">
        <v>82.47</v>
      </c>
      <c r="D2232" s="14" t="n">
        <f aca="false">AVERAGE(B2213:B2232)</f>
        <v>81.975</v>
      </c>
      <c r="E2232" s="14" t="n">
        <f aca="false">(B2232-D2232)/D2232*100</f>
        <v>-4.53186947240011</v>
      </c>
    </row>
    <row r="2233" customFormat="false" ht="15" hidden="false" customHeight="false" outlineLevel="0" collapsed="false">
      <c r="A2233" s="12" t="n">
        <v>45245</v>
      </c>
      <c r="B2233" s="15" t="n">
        <v>76.66</v>
      </c>
      <c r="C2233" s="15" t="n">
        <v>81.18</v>
      </c>
      <c r="D2233" s="14" t="n">
        <f aca="false">AVERAGE(B2214:B2233)</f>
        <v>81.392</v>
      </c>
      <c r="E2233" s="14" t="n">
        <f aca="false">(B2233-D2233)/D2233*100</f>
        <v>-5.81383919795557</v>
      </c>
    </row>
    <row r="2234" customFormat="false" ht="15" hidden="false" customHeight="false" outlineLevel="0" collapsed="false">
      <c r="A2234" s="12" t="n">
        <v>45246</v>
      </c>
      <c r="B2234" s="15" t="n">
        <v>72.9</v>
      </c>
      <c r="C2234" s="15" t="n">
        <v>77.42</v>
      </c>
      <c r="D2234" s="14" t="n">
        <f aca="false">AVERAGE(B2215:B2234)</f>
        <v>80.5685</v>
      </c>
      <c r="E2234" s="14" t="n">
        <f aca="false">(B2234-D2234)/D2234*100</f>
        <v>-9.51798779920192</v>
      </c>
    </row>
    <row r="2235" customFormat="false" ht="15" hidden="false" customHeight="false" outlineLevel="0" collapsed="false">
      <c r="A2235" s="12" t="n">
        <v>45247</v>
      </c>
      <c r="B2235" s="15" t="n">
        <v>75.89</v>
      </c>
      <c r="C2235" s="15" t="n">
        <v>80.61</v>
      </c>
      <c r="D2235" s="14" t="n">
        <f aca="false">AVERAGE(B2216:B2235)</f>
        <v>79.9255</v>
      </c>
      <c r="E2235" s="14" t="n">
        <f aca="false">(B2235-D2235)/D2235*100</f>
        <v>-5.0490769529124</v>
      </c>
    </row>
    <row r="2236" customFormat="false" ht="15" hidden="false" customHeight="false" outlineLevel="0" collapsed="false">
      <c r="A2236" s="12" t="n">
        <v>45250</v>
      </c>
      <c r="B2236" s="15" t="n">
        <v>77.6</v>
      </c>
      <c r="C2236" s="15" t="n">
        <v>82.32</v>
      </c>
      <c r="D2236" s="14" t="n">
        <f aca="false">AVERAGE(B2217:B2236)</f>
        <v>79.531</v>
      </c>
      <c r="E2236" s="14" t="n">
        <f aca="false">(B2236-D2236)/D2236*100</f>
        <v>-2.42798405653141</v>
      </c>
    </row>
    <row r="2237" customFormat="false" ht="15" hidden="false" customHeight="false" outlineLevel="0" collapsed="false">
      <c r="A2237" s="12" t="n">
        <v>45251</v>
      </c>
      <c r="B2237" s="15" t="n">
        <v>77.77</v>
      </c>
      <c r="C2237" s="15" t="n">
        <v>82.45</v>
      </c>
      <c r="D2237" s="14" t="n">
        <f aca="false">AVERAGE(B2218:B2237)</f>
        <v>79.2325</v>
      </c>
      <c r="E2237" s="14" t="n">
        <f aca="false">(B2237-D2237)/D2237*100</f>
        <v>-1.84583346480296</v>
      </c>
    </row>
    <row r="2238" customFormat="false" ht="15" hidden="false" customHeight="false" outlineLevel="0" collapsed="false">
      <c r="A2238" s="12" t="n">
        <v>45252</v>
      </c>
      <c r="B2238" s="15" t="n">
        <v>77.1</v>
      </c>
      <c r="C2238" s="15" t="n">
        <v>81.96</v>
      </c>
      <c r="D2238" s="14" t="n">
        <f aca="false">AVERAGE(B2219:B2238)</f>
        <v>78.818</v>
      </c>
      <c r="E2238" s="14" t="n">
        <f aca="false">(B2238-D2238)/D2238*100</f>
        <v>-2.17970514349515</v>
      </c>
    </row>
    <row r="2239" customFormat="false" ht="15" hidden="false" customHeight="false" outlineLevel="0" collapsed="false">
      <c r="A2239" s="12" t="n">
        <v>45254</v>
      </c>
      <c r="B2239" s="15" t="n">
        <v>75.54</v>
      </c>
      <c r="C2239" s="15" t="n">
        <v>80.58</v>
      </c>
      <c r="D2239" s="14" t="n">
        <f aca="false">AVERAGE(B2220:B2239)</f>
        <v>78.4345</v>
      </c>
      <c r="E2239" s="14" t="n">
        <f aca="false">(B2239-D2239)/D2239*100</f>
        <v>-3.69034034767863</v>
      </c>
    </row>
    <row r="2240" customFormat="false" ht="15" hidden="false" customHeight="false" outlineLevel="0" collapsed="false">
      <c r="A2240" s="12" t="n">
        <v>45257</v>
      </c>
      <c r="B2240" s="15" t="n">
        <v>74.86</v>
      </c>
      <c r="C2240" s="15" t="n">
        <v>79.98</v>
      </c>
      <c r="D2240" s="14" t="n">
        <f aca="false">AVERAGE(B2221:B2240)</f>
        <v>77.9005</v>
      </c>
      <c r="E2240" s="14" t="n">
        <f aca="false">(B2240-D2240)/D2240*100</f>
        <v>-3.90305582120782</v>
      </c>
    </row>
    <row r="2241" customFormat="false" ht="15" hidden="false" customHeight="false" outlineLevel="0" collapsed="false">
      <c r="A2241" s="12" t="n">
        <v>45258</v>
      </c>
      <c r="B2241" s="15" t="n">
        <v>76.41</v>
      </c>
      <c r="C2241" s="15" t="n">
        <v>81.68</v>
      </c>
      <c r="D2241" s="14" t="n">
        <f aca="false">AVERAGE(B2222:B2241)</f>
        <v>77.6055</v>
      </c>
      <c r="E2241" s="14" t="n">
        <f aca="false">(B2241-D2241)/D2241*100</f>
        <v>-1.54048359974486</v>
      </c>
    </row>
    <row r="2242" customFormat="false" ht="15" hidden="false" customHeight="false" outlineLevel="0" collapsed="false">
      <c r="A2242" s="12" t="n">
        <v>45259</v>
      </c>
      <c r="B2242" s="15" t="n">
        <v>77.86</v>
      </c>
      <c r="C2242" s="15" t="n">
        <v>83.1</v>
      </c>
      <c r="D2242" s="14" t="n">
        <f aca="false">AVERAGE(B2223:B2242)</f>
        <v>77.4475</v>
      </c>
      <c r="E2242" s="14" t="n">
        <f aca="false">(B2242-D2242)/D2242*100</f>
        <v>0.532618870847986</v>
      </c>
    </row>
    <row r="2243" customFormat="false" ht="15" hidden="false" customHeight="false" outlineLevel="0" collapsed="false">
      <c r="A2243" s="12" t="n">
        <v>45260</v>
      </c>
      <c r="B2243" s="15" t="n">
        <v>75.96</v>
      </c>
      <c r="C2243" s="15" t="n">
        <v>82.83</v>
      </c>
      <c r="D2243" s="14" t="n">
        <f aca="false">AVERAGE(B2224:B2243)</f>
        <v>77.2235</v>
      </c>
      <c r="E2243" s="14" t="n">
        <f aca="false">(B2243-D2243)/D2243*100</f>
        <v>-1.63615997720902</v>
      </c>
    </row>
    <row r="2244" customFormat="false" ht="15" hidden="false" customHeight="false" outlineLevel="0" collapsed="false">
      <c r="A2244" s="12" t="n">
        <v>45261</v>
      </c>
      <c r="B2244" s="15" t="n">
        <v>74.07</v>
      </c>
      <c r="C2244" s="15" t="n">
        <v>78.88</v>
      </c>
      <c r="D2244" s="14" t="n">
        <f aca="false">AVERAGE(B2225:B2244)</f>
        <v>76.804</v>
      </c>
      <c r="E2244" s="14" t="n">
        <f aca="false">(B2244-D2244)/D2244*100</f>
        <v>-3.55971043174836</v>
      </c>
    </row>
    <row r="2245" customFormat="false" ht="15" hidden="false" customHeight="false" outlineLevel="0" collapsed="false">
      <c r="A2245" s="12" t="n">
        <v>45264</v>
      </c>
      <c r="B2245" s="15" t="n">
        <v>73.04</v>
      </c>
      <c r="C2245" s="15" t="n">
        <v>78.03</v>
      </c>
      <c r="D2245" s="14" t="n">
        <f aca="false">AVERAGE(B2226:B2245)</f>
        <v>76.4305</v>
      </c>
      <c r="E2245" s="14" t="n">
        <f aca="false">(B2245-D2245)/D2245*100</f>
        <v>-4.43605628643014</v>
      </c>
    </row>
    <row r="2246" customFormat="false" ht="15" hidden="false" customHeight="false" outlineLevel="0" collapsed="false">
      <c r="A2246" s="12" t="n">
        <v>45265</v>
      </c>
      <c r="B2246" s="15" t="n">
        <v>72.32</v>
      </c>
      <c r="C2246" s="15" t="n">
        <v>77.2</v>
      </c>
      <c r="D2246" s="14" t="n">
        <f aca="false">AVERAGE(B2227:B2246)</f>
        <v>76.0055</v>
      </c>
      <c r="E2246" s="14" t="n">
        <f aca="false">(B2246-D2246)/D2246*100</f>
        <v>-4.84899119142694</v>
      </c>
    </row>
    <row r="2247" customFormat="false" ht="15" hidden="false" customHeight="false" outlineLevel="0" collapsed="false">
      <c r="A2247" s="12" t="n">
        <v>45266</v>
      </c>
      <c r="B2247" s="15" t="n">
        <v>69.38</v>
      </c>
      <c r="C2247" s="15" t="n">
        <v>74.3</v>
      </c>
      <c r="D2247" s="14" t="n">
        <f aca="false">AVERAGE(B2228:B2247)</f>
        <v>75.606</v>
      </c>
      <c r="E2247" s="14" t="n">
        <f aca="false">(B2247-D2247)/D2247*100</f>
        <v>-8.23479618019734</v>
      </c>
    </row>
    <row r="2248" customFormat="false" ht="15" hidden="false" customHeight="false" outlineLevel="0" collapsed="false">
      <c r="A2248" s="12" t="n">
        <v>45267</v>
      </c>
      <c r="B2248" s="15" t="n">
        <v>69.34</v>
      </c>
      <c r="C2248" s="15" t="n">
        <v>74.05</v>
      </c>
      <c r="D2248" s="14" t="n">
        <f aca="false">AVERAGE(B2229:B2248)</f>
        <v>75.3065</v>
      </c>
      <c r="E2248" s="14" t="n">
        <f aca="false">(B2248-D2248)/D2248*100</f>
        <v>-7.92295485781439</v>
      </c>
    </row>
    <row r="2249" customFormat="false" ht="15" hidden="false" customHeight="false" outlineLevel="0" collapsed="false">
      <c r="A2249" s="12" t="n">
        <v>45268</v>
      </c>
      <c r="B2249" s="15" t="n">
        <v>71.23</v>
      </c>
      <c r="C2249" s="15" t="n">
        <v>75.84</v>
      </c>
      <c r="D2249" s="14" t="n">
        <f aca="false">AVERAGE(B2230:B2249)</f>
        <v>75.081</v>
      </c>
      <c r="E2249" s="14" t="n">
        <f aca="false">(B2249-D2249)/D2249*100</f>
        <v>-5.12912720928062</v>
      </c>
    </row>
    <row r="2250" customFormat="false" ht="15" hidden="false" customHeight="false" outlineLevel="0" collapsed="false">
      <c r="A2250" s="12" t="n">
        <v>45271</v>
      </c>
      <c r="B2250" s="15" t="n">
        <v>71.32</v>
      </c>
      <c r="C2250" s="15" t="n">
        <v>76.03</v>
      </c>
      <c r="D2250" s="14" t="n">
        <f aca="false">AVERAGE(B2231:B2250)</f>
        <v>74.7885</v>
      </c>
      <c r="E2250" s="14" t="n">
        <f aca="false">(B2250-D2250)/D2250*100</f>
        <v>-4.63774510787087</v>
      </c>
    </row>
    <row r="2251" customFormat="false" ht="15" hidden="false" customHeight="false" outlineLevel="0" collapsed="false">
      <c r="A2251" s="12" t="n">
        <v>45272</v>
      </c>
      <c r="B2251" s="15" t="n">
        <v>68.61</v>
      </c>
      <c r="C2251" s="15" t="n">
        <v>73.24</v>
      </c>
      <c r="D2251" s="14" t="n">
        <f aca="false">AVERAGE(B2232:B2251)</f>
        <v>74.306</v>
      </c>
      <c r="E2251" s="14" t="n">
        <f aca="false">(B2251-D2251)/D2251*100</f>
        <v>-7.66559900950125</v>
      </c>
    </row>
    <row r="2252" customFormat="false" ht="15" hidden="false" customHeight="false" outlineLevel="0" collapsed="false">
      <c r="A2252" s="12" t="n">
        <v>45273</v>
      </c>
      <c r="B2252" s="15" t="n">
        <v>69.47</v>
      </c>
      <c r="C2252" s="15" t="n">
        <v>74.26</v>
      </c>
      <c r="D2252" s="14" t="n">
        <f aca="false">AVERAGE(B2233:B2252)</f>
        <v>73.8665</v>
      </c>
      <c r="E2252" s="14" t="n">
        <f aca="false">(B2252-D2252)/D2252*100</f>
        <v>-5.95195386271179</v>
      </c>
    </row>
    <row r="2253" customFormat="false" ht="15" hidden="false" customHeight="false" outlineLevel="0" collapsed="false">
      <c r="A2253" s="12" t="n">
        <v>45274</v>
      </c>
      <c r="B2253" s="15" t="n">
        <v>71.58</v>
      </c>
      <c r="C2253" s="15" t="n">
        <v>76.61</v>
      </c>
      <c r="D2253" s="14" t="n">
        <f aca="false">AVERAGE(B2234:B2253)</f>
        <v>73.6125</v>
      </c>
      <c r="E2253" s="14" t="n">
        <f aca="false">(B2253-D2253)/D2253*100</f>
        <v>-2.76107997962302</v>
      </c>
    </row>
    <row r="2254" customFormat="false" ht="15" hidden="false" customHeight="false" outlineLevel="0" collapsed="false">
      <c r="A2254" s="12" t="n">
        <v>45275</v>
      </c>
      <c r="B2254" s="15" t="n">
        <v>71.43</v>
      </c>
      <c r="C2254" s="15" t="n">
        <v>76.55</v>
      </c>
      <c r="D2254" s="14" t="n">
        <f aca="false">AVERAGE(B2235:B2254)</f>
        <v>73.539</v>
      </c>
      <c r="E2254" s="14" t="n">
        <f aca="false">(B2254-D2254)/D2254*100</f>
        <v>-2.86786603026965</v>
      </c>
    </row>
    <row r="2255" customFormat="false" ht="15" hidden="false" customHeight="false" outlineLevel="0" collapsed="false">
      <c r="A2255" s="12" t="n">
        <v>45278</v>
      </c>
      <c r="B2255" s="15" t="n">
        <v>72.47</v>
      </c>
      <c r="C2255" s="15" t="n">
        <v>77.95</v>
      </c>
      <c r="D2255" s="14" t="n">
        <f aca="false">AVERAGE(B2236:B2255)</f>
        <v>73.368</v>
      </c>
      <c r="E2255" s="14" t="n">
        <f aca="false">(B2255-D2255)/D2255*100</f>
        <v>-1.22396685203358</v>
      </c>
    </row>
    <row r="2256" customFormat="false" ht="15" hidden="false" customHeight="false" outlineLevel="0" collapsed="false">
      <c r="A2256" s="12" t="n">
        <v>45279</v>
      </c>
      <c r="B2256" s="15" t="n">
        <v>73.44</v>
      </c>
      <c r="C2256" s="15" t="n">
        <v>79.23</v>
      </c>
      <c r="D2256" s="14" t="n">
        <f aca="false">AVERAGE(B2237:B2256)</f>
        <v>73.16</v>
      </c>
      <c r="E2256" s="14" t="n">
        <f aca="false">(B2256-D2256)/D2256*100</f>
        <v>0.382722799343905</v>
      </c>
    </row>
    <row r="2257" customFormat="false" ht="15" hidden="false" customHeight="false" outlineLevel="0" collapsed="false">
      <c r="A2257" s="12" t="n">
        <v>45280</v>
      </c>
      <c r="B2257" s="15" t="n">
        <v>74.22</v>
      </c>
      <c r="C2257" s="15" t="n">
        <v>79.7</v>
      </c>
      <c r="D2257" s="14" t="n">
        <f aca="false">AVERAGE(B2238:B2257)</f>
        <v>72.9825</v>
      </c>
      <c r="E2257" s="14" t="n">
        <f aca="false">(B2257-D2257)/D2257*100</f>
        <v>1.69561196177165</v>
      </c>
    </row>
    <row r="2258" customFormat="false" ht="15" hidden="false" customHeight="false" outlineLevel="0" collapsed="false">
      <c r="A2258" s="12" t="n">
        <v>45281</v>
      </c>
      <c r="B2258" s="15" t="n">
        <v>73.89</v>
      </c>
      <c r="C2258" s="15" t="n">
        <v>79.39</v>
      </c>
      <c r="D2258" s="14" t="n">
        <f aca="false">AVERAGE(B2239:B2258)</f>
        <v>72.822</v>
      </c>
      <c r="E2258" s="14" t="n">
        <f aca="false">(B2258-D2258)/D2258*100</f>
        <v>1.4665897668287</v>
      </c>
    </row>
    <row r="2259" customFormat="false" ht="15" hidden="false" customHeight="false" outlineLevel="0" collapsed="false">
      <c r="A2259" s="12" t="n">
        <v>45282</v>
      </c>
      <c r="B2259" s="15" t="n">
        <v>73.56</v>
      </c>
      <c r="C2259" s="15" t="n">
        <v>79.07</v>
      </c>
      <c r="D2259" s="14" t="n">
        <f aca="false">AVERAGE(B2240:B2259)</f>
        <v>72.723</v>
      </c>
      <c r="E2259" s="14" t="n">
        <f aca="false">(B2259-D2259)/D2259*100</f>
        <v>1.15094261787881</v>
      </c>
    </row>
    <row r="2260" customFormat="false" ht="15" hidden="false" customHeight="false" outlineLevel="0" collapsed="false">
      <c r="A2260" s="12" t="n">
        <v>45286</v>
      </c>
      <c r="B2260" s="15" t="n">
        <v>75.57</v>
      </c>
      <c r="C2260" s="15" t="n">
        <v>81.07</v>
      </c>
      <c r="D2260" s="14" t="n">
        <f aca="false">AVERAGE(B2241:B2260)</f>
        <v>72.7585</v>
      </c>
      <c r="E2260" s="14" t="n">
        <f aca="false">(B2260-D2260)/D2260*100</f>
        <v>3.86415332916428</v>
      </c>
    </row>
    <row r="2261" customFormat="false" ht="15" hidden="false" customHeight="false" outlineLevel="0" collapsed="false">
      <c r="A2261" s="12" t="n">
        <v>45287</v>
      </c>
      <c r="B2261" s="15" t="n">
        <v>74.11</v>
      </c>
      <c r="C2261" s="15" t="n">
        <v>79.65</v>
      </c>
      <c r="D2261" s="14" t="n">
        <f aca="false">AVERAGE(B2242:B2261)</f>
        <v>72.6435</v>
      </c>
      <c r="E2261" s="14" t="n">
        <f aca="false">(B2261-D2261)/D2261*100</f>
        <v>2.01876286247223</v>
      </c>
    </row>
    <row r="2262" customFormat="false" ht="15" hidden="false" customHeight="false" outlineLevel="0" collapsed="false">
      <c r="A2262" s="12" t="n">
        <v>45288</v>
      </c>
      <c r="B2262" s="15" t="n">
        <v>71.77</v>
      </c>
      <c r="C2262" s="15" t="n">
        <v>78.39</v>
      </c>
      <c r="D2262" s="14" t="n">
        <f aca="false">AVERAGE(B2243:B2262)</f>
        <v>72.339</v>
      </c>
      <c r="E2262" s="14" t="n">
        <f aca="false">(B2262-D2262)/D2262*100</f>
        <v>-0.7865743236705</v>
      </c>
    </row>
    <row r="2263" customFormat="false" ht="15" hidden="false" customHeight="false" outlineLevel="0" collapsed="false">
      <c r="A2263" s="12" t="n">
        <v>45289</v>
      </c>
      <c r="B2263" s="15" t="n">
        <v>71.65</v>
      </c>
      <c r="C2263" s="15" t="n">
        <v>77.04</v>
      </c>
      <c r="D2263" s="14" t="n">
        <f aca="false">AVERAGE(B2244:B2263)</f>
        <v>72.1235</v>
      </c>
      <c r="E2263" s="14" t="n">
        <f aca="false">(B2263-D2263)/D2263*100</f>
        <v>-0.656512787094361</v>
      </c>
    </row>
    <row r="2264" customFormat="false" ht="15" hidden="false" customHeight="false" outlineLevel="0" collapsed="false">
      <c r="A2264" s="12" t="n">
        <v>45293</v>
      </c>
      <c r="B2264" s="15" t="n">
        <v>70.38</v>
      </c>
      <c r="C2264" s="15" t="n">
        <v>75.89</v>
      </c>
      <c r="D2264" s="14" t="n">
        <f aca="false">AVERAGE(B2245:B2264)</f>
        <v>71.939</v>
      </c>
      <c r="E2264" s="14" t="n">
        <f aca="false">(B2264-D2264)/D2264*100</f>
        <v>-2.16711380475124</v>
      </c>
    </row>
    <row r="2265" customFormat="false" ht="15" hidden="false" customHeight="false" outlineLevel="0" collapsed="false">
      <c r="A2265" s="12" t="n">
        <v>45294</v>
      </c>
      <c r="B2265" s="15" t="n">
        <v>72.7</v>
      </c>
      <c r="C2265" s="15" t="n">
        <v>78.25</v>
      </c>
      <c r="D2265" s="14" t="n">
        <f aca="false">AVERAGE(B2246:B2265)</f>
        <v>71.922</v>
      </c>
      <c r="E2265" s="14" t="n">
        <f aca="false">(B2265-D2265)/D2265*100</f>
        <v>1.08172742693474</v>
      </c>
    </row>
    <row r="2266" customFormat="false" ht="15" hidden="false" customHeight="false" outlineLevel="0" collapsed="false">
      <c r="A2266" s="12" t="n">
        <v>45295</v>
      </c>
      <c r="B2266" s="15" t="n">
        <v>72.19</v>
      </c>
      <c r="C2266" s="15" t="n">
        <v>77.59</v>
      </c>
      <c r="D2266" s="14" t="n">
        <f aca="false">AVERAGE(B2247:B2266)</f>
        <v>71.9155</v>
      </c>
      <c r="E2266" s="14" t="n">
        <f aca="false">(B2266-D2266)/D2266*100</f>
        <v>0.381697964972785</v>
      </c>
    </row>
    <row r="2267" customFormat="false" ht="15" hidden="false" customHeight="false" outlineLevel="0" collapsed="false">
      <c r="A2267" s="12" t="n">
        <v>45296</v>
      </c>
      <c r="B2267" s="15" t="n">
        <v>73.81</v>
      </c>
      <c r="C2267" s="15" t="n">
        <v>78.76</v>
      </c>
      <c r="D2267" s="14" t="n">
        <f aca="false">AVERAGE(B2248:B2267)</f>
        <v>72.137</v>
      </c>
      <c r="E2267" s="14" t="n">
        <f aca="false">(B2267-D2267)/D2267*100</f>
        <v>2.31919819232849</v>
      </c>
    </row>
    <row r="2268" customFormat="false" ht="15" hidden="false" customHeight="false" outlineLevel="0" collapsed="false">
      <c r="A2268" s="12" t="n">
        <v>45299</v>
      </c>
      <c r="B2268" s="15" t="n">
        <v>70.77</v>
      </c>
      <c r="C2268" s="15" t="n">
        <v>76.12</v>
      </c>
      <c r="D2268" s="14" t="n">
        <f aca="false">AVERAGE(B2249:B2268)</f>
        <v>72.2085</v>
      </c>
      <c r="E2268" s="14" t="n">
        <f aca="false">(B2268-D2268)/D2268*100</f>
        <v>-1.99214773883962</v>
      </c>
    </row>
    <row r="2269" customFormat="false" ht="15" hidden="false" customHeight="false" outlineLevel="0" collapsed="false">
      <c r="A2269" s="12" t="n">
        <v>45300</v>
      </c>
      <c r="B2269" s="15" t="n">
        <v>72.24</v>
      </c>
      <c r="C2269" s="15" t="n">
        <v>77.59</v>
      </c>
      <c r="D2269" s="14" t="n">
        <f aca="false">AVERAGE(B2250:B2269)</f>
        <v>72.259</v>
      </c>
      <c r="E2269" s="14" t="n">
        <f aca="false">(B2269-D2269)/D2269*100</f>
        <v>-0.026294302439842</v>
      </c>
    </row>
    <row r="2270" customFormat="false" ht="15" hidden="false" customHeight="false" outlineLevel="0" collapsed="false">
      <c r="A2270" s="12" t="n">
        <v>45301</v>
      </c>
      <c r="B2270" s="15" t="n">
        <v>71.37</v>
      </c>
      <c r="C2270" s="15" t="n">
        <v>76.8</v>
      </c>
      <c r="D2270" s="14" t="n">
        <f aca="false">AVERAGE(B2251:B2270)</f>
        <v>72.2615</v>
      </c>
      <c r="E2270" s="14" t="n">
        <f aca="false">(B2270-D2270)/D2270*100</f>
        <v>-1.23371366495297</v>
      </c>
    </row>
    <row r="2271" customFormat="false" ht="15" hidden="false" customHeight="false" outlineLevel="0" collapsed="false">
      <c r="A2271" s="12" t="n">
        <v>45302</v>
      </c>
      <c r="B2271" s="15" t="n">
        <v>72.02</v>
      </c>
      <c r="C2271" s="15" t="n">
        <v>77.41</v>
      </c>
      <c r="D2271" s="14" t="n">
        <f aca="false">AVERAGE(B2252:B2271)</f>
        <v>72.432</v>
      </c>
      <c r="E2271" s="14" t="n">
        <f aca="false">(B2271-D2271)/D2271*100</f>
        <v>-0.568809366026055</v>
      </c>
    </row>
    <row r="2272" customFormat="false" ht="15" hidden="false" customHeight="false" outlineLevel="0" collapsed="false">
      <c r="A2272" s="12" t="n">
        <v>45303</v>
      </c>
      <c r="B2272" s="15" t="n">
        <v>72.68</v>
      </c>
      <c r="C2272" s="15" t="n">
        <v>78.29</v>
      </c>
      <c r="D2272" s="14" t="n">
        <f aca="false">AVERAGE(B2253:B2272)</f>
        <v>72.5925</v>
      </c>
      <c r="E2272" s="14" t="n">
        <f aca="false">(B2272-D2272)/D2272*100</f>
        <v>0.120535868030452</v>
      </c>
    </row>
    <row r="2273" customFormat="false" ht="15" hidden="false" customHeight="false" outlineLevel="0" collapsed="false">
      <c r="A2273" s="12" t="n">
        <v>45307</v>
      </c>
      <c r="B2273" s="15" t="n">
        <v>72.4</v>
      </c>
      <c r="C2273" s="15" t="n">
        <v>78.29</v>
      </c>
      <c r="D2273" s="14" t="n">
        <f aca="false">AVERAGE(B2254:B2273)</f>
        <v>72.6335</v>
      </c>
      <c r="E2273" s="14" t="n">
        <f aca="false">(B2273-D2273)/D2273*100</f>
        <v>-0.321477004412554</v>
      </c>
    </row>
    <row r="2274" customFormat="false" ht="15" hidden="false" customHeight="false" outlineLevel="0" collapsed="false">
      <c r="A2274" s="12" t="n">
        <v>45308</v>
      </c>
      <c r="B2274" s="15" t="n">
        <v>72.56</v>
      </c>
      <c r="C2274" s="15" t="n">
        <v>77.88</v>
      </c>
      <c r="D2274" s="14" t="n">
        <f aca="false">AVERAGE(B2255:B2274)</f>
        <v>72.69</v>
      </c>
      <c r="E2274" s="14" t="n">
        <f aca="false">(B2274-D2274)/D2274*100</f>
        <v>-0.178841656348873</v>
      </c>
    </row>
    <row r="2275" customFormat="false" ht="15" hidden="false" customHeight="false" outlineLevel="0" collapsed="false">
      <c r="A2275" s="12" t="n">
        <v>45309</v>
      </c>
      <c r="B2275" s="15" t="n">
        <v>74.08</v>
      </c>
      <c r="C2275" s="15" t="n">
        <v>79.1</v>
      </c>
      <c r="D2275" s="14" t="n">
        <f aca="false">AVERAGE(B2256:B2275)</f>
        <v>72.7705</v>
      </c>
      <c r="E2275" s="14" t="n">
        <f aca="false">(B2275-D2275)/D2275*100</f>
        <v>1.79949292639188</v>
      </c>
    </row>
    <row r="2276" customFormat="false" ht="15" hidden="false" customHeight="false" outlineLevel="0" collapsed="false">
      <c r="A2276" s="12" t="n">
        <v>45310</v>
      </c>
      <c r="B2276" s="15" t="n">
        <v>73.41</v>
      </c>
      <c r="C2276" s="15" t="n">
        <v>78.56</v>
      </c>
      <c r="D2276" s="14" t="n">
        <f aca="false">AVERAGE(B2257:B2276)</f>
        <v>72.769</v>
      </c>
      <c r="E2276" s="14" t="n">
        <f aca="false">(B2276-D2276)/D2276*100</f>
        <v>0.880869601066376</v>
      </c>
    </row>
    <row r="2277" customFormat="false" ht="15" hidden="false" customHeight="false" outlineLevel="0" collapsed="false">
      <c r="A2277" s="12" t="n">
        <v>45313</v>
      </c>
      <c r="B2277" s="15" t="n">
        <v>75.19</v>
      </c>
      <c r="C2277" s="15" t="n">
        <v>80.06</v>
      </c>
      <c r="D2277" s="14" t="n">
        <f aca="false">AVERAGE(B2258:B2277)</f>
        <v>72.8175</v>
      </c>
      <c r="E2277" s="14" t="n">
        <f aca="false">(B2277-D2277)/D2277*100</f>
        <v>3.25814536340852</v>
      </c>
    </row>
    <row r="2278" customFormat="false" ht="15" hidden="false" customHeight="false" outlineLevel="0" collapsed="false">
      <c r="A2278" s="12" t="n">
        <v>45314</v>
      </c>
      <c r="B2278" s="15" t="n">
        <v>74.37</v>
      </c>
      <c r="C2278" s="15" t="n">
        <v>79.55</v>
      </c>
      <c r="D2278" s="14" t="n">
        <f aca="false">AVERAGE(B2259:B2278)</f>
        <v>72.8415</v>
      </c>
      <c r="E2278" s="14" t="n">
        <f aca="false">(B2278-D2278)/D2278*100</f>
        <v>2.09839171351497</v>
      </c>
    </row>
    <row r="2279" customFormat="false" ht="15" hidden="false" customHeight="false" outlineLevel="0" collapsed="false">
      <c r="A2279" s="12" t="n">
        <v>45315</v>
      </c>
      <c r="B2279" s="15" t="n">
        <v>75.09</v>
      </c>
      <c r="C2279" s="15" t="n">
        <v>80.04</v>
      </c>
      <c r="D2279" s="14" t="n">
        <f aca="false">AVERAGE(B2260:B2279)</f>
        <v>72.918</v>
      </c>
      <c r="E2279" s="14" t="n">
        <f aca="false">(B2279-D2279)/D2279*100</f>
        <v>2.97868838969803</v>
      </c>
    </row>
    <row r="2280" customFormat="false" ht="15" hidden="false" customHeight="false" outlineLevel="0" collapsed="false">
      <c r="A2280" s="12" t="n">
        <v>45316</v>
      </c>
      <c r="B2280" s="15" t="n">
        <v>77.36</v>
      </c>
      <c r="C2280" s="15" t="n">
        <v>82.43</v>
      </c>
      <c r="D2280" s="14" t="n">
        <f aca="false">AVERAGE(B2261:B2280)</f>
        <v>73.0075</v>
      </c>
      <c r="E2280" s="14" t="n">
        <f aca="false">(B2280-D2280)/D2280*100</f>
        <v>5.96171626202786</v>
      </c>
    </row>
    <row r="2281" customFormat="false" ht="15" hidden="false" customHeight="false" outlineLevel="0" collapsed="false">
      <c r="A2281" s="12" t="n">
        <v>45317</v>
      </c>
      <c r="B2281" s="15" t="n">
        <v>78.01</v>
      </c>
      <c r="C2281" s="15" t="n">
        <v>83.55</v>
      </c>
      <c r="D2281" s="14" t="n">
        <f aca="false">AVERAGE(B2262:B2281)</f>
        <v>73.2025</v>
      </c>
      <c r="E2281" s="14" t="n">
        <f aca="false">(B2281-D2281)/D2281*100</f>
        <v>6.56739865441755</v>
      </c>
    </row>
    <row r="2282" customFormat="false" ht="15" hidden="false" customHeight="false" outlineLevel="0" collapsed="false">
      <c r="A2282" s="12" t="n">
        <v>45320</v>
      </c>
      <c r="B2282" s="15" t="n">
        <v>76.78</v>
      </c>
      <c r="C2282" s="15" t="n">
        <v>82.4</v>
      </c>
      <c r="D2282" s="14" t="n">
        <f aca="false">AVERAGE(B2263:B2282)</f>
        <v>73.453</v>
      </c>
      <c r="E2282" s="14" t="n">
        <f aca="false">(B2282-D2282)/D2282*100</f>
        <v>4.52942698051815</v>
      </c>
    </row>
    <row r="2283" customFormat="false" ht="15" hidden="false" customHeight="false" outlineLevel="0" collapsed="false">
      <c r="A2283" s="12" t="n">
        <v>45321</v>
      </c>
      <c r="B2283" s="15" t="n">
        <v>77.82</v>
      </c>
      <c r="C2283" s="15" t="n">
        <v>82.87</v>
      </c>
      <c r="D2283" s="14" t="n">
        <f aca="false">AVERAGE(B2264:B2283)</f>
        <v>73.7615</v>
      </c>
      <c r="E2283" s="14" t="n">
        <f aca="false">(B2283-D2283)/D2283*100</f>
        <v>5.50219287839862</v>
      </c>
    </row>
    <row r="2284" customFormat="false" ht="15" hidden="false" customHeight="false" outlineLevel="0" collapsed="false">
      <c r="A2284" s="12" t="n">
        <v>45322</v>
      </c>
      <c r="B2284" s="15" t="n">
        <v>75.85</v>
      </c>
      <c r="C2284" s="15" t="n">
        <v>81.71</v>
      </c>
      <c r="D2284" s="14" t="n">
        <f aca="false">AVERAGE(B2265:B2284)</f>
        <v>74.035</v>
      </c>
      <c r="E2284" s="14" t="n">
        <f aca="false">(B2284-D2284)/D2284*100</f>
        <v>2.45154318903221</v>
      </c>
    </row>
    <row r="2285" customFormat="false" ht="15" hidden="false" customHeight="false" outlineLevel="0" collapsed="false">
      <c r="A2285" s="12" t="n">
        <v>45323</v>
      </c>
      <c r="B2285" s="15" t="n">
        <v>73.82</v>
      </c>
      <c r="C2285" s="15" t="n">
        <v>78.7</v>
      </c>
      <c r="D2285" s="14" t="n">
        <f aca="false">AVERAGE(B2266:B2285)</f>
        <v>74.091</v>
      </c>
      <c r="E2285" s="14" t="n">
        <f aca="false">(B2285-D2285)/D2285*100</f>
        <v>-0.365766422372489</v>
      </c>
    </row>
    <row r="2286" customFormat="false" ht="15" hidden="false" customHeight="false" outlineLevel="0" collapsed="false">
      <c r="A2286" s="12" t="n">
        <v>45324</v>
      </c>
      <c r="B2286" s="15" t="n">
        <v>72.28</v>
      </c>
      <c r="C2286" s="15" t="n">
        <v>77.33</v>
      </c>
      <c r="D2286" s="14" t="n">
        <f aca="false">AVERAGE(B2267:B2286)</f>
        <v>74.0955</v>
      </c>
      <c r="E2286" s="14" t="n">
        <f aca="false">(B2286-D2286)/D2286*100</f>
        <v>-2.45021627494247</v>
      </c>
    </row>
    <row r="2287" customFormat="false" ht="15" hidden="false" customHeight="false" outlineLevel="0" collapsed="false">
      <c r="A2287" s="12" t="n">
        <v>45327</v>
      </c>
      <c r="B2287" s="15" t="n">
        <v>72.78</v>
      </c>
      <c r="C2287" s="15" t="n">
        <v>77.99</v>
      </c>
      <c r="D2287" s="14" t="n">
        <f aca="false">AVERAGE(B2268:B2287)</f>
        <v>74.044</v>
      </c>
      <c r="E2287" s="14" t="n">
        <f aca="false">(B2287-D2287)/D2287*100</f>
        <v>-1.70709307979041</v>
      </c>
    </row>
    <row r="2288" customFormat="false" ht="15" hidden="false" customHeight="false" outlineLevel="0" collapsed="false">
      <c r="A2288" s="12" t="n">
        <v>45328</v>
      </c>
      <c r="B2288" s="15" t="n">
        <v>73.31</v>
      </c>
      <c r="C2288" s="15" t="n">
        <v>78.59</v>
      </c>
      <c r="D2288" s="14" t="n">
        <f aca="false">AVERAGE(B2269:B2288)</f>
        <v>74.171</v>
      </c>
      <c r="E2288" s="14" t="n">
        <f aca="false">(B2288-D2288)/D2288*100</f>
        <v>-1.16083105256772</v>
      </c>
    </row>
    <row r="2289" customFormat="false" ht="15" hidden="false" customHeight="false" outlineLevel="0" collapsed="false">
      <c r="A2289" s="12" t="n">
        <v>45329</v>
      </c>
      <c r="B2289" s="15" t="n">
        <v>73.86</v>
      </c>
      <c r="C2289" s="15" t="n">
        <v>79.21</v>
      </c>
      <c r="D2289" s="14" t="n">
        <f aca="false">AVERAGE(B2270:B2289)</f>
        <v>74.252</v>
      </c>
      <c r="E2289" s="14" t="n">
        <f aca="false">(B2289-D2289)/D2289*100</f>
        <v>-0.52793190755804</v>
      </c>
    </row>
    <row r="2290" customFormat="false" ht="15" hidden="false" customHeight="false" outlineLevel="0" collapsed="false">
      <c r="A2290" s="12" t="n">
        <v>45330</v>
      </c>
      <c r="B2290" s="15" t="n">
        <v>76.22</v>
      </c>
      <c r="C2290" s="15" t="n">
        <v>81.63</v>
      </c>
      <c r="D2290" s="14" t="n">
        <f aca="false">AVERAGE(B2271:B2290)</f>
        <v>74.4945</v>
      </c>
      <c r="E2290" s="14" t="n">
        <f aca="false">(B2290-D2290)/D2290*100</f>
        <v>2.31627838296787</v>
      </c>
    </row>
    <row r="2291" customFormat="false" ht="15" hidden="false" customHeight="false" outlineLevel="0" collapsed="false">
      <c r="A2291" s="12" t="n">
        <v>45331</v>
      </c>
      <c r="B2291" s="15" t="n">
        <v>76.84</v>
      </c>
      <c r="C2291" s="15" t="n">
        <v>82.19</v>
      </c>
      <c r="D2291" s="14" t="n">
        <f aca="false">AVERAGE(B2272:B2291)</f>
        <v>74.7355</v>
      </c>
      <c r="E2291" s="14" t="n">
        <f aca="false">(B2291-D2291)/D2291*100</f>
        <v>2.81593084946244</v>
      </c>
    </row>
    <row r="2292" customFormat="false" ht="15" hidden="false" customHeight="false" outlineLevel="0" collapsed="false">
      <c r="A2292" s="12" t="n">
        <v>45334</v>
      </c>
      <c r="B2292" s="15" t="n">
        <v>76.92</v>
      </c>
      <c r="C2292" s="15" t="n">
        <v>82</v>
      </c>
      <c r="D2292" s="14" t="n">
        <f aca="false">AVERAGE(B2273:B2292)</f>
        <v>74.9475</v>
      </c>
      <c r="E2292" s="14" t="n">
        <f aca="false">(B2292-D2292)/D2292*100</f>
        <v>2.63184228960272</v>
      </c>
    </row>
    <row r="2293" customFormat="false" ht="15" hidden="false" customHeight="false" outlineLevel="0" collapsed="false">
      <c r="A2293" s="12" t="n">
        <v>45335</v>
      </c>
      <c r="B2293" s="15" t="n">
        <v>77.87</v>
      </c>
      <c r="C2293" s="15" t="n">
        <v>82.77</v>
      </c>
      <c r="D2293" s="14" t="n">
        <f aca="false">AVERAGE(B2274:B2293)</f>
        <v>75.221</v>
      </c>
      <c r="E2293" s="14" t="n">
        <f aca="false">(B2293-D2293)/D2293*100</f>
        <v>3.52162295103761</v>
      </c>
    </row>
    <row r="2294" customFormat="false" ht="15" hidden="false" customHeight="false" outlineLevel="0" collapsed="false">
      <c r="A2294" s="12" t="n">
        <v>45336</v>
      </c>
      <c r="B2294" s="15" t="n">
        <v>76.64</v>
      </c>
      <c r="C2294" s="15" t="n">
        <v>81.6</v>
      </c>
      <c r="D2294" s="14" t="n">
        <f aca="false">AVERAGE(B2275:B2294)</f>
        <v>75.425</v>
      </c>
      <c r="E2294" s="14" t="n">
        <f aca="false">(B2294-D2294)/D2294*100</f>
        <v>1.61087172688101</v>
      </c>
    </row>
    <row r="2295" customFormat="false" ht="15" hidden="false" customHeight="false" outlineLevel="0" collapsed="false">
      <c r="A2295" s="12" t="n">
        <v>45337</v>
      </c>
      <c r="B2295" s="15" t="n">
        <v>78.03</v>
      </c>
      <c r="C2295" s="15" t="n">
        <v>82.86</v>
      </c>
      <c r="D2295" s="14" t="n">
        <f aca="false">AVERAGE(B2276:B2295)</f>
        <v>75.6225</v>
      </c>
      <c r="E2295" s="14" t="n">
        <f aca="false">(B2295-D2295)/D2295*100</f>
        <v>3.18357631657245</v>
      </c>
    </row>
    <row r="2296" customFormat="false" ht="15" hidden="false" customHeight="false" outlineLevel="0" collapsed="false">
      <c r="A2296" s="12" t="n">
        <v>45338</v>
      </c>
      <c r="B2296" s="15" t="n">
        <v>79.19</v>
      </c>
      <c r="C2296" s="15" t="n">
        <v>83.47</v>
      </c>
      <c r="D2296" s="14" t="n">
        <f aca="false">AVERAGE(B2277:B2296)</f>
        <v>75.9115</v>
      </c>
      <c r="E2296" s="14" t="n">
        <f aca="false">(B2296-D2296)/D2296*100</f>
        <v>4.31884497078834</v>
      </c>
    </row>
    <row r="2297" customFormat="false" ht="15" hidden="false" customHeight="false" outlineLevel="0" collapsed="false">
      <c r="A2297" s="12" t="n">
        <v>45342</v>
      </c>
      <c r="B2297" s="15" t="n">
        <v>78.18</v>
      </c>
      <c r="C2297" s="15" t="n">
        <v>82.34</v>
      </c>
      <c r="D2297" s="14" t="n">
        <f aca="false">AVERAGE(B2278:B2297)</f>
        <v>76.061</v>
      </c>
      <c r="E2297" s="14" t="n">
        <f aca="false">(B2297-D2297)/D2297*100</f>
        <v>2.78592182590289</v>
      </c>
    </row>
    <row r="2298" customFormat="false" ht="15" hidden="false" customHeight="false" outlineLevel="0" collapsed="false">
      <c r="A2298" s="12" t="n">
        <v>45343</v>
      </c>
      <c r="B2298" s="15" t="n">
        <v>77.91</v>
      </c>
      <c r="C2298" s="15" t="n">
        <v>83.03</v>
      </c>
      <c r="D2298" s="14" t="n">
        <f aca="false">AVERAGE(B2279:B2298)</f>
        <v>76.238</v>
      </c>
      <c r="E2298" s="14" t="n">
        <f aca="false">(B2298-D2298)/D2298*100</f>
        <v>2.19313203389385</v>
      </c>
    </row>
    <row r="2299" customFormat="false" ht="15" hidden="false" customHeight="false" outlineLevel="0" collapsed="false">
      <c r="A2299" s="12" t="n">
        <v>45344</v>
      </c>
      <c r="B2299" s="15" t="n">
        <v>78.61</v>
      </c>
      <c r="C2299" s="15" t="n">
        <v>83.67</v>
      </c>
      <c r="D2299" s="14" t="n">
        <f aca="false">AVERAGE(B2280:B2299)</f>
        <v>76.414</v>
      </c>
      <c r="E2299" s="14" t="n">
        <f aca="false">(B2299-D2299)/D2299*100</f>
        <v>2.87381893370325</v>
      </c>
    </row>
    <row r="2300" customFormat="false" ht="15" hidden="false" customHeight="false" outlineLevel="0" collapsed="false">
      <c r="A2300" s="12" t="n">
        <v>45345</v>
      </c>
      <c r="B2300" s="15" t="n">
        <v>76.49</v>
      </c>
      <c r="C2300" s="15" t="n">
        <v>81.62</v>
      </c>
      <c r="D2300" s="14" t="n">
        <f aca="false">AVERAGE(B2281:B2300)</f>
        <v>76.3705</v>
      </c>
      <c r="E2300" s="14" t="n">
        <f aca="false">(B2300-D2300)/D2300*100</f>
        <v>0.156474031203132</v>
      </c>
    </row>
    <row r="2301" customFormat="false" ht="15" hidden="false" customHeight="false" outlineLevel="0" collapsed="false">
      <c r="A2301" s="12" t="n">
        <v>45348</v>
      </c>
      <c r="B2301" s="15" t="n">
        <v>77.58</v>
      </c>
      <c r="C2301" s="15" t="n">
        <v>82.53</v>
      </c>
      <c r="D2301" s="14" t="n">
        <f aca="false">AVERAGE(B2282:B2301)</f>
        <v>76.349</v>
      </c>
      <c r="E2301" s="14" t="n">
        <f aca="false">(B2301-D2301)/D2301*100</f>
        <v>1.6123328399848</v>
      </c>
    </row>
    <row r="2302" customFormat="false" ht="15" hidden="false" customHeight="false" outlineLevel="0" collapsed="false">
      <c r="A2302" s="12" t="n">
        <v>45349</v>
      </c>
      <c r="B2302" s="15" t="n">
        <v>78.87</v>
      </c>
      <c r="C2302" s="15" t="n">
        <v>83.65</v>
      </c>
      <c r="D2302" s="14" t="n">
        <f aca="false">AVERAGE(B2283:B2302)</f>
        <v>76.4535</v>
      </c>
      <c r="E2302" s="14" t="n">
        <f aca="false">(B2302-D2302)/D2302*100</f>
        <v>3.16074476642667</v>
      </c>
    </row>
    <row r="2303" customFormat="false" ht="15" hidden="false" customHeight="false" outlineLevel="0" collapsed="false">
      <c r="A2303" s="12" t="n">
        <v>45350</v>
      </c>
      <c r="B2303" s="15" t="n">
        <v>78.54</v>
      </c>
      <c r="C2303" s="15" t="n">
        <v>83.68</v>
      </c>
      <c r="D2303" s="14" t="n">
        <f aca="false">AVERAGE(B2284:B2303)</f>
        <v>76.4895</v>
      </c>
      <c r="E2303" s="14" t="n">
        <f aca="false">(B2303-D2303)/D2303*100</f>
        <v>2.68076010432806</v>
      </c>
    </row>
    <row r="2304" customFormat="false" ht="15" hidden="false" customHeight="false" outlineLevel="0" collapsed="false">
      <c r="A2304" s="12" t="n">
        <v>45351</v>
      </c>
      <c r="B2304" s="15" t="n">
        <v>78.26</v>
      </c>
      <c r="C2304" s="15" t="n">
        <v>83.62</v>
      </c>
      <c r="D2304" s="14" t="n">
        <f aca="false">AVERAGE(B2285:B2304)</f>
        <v>76.61</v>
      </c>
      <c r="E2304" s="14" t="n">
        <f aca="false">(B2304-D2304)/D2304*100</f>
        <v>2.15376582691555</v>
      </c>
    </row>
    <row r="2305" customFormat="false" ht="15" hidden="false" customHeight="false" outlineLevel="0" collapsed="false">
      <c r="A2305" s="12" t="n">
        <v>45352</v>
      </c>
      <c r="B2305" s="15" t="n">
        <v>79.97</v>
      </c>
      <c r="C2305" s="15" t="n">
        <v>83.55</v>
      </c>
      <c r="D2305" s="14" t="n">
        <f aca="false">AVERAGE(B2286:B2305)</f>
        <v>76.9175</v>
      </c>
      <c r="E2305" s="14" t="n">
        <f aca="false">(B2305-D2305)/D2305*100</f>
        <v>3.96853771898464</v>
      </c>
    </row>
    <row r="2306" customFormat="false" ht="15" hidden="false" customHeight="false" outlineLevel="0" collapsed="false">
      <c r="A2306" s="12" t="n">
        <v>45355</v>
      </c>
      <c r="B2306" s="15" t="n">
        <v>78.74</v>
      </c>
      <c r="C2306" s="15" t="n">
        <v>82.8</v>
      </c>
      <c r="D2306" s="14" t="n">
        <f aca="false">AVERAGE(B2287:B2306)</f>
        <v>77.2405</v>
      </c>
      <c r="E2306" s="14" t="n">
        <f aca="false">(B2306-D2306)/D2306*100</f>
        <v>1.94133906435095</v>
      </c>
    </row>
    <row r="2307" customFormat="false" ht="15" hidden="false" customHeight="false" outlineLevel="0" collapsed="false">
      <c r="A2307" s="12" t="n">
        <v>45356</v>
      </c>
      <c r="B2307" s="15" t="n">
        <v>78.15</v>
      </c>
      <c r="C2307" s="15" t="n">
        <v>82.04</v>
      </c>
      <c r="D2307" s="14" t="n">
        <f aca="false">AVERAGE(B2288:B2307)</f>
        <v>77.509</v>
      </c>
      <c r="E2307" s="14" t="n">
        <f aca="false">(B2307-D2307)/D2307*100</f>
        <v>0.827000735398477</v>
      </c>
    </row>
    <row r="2308" customFormat="false" ht="15" hidden="false" customHeight="false" outlineLevel="0" collapsed="false">
      <c r="A2308" s="12" t="n">
        <v>45357</v>
      </c>
      <c r="B2308" s="15" t="n">
        <v>79.13</v>
      </c>
      <c r="C2308" s="15" t="n">
        <v>82.96</v>
      </c>
      <c r="D2308" s="14" t="n">
        <f aca="false">AVERAGE(B2289:B2308)</f>
        <v>77.8</v>
      </c>
      <c r="E2308" s="14" t="n">
        <f aca="false">(B2308-D2308)/D2308*100</f>
        <v>1.70951156812339</v>
      </c>
    </row>
    <row r="2309" customFormat="false" ht="15" hidden="false" customHeight="false" outlineLevel="0" collapsed="false">
      <c r="A2309" s="12" t="n">
        <v>45358</v>
      </c>
      <c r="B2309" s="15" t="n">
        <v>78.93</v>
      </c>
      <c r="C2309" s="15" t="n">
        <v>82.96</v>
      </c>
      <c r="D2309" s="14" t="n">
        <f aca="false">AVERAGE(B2290:B2309)</f>
        <v>78.0535</v>
      </c>
      <c r="E2309" s="14" t="n">
        <f aca="false">(B2309-D2309)/D2309*100</f>
        <v>1.12294772175496</v>
      </c>
    </row>
    <row r="2310" customFormat="false" ht="15" hidden="false" customHeight="false" outlineLevel="0" collapsed="false">
      <c r="A2310" s="12" t="n">
        <v>45359</v>
      </c>
      <c r="B2310" s="15" t="n">
        <v>78.01</v>
      </c>
      <c r="C2310" s="15" t="n">
        <v>82.08</v>
      </c>
      <c r="D2310" s="14" t="n">
        <f aca="false">AVERAGE(B2291:B2310)</f>
        <v>78.143</v>
      </c>
      <c r="E2310" s="14" t="n">
        <f aca="false">(B2310-D2310)/D2310*100</f>
        <v>-0.17020078573896</v>
      </c>
    </row>
    <row r="2311" customFormat="false" ht="15" hidden="false" customHeight="false" outlineLevel="0" collapsed="false">
      <c r="A2311" s="12" t="n">
        <v>45362</v>
      </c>
      <c r="B2311" s="15" t="n">
        <v>77.93</v>
      </c>
      <c r="C2311" s="15" t="n">
        <v>82.21</v>
      </c>
      <c r="D2311" s="14" t="n">
        <f aca="false">AVERAGE(B2292:B2311)</f>
        <v>78.1975</v>
      </c>
      <c r="E2311" s="14" t="n">
        <f aca="false">(B2311-D2311)/D2311*100</f>
        <v>-0.342082547396014</v>
      </c>
    </row>
    <row r="2312" customFormat="false" ht="15" hidden="false" customHeight="false" outlineLevel="0" collapsed="false">
      <c r="A2312" s="12" t="n">
        <v>45363</v>
      </c>
      <c r="B2312" s="15" t="n">
        <v>77.56</v>
      </c>
      <c r="C2312" s="15" t="n">
        <v>81.92</v>
      </c>
      <c r="D2312" s="14" t="n">
        <f aca="false">AVERAGE(B2293:B2312)</f>
        <v>78.2295</v>
      </c>
      <c r="E2312" s="14" t="n">
        <f aca="false">(B2312-D2312)/D2312*100</f>
        <v>-0.855815261506209</v>
      </c>
    </row>
    <row r="2313" customFormat="false" ht="15" hidden="false" customHeight="false" outlineLevel="0" collapsed="false">
      <c r="A2313" s="12" t="n">
        <v>45364</v>
      </c>
      <c r="B2313" s="15" t="n">
        <v>79.72</v>
      </c>
      <c r="C2313" s="15" t="n">
        <v>84.03</v>
      </c>
      <c r="D2313" s="14" t="n">
        <f aca="false">AVERAGE(B2294:B2313)</f>
        <v>78.322</v>
      </c>
      <c r="E2313" s="14" t="n">
        <f aca="false">(B2313-D2313)/D2313*100</f>
        <v>1.78493909757156</v>
      </c>
    </row>
    <row r="2314" customFormat="false" ht="15" hidden="false" customHeight="false" outlineLevel="0" collapsed="false">
      <c r="A2314" s="12" t="n">
        <v>45365</v>
      </c>
      <c r="B2314" s="15" t="n">
        <v>81.26</v>
      </c>
      <c r="C2314" s="15" t="n">
        <v>85.42</v>
      </c>
      <c r="D2314" s="14" t="n">
        <f aca="false">AVERAGE(B2295:B2314)</f>
        <v>78.553</v>
      </c>
      <c r="E2314" s="14" t="n">
        <f aca="false">(B2314-D2314)/D2314*100</f>
        <v>3.44608098990491</v>
      </c>
    </row>
    <row r="2315" customFormat="false" ht="15" hidden="false" customHeight="false" outlineLevel="0" collapsed="false">
      <c r="A2315" s="12" t="n">
        <v>45366</v>
      </c>
      <c r="B2315" s="15" t="n">
        <v>81.04</v>
      </c>
      <c r="C2315" s="15" t="n">
        <v>85.34</v>
      </c>
      <c r="D2315" s="14" t="n">
        <f aca="false">AVERAGE(B2296:B2315)</f>
        <v>78.7035</v>
      </c>
      <c r="E2315" s="14" t="n">
        <f aca="false">(B2315-D2315)/D2315*100</f>
        <v>2.96873709555486</v>
      </c>
    </row>
    <row r="2316" customFormat="false" ht="15" hidden="false" customHeight="false" outlineLevel="0" collapsed="false">
      <c r="A2316" s="12" t="n">
        <v>45369</v>
      </c>
      <c r="B2316" s="15" t="n">
        <v>82.72</v>
      </c>
      <c r="C2316" s="15" t="n">
        <v>86.89</v>
      </c>
      <c r="D2316" s="14" t="n">
        <f aca="false">AVERAGE(B2297:B2316)</f>
        <v>78.88</v>
      </c>
      <c r="E2316" s="14" t="n">
        <f aca="false">(B2316-D2316)/D2316*100</f>
        <v>4.868154158215</v>
      </c>
    </row>
    <row r="2317" customFormat="false" ht="15" hidden="false" customHeight="false" outlineLevel="0" collapsed="false">
      <c r="A2317" s="12" t="n">
        <v>45370</v>
      </c>
      <c r="B2317" s="15" t="n">
        <v>83.47</v>
      </c>
      <c r="C2317" s="15" t="n">
        <v>87.38</v>
      </c>
      <c r="D2317" s="14" t="n">
        <f aca="false">AVERAGE(B2298:B2317)</f>
        <v>79.1445</v>
      </c>
      <c r="E2317" s="14" t="n">
        <f aca="false">(B2317-D2317)/D2317*100</f>
        <v>5.4653197632179</v>
      </c>
    </row>
    <row r="2318" customFormat="false" ht="15" hidden="false" customHeight="false" outlineLevel="0" collapsed="false">
      <c r="A2318" s="12" t="n">
        <v>45371</v>
      </c>
      <c r="B2318" s="15" t="n">
        <v>81.68</v>
      </c>
      <c r="C2318" s="15" t="n">
        <v>85.95</v>
      </c>
      <c r="D2318" s="14" t="n">
        <f aca="false">AVERAGE(B2299:B2318)</f>
        <v>79.333</v>
      </c>
      <c r="E2318" s="14" t="n">
        <f aca="false">(B2318-D2318)/D2318*100</f>
        <v>2.958415791663</v>
      </c>
    </row>
    <row r="2319" customFormat="false" ht="15" hidden="false" customHeight="false" outlineLevel="0" collapsed="false">
      <c r="A2319" s="12" t="n">
        <v>45372</v>
      </c>
      <c r="B2319" s="15" t="n">
        <v>81.07</v>
      </c>
      <c r="C2319" s="15" t="n">
        <v>85.78</v>
      </c>
      <c r="D2319" s="14" t="n">
        <f aca="false">AVERAGE(B2300:B2319)</f>
        <v>79.456</v>
      </c>
      <c r="E2319" s="14" t="n">
        <f aca="false">(B2319-D2319)/D2319*100</f>
        <v>2.03131292790977</v>
      </c>
    </row>
    <row r="2320" customFormat="false" ht="15" hidden="false" customHeight="false" outlineLevel="0" collapsed="false">
      <c r="A2320" s="12" t="n">
        <v>45373</v>
      </c>
      <c r="B2320" s="15" t="n">
        <v>80.63</v>
      </c>
      <c r="C2320" s="15" t="n">
        <v>85.43</v>
      </c>
      <c r="D2320" s="14" t="n">
        <f aca="false">AVERAGE(B2301:B2320)</f>
        <v>79.663</v>
      </c>
      <c r="E2320" s="14" t="n">
        <f aca="false">(B2320-D2320)/D2320*100</f>
        <v>1.21386339957069</v>
      </c>
    </row>
    <row r="2321" customFormat="false" ht="15" hidden="false" customHeight="false" outlineLevel="0" collapsed="false">
      <c r="A2321" s="12" t="n">
        <v>45376</v>
      </c>
      <c r="B2321" s="15" t="n">
        <v>81.95</v>
      </c>
      <c r="C2321" s="15" t="n">
        <v>86.75</v>
      </c>
      <c r="D2321" s="14" t="n">
        <f aca="false">AVERAGE(B2302:B2321)</f>
        <v>79.8815</v>
      </c>
      <c r="E2321" s="14" t="n">
        <f aca="false">(B2321-D2321)/D2321*100</f>
        <v>2.58946063857088</v>
      </c>
    </row>
    <row r="2322" customFormat="false" ht="15" hidden="false" customHeight="false" outlineLevel="0" collapsed="false">
      <c r="A2322" s="12" t="n">
        <v>45377</v>
      </c>
      <c r="B2322" s="15" t="n">
        <v>81.62</v>
      </c>
      <c r="C2322" s="15" t="n">
        <v>86.25</v>
      </c>
      <c r="D2322" s="14" t="n">
        <f aca="false">AVERAGE(B2303:B2322)</f>
        <v>80.019</v>
      </c>
      <c r="E2322" s="14" t="n">
        <f aca="false">(B2322-D2322)/D2322*100</f>
        <v>2.0007748159812</v>
      </c>
    </row>
    <row r="2323" customFormat="false" ht="15" hidden="false" customHeight="false" outlineLevel="0" collapsed="false">
      <c r="A2323" s="12" t="n">
        <v>45378</v>
      </c>
      <c r="B2323" s="15" t="n">
        <v>81.35</v>
      </c>
      <c r="C2323" s="15" t="n">
        <v>86.09</v>
      </c>
      <c r="D2323" s="14" t="n">
        <f aca="false">AVERAGE(B2304:B2323)</f>
        <v>80.1595</v>
      </c>
      <c r="E2323" s="14" t="n">
        <f aca="false">(B2323-D2323)/D2323*100</f>
        <v>1.48516395436597</v>
      </c>
    </row>
    <row r="2324" customFormat="false" ht="15" hidden="false" customHeight="false" outlineLevel="0" collapsed="false">
      <c r="A2324" s="12" t="n">
        <v>45379</v>
      </c>
      <c r="B2324" s="15" t="n">
        <v>83.17</v>
      </c>
      <c r="C2324" s="15" t="n">
        <v>87.48</v>
      </c>
      <c r="D2324" s="14" t="n">
        <f aca="false">AVERAGE(B2305:B2324)</f>
        <v>80.405</v>
      </c>
      <c r="E2324" s="14" t="n">
        <f aca="false">(B2324-D2324)/D2324*100</f>
        <v>3.43884086810522</v>
      </c>
    </row>
    <row r="2325" customFormat="false" ht="15" hidden="false" customHeight="false" outlineLevel="0" collapsed="false">
      <c r="A2325" s="12" t="n">
        <v>45383</v>
      </c>
      <c r="B2325" s="15" t="n">
        <v>83.71</v>
      </c>
      <c r="C2325" s="15" t="n">
        <v>87.42</v>
      </c>
      <c r="D2325" s="14" t="n">
        <f aca="false">AVERAGE(B2306:B2325)</f>
        <v>80.592</v>
      </c>
      <c r="E2325" s="14" t="n">
        <f aca="false">(B2325-D2325)/D2325*100</f>
        <v>3.86887035934087</v>
      </c>
    </row>
    <row r="2326" customFormat="false" ht="15" hidden="false" customHeight="false" outlineLevel="0" collapsed="false">
      <c r="A2326" s="12" t="n">
        <v>45384</v>
      </c>
      <c r="B2326" s="15" t="n">
        <v>85.15</v>
      </c>
      <c r="C2326" s="15" t="n">
        <v>88.92</v>
      </c>
      <c r="D2326" s="14" t="n">
        <f aca="false">AVERAGE(B2307:B2326)</f>
        <v>80.9125</v>
      </c>
      <c r="E2326" s="14" t="n">
        <f aca="false">(B2326-D2326)/D2326*100</f>
        <v>5.23713888459757</v>
      </c>
    </row>
    <row r="2327" customFormat="false" ht="15" hidden="false" customHeight="false" outlineLevel="0" collapsed="false">
      <c r="A2327" s="12" t="n">
        <v>45385</v>
      </c>
      <c r="B2327" s="15" t="n">
        <v>85.43</v>
      </c>
      <c r="C2327" s="15" t="n">
        <v>89.35</v>
      </c>
      <c r="D2327" s="14" t="n">
        <f aca="false">AVERAGE(B2308:B2327)</f>
        <v>81.2765</v>
      </c>
      <c r="E2327" s="14" t="n">
        <f aca="false">(B2327-D2327)/D2327*100</f>
        <v>5.11033324515697</v>
      </c>
    </row>
    <row r="2328" customFormat="false" ht="15" hidden="false" customHeight="false" outlineLevel="0" collapsed="false">
      <c r="A2328" s="12" t="n">
        <v>45386</v>
      </c>
      <c r="B2328" s="15" t="n">
        <v>86.59</v>
      </c>
      <c r="C2328" s="15" t="n">
        <v>90.65</v>
      </c>
      <c r="D2328" s="14" t="n">
        <f aca="false">AVERAGE(B2309:B2328)</f>
        <v>81.6495</v>
      </c>
      <c r="E2328" s="14" t="n">
        <f aca="false">(B2328-D2328)/D2328*100</f>
        <v>6.05086375299298</v>
      </c>
    </row>
    <row r="2329" customFormat="false" ht="15" hidden="false" customHeight="false" outlineLevel="0" collapsed="false">
      <c r="A2329" s="12" t="n">
        <v>45387</v>
      </c>
      <c r="B2329" s="15" t="n">
        <v>86.91</v>
      </c>
      <c r="C2329" s="15" t="n">
        <v>91.17</v>
      </c>
      <c r="D2329" s="14" t="n">
        <f aca="false">AVERAGE(B2310:B2329)</f>
        <v>82.0485</v>
      </c>
      <c r="E2329" s="14" t="n">
        <f aca="false">(B2329-D2329)/D2329*100</f>
        <v>5.92515402475364</v>
      </c>
    </row>
    <row r="2330" customFormat="false" ht="15" hidden="false" customHeight="false" outlineLevel="0" collapsed="false">
      <c r="A2330" s="12" t="n">
        <v>45390</v>
      </c>
      <c r="B2330" s="15" t="n">
        <v>86.43</v>
      </c>
      <c r="C2330" s="15" t="n">
        <v>90.38</v>
      </c>
      <c r="D2330" s="14" t="n">
        <f aca="false">AVERAGE(B2311:B2330)</f>
        <v>82.4695</v>
      </c>
      <c r="E2330" s="14" t="n">
        <f aca="false">(B2330-D2330)/D2330*100</f>
        <v>4.80238148648894</v>
      </c>
    </row>
    <row r="2331" customFormat="false" ht="15" hidden="false" customHeight="false" outlineLevel="0" collapsed="false">
      <c r="A2331" s="12" t="n">
        <v>45391</v>
      </c>
      <c r="B2331" s="15" t="n">
        <v>85.23</v>
      </c>
      <c r="C2331" s="15" t="n">
        <v>89.42</v>
      </c>
      <c r="D2331" s="14" t="n">
        <f aca="false">AVERAGE(B2312:B2331)</f>
        <v>82.8345</v>
      </c>
      <c r="E2331" s="14" t="n">
        <f aca="false">(B2331-D2331)/D2331*100</f>
        <v>2.89191097912102</v>
      </c>
    </row>
    <row r="2332" customFormat="false" ht="15" hidden="false" customHeight="false" outlineLevel="0" collapsed="false">
      <c r="A2332" s="12" t="n">
        <v>45392</v>
      </c>
      <c r="B2332" s="15" t="n">
        <v>86.21</v>
      </c>
      <c r="C2332" s="15" t="n">
        <v>90.48</v>
      </c>
      <c r="D2332" s="14" t="n">
        <f aca="false">AVERAGE(B2313:B2332)</f>
        <v>83.267</v>
      </c>
      <c r="E2332" s="14" t="n">
        <f aca="false">(B2332-D2332)/D2332*100</f>
        <v>3.53441339306087</v>
      </c>
    </row>
    <row r="2333" customFormat="false" ht="15" hidden="false" customHeight="false" outlineLevel="0" collapsed="false">
      <c r="A2333" s="12" t="n">
        <v>45393</v>
      </c>
      <c r="B2333" s="15" t="n">
        <v>85.02</v>
      </c>
      <c r="C2333" s="15" t="n">
        <v>89.74</v>
      </c>
      <c r="D2333" s="14" t="n">
        <f aca="false">AVERAGE(B2314:B2333)</f>
        <v>83.532</v>
      </c>
      <c r="E2333" s="14" t="n">
        <f aca="false">(B2333-D2333)/D2333*100</f>
        <v>1.78135325384282</v>
      </c>
    </row>
    <row r="2334" customFormat="false" ht="15" hidden="false" customHeight="false" outlineLevel="0" collapsed="false">
      <c r="A2334" s="12" t="n">
        <v>45394</v>
      </c>
      <c r="B2334" s="15" t="n">
        <v>85.66</v>
      </c>
      <c r="C2334" s="15" t="n">
        <v>90.45</v>
      </c>
      <c r="D2334" s="14" t="n">
        <f aca="false">AVERAGE(B2315:B2334)</f>
        <v>83.752</v>
      </c>
      <c r="E2334" s="14" t="n">
        <f aca="false">(B2334-D2334)/D2334*100</f>
        <v>2.2781545515331</v>
      </c>
    </row>
    <row r="2335" customFormat="false" ht="15" hidden="false" customHeight="false" outlineLevel="0" collapsed="false">
      <c r="A2335" s="12" t="n">
        <v>45397</v>
      </c>
      <c r="B2335" s="15" t="n">
        <v>85.41</v>
      </c>
      <c r="C2335" s="15" t="n">
        <v>90.1</v>
      </c>
      <c r="D2335" s="14" t="n">
        <f aca="false">AVERAGE(B2316:B2335)</f>
        <v>83.9705</v>
      </c>
      <c r="E2335" s="14" t="n">
        <f aca="false">(B2335-D2335)/D2335*100</f>
        <v>1.71429251939669</v>
      </c>
    </row>
    <row r="2336" customFormat="false" ht="15" hidden="false" customHeight="false" outlineLevel="0" collapsed="false">
      <c r="A2336" s="12" t="n">
        <v>45398</v>
      </c>
      <c r="B2336" s="15" t="n">
        <v>85.36</v>
      </c>
      <c r="C2336" s="15" t="n">
        <v>90.02</v>
      </c>
      <c r="D2336" s="14" t="n">
        <f aca="false">AVERAGE(B2317:B2336)</f>
        <v>84.1025</v>
      </c>
      <c r="E2336" s="14" t="n">
        <f aca="false">(B2336-D2336)/D2336*100</f>
        <v>1.49519931036534</v>
      </c>
    </row>
    <row r="2337" customFormat="false" ht="15" hidden="false" customHeight="false" outlineLevel="0" collapsed="false">
      <c r="A2337" s="12" t="n">
        <v>45399</v>
      </c>
      <c r="B2337" s="15" t="n">
        <v>82.69</v>
      </c>
      <c r="C2337" s="15" t="n">
        <v>87.29</v>
      </c>
      <c r="D2337" s="14" t="n">
        <f aca="false">AVERAGE(B2318:B2337)</f>
        <v>84.0635</v>
      </c>
      <c r="E2337" s="14" t="n">
        <f aca="false">(B2337-D2337)/D2337*100</f>
        <v>-1.63388390918771</v>
      </c>
    </row>
    <row r="2338" customFormat="false" ht="15" hidden="false" customHeight="false" outlineLevel="0" collapsed="false">
      <c r="A2338" s="12" t="n">
        <v>45400</v>
      </c>
      <c r="B2338" s="15" t="n">
        <v>82.73</v>
      </c>
      <c r="C2338" s="15" t="n">
        <v>87.11</v>
      </c>
      <c r="D2338" s="14" t="n">
        <f aca="false">AVERAGE(B2319:B2338)</f>
        <v>84.116</v>
      </c>
      <c r="E2338" s="14" t="n">
        <f aca="false">(B2338-D2338)/D2338*100</f>
        <v>-1.64772457083075</v>
      </c>
    </row>
    <row r="2339" customFormat="false" ht="15" hidden="false" customHeight="false" outlineLevel="0" collapsed="false">
      <c r="A2339" s="12" t="n">
        <v>45401</v>
      </c>
      <c r="B2339" s="15" t="n">
        <v>83.14</v>
      </c>
      <c r="C2339" s="15" t="n">
        <v>87.29</v>
      </c>
      <c r="D2339" s="14" t="n">
        <f aca="false">AVERAGE(B2320:B2339)</f>
        <v>84.2195</v>
      </c>
      <c r="E2339" s="14" t="n">
        <f aca="false">(B2339-D2339)/D2339*100</f>
        <v>-1.28176966142047</v>
      </c>
    </row>
    <row r="2340" customFormat="false" ht="15" hidden="false" customHeight="false" outlineLevel="0" collapsed="false">
      <c r="A2340" s="12" t="n">
        <v>45404</v>
      </c>
      <c r="B2340" s="15" t="n">
        <v>82.85</v>
      </c>
      <c r="C2340" s="15" t="n">
        <v>87</v>
      </c>
      <c r="D2340" s="14" t="n">
        <f aca="false">AVERAGE(B2321:B2340)</f>
        <v>84.3305</v>
      </c>
      <c r="E2340" s="14" t="n">
        <f aca="false">(B2340-D2340)/D2340*100</f>
        <v>-1.75559257919733</v>
      </c>
    </row>
    <row r="2341" customFormat="false" ht="15" hidden="false" customHeight="false" outlineLevel="0" collapsed="false">
      <c r="A2341" s="12" t="n">
        <v>45405</v>
      </c>
      <c r="B2341" s="15" t="n">
        <v>83.36</v>
      </c>
      <c r="C2341" s="15" t="n">
        <v>88.42</v>
      </c>
      <c r="D2341" s="14" t="n">
        <f aca="false">AVERAGE(B2322:B2341)</f>
        <v>84.401</v>
      </c>
      <c r="E2341" s="14" t="n">
        <f aca="false">(B2341-D2341)/D2341*100</f>
        <v>-1.23339770855795</v>
      </c>
    </row>
    <row r="2342" customFormat="false" ht="15" hidden="false" customHeight="false" outlineLevel="0" collapsed="false">
      <c r="A2342" s="12" t="n">
        <v>45406</v>
      </c>
      <c r="B2342" s="15" t="n">
        <v>82.81</v>
      </c>
      <c r="C2342" s="15" t="n">
        <v>88.02</v>
      </c>
      <c r="D2342" s="14" t="n">
        <f aca="false">AVERAGE(B2323:B2342)</f>
        <v>84.4605</v>
      </c>
      <c r="E2342" s="14" t="n">
        <f aca="false">(B2342-D2342)/D2342*100</f>
        <v>-1.95416792465116</v>
      </c>
    </row>
    <row r="2343" customFormat="false" ht="15" hidden="false" customHeight="false" outlineLevel="0" collapsed="false">
      <c r="A2343" s="12" t="n">
        <v>45407</v>
      </c>
      <c r="B2343" s="15" t="n">
        <v>83.57</v>
      </c>
      <c r="C2343" s="15" t="n">
        <v>89.01</v>
      </c>
      <c r="D2343" s="14" t="n">
        <f aca="false">AVERAGE(B2324:B2343)</f>
        <v>84.5715</v>
      </c>
      <c r="E2343" s="14" t="n">
        <f aca="false">(B2343-D2343)/D2343*100</f>
        <v>-1.18420508090788</v>
      </c>
    </row>
    <row r="2344" customFormat="false" ht="15" hidden="false" customHeight="false" outlineLevel="0" collapsed="false">
      <c r="A2344" s="12" t="n">
        <v>45408</v>
      </c>
      <c r="B2344" s="15" t="n">
        <v>83.85</v>
      </c>
      <c r="C2344" s="15" t="n">
        <v>89.5</v>
      </c>
      <c r="D2344" s="14" t="n">
        <f aca="false">AVERAGE(B2325:B2344)</f>
        <v>84.6055</v>
      </c>
      <c r="E2344" s="14" t="n">
        <f aca="false">(B2344-D2344)/D2344*100</f>
        <v>-0.892967951256122</v>
      </c>
    </row>
    <row r="2345" customFormat="false" ht="15" hidden="false" customHeight="false" outlineLevel="0" collapsed="false">
      <c r="A2345" s="12" t="n">
        <v>45411</v>
      </c>
      <c r="B2345" s="15" t="n">
        <v>82.63</v>
      </c>
      <c r="C2345" s="15" t="n">
        <v>88.4</v>
      </c>
      <c r="D2345" s="14" t="n">
        <f aca="false">AVERAGE(B2326:B2345)</f>
        <v>84.5515</v>
      </c>
      <c r="E2345" s="14" t="n">
        <f aca="false">(B2345-D2345)/D2345*100</f>
        <v>-2.27257943383619</v>
      </c>
    </row>
    <row r="2346" customFormat="false" ht="15" hidden="false" customHeight="false" outlineLevel="0" collapsed="false">
      <c r="A2346" s="12" t="n">
        <v>45412</v>
      </c>
      <c r="B2346" s="15" t="n">
        <v>81.93</v>
      </c>
      <c r="C2346" s="15" t="n">
        <v>87.86</v>
      </c>
      <c r="D2346" s="14" t="n">
        <f aca="false">AVERAGE(B2327:B2346)</f>
        <v>84.3905</v>
      </c>
      <c r="E2346" s="14" t="n">
        <f aca="false">(B2346-D2346)/D2346*100</f>
        <v>-2.9156125393261</v>
      </c>
    </row>
    <row r="2347" customFormat="false" ht="15" hidden="false" customHeight="false" outlineLevel="0" collapsed="false">
      <c r="A2347" s="12" t="n">
        <v>45413</v>
      </c>
      <c r="B2347" s="15" t="n">
        <v>79</v>
      </c>
      <c r="C2347" s="15" t="n">
        <v>83.44</v>
      </c>
      <c r="D2347" s="14" t="n">
        <f aca="false">AVERAGE(B2328:B2347)</f>
        <v>84.069</v>
      </c>
      <c r="E2347" s="14" t="n">
        <f aca="false">(B2347-D2347)/D2347*100</f>
        <v>-6.02957094767392</v>
      </c>
    </row>
    <row r="2348" customFormat="false" ht="15" hidden="false" customHeight="false" outlineLevel="0" collapsed="false">
      <c r="A2348" s="12" t="n">
        <v>45414</v>
      </c>
      <c r="B2348" s="15" t="n">
        <v>78.95</v>
      </c>
      <c r="C2348" s="15" t="n">
        <v>83.67</v>
      </c>
      <c r="D2348" s="14" t="n">
        <f aca="false">AVERAGE(B2329:B2348)</f>
        <v>83.687</v>
      </c>
      <c r="E2348" s="14" t="n">
        <f aca="false">(B2348-D2348)/D2348*100</f>
        <v>-5.66037735849056</v>
      </c>
    </row>
    <row r="2349" customFormat="false" ht="15" hidden="false" customHeight="false" outlineLevel="0" collapsed="false">
      <c r="A2349" s="12" t="n">
        <v>45415</v>
      </c>
      <c r="B2349" s="15" t="n">
        <v>78.11</v>
      </c>
      <c r="C2349" s="15" t="n">
        <v>82.96</v>
      </c>
      <c r="D2349" s="14" t="n">
        <f aca="false">AVERAGE(B2330:B2349)</f>
        <v>83.247</v>
      </c>
      <c r="E2349" s="14" t="n">
        <f aca="false">(B2349-D2349)/D2349*100</f>
        <v>-6.17079294148738</v>
      </c>
    </row>
    <row r="2350" customFormat="false" ht="15" hidden="false" customHeight="false" outlineLevel="0" collapsed="false">
      <c r="A2350" s="12" t="n">
        <v>45418</v>
      </c>
      <c r="B2350" s="15" t="n">
        <v>78.48</v>
      </c>
      <c r="C2350" s="15" t="n">
        <v>83.33</v>
      </c>
      <c r="D2350" s="14" t="n">
        <f aca="false">AVERAGE(B2331:B2350)</f>
        <v>82.8495</v>
      </c>
      <c r="E2350" s="14" t="n">
        <f aca="false">(B2350-D2350)/D2350*100</f>
        <v>-5.27402096572701</v>
      </c>
    </row>
    <row r="2351" customFormat="false" ht="15" hidden="false" customHeight="false" outlineLevel="0" collapsed="false">
      <c r="A2351" s="12" t="n">
        <v>45419</v>
      </c>
      <c r="B2351" s="15" t="n">
        <v>78.38</v>
      </c>
      <c r="C2351" s="15" t="n">
        <v>83.16</v>
      </c>
      <c r="D2351" s="14" t="n">
        <f aca="false">AVERAGE(B2332:B2351)</f>
        <v>82.507</v>
      </c>
      <c r="E2351" s="14" t="n">
        <f aca="false">(B2351-D2351)/D2351*100</f>
        <v>-5.00199983031742</v>
      </c>
    </row>
    <row r="2352" customFormat="false" ht="15" hidden="false" customHeight="false" outlineLevel="0" collapsed="false">
      <c r="A2352" s="12" t="n">
        <v>45420</v>
      </c>
      <c r="B2352" s="15" t="n">
        <v>78.99</v>
      </c>
      <c r="C2352" s="15" t="n">
        <v>83.58</v>
      </c>
      <c r="D2352" s="14" t="n">
        <f aca="false">AVERAGE(B2333:B2352)</f>
        <v>82.146</v>
      </c>
      <c r="E2352" s="14" t="n">
        <f aca="false">(B2352-D2352)/D2352*100</f>
        <v>-3.84193996055804</v>
      </c>
    </row>
    <row r="2353" customFormat="false" ht="15" hidden="false" customHeight="false" outlineLevel="0" collapsed="false">
      <c r="A2353" s="12" t="n">
        <v>45421</v>
      </c>
      <c r="B2353" s="15" t="n">
        <v>79.26</v>
      </c>
      <c r="C2353" s="15" t="n">
        <v>83.88</v>
      </c>
      <c r="D2353" s="14" t="n">
        <f aca="false">AVERAGE(B2334:B2353)</f>
        <v>81.858</v>
      </c>
      <c r="E2353" s="14" t="n">
        <f aca="false">(B2353-D2353)/D2353*100</f>
        <v>-3.17378875613868</v>
      </c>
    </row>
    <row r="2354" customFormat="false" ht="15" hidden="false" customHeight="false" outlineLevel="0" collapsed="false">
      <c r="A2354" s="12" t="n">
        <v>45422</v>
      </c>
      <c r="B2354" s="15" t="n">
        <v>78.26</v>
      </c>
      <c r="C2354" s="15" t="n">
        <v>82.79</v>
      </c>
      <c r="D2354" s="14" t="n">
        <f aca="false">AVERAGE(B2335:B2354)</f>
        <v>81.488</v>
      </c>
      <c r="E2354" s="14" t="n">
        <f aca="false">(B2354-D2354)/D2354*100</f>
        <v>-3.96131945807971</v>
      </c>
    </row>
    <row r="2355" customFormat="false" ht="15" hidden="false" customHeight="false" outlineLevel="0" collapsed="false">
      <c r="A2355" s="12" t="n">
        <v>45425</v>
      </c>
      <c r="B2355" s="15" t="n">
        <v>79.12</v>
      </c>
      <c r="C2355" s="15" t="n">
        <v>83.36</v>
      </c>
      <c r="D2355" s="14" t="n">
        <f aca="false">AVERAGE(B2336:B2355)</f>
        <v>81.1735</v>
      </c>
      <c r="E2355" s="14" t="n">
        <f aca="false">(B2355-D2355)/D2355*100</f>
        <v>-2.52976648783162</v>
      </c>
    </row>
    <row r="2356" customFormat="false" ht="15" hidden="false" customHeight="false" outlineLevel="0" collapsed="false">
      <c r="A2356" s="12" t="n">
        <v>45426</v>
      </c>
      <c r="B2356" s="15" t="n">
        <v>78.02</v>
      </c>
      <c r="C2356" s="15" t="n">
        <v>82.38</v>
      </c>
      <c r="D2356" s="14" t="n">
        <f aca="false">AVERAGE(B2337:B2356)</f>
        <v>80.8065</v>
      </c>
      <c r="E2356" s="14" t="n">
        <f aca="false">(B2356-D2356)/D2356*100</f>
        <v>-3.44836120856615</v>
      </c>
    </row>
    <row r="2357" customFormat="false" ht="15" hidden="false" customHeight="false" outlineLevel="0" collapsed="false">
      <c r="A2357" s="12" t="n">
        <v>45427</v>
      </c>
      <c r="B2357" s="15" t="n">
        <v>78.63</v>
      </c>
      <c r="C2357" s="15" t="n">
        <v>82.75</v>
      </c>
      <c r="D2357" s="14" t="n">
        <f aca="false">AVERAGE(B2338:B2357)</f>
        <v>80.6035</v>
      </c>
      <c r="E2357" s="14" t="n">
        <f aca="false">(B2357-D2357)/D2357*100</f>
        <v>-2.44840484594342</v>
      </c>
    </row>
    <row r="2358" customFormat="false" ht="15" hidden="false" customHeight="false" outlineLevel="0" collapsed="false">
      <c r="A2358" s="12" t="n">
        <v>45428</v>
      </c>
      <c r="B2358" s="15" t="n">
        <v>79.23</v>
      </c>
      <c r="C2358" s="15" t="n">
        <v>83.27</v>
      </c>
      <c r="D2358" s="14" t="n">
        <f aca="false">AVERAGE(B2339:B2358)</f>
        <v>80.4285</v>
      </c>
      <c r="E2358" s="14" t="n">
        <f aca="false">(B2358-D2358)/D2358*100</f>
        <v>-1.49014341931031</v>
      </c>
    </row>
    <row r="2359" customFormat="false" ht="15" hidden="false" customHeight="false" outlineLevel="0" collapsed="false">
      <c r="A2359" s="12" t="n">
        <v>45429</v>
      </c>
      <c r="B2359" s="15" t="n">
        <v>80.06</v>
      </c>
      <c r="C2359" s="15" t="n">
        <v>83.98</v>
      </c>
      <c r="D2359" s="14" t="n">
        <f aca="false">AVERAGE(B2340:B2359)</f>
        <v>80.2745</v>
      </c>
      <c r="E2359" s="14" t="n">
        <f aca="false">(B2359-D2359)/D2359*100</f>
        <v>-0.267208142062549</v>
      </c>
    </row>
    <row r="2360" customFormat="false" ht="15" hidden="false" customHeight="false" outlineLevel="0" collapsed="false">
      <c r="A2360" s="12" t="n">
        <v>45432</v>
      </c>
      <c r="B2360" s="15" t="n">
        <v>79.8</v>
      </c>
      <c r="C2360" s="15" t="n">
        <v>83.71</v>
      </c>
      <c r="D2360" s="14" t="n">
        <f aca="false">AVERAGE(B2341:B2360)</f>
        <v>80.122</v>
      </c>
      <c r="E2360" s="14" t="n">
        <f aca="false">(B2360-D2360)/D2360*100</f>
        <v>-0.401887122138742</v>
      </c>
    </row>
    <row r="2361" customFormat="false" ht="15" hidden="false" customHeight="false" outlineLevel="0" collapsed="false">
      <c r="A2361" s="12" t="n">
        <v>45433</v>
      </c>
      <c r="B2361" s="15" t="n">
        <v>79.26</v>
      </c>
      <c r="C2361" s="15" t="n">
        <v>82.88</v>
      </c>
      <c r="D2361" s="14" t="n">
        <f aca="false">AVERAGE(B2342:B2361)</f>
        <v>79.917</v>
      </c>
      <c r="E2361" s="14" t="n">
        <f aca="false">(B2361-D2361)/D2361*100</f>
        <v>-0.822102931791729</v>
      </c>
    </row>
    <row r="2362" customFormat="false" ht="15" hidden="false" customHeight="false" outlineLevel="0" collapsed="false">
      <c r="A2362" s="12" t="n">
        <v>45434</v>
      </c>
      <c r="B2362" s="15" t="n">
        <v>77.57</v>
      </c>
      <c r="C2362" s="15" t="n">
        <v>81.9</v>
      </c>
      <c r="D2362" s="14" t="n">
        <f aca="false">AVERAGE(B2343:B2362)</f>
        <v>79.655</v>
      </c>
      <c r="E2362" s="14" t="n">
        <f aca="false">(B2362-D2362)/D2362*100</f>
        <v>-2.61753813319943</v>
      </c>
    </row>
    <row r="2363" customFormat="false" ht="15" hidden="false" customHeight="false" outlineLevel="0" collapsed="false">
      <c r="A2363" s="12" t="n">
        <v>45435</v>
      </c>
      <c r="B2363" s="15" t="n">
        <v>76.87</v>
      </c>
      <c r="C2363" s="15" t="n">
        <v>81.36</v>
      </c>
      <c r="D2363" s="14" t="n">
        <f aca="false">AVERAGE(B2344:B2363)</f>
        <v>79.32</v>
      </c>
      <c r="E2363" s="14" t="n">
        <f aca="false">(B2363-D2363)/D2363*100</f>
        <v>-3.08875441250631</v>
      </c>
    </row>
    <row r="2364" customFormat="false" ht="15" hidden="false" customHeight="false" outlineLevel="0" collapsed="false">
      <c r="A2364" s="12" t="n">
        <v>45436</v>
      </c>
      <c r="B2364" s="15" t="n">
        <v>77.72</v>
      </c>
      <c r="C2364" s="15" t="n">
        <v>82.12</v>
      </c>
      <c r="D2364" s="14" t="n">
        <f aca="false">AVERAGE(B2345:B2364)</f>
        <v>79.0135</v>
      </c>
      <c r="E2364" s="14" t="n">
        <f aca="false">(B2364-D2364)/D2364*100</f>
        <v>-1.63706202104703</v>
      </c>
    </row>
    <row r="2365" customFormat="false" ht="15" hidden="false" customHeight="false" outlineLevel="0" collapsed="false">
      <c r="A2365" s="12" t="n">
        <v>45440</v>
      </c>
      <c r="B2365" s="15" t="n">
        <v>79.83</v>
      </c>
      <c r="C2365" s="15" t="n">
        <v>84.22</v>
      </c>
      <c r="D2365" s="14" t="n">
        <f aca="false">AVERAGE(B2346:B2365)</f>
        <v>78.8735</v>
      </c>
      <c r="E2365" s="14" t="n">
        <f aca="false">(B2365-D2365)/D2365*100</f>
        <v>1.21270135089731</v>
      </c>
    </row>
    <row r="2366" customFormat="false" ht="15" hidden="false" customHeight="false" outlineLevel="0" collapsed="false">
      <c r="A2366" s="12" t="n">
        <v>45441</v>
      </c>
      <c r="B2366" s="15" t="n">
        <v>79.23</v>
      </c>
      <c r="C2366" s="15" t="n">
        <v>83.6</v>
      </c>
      <c r="D2366" s="14" t="n">
        <f aca="false">AVERAGE(B2347:B2366)</f>
        <v>78.7385</v>
      </c>
      <c r="E2366" s="14" t="n">
        <f aca="false">(B2366-D2366)/D2366*100</f>
        <v>0.624218139791845</v>
      </c>
    </row>
    <row r="2367" customFormat="false" ht="15" hidden="false" customHeight="false" outlineLevel="0" collapsed="false">
      <c r="A2367" s="12" t="n">
        <v>45442</v>
      </c>
      <c r="B2367" s="15" t="n">
        <v>77.91</v>
      </c>
      <c r="C2367" s="15" t="n">
        <v>81.86</v>
      </c>
      <c r="D2367" s="14" t="n">
        <f aca="false">AVERAGE(B2348:B2367)</f>
        <v>78.684</v>
      </c>
      <c r="E2367" s="14" t="n">
        <f aca="false">(B2367-D2367)/D2367*100</f>
        <v>-0.983681561689798</v>
      </c>
    </row>
    <row r="2368" customFormat="false" ht="15" hidden="false" customHeight="false" outlineLevel="0" collapsed="false">
      <c r="A2368" s="12" t="n">
        <v>45443</v>
      </c>
      <c r="B2368" s="15" t="n">
        <v>76.99</v>
      </c>
      <c r="C2368" s="15" t="n">
        <v>81.62</v>
      </c>
      <c r="D2368" s="14" t="n">
        <f aca="false">AVERAGE(B2349:B2368)</f>
        <v>78.586</v>
      </c>
      <c r="E2368" s="14" t="n">
        <f aca="false">(B2368-D2368)/D2368*100</f>
        <v>-2.0308960883618</v>
      </c>
    </row>
    <row r="2369" customFormat="false" ht="15" hidden="false" customHeight="false" outlineLevel="0" collapsed="false">
      <c r="A2369" s="12" t="n">
        <v>45446</v>
      </c>
      <c r="B2369" s="15" t="n">
        <v>74.22</v>
      </c>
      <c r="C2369" s="15" t="n">
        <v>78.36</v>
      </c>
      <c r="D2369" s="14" t="n">
        <f aca="false">AVERAGE(B2350:B2369)</f>
        <v>78.3915</v>
      </c>
      <c r="E2369" s="14" t="n">
        <f aca="false">(B2369-D2369)/D2369*100</f>
        <v>-5.32136775033007</v>
      </c>
    </row>
    <row r="2370" customFormat="false" ht="15" hidden="false" customHeight="false" outlineLevel="0" collapsed="false">
      <c r="A2370" s="12" t="n">
        <v>45447</v>
      </c>
      <c r="B2370" s="15" t="n">
        <v>73.25</v>
      </c>
      <c r="C2370" s="15" t="n">
        <v>77.52</v>
      </c>
      <c r="D2370" s="14" t="n">
        <f aca="false">AVERAGE(B2351:B2370)</f>
        <v>78.13</v>
      </c>
      <c r="E2370" s="14" t="n">
        <f aca="false">(B2370-D2370)/D2370*100</f>
        <v>-6.24600025598361</v>
      </c>
    </row>
    <row r="2371" customFormat="false" ht="15" hidden="false" customHeight="false" outlineLevel="0" collapsed="false">
      <c r="A2371" s="12" t="n">
        <v>45448</v>
      </c>
      <c r="B2371" s="15" t="n">
        <v>74.07</v>
      </c>
      <c r="C2371" s="15" t="n">
        <v>78.41</v>
      </c>
      <c r="D2371" s="14" t="n">
        <f aca="false">AVERAGE(B2352:B2371)</f>
        <v>77.9145</v>
      </c>
      <c r="E2371" s="14" t="n">
        <f aca="false">(B2371-D2371)/D2371*100</f>
        <v>-4.93425485628479</v>
      </c>
    </row>
    <row r="2372" customFormat="false" ht="15" hidden="false" customHeight="false" outlineLevel="0" collapsed="false">
      <c r="A2372" s="12" t="n">
        <v>45449</v>
      </c>
      <c r="B2372" s="15" t="n">
        <v>75.55</v>
      </c>
      <c r="C2372" s="15" t="n">
        <v>79.87</v>
      </c>
      <c r="D2372" s="14" t="n">
        <f aca="false">AVERAGE(B2353:B2372)</f>
        <v>77.7425</v>
      </c>
      <c r="E2372" s="14" t="n">
        <f aca="false">(B2372-D2372)/D2372*100</f>
        <v>-2.82020773708074</v>
      </c>
    </row>
    <row r="2373" customFormat="false" ht="15" hidden="false" customHeight="false" outlineLevel="0" collapsed="false">
      <c r="A2373" s="12" t="n">
        <v>45450</v>
      </c>
      <c r="B2373" s="15" t="n">
        <v>75.53</v>
      </c>
      <c r="C2373" s="15" t="n">
        <v>79.62</v>
      </c>
      <c r="D2373" s="14" t="n">
        <f aca="false">AVERAGE(B2354:B2373)</f>
        <v>77.556</v>
      </c>
      <c r="E2373" s="14" t="n">
        <f aca="false">(B2373-D2373)/D2373*100</f>
        <v>-2.61230594667079</v>
      </c>
    </row>
    <row r="2374" customFormat="false" ht="15" hidden="false" customHeight="false" outlineLevel="0" collapsed="false">
      <c r="A2374" s="12" t="n">
        <v>45453</v>
      </c>
      <c r="B2374" s="15" t="n">
        <v>77.74</v>
      </c>
      <c r="C2374" s="15" t="n">
        <v>81.63</v>
      </c>
      <c r="D2374" s="14" t="n">
        <f aca="false">AVERAGE(B2355:B2374)</f>
        <v>77.53</v>
      </c>
      <c r="E2374" s="14" t="n">
        <f aca="false">(B2374-D2374)/D2374*100</f>
        <v>0.270862891783818</v>
      </c>
    </row>
    <row r="2375" customFormat="false" ht="15" hidden="false" customHeight="false" outlineLevel="0" collapsed="false">
      <c r="A2375" s="12" t="n">
        <v>45454</v>
      </c>
      <c r="B2375" s="15" t="n">
        <v>77.9</v>
      </c>
      <c r="C2375" s="15" t="n">
        <v>81.92</v>
      </c>
      <c r="D2375" s="14" t="n">
        <f aca="false">AVERAGE(B2356:B2375)</f>
        <v>77.469</v>
      </c>
      <c r="E2375" s="14" t="n">
        <f aca="false">(B2375-D2375)/D2375*100</f>
        <v>0.556351572887235</v>
      </c>
    </row>
    <row r="2376" customFormat="false" ht="15" hidden="false" customHeight="false" outlineLevel="0" collapsed="false">
      <c r="A2376" s="12" t="n">
        <v>45455</v>
      </c>
      <c r="B2376" s="15" t="n">
        <v>78.5</v>
      </c>
      <c r="C2376" s="15" t="n">
        <v>82.6</v>
      </c>
      <c r="D2376" s="14" t="n">
        <f aca="false">AVERAGE(B2357:B2376)</f>
        <v>77.493</v>
      </c>
      <c r="E2376" s="14" t="n">
        <f aca="false">(B2376-D2376)/D2376*100</f>
        <v>1.2994722103932</v>
      </c>
    </row>
    <row r="2377" customFormat="false" ht="15" hidden="false" customHeight="false" outlineLevel="0" collapsed="false">
      <c r="A2377" s="12" t="n">
        <v>45456</v>
      </c>
      <c r="B2377" s="15" t="n">
        <v>78.62</v>
      </c>
      <c r="C2377" s="15" t="n">
        <v>82.75</v>
      </c>
      <c r="D2377" s="14" t="n">
        <f aca="false">AVERAGE(B2358:B2377)</f>
        <v>77.4925</v>
      </c>
      <c r="E2377" s="14" t="n">
        <f aca="false">(B2377-D2377)/D2377*100</f>
        <v>1.45497951414655</v>
      </c>
    </row>
    <row r="2378" customFormat="false" ht="15" hidden="false" customHeight="false" outlineLevel="0" collapsed="false">
      <c r="A2378" s="12" t="n">
        <v>45457</v>
      </c>
      <c r="B2378" s="15" t="n">
        <v>78.45</v>
      </c>
      <c r="C2378" s="15" t="n">
        <v>82.62</v>
      </c>
      <c r="D2378" s="14" t="n">
        <f aca="false">AVERAGE(B2359:B2378)</f>
        <v>77.4535</v>
      </c>
      <c r="E2378" s="14" t="n">
        <f aca="false">(B2378-D2378)/D2378*100</f>
        <v>1.28657839865211</v>
      </c>
    </row>
    <row r="2379" customFormat="false" ht="15" hidden="false" customHeight="false" outlineLevel="0" collapsed="false">
      <c r="A2379" s="12" t="n">
        <v>45460</v>
      </c>
      <c r="B2379" s="15" t="n">
        <v>80.33</v>
      </c>
      <c r="C2379" s="15" t="n">
        <v>84.25</v>
      </c>
      <c r="D2379" s="14" t="n">
        <f aca="false">AVERAGE(B2360:B2379)</f>
        <v>77.467</v>
      </c>
      <c r="E2379" s="14" t="n">
        <f aca="false">(B2379-D2379)/D2379*100</f>
        <v>3.69576722991725</v>
      </c>
    </row>
    <row r="2380" customFormat="false" ht="15" hidden="false" customHeight="false" outlineLevel="0" collapsed="false">
      <c r="A2380" s="12" t="n">
        <v>45461</v>
      </c>
      <c r="B2380" s="15" t="n">
        <v>81.57</v>
      </c>
      <c r="C2380" s="15" t="n">
        <v>85.33</v>
      </c>
      <c r="D2380" s="14" t="n">
        <f aca="false">AVERAGE(B2361:B2380)</f>
        <v>77.5555</v>
      </c>
      <c r="E2380" s="14" t="n">
        <f aca="false">(B2380-D2380)/D2380*100</f>
        <v>5.17629310622715</v>
      </c>
    </row>
    <row r="2381" customFormat="false" ht="15" hidden="false" customHeight="false" outlineLevel="0" collapsed="false">
      <c r="A2381" s="12" t="n">
        <v>45463</v>
      </c>
      <c r="B2381" s="15" t="n">
        <v>82.17</v>
      </c>
      <c r="C2381" s="15" t="n">
        <v>85.71</v>
      </c>
      <c r="D2381" s="14" t="n">
        <f aca="false">AVERAGE(B2362:B2381)</f>
        <v>77.701</v>
      </c>
      <c r="E2381" s="14" t="n">
        <f aca="false">(B2381-D2381)/D2381*100</f>
        <v>5.75153472928277</v>
      </c>
    </row>
    <row r="2382" customFormat="false" ht="15" hidden="false" customHeight="false" outlineLevel="0" collapsed="false">
      <c r="A2382" s="12" t="n">
        <v>45464</v>
      </c>
      <c r="B2382" s="15" t="n">
        <v>80.73</v>
      </c>
      <c r="C2382" s="15" t="n">
        <v>85.24</v>
      </c>
      <c r="D2382" s="14" t="n">
        <f aca="false">AVERAGE(B2363:B2382)</f>
        <v>77.859</v>
      </c>
      <c r="E2382" s="14" t="n">
        <f aca="false">(B2382-D2382)/D2382*100</f>
        <v>3.68743497861518</v>
      </c>
    </row>
    <row r="2383" customFormat="false" ht="15" hidden="false" customHeight="false" outlineLevel="0" collapsed="false">
      <c r="A2383" s="12" t="n">
        <v>45467</v>
      </c>
      <c r="B2383" s="15" t="n">
        <v>81.63</v>
      </c>
      <c r="C2383" s="15" t="n">
        <v>86.01</v>
      </c>
      <c r="D2383" s="14" t="n">
        <f aca="false">AVERAGE(B2364:B2383)</f>
        <v>78.097</v>
      </c>
      <c r="E2383" s="14" t="n">
        <f aca="false">(B2383-D2383)/D2383*100</f>
        <v>4.52386135190851</v>
      </c>
    </row>
    <row r="2384" customFormat="false" ht="15" hidden="false" customHeight="false" outlineLevel="0" collapsed="false">
      <c r="A2384" s="12" t="n">
        <v>45468</v>
      </c>
      <c r="B2384" s="15" t="n">
        <v>80.83</v>
      </c>
      <c r="C2384" s="15" t="n">
        <v>85.01</v>
      </c>
      <c r="D2384" s="14" t="n">
        <f aca="false">AVERAGE(B2365:B2384)</f>
        <v>78.2525</v>
      </c>
      <c r="E2384" s="14" t="n">
        <f aca="false">(B2384-D2384)/D2384*100</f>
        <v>3.29382447845117</v>
      </c>
    </row>
    <row r="2385" customFormat="false" ht="15" hidden="false" customHeight="false" outlineLevel="0" collapsed="false">
      <c r="A2385" s="12" t="n">
        <v>45469</v>
      </c>
      <c r="B2385" s="15" t="n">
        <v>80.9</v>
      </c>
      <c r="C2385" s="15" t="n">
        <v>85.25</v>
      </c>
      <c r="D2385" s="14" t="n">
        <f aca="false">AVERAGE(B2366:B2385)</f>
        <v>78.306</v>
      </c>
      <c r="E2385" s="14" t="n">
        <f aca="false">(B2385-D2385)/D2385*100</f>
        <v>3.31264526345364</v>
      </c>
    </row>
    <row r="2386" customFormat="false" ht="15" hidden="false" customHeight="false" outlineLevel="0" collapsed="false">
      <c r="A2386" s="12" t="n">
        <v>45470</v>
      </c>
      <c r="B2386" s="15" t="n">
        <v>81.74</v>
      </c>
      <c r="C2386" s="15" t="n">
        <v>86.39</v>
      </c>
      <c r="D2386" s="14" t="n">
        <f aca="false">AVERAGE(B2367:B2386)</f>
        <v>78.4315</v>
      </c>
      <c r="E2386" s="14" t="n">
        <f aca="false">(B2386-D2386)/D2386*100</f>
        <v>4.2183306452127</v>
      </c>
    </row>
    <row r="2387" customFormat="false" ht="15" hidden="false" customHeight="false" outlineLevel="0" collapsed="false">
      <c r="A2387" s="12" t="n">
        <v>45471</v>
      </c>
      <c r="B2387" s="15" t="n">
        <v>81.54</v>
      </c>
      <c r="C2387" s="15" t="n">
        <v>86.41</v>
      </c>
      <c r="D2387" s="14" t="n">
        <f aca="false">AVERAGE(B2368:B2387)</f>
        <v>78.613</v>
      </c>
      <c r="E2387" s="14" t="n">
        <f aca="false">(B2387-D2387)/D2387*100</f>
        <v>3.72330276162976</v>
      </c>
    </row>
    <row r="2388" customFormat="false" ht="15" hidden="false" customHeight="false" outlineLevel="0" collapsed="false">
      <c r="A2388" s="12" t="n">
        <v>45474</v>
      </c>
      <c r="B2388" s="15" t="n">
        <v>83.38</v>
      </c>
      <c r="C2388" s="15" t="n">
        <v>86.6</v>
      </c>
      <c r="D2388" s="14" t="n">
        <f aca="false">AVERAGE(B2369:B2388)</f>
        <v>78.9325</v>
      </c>
      <c r="E2388" s="14" t="n">
        <f aca="false">(B2388-D2388)/D2388*100</f>
        <v>5.63456117568808</v>
      </c>
    </row>
    <row r="2389" customFormat="false" ht="15" hidden="false" customHeight="false" outlineLevel="0" collapsed="false">
      <c r="A2389" s="12" t="n">
        <v>45475</v>
      </c>
      <c r="B2389" s="15" t="n">
        <v>82.81</v>
      </c>
      <c r="C2389" s="15" t="n">
        <v>86.24</v>
      </c>
      <c r="D2389" s="14" t="n">
        <f aca="false">AVERAGE(B2370:B2389)</f>
        <v>79.362</v>
      </c>
      <c r="E2389" s="14" t="n">
        <f aca="false">(B2389-D2389)/D2389*100</f>
        <v>4.34464857236462</v>
      </c>
    </row>
    <row r="2390" customFormat="false" ht="15" hidden="false" customHeight="false" outlineLevel="0" collapsed="false">
      <c r="A2390" s="12" t="n">
        <v>45476</v>
      </c>
      <c r="B2390" s="15" t="n">
        <v>83.88</v>
      </c>
      <c r="C2390" s="15" t="n">
        <v>87.34</v>
      </c>
      <c r="D2390" s="14" t="n">
        <f aca="false">AVERAGE(B2371:B2390)</f>
        <v>79.8935</v>
      </c>
      <c r="E2390" s="14" t="n">
        <f aca="false">(B2390-D2390)/D2390*100</f>
        <v>4.98976762815499</v>
      </c>
    </row>
    <row r="2391" customFormat="false" ht="15" hidden="false" customHeight="false" outlineLevel="0" collapsed="false">
      <c r="A2391" s="12" t="n">
        <v>45478</v>
      </c>
      <c r="B2391" s="15" t="n">
        <v>83.16</v>
      </c>
      <c r="C2391" s="15" t="n">
        <v>86.54</v>
      </c>
      <c r="D2391" s="14" t="n">
        <f aca="false">AVERAGE(B2372:B2391)</f>
        <v>80.348</v>
      </c>
      <c r="E2391" s="14" t="n">
        <f aca="false">(B2391-D2391)/D2391*100</f>
        <v>3.49977597451087</v>
      </c>
    </row>
    <row r="2392" customFormat="false" ht="15" hidden="false" customHeight="false" outlineLevel="0" collapsed="false">
      <c r="A2392" s="12" t="n">
        <v>45481</v>
      </c>
      <c r="B2392" s="15" t="n">
        <v>82.33</v>
      </c>
      <c r="C2392" s="15" t="n">
        <v>85.75</v>
      </c>
      <c r="D2392" s="14" t="n">
        <f aca="false">AVERAGE(B2373:B2392)</f>
        <v>80.687</v>
      </c>
      <c r="E2392" s="14" t="n">
        <f aca="false">(B2392-D2392)/D2392*100</f>
        <v>2.03626358645135</v>
      </c>
    </row>
    <row r="2393" customFormat="false" ht="15" hidden="false" customHeight="false" outlineLevel="0" collapsed="false">
      <c r="A2393" s="12" t="n">
        <v>45482</v>
      </c>
      <c r="B2393" s="15" t="n">
        <v>81.41</v>
      </c>
      <c r="C2393" s="15" t="n">
        <v>84.66</v>
      </c>
      <c r="D2393" s="14" t="n">
        <f aca="false">AVERAGE(B2374:B2393)</f>
        <v>80.981</v>
      </c>
      <c r="E2393" s="14" t="n">
        <f aca="false">(B2393-D2393)/D2393*100</f>
        <v>0.529753892888458</v>
      </c>
    </row>
    <row r="2394" customFormat="false" ht="15" hidden="false" customHeight="false" outlineLevel="0" collapsed="false">
      <c r="A2394" s="12" t="n">
        <v>45483</v>
      </c>
      <c r="B2394" s="15" t="n">
        <v>82.1</v>
      </c>
      <c r="C2394" s="15" t="n">
        <v>85.08</v>
      </c>
      <c r="D2394" s="14" t="n">
        <f aca="false">AVERAGE(B2375:B2394)</f>
        <v>81.199</v>
      </c>
      <c r="E2394" s="14" t="n">
        <f aca="false">(B2394-D2394)/D2394*100</f>
        <v>1.10961957659577</v>
      </c>
    </row>
    <row r="2395" customFormat="false" ht="15" hidden="false" customHeight="false" outlineLevel="0" collapsed="false">
      <c r="A2395" s="12" t="n">
        <v>45484</v>
      </c>
      <c r="B2395" s="15" t="n">
        <v>82.62</v>
      </c>
      <c r="C2395" s="15" t="n">
        <v>85.4</v>
      </c>
      <c r="D2395" s="14" t="n">
        <f aca="false">AVERAGE(B2376:B2395)</f>
        <v>81.435</v>
      </c>
      <c r="E2395" s="14" t="n">
        <f aca="false">(B2395-D2395)/D2395*100</f>
        <v>1.45514827776755</v>
      </c>
    </row>
    <row r="2396" customFormat="false" ht="15" hidden="false" customHeight="false" outlineLevel="0" collapsed="false">
      <c r="A2396" s="12" t="n">
        <v>45485</v>
      </c>
      <c r="B2396" s="15" t="n">
        <v>82.21</v>
      </c>
      <c r="C2396" s="15" t="n">
        <v>85.03</v>
      </c>
      <c r="D2396" s="14" t="n">
        <f aca="false">AVERAGE(B2377:B2396)</f>
        <v>81.6205</v>
      </c>
      <c r="E2396" s="14" t="n">
        <f aca="false">(B2396-D2396)/D2396*100</f>
        <v>0.722245024227966</v>
      </c>
    </row>
    <row r="2397" customFormat="false" ht="15" hidden="false" customHeight="false" outlineLevel="0" collapsed="false">
      <c r="A2397" s="12" t="n">
        <v>45488</v>
      </c>
      <c r="B2397" s="15" t="n">
        <v>81.91</v>
      </c>
      <c r="C2397" s="15" t="n">
        <v>84.85</v>
      </c>
      <c r="D2397" s="14" t="n">
        <f aca="false">AVERAGE(B2378:B2397)</f>
        <v>81.785</v>
      </c>
      <c r="E2397" s="14" t="n">
        <f aca="false">(B2397-D2397)/D2397*100</f>
        <v>0.152839762792688</v>
      </c>
    </row>
    <row r="2398" customFormat="false" ht="15" hidden="false" customHeight="false" outlineLevel="0" collapsed="false">
      <c r="A2398" s="12" t="n">
        <v>45489</v>
      </c>
      <c r="B2398" s="15" t="n">
        <v>80.76</v>
      </c>
      <c r="C2398" s="15" t="n">
        <v>83.73</v>
      </c>
      <c r="D2398" s="14" t="n">
        <f aca="false">AVERAGE(B2379:B2398)</f>
        <v>81.9005</v>
      </c>
      <c r="E2398" s="14" t="n">
        <f aca="false">(B2398-D2398)/D2398*100</f>
        <v>-1.39254339106598</v>
      </c>
    </row>
    <row r="2399" customFormat="false" ht="15" hidden="false" customHeight="false" outlineLevel="0" collapsed="false">
      <c r="A2399" s="12" t="n">
        <v>45490</v>
      </c>
      <c r="B2399" s="15" t="n">
        <v>82.85</v>
      </c>
      <c r="C2399" s="15" t="n">
        <v>85.08</v>
      </c>
      <c r="D2399" s="14" t="n">
        <f aca="false">AVERAGE(B2380:B2399)</f>
        <v>82.0265</v>
      </c>
      <c r="E2399" s="14" t="n">
        <f aca="false">(B2399-D2399)/D2399*100</f>
        <v>1.00394384741516</v>
      </c>
    </row>
    <row r="2400" customFormat="false" ht="15" hidden="false" customHeight="false" outlineLevel="0" collapsed="false">
      <c r="A2400" s="12" t="n">
        <v>45491</v>
      </c>
      <c r="B2400" s="15" t="n">
        <v>82.82</v>
      </c>
      <c r="C2400" s="15" t="n">
        <v>85.11</v>
      </c>
      <c r="D2400" s="14" t="n">
        <f aca="false">AVERAGE(B2381:B2400)</f>
        <v>82.089</v>
      </c>
      <c r="E2400" s="14" t="n">
        <f aca="false">(B2400-D2400)/D2400*100</f>
        <v>0.89049689970641</v>
      </c>
    </row>
    <row r="2401" customFormat="false" ht="15" hidden="false" customHeight="false" outlineLevel="0" collapsed="false">
      <c r="A2401" s="12" t="n">
        <v>45492</v>
      </c>
      <c r="B2401" s="15" t="n">
        <v>80.13</v>
      </c>
      <c r="C2401" s="15" t="n">
        <v>82.63</v>
      </c>
      <c r="D2401" s="14" t="n">
        <f aca="false">AVERAGE(B2382:B2401)</f>
        <v>81.987</v>
      </c>
      <c r="E2401" s="14" t="n">
        <f aca="false">(B2401-D2401)/D2401*100</f>
        <v>-2.26499323063412</v>
      </c>
    </row>
    <row r="2402" customFormat="false" ht="15" hidden="false" customHeight="false" outlineLevel="0" collapsed="false">
      <c r="A2402" s="12" t="n">
        <v>45495</v>
      </c>
      <c r="B2402" s="15" t="n">
        <v>79.78</v>
      </c>
      <c r="C2402" s="15" t="n">
        <v>82.4</v>
      </c>
      <c r="D2402" s="14" t="n">
        <f aca="false">AVERAGE(B2383:B2402)</f>
        <v>81.9395</v>
      </c>
      <c r="E2402" s="14" t="n">
        <f aca="false">(B2402-D2402)/D2402*100</f>
        <v>-2.63548105614508</v>
      </c>
    </row>
    <row r="2403" customFormat="false" ht="15" hidden="false" customHeight="false" outlineLevel="0" collapsed="false">
      <c r="A2403" s="12" t="n">
        <v>45496</v>
      </c>
      <c r="B2403" s="15" t="n">
        <v>76.96</v>
      </c>
      <c r="C2403" s="15" t="n">
        <v>81.01</v>
      </c>
      <c r="D2403" s="14" t="n">
        <f aca="false">AVERAGE(B2384:B2403)</f>
        <v>81.706</v>
      </c>
      <c r="E2403" s="14" t="n">
        <f aca="false">(B2403-D2403)/D2403*100</f>
        <v>-5.80863094509583</v>
      </c>
    </row>
    <row r="2404" customFormat="false" ht="15" hidden="false" customHeight="false" outlineLevel="0" collapsed="false">
      <c r="A2404" s="12" t="n">
        <v>45497</v>
      </c>
      <c r="B2404" s="15" t="n">
        <v>77.59</v>
      </c>
      <c r="C2404" s="15" t="n">
        <v>81.71</v>
      </c>
      <c r="D2404" s="14" t="n">
        <f aca="false">AVERAGE(B2385:B2404)</f>
        <v>81.544</v>
      </c>
      <c r="E2404" s="14" t="n">
        <f aca="false">(B2404-D2404)/D2404*100</f>
        <v>-4.84891592269204</v>
      </c>
    </row>
    <row r="2405" customFormat="false" ht="15" hidden="false" customHeight="false" outlineLevel="0" collapsed="false">
      <c r="A2405" s="12" t="n">
        <v>45498</v>
      </c>
      <c r="B2405" s="15" t="n">
        <v>78.28</v>
      </c>
      <c r="C2405" s="15" t="n">
        <v>82.37</v>
      </c>
      <c r="D2405" s="14" t="n">
        <f aca="false">AVERAGE(B2386:B2405)</f>
        <v>81.413</v>
      </c>
      <c r="E2405" s="14" t="n">
        <f aca="false">(B2405-D2405)/D2405*100</f>
        <v>-3.84827975876088</v>
      </c>
    </row>
    <row r="2406" customFormat="false" ht="15" hidden="false" customHeight="false" outlineLevel="0" collapsed="false">
      <c r="A2406" s="12" t="n">
        <v>45499</v>
      </c>
      <c r="B2406" s="15" t="n">
        <v>77.16</v>
      </c>
      <c r="C2406" s="15" t="n">
        <v>81.13</v>
      </c>
      <c r="D2406" s="14" t="n">
        <f aca="false">AVERAGE(B2387:B2406)</f>
        <v>81.184</v>
      </c>
      <c r="E2406" s="14" t="n">
        <f aca="false">(B2406-D2406)/D2406*100</f>
        <v>-4.95664170279858</v>
      </c>
    </row>
    <row r="2407" customFormat="false" ht="15" hidden="false" customHeight="false" outlineLevel="0" collapsed="false">
      <c r="A2407" s="12" t="n">
        <v>45502</v>
      </c>
      <c r="B2407" s="15" t="n">
        <v>75.81</v>
      </c>
      <c r="C2407" s="15" t="n">
        <v>79.78</v>
      </c>
      <c r="D2407" s="14" t="n">
        <f aca="false">AVERAGE(B2388:B2407)</f>
        <v>80.8975</v>
      </c>
      <c r="E2407" s="14" t="n">
        <f aca="false">(B2407-D2407)/D2407*100</f>
        <v>-6.28882227510122</v>
      </c>
    </row>
    <row r="2408" customFormat="false" ht="15" hidden="false" customHeight="false" outlineLevel="0" collapsed="false">
      <c r="A2408" s="12" t="n">
        <v>45503</v>
      </c>
      <c r="B2408" s="15" t="n">
        <v>74.73</v>
      </c>
      <c r="C2408" s="15" t="n">
        <v>78.63</v>
      </c>
      <c r="D2408" s="14" t="n">
        <f aca="false">AVERAGE(B2389:B2408)</f>
        <v>80.465</v>
      </c>
      <c r="E2408" s="14" t="n">
        <f aca="false">(B2408-D2408)/D2408*100</f>
        <v>-7.12732243832722</v>
      </c>
    </row>
    <row r="2409" customFormat="false" ht="15" hidden="false" customHeight="false" outlineLevel="0" collapsed="false">
      <c r="A2409" s="12" t="n">
        <v>45504</v>
      </c>
      <c r="B2409" s="15" t="n">
        <v>77.91</v>
      </c>
      <c r="C2409" s="15" t="n">
        <v>80.72</v>
      </c>
      <c r="D2409" s="14" t="n">
        <f aca="false">AVERAGE(B2390:B2409)</f>
        <v>80.22</v>
      </c>
      <c r="E2409" s="14" t="n">
        <f aca="false">(B2409-D2409)/D2409*100</f>
        <v>-2.87958115183246</v>
      </c>
    </row>
    <row r="2410" customFormat="false" ht="15" hidden="false" customHeight="false" outlineLevel="0" collapsed="false">
      <c r="A2410" s="12" t="n">
        <v>45505</v>
      </c>
      <c r="B2410" s="15" t="n">
        <v>76.31</v>
      </c>
      <c r="C2410" s="15" t="n">
        <v>79.52</v>
      </c>
      <c r="D2410" s="14" t="n">
        <f aca="false">AVERAGE(B2391:B2410)</f>
        <v>79.8415</v>
      </c>
      <c r="E2410" s="14" t="n">
        <f aca="false">(B2410-D2410)/D2410*100</f>
        <v>-4.42313834284175</v>
      </c>
    </row>
    <row r="2411" customFormat="false" ht="15" hidden="false" customHeight="false" outlineLevel="0" collapsed="false">
      <c r="A2411" s="12" t="n">
        <v>45506</v>
      </c>
      <c r="B2411" s="15" t="n">
        <v>73.52</v>
      </c>
      <c r="C2411" s="15" t="n">
        <v>76.81</v>
      </c>
      <c r="D2411" s="14" t="n">
        <f aca="false">AVERAGE(B2392:B2411)</f>
        <v>79.3595</v>
      </c>
      <c r="E2411" s="14" t="n">
        <f aca="false">(B2411-D2411)/D2411*100</f>
        <v>-7.35828728759632</v>
      </c>
    </row>
    <row r="2412" customFormat="false" ht="15" hidden="false" customHeight="false" outlineLevel="0" collapsed="false">
      <c r="A2412" s="12" t="n">
        <v>45509</v>
      </c>
      <c r="B2412" s="15" t="n">
        <v>72.94</v>
      </c>
      <c r="C2412" s="15" t="n">
        <v>76.3</v>
      </c>
      <c r="D2412" s="14" t="n">
        <f aca="false">AVERAGE(B2393:B2412)</f>
        <v>78.89</v>
      </c>
      <c r="E2412" s="14" t="n">
        <f aca="false">(B2412-D2412)/D2412*100</f>
        <v>-7.54214729370009</v>
      </c>
    </row>
    <row r="2413" customFormat="false" ht="15" hidden="false" customHeight="false" outlineLevel="0" collapsed="false">
      <c r="A2413" s="12" t="n">
        <v>45510</v>
      </c>
      <c r="B2413" s="15" t="n">
        <v>73.2</v>
      </c>
      <c r="C2413" s="15" t="n">
        <v>76.48</v>
      </c>
      <c r="D2413" s="14" t="n">
        <f aca="false">AVERAGE(B2394:B2413)</f>
        <v>78.4795</v>
      </c>
      <c r="E2413" s="14" t="n">
        <f aca="false">(B2413-D2413)/D2413*100</f>
        <v>-6.72723450072949</v>
      </c>
    </row>
    <row r="2414" customFormat="false" ht="15" hidden="false" customHeight="false" outlineLevel="0" collapsed="false">
      <c r="A2414" s="12" t="n">
        <v>45511</v>
      </c>
      <c r="B2414" s="15" t="n">
        <v>75.23</v>
      </c>
      <c r="C2414" s="15" t="n">
        <v>78.33</v>
      </c>
      <c r="D2414" s="14" t="n">
        <f aca="false">AVERAGE(B2395:B2414)</f>
        <v>78.136</v>
      </c>
      <c r="E2414" s="14" t="n">
        <f aca="false">(B2414-D2414)/D2414*100</f>
        <v>-3.71915634278693</v>
      </c>
    </row>
    <row r="2415" customFormat="false" ht="15" hidden="false" customHeight="false" outlineLevel="0" collapsed="false">
      <c r="A2415" s="12" t="n">
        <v>45512</v>
      </c>
      <c r="B2415" s="15" t="n">
        <v>76.19</v>
      </c>
      <c r="C2415" s="15" t="n">
        <v>79.16</v>
      </c>
      <c r="D2415" s="14" t="n">
        <f aca="false">AVERAGE(B2396:B2415)</f>
        <v>77.8145</v>
      </c>
      <c r="E2415" s="14" t="n">
        <f aca="false">(B2415-D2415)/D2415*100</f>
        <v>-2.08765718471493</v>
      </c>
    </row>
    <row r="2416" customFormat="false" ht="15" hidden="false" customHeight="false" outlineLevel="0" collapsed="false">
      <c r="A2416" s="12" t="n">
        <v>45513</v>
      </c>
      <c r="B2416" s="15" t="n">
        <v>76.84</v>
      </c>
      <c r="C2416" s="15" t="n">
        <v>79.66</v>
      </c>
      <c r="D2416" s="14" t="n">
        <f aca="false">AVERAGE(B2397:B2416)</f>
        <v>77.546</v>
      </c>
      <c r="E2416" s="14" t="n">
        <f aca="false">(B2416-D2416)/D2416*100</f>
        <v>-0.910427359244839</v>
      </c>
    </row>
    <row r="2417" customFormat="false" ht="15" hidden="false" customHeight="false" outlineLevel="0" collapsed="false">
      <c r="A2417" s="12" t="n">
        <v>45516</v>
      </c>
      <c r="B2417" s="15" t="n">
        <v>80.06</v>
      </c>
      <c r="C2417" s="15" t="n">
        <v>82.3</v>
      </c>
      <c r="D2417" s="14" t="n">
        <f aca="false">AVERAGE(B2398:B2417)</f>
        <v>77.4535</v>
      </c>
      <c r="E2417" s="14" t="n">
        <f aca="false">(B2417-D2417)/D2417*100</f>
        <v>3.36524495342368</v>
      </c>
    </row>
    <row r="2418" customFormat="false" ht="15" hidden="false" customHeight="false" outlineLevel="0" collapsed="false">
      <c r="A2418" s="12" t="n">
        <v>45517</v>
      </c>
      <c r="B2418" s="15" t="n">
        <v>78.35</v>
      </c>
      <c r="C2418" s="15" t="n">
        <v>80.69</v>
      </c>
      <c r="D2418" s="14" t="n">
        <f aca="false">AVERAGE(B2399:B2418)</f>
        <v>77.333</v>
      </c>
      <c r="E2418" s="14" t="n">
        <f aca="false">(B2418-D2418)/D2418*100</f>
        <v>1.31509187539601</v>
      </c>
    </row>
    <row r="2419" customFormat="false" ht="15" hidden="false" customHeight="false" outlineLevel="0" collapsed="false">
      <c r="A2419" s="12" t="n">
        <v>45518</v>
      </c>
      <c r="B2419" s="15" t="n">
        <v>76.98</v>
      </c>
      <c r="C2419" s="15" t="n">
        <v>79.76</v>
      </c>
      <c r="D2419" s="14" t="n">
        <f aca="false">AVERAGE(B2400:B2419)</f>
        <v>77.0395</v>
      </c>
      <c r="E2419" s="14" t="n">
        <f aca="false">(B2419-D2419)/D2419*100</f>
        <v>-0.0772331076915088</v>
      </c>
    </row>
    <row r="2420" customFormat="false" ht="15" hidden="false" customHeight="false" outlineLevel="0" collapsed="false">
      <c r="A2420" s="12" t="n">
        <v>45519</v>
      </c>
      <c r="B2420" s="15" t="n">
        <v>78.16</v>
      </c>
      <c r="C2420" s="15" t="n">
        <v>81.04</v>
      </c>
      <c r="D2420" s="14" t="n">
        <f aca="false">AVERAGE(B2401:B2420)</f>
        <v>76.8065</v>
      </c>
      <c r="E2420" s="14" t="n">
        <f aca="false">(B2420-D2420)/D2420*100</f>
        <v>1.76222064538808</v>
      </c>
    </row>
    <row r="2421" customFormat="false" ht="15" hidden="false" customHeight="false" outlineLevel="0" collapsed="false">
      <c r="A2421" s="12" t="n">
        <v>45520</v>
      </c>
      <c r="B2421" s="15" t="n">
        <v>76.65</v>
      </c>
      <c r="C2421" s="15" t="n">
        <v>79.68</v>
      </c>
      <c r="D2421" s="14" t="n">
        <f aca="false">AVERAGE(B2402:B2421)</f>
        <v>76.6325</v>
      </c>
      <c r="E2421" s="14" t="n">
        <f aca="false">(B2421-D2421)/D2421*100</f>
        <v>0.0228362639872095</v>
      </c>
    </row>
    <row r="2422" customFormat="false" ht="15" hidden="false" customHeight="false" outlineLevel="0" collapsed="false">
      <c r="A2422" s="12" t="n">
        <v>45523</v>
      </c>
      <c r="B2422" s="15" t="n">
        <v>74.37</v>
      </c>
      <c r="C2422" s="15" t="n">
        <v>77.66</v>
      </c>
      <c r="D2422" s="14" t="n">
        <f aca="false">AVERAGE(B2403:B2422)</f>
        <v>76.362</v>
      </c>
      <c r="E2422" s="14" t="n">
        <f aca="false">(B2422-D2422)/D2422*100</f>
        <v>-2.60862732772844</v>
      </c>
    </row>
    <row r="2423" customFormat="false" ht="15" hidden="false" customHeight="false" outlineLevel="0" collapsed="false">
      <c r="A2423" s="12" t="n">
        <v>45524</v>
      </c>
      <c r="B2423" s="15" t="n">
        <v>74.04</v>
      </c>
      <c r="C2423" s="15" t="n">
        <v>77.2</v>
      </c>
      <c r="D2423" s="14" t="n">
        <f aca="false">AVERAGE(B2404:B2423)</f>
        <v>76.216</v>
      </c>
      <c r="E2423" s="14" t="n">
        <f aca="false">(B2423-D2423)/D2423*100</f>
        <v>-2.85504356040725</v>
      </c>
    </row>
    <row r="2424" customFormat="false" ht="15" hidden="false" customHeight="false" outlineLevel="0" collapsed="false">
      <c r="A2424" s="12" t="n">
        <v>45525</v>
      </c>
      <c r="B2424" s="15" t="n">
        <v>71.93</v>
      </c>
      <c r="C2424" s="15" t="n">
        <v>76.05</v>
      </c>
      <c r="D2424" s="14" t="n">
        <f aca="false">AVERAGE(B2405:B2424)</f>
        <v>75.933</v>
      </c>
      <c r="E2424" s="14" t="n">
        <f aca="false">(B2424-D2424)/D2424*100</f>
        <v>-5.27175272937985</v>
      </c>
    </row>
    <row r="2425" customFormat="false" ht="15" hidden="false" customHeight="false" outlineLevel="0" collapsed="false">
      <c r="A2425" s="12" t="n">
        <v>45526</v>
      </c>
      <c r="B2425" s="15" t="n">
        <v>73.01</v>
      </c>
      <c r="C2425" s="15" t="n">
        <v>77.22</v>
      </c>
      <c r="D2425" s="14" t="n">
        <f aca="false">AVERAGE(B2406:B2425)</f>
        <v>75.6695</v>
      </c>
      <c r="E2425" s="14" t="n">
        <f aca="false">(B2425-D2425)/D2425*100</f>
        <v>-3.51462610430886</v>
      </c>
    </row>
    <row r="2426" customFormat="false" ht="15" hidden="false" customHeight="false" outlineLevel="0" collapsed="false">
      <c r="A2426" s="12" t="n">
        <v>45527</v>
      </c>
      <c r="B2426" s="15" t="n">
        <v>74.83</v>
      </c>
      <c r="C2426" s="15" t="n">
        <v>79.02</v>
      </c>
      <c r="D2426" s="14" t="n">
        <f aca="false">AVERAGE(B2407:B2426)</f>
        <v>75.553</v>
      </c>
      <c r="E2426" s="14" t="n">
        <f aca="false">(B2426-D2426)/D2426*100</f>
        <v>-0.956944131933873</v>
      </c>
    </row>
    <row r="2427" customFormat="false" ht="15" hidden="false" customHeight="false" outlineLevel="0" collapsed="false">
      <c r="A2427" s="12" t="n">
        <v>45530</v>
      </c>
      <c r="B2427" s="15" t="n">
        <v>77.42</v>
      </c>
      <c r="C2427" s="15" t="n">
        <v>81.43</v>
      </c>
      <c r="D2427" s="14" t="n">
        <f aca="false">AVERAGE(B2408:B2427)</f>
        <v>75.6335</v>
      </c>
      <c r="E2427" s="14" t="n">
        <f aca="false">(B2427-D2427)/D2427*100</f>
        <v>2.36204856313671</v>
      </c>
    </row>
    <row r="2428" customFormat="false" ht="15" hidden="false" customHeight="false" outlineLevel="0" collapsed="false">
      <c r="A2428" s="12" t="n">
        <v>45531</v>
      </c>
      <c r="B2428" s="15" t="n">
        <v>75.53</v>
      </c>
      <c r="C2428" s="15" t="n">
        <v>79.55</v>
      </c>
      <c r="D2428" s="14" t="n">
        <f aca="false">AVERAGE(B2409:B2428)</f>
        <v>75.6735</v>
      </c>
      <c r="E2428" s="14" t="n">
        <f aca="false">(B2428-D2428)/D2428*100</f>
        <v>-0.189630451875495</v>
      </c>
    </row>
    <row r="2429" customFormat="false" ht="15" hidden="false" customHeight="false" outlineLevel="0" collapsed="false">
      <c r="A2429" s="12" t="n">
        <v>45532</v>
      </c>
      <c r="B2429" s="15" t="n">
        <v>74.52</v>
      </c>
      <c r="C2429" s="15" t="n">
        <v>78.65</v>
      </c>
      <c r="D2429" s="14" t="n">
        <f aca="false">AVERAGE(B2410:B2429)</f>
        <v>75.504</v>
      </c>
      <c r="E2429" s="14" t="n">
        <f aca="false">(B2429-D2429)/D2429*100</f>
        <v>-1.30324221233311</v>
      </c>
    </row>
    <row r="2430" customFormat="false" ht="15" hidden="false" customHeight="false" outlineLevel="0" collapsed="false">
      <c r="A2430" s="12" t="n">
        <v>45533</v>
      </c>
      <c r="B2430" s="15" t="n">
        <v>75.91</v>
      </c>
      <c r="C2430" s="15" t="n">
        <v>79.94</v>
      </c>
      <c r="D2430" s="14" t="n">
        <f aca="false">AVERAGE(B2411:B2430)</f>
        <v>75.484</v>
      </c>
      <c r="E2430" s="14" t="n">
        <f aca="false">(B2430-D2430)/D2430*100</f>
        <v>0.564358009644412</v>
      </c>
    </row>
    <row r="2431" customFormat="false" ht="15" hidden="false" customHeight="false" outlineLevel="0" collapsed="false">
      <c r="A2431" s="12" t="n">
        <v>45534</v>
      </c>
      <c r="B2431" s="15" t="n">
        <v>73.55</v>
      </c>
      <c r="C2431" s="15" t="n">
        <v>78.8</v>
      </c>
      <c r="D2431" s="14" t="n">
        <f aca="false">AVERAGE(B2412:B2431)</f>
        <v>75.4855</v>
      </c>
      <c r="E2431" s="14" t="n">
        <f aca="false">(B2431-D2431)/D2431*100</f>
        <v>-2.56406859595552</v>
      </c>
    </row>
    <row r="2432" customFormat="false" ht="15" hidden="false" customHeight="false" outlineLevel="0" collapsed="false">
      <c r="A2432" s="12" t="n">
        <v>45538</v>
      </c>
      <c r="B2432" s="15" t="n">
        <v>70.34</v>
      </c>
      <c r="C2432" s="15" t="n">
        <v>73.75</v>
      </c>
      <c r="D2432" s="14" t="n">
        <f aca="false">AVERAGE(B2413:B2432)</f>
        <v>75.3555</v>
      </c>
      <c r="E2432" s="14" t="n">
        <f aca="false">(B2432-D2432)/D2432*100</f>
        <v>-6.65578491284645</v>
      </c>
    </row>
    <row r="2433" customFormat="false" ht="15" hidden="false" customHeight="false" outlineLevel="0" collapsed="false">
      <c r="A2433" s="12" t="n">
        <v>45539</v>
      </c>
      <c r="B2433" s="15" t="n">
        <v>69.2</v>
      </c>
      <c r="C2433" s="15" t="n">
        <v>72.7</v>
      </c>
      <c r="D2433" s="14" t="n">
        <f aca="false">AVERAGE(B2414:B2433)</f>
        <v>75.1555</v>
      </c>
      <c r="E2433" s="14" t="n">
        <f aca="false">(B2433-D2433)/D2433*100</f>
        <v>-7.92423708178377</v>
      </c>
    </row>
    <row r="2434" customFormat="false" ht="15" hidden="false" customHeight="false" outlineLevel="0" collapsed="false">
      <c r="A2434" s="12" t="n">
        <v>45540</v>
      </c>
      <c r="B2434" s="15" t="n">
        <v>69.15</v>
      </c>
      <c r="C2434" s="15" t="n">
        <v>72.69</v>
      </c>
      <c r="D2434" s="14" t="n">
        <f aca="false">AVERAGE(B2415:B2434)</f>
        <v>74.8515</v>
      </c>
      <c r="E2434" s="14" t="n">
        <f aca="false">(B2434-D2434)/D2434*100</f>
        <v>-7.61708182200757</v>
      </c>
    </row>
    <row r="2435" customFormat="false" ht="15" hidden="false" customHeight="false" outlineLevel="0" collapsed="false">
      <c r="A2435" s="12" t="n">
        <v>45541</v>
      </c>
      <c r="B2435" s="15" t="n">
        <v>67.67</v>
      </c>
      <c r="C2435" s="15" t="n">
        <v>71.06</v>
      </c>
      <c r="D2435" s="14" t="n">
        <f aca="false">AVERAGE(B2416:B2435)</f>
        <v>74.4255</v>
      </c>
      <c r="E2435" s="14" t="n">
        <f aca="false">(B2435-D2435)/D2435*100</f>
        <v>-9.07686209699632</v>
      </c>
    </row>
    <row r="2436" customFormat="false" ht="15" hidden="false" customHeight="false" outlineLevel="0" collapsed="false">
      <c r="A2436" s="12" t="n">
        <v>45544</v>
      </c>
      <c r="B2436" s="15" t="n">
        <v>68.71</v>
      </c>
      <c r="C2436" s="15" t="n">
        <v>71.84</v>
      </c>
      <c r="D2436" s="14" t="n">
        <f aca="false">AVERAGE(B2417:B2436)</f>
        <v>74.019</v>
      </c>
      <c r="E2436" s="14" t="n">
        <f aca="false">(B2436-D2436)/D2436*100</f>
        <v>-7.17248274091789</v>
      </c>
    </row>
    <row r="2437" customFormat="false" ht="15" hidden="false" customHeight="false" outlineLevel="0" collapsed="false">
      <c r="A2437" s="12" t="n">
        <v>45545</v>
      </c>
      <c r="B2437" s="15" t="n">
        <v>65.75</v>
      </c>
      <c r="C2437" s="15" t="n">
        <v>69.19</v>
      </c>
      <c r="D2437" s="14" t="n">
        <f aca="false">AVERAGE(B2418:B2437)</f>
        <v>73.3035</v>
      </c>
      <c r="E2437" s="14" t="n">
        <f aca="false">(B2437-D2437)/D2437*100</f>
        <v>-10.3044192978507</v>
      </c>
    </row>
    <row r="2438" customFormat="false" ht="15" hidden="false" customHeight="false" outlineLevel="0" collapsed="false">
      <c r="A2438" s="12" t="n">
        <v>45546</v>
      </c>
      <c r="B2438" s="15" t="n">
        <v>67.31</v>
      </c>
      <c r="C2438" s="15" t="n">
        <v>70.61</v>
      </c>
      <c r="D2438" s="14" t="n">
        <f aca="false">AVERAGE(B2419:B2438)</f>
        <v>72.7515</v>
      </c>
      <c r="E2438" s="14" t="n">
        <f aca="false">(B2438-D2438)/D2438*100</f>
        <v>-7.4795708679546</v>
      </c>
    </row>
    <row r="2439" customFormat="false" ht="15" hidden="false" customHeight="false" outlineLevel="0" collapsed="false">
      <c r="A2439" s="12" t="n">
        <v>45547</v>
      </c>
      <c r="B2439" s="15" t="n">
        <v>68.97</v>
      </c>
      <c r="C2439" s="15" t="n">
        <v>71.97</v>
      </c>
      <c r="D2439" s="14" t="n">
        <f aca="false">AVERAGE(B2420:B2439)</f>
        <v>72.351</v>
      </c>
      <c r="E2439" s="14" t="n">
        <f aca="false">(B2439-D2439)/D2439*100</f>
        <v>-4.67305220383962</v>
      </c>
    </row>
    <row r="2440" customFormat="false" ht="15" hidden="false" customHeight="false" outlineLevel="0" collapsed="false">
      <c r="A2440" s="12" t="n">
        <v>45548</v>
      </c>
      <c r="B2440" s="15" t="n">
        <v>68.65</v>
      </c>
      <c r="C2440" s="15" t="n">
        <v>71.61</v>
      </c>
      <c r="D2440" s="14" t="n">
        <f aca="false">AVERAGE(B2421:B2440)</f>
        <v>71.8755</v>
      </c>
      <c r="E2440" s="14" t="n">
        <f aca="false">(B2440-D2440)/D2440*100</f>
        <v>-4.4876209556803</v>
      </c>
    </row>
    <row r="2441" customFormat="false" ht="15" hidden="false" customHeight="false" outlineLevel="0" collapsed="false">
      <c r="A2441" s="12" t="n">
        <v>45551</v>
      </c>
      <c r="B2441" s="15" t="n">
        <v>70.09</v>
      </c>
      <c r="C2441" s="15" t="n">
        <v>72.75</v>
      </c>
      <c r="D2441" s="14" t="n">
        <f aca="false">AVERAGE(B2422:B2441)</f>
        <v>71.5475</v>
      </c>
      <c r="E2441" s="14" t="n">
        <f aca="false">(B2441-D2441)/D2441*100</f>
        <v>-2.03710821482232</v>
      </c>
    </row>
    <row r="2442" customFormat="false" ht="15" hidden="false" customHeight="false" outlineLevel="0" collapsed="false">
      <c r="A2442" s="12" t="n">
        <v>45552</v>
      </c>
      <c r="B2442" s="15" t="n">
        <v>71.19</v>
      </c>
      <c r="C2442" s="15" t="n">
        <v>73.7</v>
      </c>
      <c r="D2442" s="14" t="n">
        <f aca="false">AVERAGE(B2423:B2442)</f>
        <v>71.3885</v>
      </c>
      <c r="E2442" s="14" t="n">
        <f aca="false">(B2442-D2442)/D2442*100</f>
        <v>-0.278055989410053</v>
      </c>
    </row>
    <row r="2443" customFormat="false" ht="15" hidden="false" customHeight="false" outlineLevel="0" collapsed="false">
      <c r="A2443" s="12" t="n">
        <v>45553</v>
      </c>
      <c r="B2443" s="15" t="n">
        <v>70.91</v>
      </c>
      <c r="C2443" s="15" t="n">
        <v>73.65</v>
      </c>
      <c r="D2443" s="14" t="n">
        <f aca="false">AVERAGE(B2424:B2443)</f>
        <v>71.232</v>
      </c>
      <c r="E2443" s="14" t="n">
        <f aca="false">(B2443-D2443)/D2443*100</f>
        <v>-0.452044025157237</v>
      </c>
    </row>
    <row r="2444" customFormat="false" ht="15" hidden="false" customHeight="false" outlineLevel="0" collapsed="false">
      <c r="A2444" s="12" t="n">
        <v>45554</v>
      </c>
      <c r="B2444" s="15" t="n">
        <v>71.95</v>
      </c>
      <c r="C2444" s="15" t="n">
        <v>74.88</v>
      </c>
      <c r="D2444" s="14" t="n">
        <f aca="false">AVERAGE(B2425:B2444)</f>
        <v>71.233</v>
      </c>
      <c r="E2444" s="14" t="n">
        <f aca="false">(B2444-D2444)/D2444*100</f>
        <v>1.00655595019162</v>
      </c>
    </row>
    <row r="2445" customFormat="false" ht="15" hidden="false" customHeight="false" outlineLevel="0" collapsed="false">
      <c r="A2445" s="12" t="n">
        <v>45555</v>
      </c>
      <c r="B2445" s="15" t="n">
        <v>71.92</v>
      </c>
      <c r="C2445" s="15" t="n">
        <v>74.49</v>
      </c>
      <c r="D2445" s="14" t="n">
        <f aca="false">AVERAGE(B2426:B2445)</f>
        <v>71.1785</v>
      </c>
      <c r="E2445" s="14" t="n">
        <f aca="false">(B2445-D2445)/D2445*100</f>
        <v>1.04174715679595</v>
      </c>
    </row>
    <row r="2446" customFormat="false" ht="15" hidden="false" customHeight="false" outlineLevel="0" collapsed="false">
      <c r="A2446" s="12" t="n">
        <v>45558</v>
      </c>
      <c r="B2446" s="15" t="n">
        <v>70.37</v>
      </c>
      <c r="C2446" s="15" t="n">
        <v>73.9</v>
      </c>
      <c r="D2446" s="14" t="n">
        <f aca="false">AVERAGE(B2427:B2446)</f>
        <v>70.9555</v>
      </c>
      <c r="E2446" s="14" t="n">
        <f aca="false">(B2446-D2446)/D2446*100</f>
        <v>-0.825165068246994</v>
      </c>
    </row>
    <row r="2447" customFormat="false" ht="15" hidden="false" customHeight="false" outlineLevel="0" collapsed="false">
      <c r="A2447" s="12" t="n">
        <v>45559</v>
      </c>
      <c r="B2447" s="15" t="n">
        <v>71.56</v>
      </c>
      <c r="C2447" s="15" t="n">
        <v>75.17</v>
      </c>
      <c r="D2447" s="14" t="n">
        <f aca="false">AVERAGE(B2428:B2447)</f>
        <v>70.6625</v>
      </c>
      <c r="E2447" s="14" t="n">
        <f aca="false">(B2447-D2447)/D2447*100</f>
        <v>1.27012205908368</v>
      </c>
    </row>
    <row r="2448" customFormat="false" ht="15" hidden="false" customHeight="false" outlineLevel="0" collapsed="false">
      <c r="A2448" s="12" t="n">
        <v>45560</v>
      </c>
      <c r="B2448" s="15" t="n">
        <v>69.69</v>
      </c>
      <c r="C2448" s="15" t="n">
        <v>73.46</v>
      </c>
      <c r="D2448" s="14" t="n">
        <f aca="false">AVERAGE(B2429:B2448)</f>
        <v>70.3705</v>
      </c>
      <c r="E2448" s="14" t="n">
        <f aca="false">(B2448-D2448)/D2448*100</f>
        <v>-0.967024534428502</v>
      </c>
    </row>
    <row r="2449" customFormat="false" ht="15" hidden="false" customHeight="false" outlineLevel="0" collapsed="false">
      <c r="A2449" s="12" t="n">
        <v>45561</v>
      </c>
      <c r="B2449" s="15" t="n">
        <v>67.67</v>
      </c>
      <c r="C2449" s="15" t="n">
        <v>71.6</v>
      </c>
      <c r="D2449" s="14" t="n">
        <f aca="false">AVERAGE(B2430:B2449)</f>
        <v>70.028</v>
      </c>
      <c r="E2449" s="14" t="n">
        <f aca="false">(B2449-D2449)/D2449*100</f>
        <v>-3.36722453875591</v>
      </c>
    </row>
    <row r="2450" customFormat="false" ht="15" hidden="false" customHeight="false" outlineLevel="0" collapsed="false">
      <c r="A2450" s="12" t="n">
        <v>45562</v>
      </c>
      <c r="B2450" s="15" t="n">
        <v>68.18</v>
      </c>
      <c r="C2450" s="15" t="n">
        <v>71.98</v>
      </c>
      <c r="D2450" s="14" t="n">
        <f aca="false">AVERAGE(B2431:B2450)</f>
        <v>69.6415</v>
      </c>
      <c r="E2450" s="14" t="n">
        <f aca="false">(B2450-D2450)/D2450*100</f>
        <v>-2.09860499845636</v>
      </c>
    </row>
    <row r="2451" customFormat="false" ht="15" hidden="false" customHeight="false" outlineLevel="0" collapsed="false">
      <c r="A2451" s="12" t="n">
        <v>45565</v>
      </c>
      <c r="B2451" s="15" t="n">
        <v>68.17</v>
      </c>
      <c r="C2451" s="15" t="n">
        <v>71.77</v>
      </c>
      <c r="D2451" s="14" t="n">
        <f aca="false">AVERAGE(B2432:B2451)</f>
        <v>69.3725</v>
      </c>
      <c r="E2451" s="14" t="n">
        <f aca="false">(B2451-D2451)/D2451*100</f>
        <v>-1.73339579804678</v>
      </c>
    </row>
    <row r="2452" customFormat="false" ht="15" hidden="false" customHeight="false" outlineLevel="0" collapsed="false">
      <c r="A2452" s="12" t="n">
        <v>45566</v>
      </c>
      <c r="B2452" s="15" t="n">
        <v>69.83</v>
      </c>
      <c r="C2452" s="15" t="n">
        <v>73.56</v>
      </c>
      <c r="D2452" s="14" t="n">
        <f aca="false">AVERAGE(B2433:B2452)</f>
        <v>69.347</v>
      </c>
      <c r="E2452" s="14" t="n">
        <f aca="false">(B2452-D2452)/D2452*100</f>
        <v>0.696497325046491</v>
      </c>
    </row>
    <row r="2453" customFormat="false" ht="15" hidden="false" customHeight="false" outlineLevel="0" collapsed="false">
      <c r="A2453" s="12" t="n">
        <v>45567</v>
      </c>
      <c r="B2453" s="15" t="n">
        <v>70.1</v>
      </c>
      <c r="C2453" s="15" t="n">
        <v>73.9</v>
      </c>
      <c r="D2453" s="14" t="n">
        <f aca="false">AVERAGE(B2434:B2453)</f>
        <v>69.392</v>
      </c>
      <c r="E2453" s="14" t="n">
        <f aca="false">(B2453-D2453)/D2453*100</f>
        <v>1.02029052340327</v>
      </c>
    </row>
    <row r="2454" customFormat="false" ht="15" hidden="false" customHeight="false" outlineLevel="0" collapsed="false">
      <c r="A2454" s="12" t="n">
        <v>45568</v>
      </c>
      <c r="B2454" s="15" t="n">
        <v>73.71</v>
      </c>
      <c r="C2454" s="15" t="n">
        <v>77.62</v>
      </c>
      <c r="D2454" s="14" t="n">
        <f aca="false">AVERAGE(B2435:B2454)</f>
        <v>69.62</v>
      </c>
      <c r="E2454" s="14" t="n">
        <f aca="false">(B2454-D2454)/D2454*100</f>
        <v>5.87474863544957</v>
      </c>
    </row>
    <row r="2455" customFormat="false" ht="15" hidden="false" customHeight="false" outlineLevel="0" collapsed="false">
      <c r="A2455" s="12" t="n">
        <v>45569</v>
      </c>
      <c r="B2455" s="15" t="n">
        <v>74.38</v>
      </c>
      <c r="C2455" s="15" t="n">
        <v>78.05</v>
      </c>
      <c r="D2455" s="14" t="n">
        <f aca="false">AVERAGE(B2436:B2455)</f>
        <v>69.9555</v>
      </c>
      <c r="E2455" s="14" t="n">
        <f aca="false">(B2455-D2455)/D2455*100</f>
        <v>6.32473501011357</v>
      </c>
    </row>
    <row r="2456" customFormat="false" ht="15" hidden="false" customHeight="false" outlineLevel="0" collapsed="false">
      <c r="A2456" s="12" t="n">
        <v>45572</v>
      </c>
      <c r="B2456" s="15" t="n">
        <v>77.14</v>
      </c>
      <c r="C2456" s="15" t="n">
        <v>80.93</v>
      </c>
      <c r="D2456" s="14" t="n">
        <f aca="false">AVERAGE(B2437:B2456)</f>
        <v>70.377</v>
      </c>
      <c r="E2456" s="14" t="n">
        <f aca="false">(B2456-D2456)/D2456*100</f>
        <v>9.60967361495944</v>
      </c>
    </row>
    <row r="2457" customFormat="false" ht="15" hidden="false" customHeight="false" outlineLevel="0" collapsed="false">
      <c r="A2457" s="12" t="n">
        <v>45573</v>
      </c>
      <c r="B2457" s="15" t="n">
        <v>73.57</v>
      </c>
      <c r="C2457" s="15" t="n">
        <v>77.18</v>
      </c>
      <c r="D2457" s="14" t="n">
        <f aca="false">AVERAGE(B2438:B2457)</f>
        <v>70.768</v>
      </c>
      <c r="E2457" s="14" t="n">
        <f aca="false">(B2457-D2457)/D2457*100</f>
        <v>3.95941668550756</v>
      </c>
    </row>
    <row r="2458" customFormat="false" ht="15" hidden="false" customHeight="false" outlineLevel="0" collapsed="false">
      <c r="A2458" s="12" t="n">
        <v>45574</v>
      </c>
      <c r="B2458" s="15" t="n">
        <v>73.24</v>
      </c>
      <c r="C2458" s="15" t="n">
        <v>76.58</v>
      </c>
      <c r="D2458" s="14" t="n">
        <f aca="false">AVERAGE(B2439:B2458)</f>
        <v>71.0645</v>
      </c>
      <c r="E2458" s="14" t="n">
        <f aca="false">(B2458-D2458)/D2458*100</f>
        <v>3.06130346375476</v>
      </c>
    </row>
    <row r="2459" customFormat="false" ht="15" hidden="false" customHeight="false" outlineLevel="0" collapsed="false">
      <c r="A2459" s="12" t="n">
        <v>45575</v>
      </c>
      <c r="B2459" s="15" t="n">
        <v>75.85</v>
      </c>
      <c r="C2459" s="15" t="n">
        <v>79.4</v>
      </c>
      <c r="D2459" s="14" t="n">
        <f aca="false">AVERAGE(B2440:B2459)</f>
        <v>71.4085</v>
      </c>
      <c r="E2459" s="14" t="n">
        <f aca="false">(B2459-D2459)/D2459*100</f>
        <v>6.21984777722539</v>
      </c>
    </row>
    <row r="2460" customFormat="false" ht="15" hidden="false" customHeight="false" outlineLevel="0" collapsed="false">
      <c r="A2460" s="12" t="n">
        <v>45576</v>
      </c>
      <c r="B2460" s="15" t="n">
        <v>75.56</v>
      </c>
      <c r="C2460" s="15" t="n">
        <v>79.04</v>
      </c>
      <c r="D2460" s="14" t="n">
        <f aca="false">AVERAGE(B2441:B2460)</f>
        <v>71.754</v>
      </c>
      <c r="E2460" s="14" t="n">
        <f aca="false">(B2460-D2460)/D2460*100</f>
        <v>5.30423391030467</v>
      </c>
    </row>
    <row r="2461" customFormat="false" ht="15" hidden="false" customHeight="false" outlineLevel="0" collapsed="false">
      <c r="A2461" s="12" t="n">
        <v>45579</v>
      </c>
      <c r="B2461" s="15" t="n">
        <v>73.83</v>
      </c>
      <c r="C2461" s="15" t="n">
        <v>77.46</v>
      </c>
      <c r="D2461" s="14" t="n">
        <f aca="false">AVERAGE(B2442:B2461)</f>
        <v>71.941</v>
      </c>
      <c r="E2461" s="14" t="n">
        <f aca="false">(B2461-D2461)/D2461*100</f>
        <v>2.62576277783183</v>
      </c>
    </row>
    <row r="2462" customFormat="false" ht="15" hidden="false" customHeight="false" outlineLevel="0" collapsed="false">
      <c r="A2462" s="12" t="n">
        <v>45580</v>
      </c>
      <c r="B2462" s="15" t="n">
        <v>70.58</v>
      </c>
      <c r="C2462" s="15" t="n">
        <v>74.25</v>
      </c>
      <c r="D2462" s="14" t="n">
        <f aca="false">AVERAGE(B2443:B2462)</f>
        <v>71.9105</v>
      </c>
      <c r="E2462" s="14" t="n">
        <f aca="false">(B2462-D2462)/D2462*100</f>
        <v>-1.8502165886762</v>
      </c>
    </row>
    <row r="2463" customFormat="false" ht="15" hidden="false" customHeight="false" outlineLevel="0" collapsed="false">
      <c r="A2463" s="12" t="n">
        <v>45581</v>
      </c>
      <c r="B2463" s="15" t="n">
        <v>70.39</v>
      </c>
      <c r="C2463" s="15" t="n">
        <v>74.22</v>
      </c>
      <c r="D2463" s="14" t="n">
        <f aca="false">AVERAGE(B2444:B2463)</f>
        <v>71.8845</v>
      </c>
      <c r="E2463" s="14" t="n">
        <f aca="false">(B2463-D2463)/D2463*100</f>
        <v>-2.07902955435456</v>
      </c>
    </row>
    <row r="2464" customFormat="false" ht="15" hidden="false" customHeight="false" outlineLevel="0" collapsed="false">
      <c r="A2464" s="12" t="n">
        <v>45582</v>
      </c>
      <c r="B2464" s="15" t="n">
        <v>70.67</v>
      </c>
      <c r="C2464" s="15" t="n">
        <v>74.45</v>
      </c>
      <c r="D2464" s="14" t="n">
        <f aca="false">AVERAGE(B2445:B2464)</f>
        <v>71.8205</v>
      </c>
      <c r="E2464" s="14" t="n">
        <f aca="false">(B2464-D2464)/D2464*100</f>
        <v>-1.60191031808468</v>
      </c>
    </row>
    <row r="2465" customFormat="false" ht="15" hidden="false" customHeight="false" outlineLevel="0" collapsed="false">
      <c r="A2465" s="12" t="n">
        <v>45583</v>
      </c>
      <c r="B2465" s="15" t="n">
        <v>69.22</v>
      </c>
      <c r="C2465" s="15" t="n">
        <v>73.06</v>
      </c>
      <c r="D2465" s="14" t="n">
        <f aca="false">AVERAGE(B2446:B2465)</f>
        <v>71.6855</v>
      </c>
      <c r="E2465" s="14" t="n">
        <f aca="false">(B2465-D2465)/D2465*100</f>
        <v>-3.43932873454186</v>
      </c>
    </row>
    <row r="2466" customFormat="false" ht="15" hidden="false" customHeight="false" outlineLevel="0" collapsed="false">
      <c r="A2466" s="12" t="n">
        <v>45586</v>
      </c>
      <c r="B2466" s="15" t="n">
        <v>70.56</v>
      </c>
      <c r="C2466" s="15" t="n">
        <v>74.29</v>
      </c>
      <c r="D2466" s="14" t="n">
        <f aca="false">AVERAGE(B2447:B2466)</f>
        <v>71.695</v>
      </c>
      <c r="E2466" s="14" t="n">
        <f aca="false">(B2466-D2466)/D2466*100</f>
        <v>-1.5830950554432</v>
      </c>
    </row>
    <row r="2467" customFormat="false" ht="15" hidden="false" customHeight="false" outlineLevel="0" collapsed="false">
      <c r="A2467" s="12" t="n">
        <v>45587</v>
      </c>
      <c r="B2467" s="15" t="n">
        <v>72.09</v>
      </c>
      <c r="C2467" s="15" t="n">
        <v>76.04</v>
      </c>
      <c r="D2467" s="14" t="n">
        <f aca="false">AVERAGE(B2448:B2467)</f>
        <v>71.7215</v>
      </c>
      <c r="E2467" s="14" t="n">
        <f aca="false">(B2467-D2467)/D2467*100</f>
        <v>0.513792935172852</v>
      </c>
    </row>
    <row r="2468" customFormat="false" ht="15" hidden="false" customHeight="false" outlineLevel="0" collapsed="false">
      <c r="A2468" s="12" t="n">
        <v>45588</v>
      </c>
      <c r="B2468" s="15" t="n">
        <v>70.77</v>
      </c>
      <c r="C2468" s="15" t="n">
        <v>74.96</v>
      </c>
      <c r="D2468" s="14" t="n">
        <f aca="false">AVERAGE(B2449:B2468)</f>
        <v>71.7755</v>
      </c>
      <c r="E2468" s="14" t="n">
        <f aca="false">(B2468-D2468)/D2468*100</f>
        <v>-1.40089584886207</v>
      </c>
    </row>
    <row r="2469" customFormat="false" ht="15" hidden="false" customHeight="false" outlineLevel="0" collapsed="false">
      <c r="A2469" s="12" t="n">
        <v>45589</v>
      </c>
      <c r="B2469" s="15" t="n">
        <v>70.19</v>
      </c>
      <c r="C2469" s="15" t="n">
        <v>74.38</v>
      </c>
      <c r="D2469" s="14" t="n">
        <f aca="false">AVERAGE(B2450:B2469)</f>
        <v>71.9015</v>
      </c>
      <c r="E2469" s="14" t="n">
        <f aca="false">(B2469-D2469)/D2469*100</f>
        <v>-2.38033977038031</v>
      </c>
    </row>
    <row r="2470" customFormat="false" ht="15" hidden="false" customHeight="false" outlineLevel="0" collapsed="false">
      <c r="A2470" s="12" t="n">
        <v>45590</v>
      </c>
      <c r="B2470" s="15" t="n">
        <v>71.78</v>
      </c>
      <c r="C2470" s="15" t="n">
        <v>76.05</v>
      </c>
      <c r="D2470" s="14" t="n">
        <f aca="false">AVERAGE(B2451:B2470)</f>
        <v>72.0815</v>
      </c>
      <c r="E2470" s="14" t="n">
        <f aca="false">(B2470-D2470)/D2470*100</f>
        <v>-0.418276534200856</v>
      </c>
    </row>
    <row r="2471" customFormat="false" ht="15" hidden="false" customHeight="false" outlineLevel="0" collapsed="false">
      <c r="A2471" s="12" t="n">
        <v>45593</v>
      </c>
      <c r="B2471" s="15" t="n">
        <v>67.38</v>
      </c>
      <c r="C2471" s="15" t="n">
        <v>71.42</v>
      </c>
      <c r="D2471" s="14" t="n">
        <f aca="false">AVERAGE(B2452:B2471)</f>
        <v>72.042</v>
      </c>
      <c r="E2471" s="14" t="n">
        <f aca="false">(B2471-D2471)/D2471*100</f>
        <v>-6.47122511868078</v>
      </c>
    </row>
    <row r="2472" customFormat="false" ht="15" hidden="false" customHeight="false" outlineLevel="0" collapsed="false">
      <c r="A2472" s="12" t="n">
        <v>45594</v>
      </c>
      <c r="B2472" s="15" t="n">
        <v>67.21</v>
      </c>
      <c r="C2472" s="15" t="n">
        <v>71.12</v>
      </c>
      <c r="D2472" s="14" t="n">
        <f aca="false">AVERAGE(B2453:B2472)</f>
        <v>71.911</v>
      </c>
      <c r="E2472" s="14" t="n">
        <f aca="false">(B2472-D2472)/D2472*100</f>
        <v>-6.53724743085204</v>
      </c>
    </row>
    <row r="2473" customFormat="false" ht="15" hidden="false" customHeight="false" outlineLevel="0" collapsed="false">
      <c r="A2473" s="12" t="n">
        <v>45595</v>
      </c>
      <c r="B2473" s="15" t="n">
        <v>68.61</v>
      </c>
      <c r="C2473" s="15" t="n">
        <v>72.55</v>
      </c>
      <c r="D2473" s="14" t="n">
        <f aca="false">AVERAGE(B2454:B2473)</f>
        <v>71.8365</v>
      </c>
      <c r="E2473" s="14" t="n">
        <f aca="false">(B2473-D2473)/D2473*100</f>
        <v>-4.49144933286004</v>
      </c>
    </row>
    <row r="2474" customFormat="false" ht="15" hidden="false" customHeight="false" outlineLevel="0" collapsed="false">
      <c r="A2474" s="12" t="n">
        <v>45596</v>
      </c>
      <c r="B2474" s="15" t="n">
        <v>69.26</v>
      </c>
      <c r="C2474" s="15" t="n">
        <v>73.16</v>
      </c>
      <c r="D2474" s="14" t="n">
        <f aca="false">AVERAGE(B2455:B2474)</f>
        <v>71.614</v>
      </c>
      <c r="E2474" s="14" t="n">
        <f aca="false">(B2474-D2474)/D2474*100</f>
        <v>-3.287066774653</v>
      </c>
    </row>
    <row r="2475" customFormat="false" ht="15" hidden="false" customHeight="false" outlineLevel="0" collapsed="false">
      <c r="A2475" s="12" t="n">
        <v>45597</v>
      </c>
      <c r="B2475" s="15" t="n">
        <v>69.49</v>
      </c>
      <c r="C2475" s="15" t="n">
        <v>73.1</v>
      </c>
      <c r="D2475" s="14" t="n">
        <f aca="false">AVERAGE(B2456:B2475)</f>
        <v>71.3695</v>
      </c>
      <c r="E2475" s="14" t="n">
        <f aca="false">(B2475-D2475)/D2475*100</f>
        <v>-2.63347788621189</v>
      </c>
    </row>
    <row r="2476" customFormat="false" ht="15" hidden="false" customHeight="false" outlineLevel="0" collapsed="false">
      <c r="A2476" s="12" t="n">
        <v>45600</v>
      </c>
      <c r="B2476" s="15" t="n">
        <v>71.47</v>
      </c>
      <c r="C2476" s="15" t="n">
        <v>75.08</v>
      </c>
      <c r="D2476" s="14" t="n">
        <f aca="false">AVERAGE(B2457:B2476)</f>
        <v>71.086</v>
      </c>
      <c r="E2476" s="14" t="n">
        <f aca="false">(B2476-D2476)/D2476*100</f>
        <v>0.540190754860311</v>
      </c>
    </row>
    <row r="2477" customFormat="false" ht="15" hidden="false" customHeight="false" outlineLevel="0" collapsed="false">
      <c r="A2477" s="12" t="n">
        <v>45601</v>
      </c>
      <c r="B2477" s="15" t="n">
        <v>71.99</v>
      </c>
      <c r="C2477" s="15" t="n">
        <v>75.53</v>
      </c>
      <c r="D2477" s="14" t="n">
        <f aca="false">AVERAGE(B2458:B2477)</f>
        <v>71.007</v>
      </c>
      <c r="E2477" s="14" t="n">
        <f aca="false">(B2477-D2477)/D2477*100</f>
        <v>1.38437055501571</v>
      </c>
    </row>
    <row r="2478" customFormat="false" ht="15" hidden="false" customHeight="false" outlineLevel="0" collapsed="false">
      <c r="A2478" s="12" t="n">
        <v>45602</v>
      </c>
      <c r="B2478" s="15" t="n">
        <v>71.69</v>
      </c>
      <c r="C2478" s="15" t="n">
        <v>74.92</v>
      </c>
      <c r="D2478" s="14" t="n">
        <f aca="false">AVERAGE(B2459:B2478)</f>
        <v>70.9295</v>
      </c>
      <c r="E2478" s="14" t="n">
        <f aca="false">(B2478-D2478)/D2478*100</f>
        <v>1.07219140132104</v>
      </c>
    </row>
    <row r="2479" customFormat="false" ht="15" hidden="false" customHeight="false" outlineLevel="0" collapsed="false">
      <c r="A2479" s="12" t="n">
        <v>45603</v>
      </c>
      <c r="B2479" s="15" t="n">
        <v>72.36</v>
      </c>
      <c r="C2479" s="15" t="n">
        <v>75.63</v>
      </c>
      <c r="D2479" s="14" t="n">
        <f aca="false">AVERAGE(B2460:B2479)</f>
        <v>70.755</v>
      </c>
      <c r="E2479" s="14" t="n">
        <f aca="false">(B2479-D2479)/D2479*100</f>
        <v>2.2683909264363</v>
      </c>
    </row>
    <row r="2480" customFormat="false" ht="15" hidden="false" customHeight="false" outlineLevel="0" collapsed="false">
      <c r="A2480" s="12" t="n">
        <v>45604</v>
      </c>
      <c r="B2480" s="15" t="n">
        <v>70.38</v>
      </c>
      <c r="C2480" s="15" t="n">
        <v>73.87</v>
      </c>
      <c r="D2480" s="14" t="n">
        <f aca="false">AVERAGE(B2461:B2480)</f>
        <v>70.496</v>
      </c>
      <c r="E2480" s="14" t="n">
        <f aca="false">(B2480-D2480)/D2480*100</f>
        <v>-0.164548343168426</v>
      </c>
    </row>
    <row r="2481" customFormat="false" ht="15" hidden="false" customHeight="false" outlineLevel="0" collapsed="false">
      <c r="A2481" s="12" t="n">
        <v>45607</v>
      </c>
      <c r="B2481" s="15" t="n">
        <v>68.04</v>
      </c>
      <c r="C2481" s="15" t="n">
        <v>71.83</v>
      </c>
      <c r="D2481" s="14" t="n">
        <f aca="false">AVERAGE(B2462:B2481)</f>
        <v>70.2065</v>
      </c>
      <c r="E2481" s="14" t="n">
        <f aca="false">(B2481-D2481)/D2481*100</f>
        <v>-3.08589660501518</v>
      </c>
    </row>
    <row r="2482" customFormat="false" ht="15" hidden="false" customHeight="false" outlineLevel="0" collapsed="false">
      <c r="A2482" s="12" t="n">
        <v>45608</v>
      </c>
      <c r="B2482" s="15" t="n">
        <v>68.12</v>
      </c>
      <c r="C2482" s="15" t="n">
        <v>71.89</v>
      </c>
      <c r="D2482" s="14" t="n">
        <f aca="false">AVERAGE(B2463:B2482)</f>
        <v>70.0835</v>
      </c>
      <c r="E2482" s="14" t="n">
        <f aca="false">(B2482-D2482)/D2482*100</f>
        <v>-2.80165802221635</v>
      </c>
    </row>
    <row r="2483" customFormat="false" ht="15" hidden="false" customHeight="false" outlineLevel="0" collapsed="false">
      <c r="A2483" s="12" t="n">
        <v>45609</v>
      </c>
      <c r="B2483" s="15" t="n">
        <v>68.43</v>
      </c>
      <c r="C2483" s="15" t="n">
        <v>72.28</v>
      </c>
      <c r="D2483" s="14" t="n">
        <f aca="false">AVERAGE(B2464:B2483)</f>
        <v>69.9855</v>
      </c>
      <c r="E2483" s="14" t="n">
        <f aca="false">(B2483-D2483)/D2483*100</f>
        <v>-2.22260325353108</v>
      </c>
    </row>
    <row r="2484" customFormat="false" ht="15" hidden="false" customHeight="false" outlineLevel="0" collapsed="false">
      <c r="A2484" s="12" t="n">
        <v>45610</v>
      </c>
      <c r="B2484" s="15" t="n">
        <v>68.7</v>
      </c>
      <c r="C2484" s="15" t="n">
        <v>72.56</v>
      </c>
      <c r="D2484" s="14" t="n">
        <f aca="false">AVERAGE(B2465:B2484)</f>
        <v>69.887</v>
      </c>
      <c r="E2484" s="14" t="n">
        <f aca="false">(B2484-D2484)/D2484*100</f>
        <v>-1.69845607909911</v>
      </c>
    </row>
    <row r="2485" customFormat="false" ht="15" hidden="false" customHeight="false" outlineLevel="0" collapsed="false">
      <c r="A2485" s="12" t="n">
        <v>45611</v>
      </c>
      <c r="B2485" s="15" t="n">
        <v>67.02</v>
      </c>
      <c r="C2485" s="15" t="n">
        <v>71.04</v>
      </c>
      <c r="D2485" s="14" t="n">
        <f aca="false">AVERAGE(B2466:B2485)</f>
        <v>69.777</v>
      </c>
      <c r="E2485" s="14" t="n">
        <f aca="false">(B2485-D2485)/D2485*100</f>
        <v>-3.9511586912593</v>
      </c>
    </row>
    <row r="2486" customFormat="false" ht="15" hidden="false" customHeight="false" outlineLevel="0" collapsed="false">
      <c r="A2486" s="12" t="n">
        <v>45614</v>
      </c>
      <c r="B2486" s="15" t="n">
        <v>69.16</v>
      </c>
      <c r="C2486" s="15" t="n">
        <v>73.3</v>
      </c>
      <c r="D2486" s="14" t="n">
        <f aca="false">AVERAGE(B2467:B2486)</f>
        <v>69.707</v>
      </c>
      <c r="E2486" s="14" t="n">
        <f aca="false">(B2486-D2486)/D2486*100</f>
        <v>-0.784713156497908</v>
      </c>
    </row>
    <row r="2487" customFormat="false" ht="15" hidden="false" customHeight="false" outlineLevel="0" collapsed="false">
      <c r="A2487" s="12" t="n">
        <v>45615</v>
      </c>
      <c r="B2487" s="15" t="n">
        <v>69.39</v>
      </c>
      <c r="C2487" s="15" t="n">
        <v>73.31</v>
      </c>
      <c r="D2487" s="14" t="n">
        <f aca="false">AVERAGE(B2468:B2487)</f>
        <v>69.572</v>
      </c>
      <c r="E2487" s="14" t="n">
        <f aca="false">(B2487-D2487)/D2487*100</f>
        <v>-0.261599494049333</v>
      </c>
    </row>
    <row r="2488" customFormat="false" ht="15" hidden="false" customHeight="false" outlineLevel="0" collapsed="false">
      <c r="A2488" s="12" t="n">
        <v>45616</v>
      </c>
      <c r="B2488" s="15" t="n">
        <v>68.87</v>
      </c>
      <c r="C2488" s="15" t="n">
        <v>72.81</v>
      </c>
      <c r="D2488" s="14" t="n">
        <f aca="false">AVERAGE(B2469:B2488)</f>
        <v>69.477</v>
      </c>
      <c r="E2488" s="14" t="n">
        <f aca="false">(B2488-D2488)/D2488*100</f>
        <v>-0.873670423305553</v>
      </c>
    </row>
    <row r="2489" customFormat="false" ht="15" hidden="false" customHeight="false" outlineLevel="0" collapsed="false">
      <c r="A2489" s="12" t="n">
        <v>45617</v>
      </c>
      <c r="B2489" s="15" t="n">
        <v>70.1</v>
      </c>
      <c r="C2489" s="15" t="n">
        <v>74.23</v>
      </c>
      <c r="D2489" s="14" t="n">
        <f aca="false">AVERAGE(B2470:B2489)</f>
        <v>69.4725</v>
      </c>
      <c r="E2489" s="14" t="n">
        <f aca="false">(B2489-D2489)/D2489*100</f>
        <v>0.903235093022416</v>
      </c>
    </row>
    <row r="2490" customFormat="false" ht="15" hidden="false" customHeight="false" outlineLevel="0" collapsed="false">
      <c r="A2490" s="12" t="n">
        <v>45618</v>
      </c>
      <c r="B2490" s="15" t="n">
        <v>71.24</v>
      </c>
      <c r="C2490" s="15" t="n">
        <v>75.17</v>
      </c>
      <c r="D2490" s="14" t="n">
        <f aca="false">AVERAGE(B2471:B2490)</f>
        <v>69.4455</v>
      </c>
      <c r="E2490" s="14" t="n">
        <f aca="false">(B2490-D2490)/D2490*100</f>
        <v>2.584040722581</v>
      </c>
    </row>
    <row r="2491" customFormat="false" ht="15" hidden="false" customHeight="false" outlineLevel="0" collapsed="false">
      <c r="A2491" s="12" t="n">
        <v>45621</v>
      </c>
      <c r="B2491" s="15" t="n">
        <v>68.94</v>
      </c>
      <c r="C2491" s="15" t="n">
        <v>73.01</v>
      </c>
      <c r="D2491" s="14" t="n">
        <f aca="false">AVERAGE(B2472:B2491)</f>
        <v>69.5235</v>
      </c>
      <c r="E2491" s="14" t="n">
        <f aca="false">(B2491-D2491)/D2491*100</f>
        <v>-0.839284558458652</v>
      </c>
    </row>
    <row r="2492" customFormat="false" ht="15" hidden="false" customHeight="false" outlineLevel="0" collapsed="false">
      <c r="A2492" s="12" t="n">
        <v>45622</v>
      </c>
      <c r="B2492" s="15" t="n">
        <v>68.77</v>
      </c>
      <c r="C2492" s="15" t="n">
        <v>72.81</v>
      </c>
      <c r="D2492" s="14" t="n">
        <f aca="false">AVERAGE(B2473:B2492)</f>
        <v>69.6015</v>
      </c>
      <c r="E2492" s="14" t="n">
        <f aca="false">(B2492-D2492)/D2492*100</f>
        <v>-1.19465816110286</v>
      </c>
    </row>
    <row r="2493" customFormat="false" ht="15" hidden="false" customHeight="false" outlineLevel="0" collapsed="false">
      <c r="A2493" s="12" t="n">
        <v>45623</v>
      </c>
      <c r="B2493" s="15" t="n">
        <v>68.72</v>
      </c>
      <c r="C2493" s="15" t="n">
        <v>72.83</v>
      </c>
      <c r="D2493" s="14" t="n">
        <f aca="false">AVERAGE(B2474:B2493)</f>
        <v>69.607</v>
      </c>
      <c r="E2493" s="14" t="n">
        <f aca="false">(B2493-D2493)/D2493*100</f>
        <v>-1.27429712528912</v>
      </c>
    </row>
    <row r="2494" customFormat="false" ht="15" hidden="false" customHeight="false" outlineLevel="0" collapsed="false">
      <c r="A2494" s="12" t="n">
        <v>45625</v>
      </c>
      <c r="B2494" s="15" t="n">
        <v>68</v>
      </c>
      <c r="C2494" s="15" t="n">
        <v>72.94</v>
      </c>
      <c r="D2494" s="14" t="n">
        <f aca="false">AVERAGE(B2475:B2494)</f>
        <v>69.544</v>
      </c>
      <c r="E2494" s="14" t="n">
        <f aca="false">(B2494-D2494)/D2494*100</f>
        <v>-2.22017715403198</v>
      </c>
    </row>
    <row r="2495" customFormat="false" ht="15" hidden="false" customHeight="false" outlineLevel="0" collapsed="false">
      <c r="A2495" s="12" t="n">
        <v>45628</v>
      </c>
      <c r="B2495" s="15" t="n">
        <v>68.1</v>
      </c>
      <c r="C2495" s="15" t="n">
        <v>71.83</v>
      </c>
      <c r="D2495" s="14" t="n">
        <f aca="false">AVERAGE(B2476:B2495)</f>
        <v>69.4745</v>
      </c>
      <c r="E2495" s="14" t="n">
        <f aca="false">(B2495-D2495)/D2495*100</f>
        <v>-1.97842373820612</v>
      </c>
    </row>
    <row r="2496" customFormat="false" ht="15" hidden="false" customHeight="false" outlineLevel="0" collapsed="false">
      <c r="A2496" s="12" t="n">
        <v>45629</v>
      </c>
      <c r="B2496" s="15" t="n">
        <v>69.94</v>
      </c>
      <c r="C2496" s="15" t="n">
        <v>73.62</v>
      </c>
      <c r="D2496" s="14" t="n">
        <f aca="false">AVERAGE(B2477:B2496)</f>
        <v>69.398</v>
      </c>
      <c r="E2496" s="14" t="n">
        <f aca="false">(B2496-D2496)/D2496*100</f>
        <v>0.781002334361223</v>
      </c>
    </row>
    <row r="2497" customFormat="false" ht="15" hidden="false" customHeight="false" outlineLevel="0" collapsed="false">
      <c r="A2497" s="12" t="n">
        <v>45630</v>
      </c>
      <c r="B2497" s="15" t="n">
        <v>68.54</v>
      </c>
      <c r="C2497" s="15" t="n">
        <v>72.31</v>
      </c>
      <c r="D2497" s="14" t="n">
        <f aca="false">AVERAGE(B2478:B2497)</f>
        <v>69.2255</v>
      </c>
      <c r="E2497" s="14" t="n">
        <f aca="false">(B2497-D2497)/D2497*100</f>
        <v>-0.990242035088212</v>
      </c>
    </row>
    <row r="2498" customFormat="false" ht="15" hidden="false" customHeight="false" outlineLevel="0" collapsed="false">
      <c r="A2498" s="12" t="n">
        <v>45631</v>
      </c>
      <c r="B2498" s="15" t="n">
        <v>68.3</v>
      </c>
      <c r="C2498" s="15" t="n">
        <v>72.09</v>
      </c>
      <c r="D2498" s="14" t="n">
        <f aca="false">AVERAGE(B2479:B2498)</f>
        <v>69.056</v>
      </c>
      <c r="E2498" s="14" t="n">
        <f aca="false">(B2498-D2498)/D2498*100</f>
        <v>-1.09476367006488</v>
      </c>
    </row>
    <row r="2499" customFormat="false" ht="15" hidden="false" customHeight="false" outlineLevel="0" collapsed="false">
      <c r="A2499" s="12" t="n">
        <v>45632</v>
      </c>
      <c r="B2499" s="15" t="n">
        <v>67.2</v>
      </c>
      <c r="C2499" s="15" t="n">
        <v>71.12</v>
      </c>
      <c r="D2499" s="14" t="n">
        <f aca="false">AVERAGE(B2480:B2499)</f>
        <v>68.798</v>
      </c>
      <c r="E2499" s="14" t="n">
        <f aca="false">(B2499-D2499)/D2499*100</f>
        <v>-2.32274194017268</v>
      </c>
    </row>
    <row r="2500" customFormat="false" ht="15" hidden="false" customHeight="false" outlineLevel="0" collapsed="false">
      <c r="A2500" s="12" t="n">
        <v>45635</v>
      </c>
      <c r="B2500" s="15" t="n">
        <v>68.37</v>
      </c>
      <c r="C2500" s="15" t="n">
        <v>72.14</v>
      </c>
      <c r="D2500" s="14" t="n">
        <f aca="false">AVERAGE(B2481:B2500)</f>
        <v>68.6975</v>
      </c>
      <c r="E2500" s="14" t="n">
        <f aca="false">(B2500-D2500)/D2500*100</f>
        <v>-0.476727682957896</v>
      </c>
    </row>
    <row r="2501" customFormat="false" ht="15" hidden="false" customHeight="false" outlineLevel="0" collapsed="false">
      <c r="A2501" s="12" t="n">
        <v>45636</v>
      </c>
      <c r="B2501" s="15" t="n">
        <v>68.59</v>
      </c>
      <c r="C2501" s="15" t="n">
        <v>72.19</v>
      </c>
      <c r="D2501" s="14" t="n">
        <f aca="false">AVERAGE(B2482:B2501)</f>
        <v>68.725</v>
      </c>
      <c r="E2501" s="14" t="n">
        <f aca="false">(B2501-D2501)/D2501*100</f>
        <v>-0.196435067297186</v>
      </c>
    </row>
    <row r="2502" customFormat="false" ht="15" hidden="false" customHeight="false" outlineLevel="0" collapsed="false">
      <c r="A2502" s="12" t="n">
        <v>45637</v>
      </c>
      <c r="B2502" s="15" t="n">
        <v>70.29</v>
      </c>
      <c r="C2502" s="15" t="n">
        <v>73.52</v>
      </c>
      <c r="D2502" s="14" t="n">
        <f aca="false">AVERAGE(B2483:B2502)</f>
        <v>68.8335</v>
      </c>
      <c r="E2502" s="14" t="n">
        <f aca="false">(B2502-D2502)/D2502*100</f>
        <v>2.11597550611258</v>
      </c>
    </row>
    <row r="2503" customFormat="false" ht="15" hidden="false" customHeight="false" outlineLevel="0" collapsed="false">
      <c r="A2503" s="12" t="n">
        <v>45638</v>
      </c>
      <c r="B2503" s="15" t="n">
        <v>70.02</v>
      </c>
      <c r="C2503" s="15" t="n">
        <v>73.41</v>
      </c>
      <c r="D2503" s="14" t="n">
        <f aca="false">AVERAGE(B2484:B2503)</f>
        <v>68.913</v>
      </c>
      <c r="E2503" s="14" t="n">
        <f aca="false">(B2503-D2503)/D2503*100</f>
        <v>1.60637325323234</v>
      </c>
    </row>
    <row r="2504" customFormat="false" ht="15" hidden="false" customHeight="false" outlineLevel="0" collapsed="false">
      <c r="A2504" s="12" t="n">
        <v>45639</v>
      </c>
      <c r="B2504" s="15" t="n">
        <v>71.29</v>
      </c>
      <c r="C2504" s="15" t="n">
        <v>74.49</v>
      </c>
      <c r="D2504" s="14" t="n">
        <f aca="false">AVERAGE(B2485:B2504)</f>
        <v>69.0425</v>
      </c>
      <c r="E2504" s="14" t="n">
        <f aca="false">(B2504-D2504)/D2504*100</f>
        <v>3.25524133685776</v>
      </c>
    </row>
    <row r="2505" customFormat="false" ht="15" hidden="false" customHeight="false" outlineLevel="0" collapsed="false">
      <c r="A2505" s="12" t="n">
        <v>45642</v>
      </c>
      <c r="B2505" s="15" t="n">
        <v>70.71</v>
      </c>
      <c r="C2505" s="15" t="n">
        <v>73.91</v>
      </c>
      <c r="D2505" s="14" t="n">
        <f aca="false">AVERAGE(B2486:B2505)</f>
        <v>69.227</v>
      </c>
      <c r="E2505" s="14" t="n">
        <f aca="false">(B2505-D2505)/D2505*100</f>
        <v>2.14222774351047</v>
      </c>
    </row>
    <row r="2506" customFormat="false" ht="15" hidden="false" customHeight="false" outlineLevel="0" collapsed="false">
      <c r="A2506" s="12" t="n">
        <v>45643</v>
      </c>
      <c r="B2506" s="15" t="n">
        <v>70.08</v>
      </c>
      <c r="C2506" s="15" t="n">
        <v>73.19</v>
      </c>
      <c r="D2506" s="14" t="n">
        <f aca="false">AVERAGE(B2487:B2506)</f>
        <v>69.273</v>
      </c>
      <c r="E2506" s="14" t="n">
        <f aca="false">(B2506-D2506)/D2506*100</f>
        <v>1.16495604348015</v>
      </c>
    </row>
    <row r="2507" customFormat="false" ht="15" hidden="false" customHeight="false" outlineLevel="0" collapsed="false">
      <c r="A2507" s="12" t="n">
        <v>45644</v>
      </c>
      <c r="B2507" s="15" t="n">
        <v>70.58</v>
      </c>
      <c r="C2507" s="15" t="n">
        <v>73.39</v>
      </c>
      <c r="D2507" s="14" t="n">
        <f aca="false">AVERAGE(B2488:B2507)</f>
        <v>69.3325</v>
      </c>
      <c r="E2507" s="14" t="n">
        <f aca="false">(B2507-D2507)/D2507*100</f>
        <v>1.79930047236143</v>
      </c>
    </row>
    <row r="2508" customFormat="false" ht="15" hidden="false" customHeight="false" outlineLevel="0" collapsed="false">
      <c r="A2508" s="12" t="n">
        <v>45645</v>
      </c>
      <c r="B2508" s="15" t="n">
        <v>69.91</v>
      </c>
      <c r="C2508" s="15" t="n">
        <v>72.88</v>
      </c>
      <c r="D2508" s="14" t="n">
        <f aca="false">AVERAGE(B2489:B2508)</f>
        <v>69.3845</v>
      </c>
      <c r="E2508" s="14" t="n">
        <f aca="false">(B2508-D2508)/D2508*100</f>
        <v>0.757373765033969</v>
      </c>
    </row>
    <row r="2509" customFormat="false" ht="15" hidden="false" customHeight="false" outlineLevel="0" collapsed="false">
      <c r="A2509" s="12" t="n">
        <v>45646</v>
      </c>
      <c r="B2509" s="15" t="n">
        <v>69.46</v>
      </c>
      <c r="C2509" s="15" t="n">
        <v>72.94</v>
      </c>
      <c r="D2509" s="14" t="n">
        <f aca="false">AVERAGE(B2490:B2509)</f>
        <v>69.3525</v>
      </c>
      <c r="E2509" s="14" t="n">
        <f aca="false">(B2509-D2509)/D2509*100</f>
        <v>0.155005226920445</v>
      </c>
    </row>
    <row r="2510" customFormat="false" ht="15" hidden="false" customHeight="false" outlineLevel="0" collapsed="false">
      <c r="A2510" s="12" t="n">
        <v>45649</v>
      </c>
      <c r="B2510" s="15" t="n">
        <v>69.24</v>
      </c>
      <c r="C2510" s="15" t="n">
        <v>72.63</v>
      </c>
      <c r="D2510" s="14" t="n">
        <f aca="false">AVERAGE(B2491:B2510)</f>
        <v>69.2525</v>
      </c>
      <c r="E2510" s="14" t="n">
        <f aca="false">(B2510-D2510)/D2510*100</f>
        <v>-0.0180498898956757</v>
      </c>
    </row>
    <row r="2511" customFormat="false" ht="15" hidden="false" customHeight="false" outlineLevel="0" collapsed="false">
      <c r="A2511" s="12" t="n">
        <v>45650</v>
      </c>
      <c r="B2511" s="15" t="n">
        <v>70.1</v>
      </c>
      <c r="C2511" s="15" t="n">
        <v>73.58</v>
      </c>
      <c r="D2511" s="14" t="n">
        <f aca="false">AVERAGE(B2492:B2511)</f>
        <v>69.3105</v>
      </c>
      <c r="E2511" s="14" t="n">
        <f aca="false">(B2511-D2511)/D2511*100</f>
        <v>1.13907705181753</v>
      </c>
    </row>
    <row r="2512" customFormat="false" ht="15" hidden="false" customHeight="false" outlineLevel="0" collapsed="false">
      <c r="A2512" s="12" t="n">
        <v>45652</v>
      </c>
      <c r="B2512" s="15" t="n">
        <v>69.62</v>
      </c>
      <c r="C2512" s="15" t="n">
        <v>73.26</v>
      </c>
      <c r="D2512" s="14" t="n">
        <f aca="false">AVERAGE(B2493:B2512)</f>
        <v>69.353</v>
      </c>
      <c r="E2512" s="14" t="n">
        <f aca="false">(B2512-D2512)/D2512*100</f>
        <v>0.38498695081685</v>
      </c>
    </row>
    <row r="2513" customFormat="false" ht="15" hidden="false" customHeight="false" outlineLevel="0" collapsed="false">
      <c r="A2513" s="12" t="n">
        <v>45653</v>
      </c>
      <c r="B2513" s="15" t="n">
        <v>70.6</v>
      </c>
      <c r="C2513" s="15" t="n">
        <v>74.17</v>
      </c>
      <c r="D2513" s="14" t="n">
        <f aca="false">AVERAGE(B2494:B2513)</f>
        <v>69.447</v>
      </c>
      <c r="E2513" s="14" t="n">
        <f aca="false">(B2513-D2513)/D2513*100</f>
        <v>1.66025890247238</v>
      </c>
    </row>
    <row r="2514" customFormat="false" ht="15" hidden="false" customHeight="false" outlineLevel="0" collapsed="false">
      <c r="A2514" s="12" t="n">
        <v>45656</v>
      </c>
      <c r="B2514" s="15" t="n">
        <v>70.99</v>
      </c>
      <c r="C2514" s="15" t="n">
        <v>74.39</v>
      </c>
      <c r="D2514" s="14" t="n">
        <f aca="false">AVERAGE(B2495:B2514)</f>
        <v>69.5965</v>
      </c>
      <c r="E2514" s="14" t="n">
        <f aca="false">(B2514-D2514)/D2514*100</f>
        <v>2.00225586056769</v>
      </c>
    </row>
    <row r="2515" customFormat="false" ht="15" hidden="false" customHeight="false" outlineLevel="0" collapsed="false">
      <c r="A2515" s="12" t="n">
        <v>45657</v>
      </c>
      <c r="B2515" s="15" t="n">
        <v>71.72</v>
      </c>
      <c r="C2515" s="15" t="n">
        <v>74.64</v>
      </c>
      <c r="D2515" s="14" t="n">
        <f aca="false">AVERAGE(B2496:B2515)</f>
        <v>69.7775</v>
      </c>
      <c r="E2515" s="14" t="n">
        <f aca="false">(B2515-D2515)/D2515*100</f>
        <v>2.78384866181791</v>
      </c>
    </row>
    <row r="2516" customFormat="false" ht="15" hidden="false" customHeight="false" outlineLevel="0" collapsed="false">
      <c r="A2516" s="12" t="n">
        <v>45659</v>
      </c>
      <c r="B2516" s="15" t="n">
        <v>73.13</v>
      </c>
      <c r="C2516" s="15" t="n">
        <v>75.93</v>
      </c>
      <c r="D2516" s="14" t="n">
        <f aca="false">AVERAGE(B2497:B2516)</f>
        <v>69.937</v>
      </c>
      <c r="E2516" s="14" t="n">
        <f aca="false">(B2516-D2516)/D2516*100</f>
        <v>4.56553755522827</v>
      </c>
    </row>
    <row r="2517" customFormat="false" ht="15" hidden="false" customHeight="false" outlineLevel="0" collapsed="false">
      <c r="A2517" s="12" t="n">
        <v>45660</v>
      </c>
      <c r="B2517" s="15" t="n">
        <v>73.96</v>
      </c>
      <c r="C2517" s="15" t="n">
        <v>76.51</v>
      </c>
      <c r="D2517" s="14" t="n">
        <f aca="false">AVERAGE(B2498:B2517)</f>
        <v>70.208</v>
      </c>
      <c r="E2517" s="14" t="n">
        <f aca="false">(B2517-D2517)/D2517*100</f>
        <v>5.34412032816772</v>
      </c>
    </row>
    <row r="2518" customFormat="false" ht="15" hidden="false" customHeight="false" outlineLevel="0" collapsed="false">
      <c r="A2518" s="12" t="n">
        <v>45663</v>
      </c>
      <c r="B2518" s="15" t="n">
        <v>73.56</v>
      </c>
      <c r="C2518" s="15" t="n">
        <v>76.3</v>
      </c>
      <c r="D2518" s="14" t="n">
        <f aca="false">AVERAGE(B2499:B2518)</f>
        <v>70.471</v>
      </c>
      <c r="E2518" s="14" t="n">
        <f aca="false">(B2518-D2518)/D2518*100</f>
        <v>4.38336336932923</v>
      </c>
    </row>
    <row r="2519" customFormat="false" ht="15" hidden="false" customHeight="false" outlineLevel="0" collapsed="false">
      <c r="A2519" s="12" t="n">
        <v>45664</v>
      </c>
      <c r="B2519" s="15" t="n">
        <v>74.25</v>
      </c>
      <c r="C2519" s="15" t="n">
        <v>77.05</v>
      </c>
      <c r="D2519" s="14" t="n">
        <f aca="false">AVERAGE(B2500:B2519)</f>
        <v>70.8235</v>
      </c>
      <c r="E2519" s="14" t="n">
        <f aca="false">(B2519-D2519)/D2519*100</f>
        <v>4.83808340451969</v>
      </c>
    </row>
    <row r="2520" customFormat="false" ht="15" hidden="false" customHeight="false" outlineLevel="0" collapsed="false">
      <c r="A2520" s="12" t="n">
        <v>45665</v>
      </c>
      <c r="B2520" s="15" t="n">
        <v>73.32</v>
      </c>
      <c r="C2520" s="15" t="n">
        <v>76.16</v>
      </c>
      <c r="D2520" s="14" t="n">
        <f aca="false">AVERAGE(B2501:B2520)</f>
        <v>71.071</v>
      </c>
      <c r="E2520" s="14" t="n">
        <f aca="false">(B2520-D2520)/D2520*100</f>
        <v>3.1644411926102</v>
      </c>
    </row>
    <row r="2521" customFormat="false" ht="15" hidden="false" customHeight="false" outlineLevel="0" collapsed="false">
      <c r="A2521" s="12" t="n">
        <v>45666</v>
      </c>
      <c r="B2521" s="15" t="n">
        <v>73.92</v>
      </c>
      <c r="C2521" s="15" t="n">
        <v>76.92</v>
      </c>
      <c r="D2521" s="14" t="n">
        <f aca="false">AVERAGE(B2502:B2521)</f>
        <v>71.3375</v>
      </c>
      <c r="E2521" s="14" t="n">
        <f aca="false">(B2521-D2521)/D2521*100</f>
        <v>3.62011564745049</v>
      </c>
    </row>
    <row r="2522" customFormat="false" ht="15" hidden="false" customHeight="false" outlineLevel="0" collapsed="false">
      <c r="A2522" s="12" t="n">
        <v>45667</v>
      </c>
      <c r="B2522" s="15" t="n">
        <v>76.57</v>
      </c>
      <c r="C2522" s="15" t="n">
        <v>79.76</v>
      </c>
      <c r="D2522" s="14" t="n">
        <f aca="false">AVERAGE(B2503:B2522)</f>
        <v>71.6515</v>
      </c>
      <c r="E2522" s="14" t="n">
        <f aca="false">(B2522-D2522)/D2522*100</f>
        <v>6.86447597049607</v>
      </c>
    </row>
    <row r="2523" customFormat="false" ht="15" hidden="false" customHeight="false" outlineLevel="0" collapsed="false">
      <c r="A2523" s="12" t="n">
        <v>45670</v>
      </c>
      <c r="B2523" s="15" t="n">
        <v>78.82</v>
      </c>
      <c r="C2523" s="15" t="n">
        <v>81.01</v>
      </c>
      <c r="D2523" s="14" t="n">
        <f aca="false">AVERAGE(B2504:B2523)</f>
        <v>72.0915</v>
      </c>
      <c r="E2523" s="14" t="n">
        <f aca="false">(B2523-D2523)/D2523*100</f>
        <v>9.33327784829002</v>
      </c>
    </row>
    <row r="2524" customFormat="false" ht="15" hidden="false" customHeight="false" outlineLevel="0" collapsed="false">
      <c r="A2524" s="12" t="n">
        <v>45671</v>
      </c>
      <c r="B2524" s="15" t="n">
        <v>77.5</v>
      </c>
      <c r="C2524" s="15" t="n">
        <v>79.92</v>
      </c>
      <c r="D2524" s="14" t="n">
        <f aca="false">AVERAGE(B2505:B2524)</f>
        <v>72.402</v>
      </c>
      <c r="E2524" s="14" t="n">
        <f aca="false">(B2524-D2524)/D2524*100</f>
        <v>7.04124195464214</v>
      </c>
    </row>
    <row r="2525" customFormat="false" ht="15" hidden="false" customHeight="false" outlineLevel="0" collapsed="false">
      <c r="A2525" s="12" t="n">
        <v>45672</v>
      </c>
      <c r="B2525" s="15" t="n">
        <v>80.04</v>
      </c>
      <c r="C2525" s="15" t="n">
        <v>82.03</v>
      </c>
      <c r="D2525" s="14" t="n">
        <f aca="false">AVERAGE(B2506:B2525)</f>
        <v>72.8685</v>
      </c>
      <c r="E2525" s="14" t="n">
        <f aca="false">(B2525-D2525)/D2525*100</f>
        <v>9.84170114658599</v>
      </c>
    </row>
    <row r="2526" customFormat="false" ht="15" hidden="false" customHeight="false" outlineLevel="0" collapsed="false">
      <c r="A2526" s="12" t="n">
        <v>45673</v>
      </c>
      <c r="B2526" s="15" t="n">
        <v>78.68</v>
      </c>
      <c r="C2526" s="15" t="n">
        <v>81.29</v>
      </c>
      <c r="D2526" s="14" t="n">
        <f aca="false">AVERAGE(B2507:B2526)</f>
        <v>73.2985</v>
      </c>
      <c r="E2526" s="14" t="n">
        <f aca="false">(B2526-D2526)/D2526*100</f>
        <v>7.34189649174267</v>
      </c>
    </row>
    <row r="2527" customFormat="false" ht="15" hidden="false" customHeight="false" outlineLevel="0" collapsed="false">
      <c r="A2527" s="12" t="n">
        <v>45674</v>
      </c>
      <c r="B2527" s="15" t="n">
        <v>77.88</v>
      </c>
      <c r="C2527" s="15" t="n">
        <v>80.79</v>
      </c>
      <c r="D2527" s="14" t="n">
        <f aca="false">AVERAGE(B2508:B2527)</f>
        <v>73.6635</v>
      </c>
      <c r="E2527" s="14" t="n">
        <f aca="false">(B2527-D2527)/D2527*100</f>
        <v>5.72400171048076</v>
      </c>
    </row>
    <row r="2528" customFormat="false" ht="15" hidden="false" customHeight="false" outlineLevel="0" collapsed="false">
      <c r="A2528" s="12" t="n">
        <v>45678</v>
      </c>
      <c r="B2528" s="15" t="n">
        <v>75.89</v>
      </c>
      <c r="C2528" s="15" t="n">
        <v>79.29</v>
      </c>
      <c r="D2528" s="14" t="n">
        <f aca="false">AVERAGE(B2509:B2528)</f>
        <v>73.9625</v>
      </c>
      <c r="E2528" s="14" t="n">
        <f aca="false">(B2528-D2528)/D2528*100</f>
        <v>2.6060503633598</v>
      </c>
    </row>
    <row r="2529" customFormat="false" ht="15" hidden="false" customHeight="false" outlineLevel="0" collapsed="false">
      <c r="A2529" s="12" t="n">
        <v>45679</v>
      </c>
      <c r="B2529" s="15" t="n">
        <v>75.44</v>
      </c>
      <c r="C2529" s="15" t="n">
        <v>79</v>
      </c>
      <c r="D2529" s="14" t="n">
        <f aca="false">AVERAGE(B2510:B2529)</f>
        <v>74.2615</v>
      </c>
      <c r="E2529" s="14" t="n">
        <f aca="false">(B2529-D2529)/D2529*100</f>
        <v>1.58695959548353</v>
      </c>
    </row>
    <row r="2530" customFormat="false" ht="15" hidden="false" customHeight="false" outlineLevel="0" collapsed="false">
      <c r="A2530" s="12" t="n">
        <v>45680</v>
      </c>
      <c r="B2530" s="15" t="n">
        <v>74.62</v>
      </c>
      <c r="C2530" s="15" t="n">
        <v>78.29</v>
      </c>
      <c r="D2530" s="14" t="n">
        <f aca="false">AVERAGE(B2511:B2530)</f>
        <v>74.5305</v>
      </c>
      <c r="E2530" s="14" t="n">
        <f aca="false">(B2530-D2530)/D2530*100</f>
        <v>0.120085065845547</v>
      </c>
    </row>
    <row r="2531" customFormat="false" ht="15" hidden="false" customHeight="false" outlineLevel="0" collapsed="false">
      <c r="A2531" s="12" t="n">
        <v>45681</v>
      </c>
      <c r="B2531" s="15" t="n">
        <v>74.66</v>
      </c>
      <c r="C2531" s="15" t="n">
        <v>78.5</v>
      </c>
      <c r="D2531" s="14" t="n">
        <f aca="false">AVERAGE(B2512:B2531)</f>
        <v>74.7585</v>
      </c>
      <c r="E2531" s="14" t="n">
        <f aca="false">(B2531-D2531)/D2531*100</f>
        <v>-0.131757592782094</v>
      </c>
    </row>
    <row r="2532" customFormat="false" ht="15" hidden="false" customHeight="false" outlineLevel="0" collapsed="false">
      <c r="A2532" s="12" t="n">
        <v>45684</v>
      </c>
      <c r="B2532" s="15" t="n">
        <v>73.17</v>
      </c>
      <c r="C2532" s="15" t="n">
        <v>77.08</v>
      </c>
      <c r="D2532" s="14" t="n">
        <f aca="false">AVERAGE(B2513:B2532)</f>
        <v>74.936</v>
      </c>
      <c r="E2532" s="14" t="n">
        <f aca="false">(B2532-D2532)/D2532*100</f>
        <v>-2.35667769830256</v>
      </c>
    </row>
    <row r="2533" customFormat="false" ht="15" hidden="false" customHeight="false" outlineLevel="0" collapsed="false">
      <c r="A2533" s="12" t="n">
        <v>45685</v>
      </c>
      <c r="B2533" s="15" t="n">
        <v>73.77</v>
      </c>
      <c r="C2533" s="15" t="n">
        <v>77.49</v>
      </c>
      <c r="D2533" s="14" t="n">
        <f aca="false">AVERAGE(B2514:B2533)</f>
        <v>75.0945</v>
      </c>
      <c r="E2533" s="14" t="n">
        <f aca="false">(B2533-D2533)/D2533*100</f>
        <v>-1.76377764017338</v>
      </c>
    </row>
    <row r="2534" customFormat="false" ht="15" hidden="false" customHeight="false" outlineLevel="0" collapsed="false">
      <c r="A2534" s="12" t="n">
        <v>45686</v>
      </c>
      <c r="B2534" s="15" t="n">
        <v>72.62</v>
      </c>
      <c r="C2534" s="15" t="n">
        <v>76.58</v>
      </c>
      <c r="D2534" s="14" t="n">
        <f aca="false">AVERAGE(B2515:B2534)</f>
        <v>75.176</v>
      </c>
      <c r="E2534" s="14" t="n">
        <f aca="false">(B2534-D2534)/D2534*100</f>
        <v>-3.40002128338831</v>
      </c>
    </row>
    <row r="2535" customFormat="false" ht="15" hidden="false" customHeight="false" outlineLevel="0" collapsed="false">
      <c r="A2535" s="12" t="n">
        <v>45687</v>
      </c>
      <c r="B2535" s="15" t="n">
        <v>72.73</v>
      </c>
      <c r="C2535" s="15" t="n">
        <v>76.87</v>
      </c>
      <c r="D2535" s="14" t="n">
        <f aca="false">AVERAGE(B2516:B2535)</f>
        <v>75.2265</v>
      </c>
      <c r="E2535" s="14" t="n">
        <f aca="false">(B2535-D2535)/D2535*100</f>
        <v>-3.31864436069736</v>
      </c>
    </row>
    <row r="2536" customFormat="false" ht="15" hidden="false" customHeight="false" outlineLevel="0" collapsed="false">
      <c r="A2536" s="12" t="n">
        <v>45688</v>
      </c>
      <c r="B2536" s="15" t="n">
        <v>72.53</v>
      </c>
      <c r="C2536" s="15" t="n">
        <v>76.76</v>
      </c>
      <c r="D2536" s="14" t="n">
        <f aca="false">AVERAGE(B2517:B2536)</f>
        <v>75.1965</v>
      </c>
      <c r="E2536" s="14" t="n">
        <f aca="false">(B2536-D2536)/D2536*100</f>
        <v>-3.54604270145552</v>
      </c>
    </row>
    <row r="2537" customFormat="false" ht="15" hidden="false" customHeight="false" outlineLevel="0" collapsed="false">
      <c r="A2537" s="12" t="n">
        <v>45691</v>
      </c>
      <c r="B2537" s="15" t="n">
        <v>73.16</v>
      </c>
      <c r="C2537" s="15" t="n">
        <v>75.96</v>
      </c>
      <c r="D2537" s="14" t="n">
        <f aca="false">AVERAGE(B2518:B2537)</f>
        <v>75.1565</v>
      </c>
      <c r="E2537" s="14" t="n">
        <f aca="false">(B2537-D2537)/D2537*100</f>
        <v>-2.65645686001878</v>
      </c>
    </row>
    <row r="2538" customFormat="false" ht="15" hidden="false" customHeight="false" outlineLevel="0" collapsed="false">
      <c r="A2538" s="12" t="n">
        <v>45692</v>
      </c>
      <c r="B2538" s="15" t="n">
        <v>72.7</v>
      </c>
      <c r="C2538" s="15" t="n">
        <v>76.2</v>
      </c>
      <c r="D2538" s="14" t="n">
        <f aca="false">AVERAGE(B2519:B2538)</f>
        <v>75.1135</v>
      </c>
      <c r="E2538" s="14" t="n">
        <f aca="false">(B2538-D2538)/D2538*100</f>
        <v>-3.21313745198932</v>
      </c>
    </row>
    <row r="2539" customFormat="false" ht="15" hidden="false" customHeight="false" outlineLevel="0" collapsed="false">
      <c r="A2539" s="12" t="n">
        <v>45693</v>
      </c>
      <c r="B2539" s="15" t="n">
        <v>71.03</v>
      </c>
      <c r="C2539" s="15" t="n">
        <v>74.61</v>
      </c>
      <c r="D2539" s="14" t="n">
        <f aca="false">AVERAGE(B2520:B2539)</f>
        <v>74.9525</v>
      </c>
      <c r="E2539" s="14" t="n">
        <f aca="false">(B2539-D2539)/D2539*100</f>
        <v>-5.2333144324739</v>
      </c>
    </row>
    <row r="2540" customFormat="false" ht="15" hidden="false" customHeight="false" outlineLevel="0" collapsed="false">
      <c r="A2540" s="12" t="n">
        <v>45694</v>
      </c>
      <c r="B2540" s="15" t="n">
        <v>70.61</v>
      </c>
      <c r="C2540" s="15" t="n">
        <v>74.29</v>
      </c>
      <c r="D2540" s="14" t="n">
        <f aca="false">AVERAGE(B2521:B2540)</f>
        <v>74.817</v>
      </c>
      <c r="E2540" s="14" t="n">
        <f aca="false">(B2540-D2540)/D2540*100</f>
        <v>-5.62305358407848</v>
      </c>
    </row>
    <row r="2541" customFormat="false" ht="15" hidden="false" customHeight="false" outlineLevel="0" collapsed="false">
      <c r="A2541" s="12" t="n">
        <v>45695</v>
      </c>
      <c r="B2541" s="15" t="n">
        <v>71</v>
      </c>
      <c r="C2541" s="15" t="n">
        <v>74.66</v>
      </c>
      <c r="D2541" s="14" t="n">
        <f aca="false">AVERAGE(B2522:B2541)</f>
        <v>74.671</v>
      </c>
      <c r="E2541" s="14" t="n">
        <f aca="false">(B2541-D2541)/D2541*100</f>
        <v>-4.91623254007581</v>
      </c>
    </row>
    <row r="2542" customFormat="false" ht="15" hidden="false" customHeight="false" outlineLevel="0" collapsed="false">
      <c r="A2542" s="12" t="n">
        <v>45698</v>
      </c>
      <c r="B2542" s="15" t="n">
        <v>72.32</v>
      </c>
      <c r="C2542" s="15" t="n">
        <v>75.87</v>
      </c>
      <c r="D2542" s="14" t="n">
        <f aca="false">AVERAGE(B2523:B2542)</f>
        <v>74.4585</v>
      </c>
      <c r="E2542" s="14" t="n">
        <f aca="false">(B2542-D2542)/D2542*100</f>
        <v>-2.87206967639693</v>
      </c>
    </row>
    <row r="2543" customFormat="false" ht="15" hidden="false" customHeight="false" outlineLevel="0" collapsed="false">
      <c r="A2543" s="12" t="n">
        <v>45699</v>
      </c>
      <c r="B2543" s="15" t="n">
        <v>73.32</v>
      </c>
      <c r="C2543" s="15" t="n">
        <v>77</v>
      </c>
      <c r="D2543" s="14" t="n">
        <f aca="false">AVERAGE(B2524:B2543)</f>
        <v>74.1835</v>
      </c>
      <c r="E2543" s="14" t="n">
        <f aca="false">(B2543-D2543)/D2543*100</f>
        <v>-1.16400547291516</v>
      </c>
    </row>
    <row r="2544" customFormat="false" ht="15" hidden="false" customHeight="false" outlineLevel="0" collapsed="false">
      <c r="A2544" s="12" t="n">
        <v>45700</v>
      </c>
      <c r="B2544" s="15" t="n">
        <v>71.37</v>
      </c>
      <c r="C2544" s="15" t="n">
        <v>75.18</v>
      </c>
      <c r="D2544" s="14" t="n">
        <f aca="false">AVERAGE(B2525:B2544)</f>
        <v>73.877</v>
      </c>
      <c r="E2544" s="14" t="n">
        <f aca="false">(B2544-D2544)/D2544*100</f>
        <v>-3.3934783491479</v>
      </c>
    </row>
    <row r="2545" customFormat="false" ht="15" hidden="false" customHeight="false" outlineLevel="0" collapsed="false">
      <c r="A2545" s="12" t="n">
        <v>45701</v>
      </c>
      <c r="B2545" s="15" t="n">
        <v>71.29</v>
      </c>
      <c r="C2545" s="15" t="n">
        <v>75.02</v>
      </c>
      <c r="D2545" s="14" t="n">
        <f aca="false">AVERAGE(B2526:B2545)</f>
        <v>73.4395</v>
      </c>
      <c r="E2545" s="14" t="n">
        <f aca="false">(B2545-D2545)/D2545*100</f>
        <v>-2.926899012112</v>
      </c>
    </row>
    <row r="2546" customFormat="false" ht="15" hidden="false" customHeight="false" outlineLevel="0" collapsed="false">
      <c r="A2546" s="12" t="n">
        <v>45702</v>
      </c>
      <c r="B2546" s="15" t="n">
        <v>70.74</v>
      </c>
      <c r="C2546" s="15" t="n">
        <v>74.74</v>
      </c>
      <c r="D2546" s="14" t="n">
        <f aca="false">AVERAGE(B2527:B2546)</f>
        <v>73.0425</v>
      </c>
      <c r="E2546" s="14" t="n">
        <f aca="false">(B2546-D2546)/D2546*100</f>
        <v>-3.15227436081733</v>
      </c>
    </row>
    <row r="2547" customFormat="false" ht="15" hidden="false" customHeight="false" outlineLevel="0" collapsed="false">
      <c r="A2547" s="12" t="n">
        <v>45706</v>
      </c>
      <c r="B2547" s="15" t="n">
        <v>71.85</v>
      </c>
      <c r="C2547" s="15" t="n">
        <v>75.84</v>
      </c>
      <c r="D2547" s="14" t="n">
        <f aca="false">AVERAGE(B2528:B2547)</f>
        <v>72.741</v>
      </c>
      <c r="E2547" s="14" t="n">
        <f aca="false">(B2547-D2547)/D2547*100</f>
        <v>-1.22489380129501</v>
      </c>
    </row>
    <row r="2548" customFormat="false" ht="15" hidden="false" customHeight="false" outlineLevel="0" collapsed="false">
      <c r="A2548" s="12" t="n">
        <v>45707</v>
      </c>
      <c r="B2548" s="15" t="n">
        <v>72.25</v>
      </c>
      <c r="C2548" s="15" t="n">
        <v>76.04</v>
      </c>
      <c r="D2548" s="14" t="n">
        <f aca="false">AVERAGE(B2529:B2548)</f>
        <v>72.559</v>
      </c>
      <c r="E2548" s="14" t="n">
        <f aca="false">(B2548-D2548)/D2548*100</f>
        <v>-0.425860334348596</v>
      </c>
    </row>
    <row r="2549" customFormat="false" ht="15" hidden="false" customHeight="false" outlineLevel="0" collapsed="false">
      <c r="A2549" s="12" t="n">
        <v>45708</v>
      </c>
      <c r="B2549" s="15" t="n">
        <v>72.57</v>
      </c>
      <c r="C2549" s="15" t="n">
        <v>76.48</v>
      </c>
      <c r="D2549" s="14" t="n">
        <f aca="false">AVERAGE(B2530:B2549)</f>
        <v>72.4155</v>
      </c>
      <c r="E2549" s="14" t="n">
        <f aca="false">(B2549-D2549)/D2549*100</f>
        <v>0.213352113843029</v>
      </c>
    </row>
    <row r="2550" customFormat="false" ht="15" hidden="false" customHeight="false" outlineLevel="0" collapsed="false">
      <c r="A2550" s="12" t="n">
        <v>45709</v>
      </c>
      <c r="B2550" s="15" t="n">
        <v>70.4</v>
      </c>
      <c r="C2550" s="15" t="n">
        <v>74.43</v>
      </c>
      <c r="D2550" s="14" t="n">
        <f aca="false">AVERAGE(B2531:B2550)</f>
        <v>72.2045</v>
      </c>
      <c r="E2550" s="14" t="n">
        <f aca="false">(B2550-D2550)/D2550*100</f>
        <v>-2.4991517149208</v>
      </c>
    </row>
    <row r="2551" customFormat="false" ht="15" hidden="false" customHeight="false" outlineLevel="0" collapsed="false">
      <c r="A2551" s="12" t="n">
        <v>45712</v>
      </c>
      <c r="B2551" s="15" t="n">
        <v>70.7</v>
      </c>
      <c r="C2551" s="15" t="n">
        <v>74.78</v>
      </c>
      <c r="D2551" s="14" t="n">
        <f aca="false">AVERAGE(B2532:B2551)</f>
        <v>72.0065</v>
      </c>
      <c r="E2551" s="14" t="n">
        <f aca="false">(B2551-D2551)/D2551*100</f>
        <v>-1.81441953157007</v>
      </c>
    </row>
    <row r="2552" customFormat="false" ht="15" hidden="false" customHeight="false" outlineLevel="0" collapsed="false">
      <c r="A2552" s="12" t="n">
        <v>45713</v>
      </c>
      <c r="B2552" s="15" t="n">
        <v>68.93</v>
      </c>
      <c r="C2552" s="15" t="n">
        <v>73.02</v>
      </c>
      <c r="D2552" s="14" t="n">
        <f aca="false">AVERAGE(B2533:B2552)</f>
        <v>71.7945</v>
      </c>
      <c r="E2552" s="14" t="n">
        <f aca="false">(B2552-D2552)/D2552*100</f>
        <v>-3.989859947489</v>
      </c>
    </row>
    <row r="2553" customFormat="false" ht="15" hidden="false" customHeight="false" outlineLevel="0" collapsed="false">
      <c r="A2553" s="12" t="n">
        <v>45714</v>
      </c>
      <c r="B2553" s="15" t="n">
        <v>68.62</v>
      </c>
      <c r="C2553" s="15" t="n">
        <v>72.53</v>
      </c>
      <c r="D2553" s="14" t="n">
        <f aca="false">AVERAGE(B2534:B2553)</f>
        <v>71.537</v>
      </c>
      <c r="E2553" s="14" t="n">
        <f aca="false">(B2553-D2553)/D2553*100</f>
        <v>-4.07761018773502</v>
      </c>
    </row>
    <row r="2554" customFormat="false" ht="15" hidden="false" customHeight="false" outlineLevel="0" collapsed="false">
      <c r="A2554" s="12" t="n">
        <v>45715</v>
      </c>
      <c r="B2554" s="15" t="n">
        <v>70.35</v>
      </c>
      <c r="C2554" s="15" t="n">
        <v>74.04</v>
      </c>
      <c r="D2554" s="14" t="n">
        <f aca="false">AVERAGE(B2535:B2554)</f>
        <v>71.4235</v>
      </c>
      <c r="E2554" s="14" t="n">
        <f aca="false">(B2554-D2554)/D2554*100</f>
        <v>-1.50300671347667</v>
      </c>
    </row>
    <row r="2555" customFormat="false" ht="15" hidden="false" customHeight="false" outlineLevel="0" collapsed="false">
      <c r="A2555" s="12" t="n">
        <v>45716</v>
      </c>
      <c r="B2555" s="15" t="n">
        <v>69.76</v>
      </c>
      <c r="C2555" s="15" t="n">
        <v>73.18</v>
      </c>
      <c r="D2555" s="14" t="n">
        <f aca="false">AVERAGE(B2536:B2555)</f>
        <v>71.275</v>
      </c>
      <c r="E2555" s="14" t="n">
        <f aca="false">(B2555-D2555)/D2555*100</f>
        <v>-2.12556997544721</v>
      </c>
    </row>
    <row r="2556" customFormat="false" ht="15" hidden="false" customHeight="false" outlineLevel="0" collapsed="false">
      <c r="A2556" s="12" t="n">
        <v>45719</v>
      </c>
      <c r="B2556" s="15" t="n">
        <v>68.37</v>
      </c>
      <c r="C2556" s="15" t="n">
        <v>71.62</v>
      </c>
      <c r="D2556" s="14" t="n">
        <f aca="false">AVERAGE(B2537:B2556)</f>
        <v>71.067</v>
      </c>
      <c r="E2556" s="14" t="n">
        <f aca="false">(B2556-D2556)/D2556*100</f>
        <v>-3.79501034235298</v>
      </c>
    </row>
    <row r="2557" customFormat="false" ht="15" hidden="false" customHeight="false" outlineLevel="0" collapsed="false">
      <c r="A2557" s="12" t="n">
        <v>45720</v>
      </c>
      <c r="B2557" s="15" t="n">
        <v>68.26</v>
      </c>
      <c r="C2557" s="15" t="n">
        <v>71.04</v>
      </c>
      <c r="D2557" s="14" t="n">
        <f aca="false">AVERAGE(B2538:B2557)</f>
        <v>70.822</v>
      </c>
      <c r="E2557" s="14" t="n">
        <f aca="false">(B2557-D2557)/D2557*100</f>
        <v>-3.61751997966733</v>
      </c>
    </row>
    <row r="2558" customFormat="false" ht="15" hidden="false" customHeight="false" outlineLevel="0" collapsed="false">
      <c r="A2558" s="12" t="n">
        <v>45721</v>
      </c>
      <c r="B2558" s="15" t="n">
        <v>66.31</v>
      </c>
      <c r="C2558" s="15" t="n">
        <v>69.3</v>
      </c>
      <c r="D2558" s="14" t="n">
        <f aca="false">AVERAGE(B2539:B2558)</f>
        <v>70.5025</v>
      </c>
      <c r="E2558" s="14" t="n">
        <f aca="false">(B2558-D2558)/D2558*100</f>
        <v>-5.94659763838161</v>
      </c>
    </row>
    <row r="2559" customFormat="false" ht="15" hidden="false" customHeight="false" outlineLevel="0" collapsed="false">
      <c r="A2559" s="12" t="n">
        <v>45722</v>
      </c>
      <c r="B2559" s="15" t="n">
        <v>66.36</v>
      </c>
      <c r="C2559" s="15" t="n">
        <v>69.46</v>
      </c>
      <c r="D2559" s="14" t="n">
        <f aca="false">AVERAGE(B2540:B2559)</f>
        <v>70.269</v>
      </c>
      <c r="E2559" s="14" t="n">
        <f aca="false">(B2559-D2559)/D2559*100</f>
        <v>-5.56290825257227</v>
      </c>
    </row>
    <row r="2560" customFormat="false" ht="15" hidden="false" customHeight="false" outlineLevel="0" collapsed="false">
      <c r="A2560" s="12" t="n">
        <v>45723</v>
      </c>
      <c r="B2560" s="15" t="n">
        <v>67.04</v>
      </c>
      <c r="C2560" s="15" t="n">
        <v>70.36</v>
      </c>
      <c r="D2560" s="14" t="n">
        <f aca="false">AVERAGE(B2541:B2560)</f>
        <v>70.0905</v>
      </c>
      <c r="E2560" s="14" t="n">
        <f aca="false">(B2560-D2560)/D2560*100</f>
        <v>-4.35223033078661</v>
      </c>
    </row>
    <row r="2561" customFormat="false" ht="15" hidden="false" customHeight="false" outlineLevel="0" collapsed="false">
      <c r="A2561" s="12" t="n">
        <v>45726</v>
      </c>
      <c r="B2561" s="15" t="n">
        <v>66.03</v>
      </c>
      <c r="C2561" s="15" t="n">
        <v>69.28</v>
      </c>
      <c r="D2561" s="14" t="n">
        <f aca="false">AVERAGE(B2542:B2561)</f>
        <v>69.842</v>
      </c>
      <c r="E2561" s="14" t="n">
        <f aca="false">(B2561-D2561)/D2561*100</f>
        <v>-5.45803384782795</v>
      </c>
    </row>
    <row r="2562" customFormat="false" ht="15" hidden="false" customHeight="false" outlineLevel="0" collapsed="false">
      <c r="A2562" s="12" t="n">
        <v>45727</v>
      </c>
      <c r="B2562" s="15" t="n">
        <v>66.25</v>
      </c>
      <c r="C2562" s="15" t="n">
        <v>69.56</v>
      </c>
      <c r="D2562" s="14" t="n">
        <f aca="false">AVERAGE(B2543:B2562)</f>
        <v>69.5385</v>
      </c>
      <c r="E2562" s="14" t="n">
        <f aca="false">(B2562-D2562)/D2562*100</f>
        <v>-4.72903499500277</v>
      </c>
    </row>
    <row r="2563" customFormat="false" ht="15" hidden="false" customHeight="false" outlineLevel="0" collapsed="false">
      <c r="A2563" s="12" t="n">
        <v>45728</v>
      </c>
      <c r="B2563" s="15" t="n">
        <v>67.68</v>
      </c>
      <c r="C2563" s="15" t="n">
        <v>70.95</v>
      </c>
      <c r="D2563" s="14" t="n">
        <f aca="false">AVERAGE(B2544:B2563)</f>
        <v>69.2565</v>
      </c>
      <c r="E2563" s="14" t="n">
        <f aca="false">(B2563-D2563)/D2563*100</f>
        <v>-2.2763206341643</v>
      </c>
    </row>
    <row r="2564" customFormat="false" ht="15" hidden="false" customHeight="false" outlineLevel="0" collapsed="false">
      <c r="A2564" s="12" t="n">
        <v>45729</v>
      </c>
      <c r="B2564" s="15" t="n">
        <v>66.55</v>
      </c>
      <c r="C2564" s="15" t="n">
        <v>69.88</v>
      </c>
      <c r="D2564" s="14" t="n">
        <f aca="false">AVERAGE(B2545:B2564)</f>
        <v>69.0155</v>
      </c>
      <c r="E2564" s="14" t="n">
        <f aca="false">(B2564-D2564)/D2564*100</f>
        <v>-3.57238591330934</v>
      </c>
    </row>
    <row r="2565" customFormat="false" ht="15" hidden="false" customHeight="false" outlineLevel="0" collapsed="false">
      <c r="A2565" s="12" t="n">
        <v>45730</v>
      </c>
      <c r="B2565" s="15" t="n">
        <v>67.18</v>
      </c>
      <c r="C2565" s="15" t="n">
        <v>70.58</v>
      </c>
      <c r="D2565" s="14" t="n">
        <f aca="false">AVERAGE(B2546:B2565)</f>
        <v>68.81</v>
      </c>
      <c r="E2565" s="14" t="n">
        <f aca="false">(B2565-D2565)/D2565*100</f>
        <v>-2.36884173811945</v>
      </c>
    </row>
    <row r="2566" customFormat="false" ht="15" hidden="false" customHeight="false" outlineLevel="0" collapsed="false">
      <c r="A2566" s="12" t="n">
        <v>45733</v>
      </c>
      <c r="B2566" s="15" t="n">
        <v>67.58</v>
      </c>
      <c r="C2566" s="15" t="n">
        <v>71.07</v>
      </c>
      <c r="D2566" s="14" t="n">
        <f aca="false">AVERAGE(B2547:B2566)</f>
        <v>68.652</v>
      </c>
      <c r="E2566" s="14" t="n">
        <f aca="false">(B2566-D2566)/D2566*100</f>
        <v>-1.56149857251064</v>
      </c>
    </row>
    <row r="2567" customFormat="false" ht="15" hidden="false" customHeight="false" outlineLevel="0" collapsed="false">
      <c r="A2567" s="12" t="n">
        <v>45734</v>
      </c>
      <c r="B2567" s="15" t="n">
        <v>66.9</v>
      </c>
      <c r="C2567" s="15" t="n">
        <v>70.56</v>
      </c>
      <c r="D2567" s="14" t="n">
        <f aca="false">AVERAGE(B2548:B2567)</f>
        <v>68.4045</v>
      </c>
      <c r="E2567" s="14" t="n">
        <f aca="false">(B2567-D2567)/D2567*100</f>
        <v>-2.19941670504135</v>
      </c>
    </row>
    <row r="2568" customFormat="false" ht="15" hidden="false" customHeight="false" outlineLevel="0" collapsed="false">
      <c r="A2568" s="12" t="n">
        <v>45735</v>
      </c>
      <c r="B2568" s="15" t="n">
        <v>67.16</v>
      </c>
      <c r="C2568" s="15" t="n">
        <v>70.78</v>
      </c>
      <c r="D2568" s="14" t="n">
        <f aca="false">AVERAGE(B2549:B2568)</f>
        <v>68.15</v>
      </c>
      <c r="E2568" s="14" t="n">
        <f aca="false">(B2568-D2568)/D2568*100</f>
        <v>-1.45267791636098</v>
      </c>
    </row>
    <row r="2569" customFormat="false" ht="15" hidden="false" customHeight="false" outlineLevel="0" collapsed="false">
      <c r="A2569" s="12" t="n">
        <v>45736</v>
      </c>
      <c r="B2569" s="15" t="n">
        <v>68.26</v>
      </c>
      <c r="C2569" s="15" t="n">
        <v>72</v>
      </c>
      <c r="D2569" s="14" t="n">
        <f aca="false">AVERAGE(B2550:B2569)</f>
        <v>67.9345</v>
      </c>
      <c r="E2569" s="14" t="n">
        <f aca="false">(B2569-D2569)/D2569*100</f>
        <v>0.47913799321406</v>
      </c>
    </row>
    <row r="2570" customFormat="false" ht="15" hidden="false" customHeight="false" outlineLevel="0" collapsed="false">
      <c r="A2570" s="12" t="n">
        <v>45737</v>
      </c>
      <c r="B2570" s="15" t="n">
        <v>68.28</v>
      </c>
      <c r="C2570" s="15" t="n">
        <v>72.16</v>
      </c>
      <c r="D2570" s="14" t="n">
        <f aca="false">AVERAGE(B2551:B2570)</f>
        <v>67.8285</v>
      </c>
      <c r="E2570" s="14" t="n">
        <f aca="false">(B2570-D2570)/D2570*100</f>
        <v>0.665649395165743</v>
      </c>
    </row>
    <row r="2571" customFormat="false" ht="15" hidden="false" customHeight="false" outlineLevel="0" collapsed="false">
      <c r="A2571" s="12" t="n">
        <v>45740</v>
      </c>
      <c r="B2571" s="15" t="n">
        <v>69.11</v>
      </c>
      <c r="C2571" s="15" t="n">
        <v>73</v>
      </c>
      <c r="D2571" s="14" t="n">
        <f aca="false">AVERAGE(B2552:B2571)</f>
        <v>67.749</v>
      </c>
      <c r="E2571" s="14" t="n">
        <f aca="false">(B2571-D2571)/D2571*100</f>
        <v>2.00888574001093</v>
      </c>
    </row>
    <row r="2572" customFormat="false" ht="15" hidden="false" customHeight="false" outlineLevel="0" collapsed="false">
      <c r="A2572" s="12" t="n">
        <v>45741</v>
      </c>
      <c r="B2572" s="15" t="n">
        <v>69</v>
      </c>
      <c r="C2572" s="15" t="n">
        <v>73.02</v>
      </c>
      <c r="D2572" s="14" t="n">
        <f aca="false">AVERAGE(B2553:B2572)</f>
        <v>67.7525</v>
      </c>
      <c r="E2572" s="14" t="n">
        <f aca="false">(B2572-D2572)/D2572*100</f>
        <v>1.84126047009336</v>
      </c>
    </row>
    <row r="2573" customFormat="false" ht="15" hidden="false" customHeight="false" outlineLevel="0" collapsed="false">
      <c r="A2573" s="12" t="n">
        <v>45742</v>
      </c>
      <c r="B2573" s="15" t="n">
        <v>69.65</v>
      </c>
      <c r="C2573" s="15" t="n">
        <v>73.79</v>
      </c>
      <c r="D2573" s="14" t="n">
        <f aca="false">AVERAGE(B2554:B2573)</f>
        <v>67.804</v>
      </c>
      <c r="E2573" s="14" t="n">
        <f aca="false">(B2573-D2573)/D2573*100</f>
        <v>2.72255324169666</v>
      </c>
    </row>
    <row r="2574" customFormat="false" ht="15" hidden="false" customHeight="false" outlineLevel="0" collapsed="false">
      <c r="A2574" s="12" t="n">
        <v>45743</v>
      </c>
      <c r="B2574" s="15" t="n">
        <v>69.92</v>
      </c>
      <c r="C2574" s="15" t="n">
        <v>74.03</v>
      </c>
      <c r="D2574" s="14" t="n">
        <f aca="false">AVERAGE(B2555:B2574)</f>
        <v>67.7825</v>
      </c>
      <c r="E2574" s="14" t="n">
        <f aca="false">(B2574-D2574)/D2574*100</f>
        <v>3.15346881569727</v>
      </c>
    </row>
    <row r="2575" customFormat="false" ht="15" hidden="false" customHeight="false" outlineLevel="0" collapsed="false">
      <c r="A2575" s="12" t="n">
        <v>45744</v>
      </c>
      <c r="B2575" s="15" t="n">
        <v>69.36</v>
      </c>
      <c r="C2575" s="15" t="n">
        <v>73.63</v>
      </c>
      <c r="D2575" s="14" t="n">
        <f aca="false">AVERAGE(B2556:B2575)</f>
        <v>67.7625</v>
      </c>
      <c r="E2575" s="14" t="n">
        <f aca="false">(B2575-D2575)/D2575*100</f>
        <v>2.35749861649142</v>
      </c>
    </row>
    <row r="2576" customFormat="false" ht="15" hidden="false" customHeight="false" outlineLevel="0" collapsed="false">
      <c r="A2576" s="12" t="n">
        <v>45747</v>
      </c>
      <c r="B2576" s="15" t="n">
        <v>71.48</v>
      </c>
      <c r="C2576" s="15" t="n">
        <v>74.74</v>
      </c>
      <c r="D2576" s="14" t="n">
        <f aca="false">AVERAGE(B2557:B2576)</f>
        <v>67.918</v>
      </c>
      <c r="E2576" s="14" t="n">
        <f aca="false">(B2576-D2576)/D2576*100</f>
        <v>5.24455961600753</v>
      </c>
    </row>
    <row r="2577" customFormat="false" ht="15" hidden="false" customHeight="false" outlineLevel="0" collapsed="false">
      <c r="A2577" s="12" t="n">
        <v>45748</v>
      </c>
      <c r="B2577" s="15" t="n">
        <v>71.2</v>
      </c>
      <c r="C2577" s="15" t="n">
        <v>74.49</v>
      </c>
      <c r="D2577" s="14" t="n">
        <f aca="false">AVERAGE(B2558:B2577)</f>
        <v>68.065</v>
      </c>
      <c r="E2577" s="14" t="n">
        <f aca="false">(B2577-D2577)/D2577*100</f>
        <v>4.60589142731214</v>
      </c>
    </row>
    <row r="2578" customFormat="false" ht="15" hidden="false" customHeight="false" outlineLevel="0" collapsed="false">
      <c r="A2578" s="12" t="n">
        <v>45749</v>
      </c>
      <c r="B2578" s="15" t="n">
        <v>71.71</v>
      </c>
      <c r="C2578" s="15" t="n">
        <v>74.95</v>
      </c>
      <c r="D2578" s="14" t="n">
        <f aca="false">AVERAGE(B2559:B2578)</f>
        <v>68.335</v>
      </c>
      <c r="E2578" s="14" t="n">
        <f aca="false">(B2578-D2578)/D2578*100</f>
        <v>4.93890392917244</v>
      </c>
    </row>
    <row r="2579" customFormat="false" ht="15" hidden="false" customHeight="false" outlineLevel="0" collapsed="false">
      <c r="A2579" s="12" t="n">
        <v>45750</v>
      </c>
      <c r="B2579" s="15" t="n">
        <v>66.95</v>
      </c>
      <c r="C2579" s="15" t="n">
        <v>70.14</v>
      </c>
      <c r="D2579" s="14" t="n">
        <f aca="false">AVERAGE(B2560:B2579)</f>
        <v>68.3645</v>
      </c>
      <c r="E2579" s="14" t="n">
        <f aca="false">(B2579-D2579)/D2579*100</f>
        <v>-2.06905630846417</v>
      </c>
    </row>
    <row r="2580" customFormat="false" ht="15" hidden="false" customHeight="false" outlineLevel="0" collapsed="false">
      <c r="A2580" s="12" t="n">
        <v>45751</v>
      </c>
      <c r="B2580" s="15" t="n">
        <v>61.99</v>
      </c>
      <c r="C2580" s="15" t="n">
        <v>65.58</v>
      </c>
      <c r="D2580" s="14" t="n">
        <f aca="false">AVERAGE(B2561:B2580)</f>
        <v>68.112</v>
      </c>
      <c r="E2580" s="14" t="n">
        <f aca="false">(B2580-D2580)/D2580*100</f>
        <v>-8.98813718581159</v>
      </c>
    </row>
    <row r="2581" customFormat="false" ht="15" hidden="false" customHeight="false" outlineLevel="0" collapsed="false">
      <c r="A2581" s="12" t="n">
        <v>45754</v>
      </c>
      <c r="B2581" s="15" t="n">
        <v>60.7</v>
      </c>
      <c r="C2581" s="15" t="n">
        <v>64.21</v>
      </c>
      <c r="D2581" s="14" t="n">
        <f aca="false">AVERAGE(B2562:B2581)</f>
        <v>67.8455</v>
      </c>
      <c r="E2581" s="14" t="n">
        <f aca="false">(B2581-D2581)/D2581*100</f>
        <v>-10.5320175988091</v>
      </c>
    </row>
    <row r="2582" customFormat="false" ht="15" hidden="false" customHeight="false" outlineLevel="0" collapsed="false">
      <c r="A2582" s="12" t="n">
        <v>45755</v>
      </c>
      <c r="B2582" s="15" t="n">
        <v>59.58</v>
      </c>
      <c r="C2582" s="15" t="n">
        <v>62.82</v>
      </c>
      <c r="D2582" s="14" t="n">
        <f aca="false">AVERAGE(B2563:B2582)</f>
        <v>67.512</v>
      </c>
      <c r="E2582" s="14" t="n">
        <f aca="false">(B2582-D2582)/D2582*100</f>
        <v>-11.7490223960185</v>
      </c>
    </row>
    <row r="2583" customFormat="false" ht="15" hidden="false" customHeight="false" outlineLevel="0" collapsed="false">
      <c r="A2583" s="12" t="n">
        <v>45756</v>
      </c>
      <c r="B2583" s="15" t="n">
        <v>62.35</v>
      </c>
      <c r="C2583" s="15" t="n">
        <v>65.48</v>
      </c>
      <c r="D2583" s="14" t="n">
        <f aca="false">AVERAGE(B2564:B2583)</f>
        <v>67.2455</v>
      </c>
      <c r="E2583" s="14" t="n">
        <f aca="false">(B2583-D2583)/D2583*100</f>
        <v>-7.28004104363862</v>
      </c>
    </row>
    <row r="2584" customFormat="false" ht="15" hidden="false" customHeight="false" outlineLevel="0" collapsed="false">
      <c r="A2584" s="12" t="n">
        <v>45757</v>
      </c>
      <c r="B2584" s="15" t="n">
        <v>60.07</v>
      </c>
      <c r="C2584" s="15" t="n">
        <v>63.33</v>
      </c>
      <c r="D2584" s="14" t="n">
        <f aca="false">AVERAGE(B2565:B2584)</f>
        <v>66.9215</v>
      </c>
      <c r="E2584" s="14" t="n">
        <f aca="false">(B2584-D2584)/D2584*100</f>
        <v>-10.2381148061535</v>
      </c>
    </row>
    <row r="2585" customFormat="false" ht="15" hidden="false" customHeight="false" outlineLevel="0" collapsed="false">
      <c r="A2585" s="12" t="n">
        <v>45758</v>
      </c>
      <c r="B2585" s="15" t="n">
        <v>61.5</v>
      </c>
      <c r="C2585" s="15" t="n">
        <v>64.76</v>
      </c>
      <c r="D2585" s="14" t="n">
        <f aca="false">AVERAGE(B2566:B2585)</f>
        <v>66.6375</v>
      </c>
      <c r="E2585" s="14" t="n">
        <f aca="false">(B2585-D2585)/D2585*100</f>
        <v>-7.70962296004502</v>
      </c>
    </row>
    <row r="2586" customFormat="false" ht="15" hidden="false" customHeight="false" outlineLevel="0" collapsed="false">
      <c r="A2586" s="12" t="n">
        <v>45761</v>
      </c>
      <c r="B2586" s="15" t="n">
        <v>61.53</v>
      </c>
      <c r="C2586" s="15" t="n">
        <v>64.88</v>
      </c>
      <c r="D2586" s="14" t="n">
        <f aca="false">AVERAGE(B2567:B2586)</f>
        <v>66.335</v>
      </c>
      <c r="E2586" s="14" t="n">
        <f aca="false">(B2586-D2586)/D2586*100</f>
        <v>-7.24353659455794</v>
      </c>
    </row>
    <row r="2587" customFormat="false" ht="15" hidden="false" customHeight="false" outlineLevel="0" collapsed="false">
      <c r="A2587" s="12" t="n">
        <v>45762</v>
      </c>
      <c r="B2587" s="15" t="n">
        <v>61.33</v>
      </c>
      <c r="C2587" s="15" t="n">
        <v>64.67</v>
      </c>
      <c r="D2587" s="14" t="n">
        <f aca="false">AVERAGE(B2568:B2587)</f>
        <v>66.0565</v>
      </c>
      <c r="E2587" s="14" t="n">
        <f aca="false">(B2587-D2587)/D2587*100</f>
        <v>-7.15523831871201</v>
      </c>
    </row>
    <row r="2588" customFormat="false" ht="15" hidden="false" customHeight="false" outlineLevel="0" collapsed="false">
      <c r="A2588" s="12" t="n">
        <v>45763</v>
      </c>
      <c r="B2588" s="15" t="n">
        <v>62.47</v>
      </c>
      <c r="C2588" s="15" t="n">
        <v>65.85</v>
      </c>
      <c r="D2588" s="14" t="n">
        <f aca="false">AVERAGE(B2569:B2588)</f>
        <v>65.822</v>
      </c>
      <c r="E2588" s="14" t="n">
        <f aca="false">(B2588-D2588)/D2588*100</f>
        <v>-5.09252225699615</v>
      </c>
    </row>
    <row r="2589" customFormat="false" ht="15" hidden="false" customHeight="false" outlineLevel="0" collapsed="false">
      <c r="A2589" s="12" t="n">
        <v>45764</v>
      </c>
      <c r="B2589" s="15" t="n">
        <v>64.68</v>
      </c>
      <c r="C2589" s="15" t="n">
        <v>67.96</v>
      </c>
      <c r="D2589" s="14" t="n">
        <f aca="false">AVERAGE(B2570:B2589)</f>
        <v>65.643</v>
      </c>
      <c r="E2589" s="14" t="n">
        <f aca="false">(B2589-D2589)/D2589*100</f>
        <v>-1.46702618710296</v>
      </c>
    </row>
    <row r="2590" customFormat="false" ht="15" hidden="false" customHeight="false" outlineLevel="0" collapsed="false">
      <c r="A2590" s="12" t="n">
        <v>45768</v>
      </c>
      <c r="B2590" s="15" t="n">
        <v>63.08</v>
      </c>
      <c r="C2590" s="15" t="n">
        <v>66.26</v>
      </c>
      <c r="D2590" s="14" t="n">
        <f aca="false">AVERAGE(B2571:B2590)</f>
        <v>65.383</v>
      </c>
      <c r="E2590" s="14" t="n">
        <f aca="false">(B2590-D2590)/D2590*100</f>
        <v>-3.52232231619842</v>
      </c>
    </row>
    <row r="2591" customFormat="false" ht="15" hidden="false" customHeight="false" outlineLevel="0" collapsed="false">
      <c r="A2591" s="12" t="n">
        <v>45769</v>
      </c>
      <c r="B2591" s="15" t="n">
        <v>64.31</v>
      </c>
      <c r="C2591" s="15" t="n">
        <v>67.44</v>
      </c>
      <c r="D2591" s="14" t="n">
        <f aca="false">AVERAGE(B2572:B2591)</f>
        <v>65.143</v>
      </c>
      <c r="E2591" s="14" t="n">
        <f aca="false">(B2591-D2591)/D2591*100</f>
        <v>-1.27872526595336</v>
      </c>
    </row>
    <row r="2592" customFormat="false" ht="15" hidden="false" customHeight="false" outlineLevel="0" collapsed="false">
      <c r="A2592" s="12" t="n">
        <v>45770</v>
      </c>
      <c r="B2592" s="15" t="n">
        <v>62.27</v>
      </c>
      <c r="C2592" s="15" t="n">
        <v>66.12</v>
      </c>
      <c r="D2592" s="14" t="n">
        <f aca="false">AVERAGE(B2573:B2592)</f>
        <v>64.8065</v>
      </c>
      <c r="E2592" s="14" t="n">
        <f aca="false">(B2592-D2592)/D2592*100</f>
        <v>-3.91395924791494</v>
      </c>
    </row>
    <row r="2593" customFormat="false" ht="15" hidden="false" customHeight="false" outlineLevel="0" collapsed="false">
      <c r="A2593" s="12" t="n">
        <v>45771</v>
      </c>
      <c r="B2593" s="15" t="n">
        <v>62.79</v>
      </c>
      <c r="C2593" s="15" t="n">
        <v>66.55</v>
      </c>
      <c r="D2593" s="14" t="n">
        <f aca="false">AVERAGE(B2574:B2593)</f>
        <v>64.4635</v>
      </c>
      <c r="E2593" s="14" t="n">
        <f aca="false">(B2593-D2593)/D2593*100</f>
        <v>-2.59604272185035</v>
      </c>
    </row>
    <row r="2594" customFormat="false" ht="15" hidden="false" customHeight="false" outlineLevel="0" collapsed="false">
      <c r="A2594" s="12" t="n">
        <v>45772</v>
      </c>
      <c r="B2594" s="15" t="n">
        <v>63.02</v>
      </c>
      <c r="C2594" s="15" t="n">
        <v>66.87</v>
      </c>
      <c r="D2594" s="14" t="n">
        <f aca="false">AVERAGE(B2575:B2594)</f>
        <v>64.1185</v>
      </c>
      <c r="E2594" s="14" t="n">
        <f aca="false">(B2594-D2594)/D2594*100</f>
        <v>-1.71323409000524</v>
      </c>
    </row>
    <row r="2595" customFormat="false" ht="15" hidden="false" customHeight="false" outlineLevel="0" collapsed="false">
      <c r="A2595" s="12" t="n">
        <v>45775</v>
      </c>
      <c r="B2595" s="15" t="n">
        <v>62.05</v>
      </c>
      <c r="C2595" s="15" t="n">
        <v>65.86</v>
      </c>
      <c r="D2595" s="14" t="n">
        <f aca="false">AVERAGE(B2576:B2595)</f>
        <v>63.753</v>
      </c>
      <c r="E2595" s="14" t="n">
        <f aca="false">(B2595-D2595)/D2595*100</f>
        <v>-2.67124684328581</v>
      </c>
    </row>
    <row r="2596" customFormat="false" ht="15" hidden="false" customHeight="false" outlineLevel="0" collapsed="false">
      <c r="A2596" s="12" t="n">
        <v>45776</v>
      </c>
      <c r="B2596" s="15" t="n">
        <v>60.42</v>
      </c>
      <c r="C2596" s="15" t="n">
        <v>64.25</v>
      </c>
      <c r="D2596" s="14" t="n">
        <f aca="false">AVERAGE(B2577:B2596)</f>
        <v>63.2</v>
      </c>
      <c r="E2596" s="14" t="n">
        <f aca="false">(B2596-D2596)/D2596*100</f>
        <v>-4.39873417721519</v>
      </c>
    </row>
    <row r="2597" customFormat="false" ht="15" hidden="false" customHeight="false" outlineLevel="0" collapsed="false">
      <c r="A2597" s="12" t="n">
        <v>45777</v>
      </c>
      <c r="B2597" s="15" t="n">
        <v>58.21</v>
      </c>
      <c r="C2597" s="15" t="n">
        <v>63.12</v>
      </c>
      <c r="D2597" s="14" t="n">
        <f aca="false">AVERAGE(B2578:B2597)</f>
        <v>62.5505</v>
      </c>
      <c r="E2597" s="14" t="n">
        <f aca="false">(B2597-D2597)/D2597*100</f>
        <v>-6.93919313194938</v>
      </c>
    </row>
    <row r="2598" customFormat="false" ht="15" hidden="false" customHeight="false" outlineLevel="0" collapsed="false">
      <c r="A2598" s="12" t="n">
        <v>45778</v>
      </c>
      <c r="B2598" s="15" t="n">
        <v>59.24</v>
      </c>
      <c r="C2598" s="15" t="n">
        <v>62.13</v>
      </c>
      <c r="D2598" s="14" t="n">
        <f aca="false">AVERAGE(B2579:B2598)</f>
        <v>61.927</v>
      </c>
      <c r="E2598" s="14" t="n">
        <f aca="false">(B2598-D2598)/D2598*100</f>
        <v>-4.33897976649926</v>
      </c>
    </row>
    <row r="2599" customFormat="false" ht="15" hidden="false" customHeight="false" outlineLevel="0" collapsed="false">
      <c r="A2599" s="12" t="n">
        <v>45779</v>
      </c>
      <c r="B2599" s="15" t="n">
        <v>58.29</v>
      </c>
      <c r="C2599" s="15" t="n">
        <v>61.29</v>
      </c>
      <c r="D2599" s="14" t="n">
        <f aca="false">AVERAGE(B2580:B2599)</f>
        <v>61.494</v>
      </c>
      <c r="E2599" s="14" t="n">
        <f aca="false">(B2599-D2599)/D2599*100</f>
        <v>-5.2102644160406</v>
      </c>
    </row>
    <row r="2600" customFormat="false" ht="15" hidden="false" customHeight="false" outlineLevel="0" collapsed="false">
      <c r="A2600" s="12" t="n">
        <v>45782</v>
      </c>
      <c r="B2600" s="15" t="n">
        <v>57.13</v>
      </c>
      <c r="C2600" s="15" t="n">
        <v>60.23</v>
      </c>
      <c r="D2600" s="14" t="n">
        <f aca="false">AVERAGE(B2581:B2600)</f>
        <v>61.251</v>
      </c>
      <c r="E2600" s="14" t="n">
        <f aca="false">(B2600-D2600)/D2600*100</f>
        <v>-6.728053419536</v>
      </c>
    </row>
    <row r="2601" customFormat="false" ht="15" hidden="false" customHeight="false" outlineLevel="0" collapsed="false">
      <c r="A2601" s="12" t="n">
        <v>45783</v>
      </c>
      <c r="B2601" s="15" t="n">
        <v>59.09</v>
      </c>
      <c r="C2601" s="15" t="n">
        <v>62.15</v>
      </c>
      <c r="D2601" s="14" t="n">
        <f aca="false">AVERAGE(B2582:B2601)</f>
        <v>61.1705</v>
      </c>
      <c r="E2601" s="14" t="n">
        <f aca="false">(B2601-D2601)/D2601*100</f>
        <v>-3.40114924677745</v>
      </c>
    </row>
    <row r="2602" customFormat="false" ht="15" hidden="false" customHeight="false" outlineLevel="0" collapsed="false">
      <c r="A2602" s="12" t="n">
        <v>45784</v>
      </c>
      <c r="B2602" s="15" t="n">
        <v>58.07</v>
      </c>
      <c r="C2602" s="15" t="n">
        <v>61.12</v>
      </c>
      <c r="D2602" s="14" t="n">
        <f aca="false">AVERAGE(B2583:B2602)</f>
        <v>61.095</v>
      </c>
      <c r="E2602" s="14" t="n">
        <f aca="false">(B2602-D2602)/D2602*100</f>
        <v>-4.95130534413619</v>
      </c>
    </row>
    <row r="2603" customFormat="false" ht="15" hidden="false" customHeight="false" outlineLevel="0" collapsed="false">
      <c r="A2603" s="12" t="n">
        <v>45785</v>
      </c>
      <c r="B2603" s="15" t="n">
        <v>59.91</v>
      </c>
      <c r="C2603" s="15" t="n">
        <v>62.84</v>
      </c>
      <c r="D2603" s="14" t="n">
        <f aca="false">AVERAGE(B2584:B2603)</f>
        <v>60.973</v>
      </c>
      <c r="E2603" s="14" t="n">
        <f aca="false">(B2603-D2603)/D2603*100</f>
        <v>-1.74339461728962</v>
      </c>
    </row>
    <row r="2604" customFormat="false" ht="15" hidden="false" customHeight="false" outlineLevel="0" collapsed="false">
      <c r="A2604" s="12" t="n">
        <v>45786</v>
      </c>
      <c r="B2604" s="15" t="n">
        <v>61.02</v>
      </c>
      <c r="C2604" s="15" t="n">
        <v>63.91</v>
      </c>
      <c r="D2604" s="14" t="n">
        <f aca="false">AVERAGE(B2585:B2604)</f>
        <v>61.0205</v>
      </c>
      <c r="E2604" s="14" t="n">
        <f aca="false">(B2604-D2604)/D2604*100</f>
        <v>-0.000819396760109123</v>
      </c>
    </row>
    <row r="2605" customFormat="false" ht="15" hidden="false" customHeight="false" outlineLevel="0" collapsed="false">
      <c r="A2605" s="12" t="n">
        <v>45789</v>
      </c>
      <c r="B2605" s="15" t="n">
        <v>61.95</v>
      </c>
      <c r="C2605" s="15" t="n">
        <v>64.96</v>
      </c>
      <c r="D2605" s="14" t="n">
        <f aca="false">AVERAGE(B2586:B2605)</f>
        <v>61.043</v>
      </c>
      <c r="E2605" s="14" t="n">
        <f aca="false">(B2605-D2605)/D2605*100</f>
        <v>1.48583785200596</v>
      </c>
    </row>
    <row r="2606" customFormat="false" ht="15" hidden="false" customHeight="false" outlineLevel="0" collapsed="false">
      <c r="A2606" s="12" t="n">
        <v>45790</v>
      </c>
      <c r="B2606" s="15" t="n">
        <v>63.67</v>
      </c>
      <c r="C2606" s="15" t="n">
        <v>66.63</v>
      </c>
      <c r="D2606" s="14" t="n">
        <f aca="false">AVERAGE(B2587:B2606)</f>
        <v>61.15</v>
      </c>
      <c r="E2606" s="14" t="n">
        <f aca="false">(B2606-D2606)/D2606*100</f>
        <v>4.1210139002453</v>
      </c>
    </row>
    <row r="2607" customFormat="false" ht="15" hidden="false" customHeight="false" outlineLevel="0" collapsed="false">
      <c r="A2607" s="12" t="n">
        <v>45791</v>
      </c>
      <c r="B2607" s="15" t="n">
        <v>63.15</v>
      </c>
      <c r="C2607" s="15" t="n">
        <v>66.09</v>
      </c>
      <c r="D2607" s="14" t="n">
        <f aca="false">AVERAGE(B2588:B2607)</f>
        <v>61.241</v>
      </c>
      <c r="E2607" s="14" t="n">
        <f aca="false">(B2607-D2607)/D2607*100</f>
        <v>3.11719273036038</v>
      </c>
    </row>
    <row r="2608" customFormat="false" ht="15" hidden="false" customHeight="false" outlineLevel="0" collapsed="false">
      <c r="A2608" s="12" t="n">
        <v>45792</v>
      </c>
      <c r="B2608" s="15" t="n">
        <v>61.62</v>
      </c>
      <c r="C2608" s="15" t="n">
        <v>64.53</v>
      </c>
      <c r="D2608" s="14" t="n">
        <f aca="false">AVERAGE(B2589:B2608)</f>
        <v>61.1985</v>
      </c>
      <c r="E2608" s="14" t="n">
        <f aca="false">(B2608-D2608)/D2608*100</f>
        <v>0.688742371136539</v>
      </c>
    </row>
    <row r="2609" customFormat="false" ht="15" hidden="false" customHeight="false" outlineLevel="0" collapsed="false">
      <c r="A2609" s="12" t="n">
        <v>45793</v>
      </c>
      <c r="B2609" s="15" t="n">
        <v>62.49</v>
      </c>
      <c r="C2609" s="15" t="n">
        <v>65.41</v>
      </c>
      <c r="D2609" s="14" t="n">
        <f aca="false">AVERAGE(B2590:B2609)</f>
        <v>61.089</v>
      </c>
      <c r="E2609" s="14" t="n">
        <f aca="false">(B2609-D2609)/D2609*100</f>
        <v>2.29337523940481</v>
      </c>
    </row>
    <row r="2610" customFormat="false" ht="15" hidden="false" customHeight="false" outlineLevel="0" collapsed="false">
      <c r="A2610" s="12" t="n">
        <v>45796</v>
      </c>
      <c r="B2610" s="15" t="n">
        <v>62.69</v>
      </c>
      <c r="C2610" s="15" t="n">
        <v>65.54</v>
      </c>
      <c r="D2610" s="14" t="n">
        <f aca="false">AVERAGE(B2591:B2610)</f>
        <v>61.0695</v>
      </c>
      <c r="E2610" s="14" t="n">
        <f aca="false">(B2610-D2610)/D2610*100</f>
        <v>2.65353408821096</v>
      </c>
    </row>
    <row r="2611" customFormat="false" ht="15" hidden="false" customHeight="false" outlineLevel="0" collapsed="false">
      <c r="A2611" s="12" t="n">
        <v>45797</v>
      </c>
      <c r="B2611" s="15" t="n">
        <v>62.56</v>
      </c>
      <c r="C2611" s="15" t="n">
        <v>65.38</v>
      </c>
      <c r="D2611" s="14" t="n">
        <f aca="false">AVERAGE(B2592:B2611)</f>
        <v>60.982</v>
      </c>
      <c r="E2611" s="14" t="n">
        <f aca="false">(B2611-D2611)/D2611*100</f>
        <v>2.58764881440424</v>
      </c>
    </row>
    <row r="2612" customFormat="false" ht="15" hidden="false" customHeight="false" outlineLevel="0" collapsed="false">
      <c r="A2612" s="12" t="n">
        <v>45798</v>
      </c>
      <c r="B2612" s="15" t="n">
        <v>61.57</v>
      </c>
      <c r="C2612" s="15" t="n">
        <v>64.91</v>
      </c>
      <c r="D2612" s="14" t="n">
        <f aca="false">AVERAGE(B2593:B2612)</f>
        <v>60.947</v>
      </c>
      <c r="E2612" s="14" t="n">
        <f aca="false">(B2612-D2612)/D2612*100</f>
        <v>1.02219961605985</v>
      </c>
    </row>
    <row r="2613" customFormat="false" ht="15" hidden="false" customHeight="false" outlineLevel="0" collapsed="false">
      <c r="A2613" s="12" t="n">
        <v>45799</v>
      </c>
      <c r="B2613" s="15" t="n">
        <v>61.2</v>
      </c>
      <c r="C2613" s="15" t="n">
        <v>64.44</v>
      </c>
      <c r="D2613" s="14" t="n">
        <f aca="false">AVERAGE(B2594:B2613)</f>
        <v>60.8675</v>
      </c>
      <c r="E2613" s="14" t="n">
        <f aca="false">(B2613-D2613)/D2613*100</f>
        <v>0.546268534110996</v>
      </c>
    </row>
    <row r="2614" customFormat="false" ht="15" hidden="false" customHeight="false" outlineLevel="0" collapsed="false">
      <c r="A2614" s="12" t="n">
        <v>45800</v>
      </c>
      <c r="B2614" s="15" t="n">
        <v>61.53</v>
      </c>
      <c r="C2614" s="15" t="n">
        <v>64.78</v>
      </c>
      <c r="D2614" s="14" t="n">
        <f aca="false">AVERAGE(B2595:B2614)</f>
        <v>60.793</v>
      </c>
      <c r="E2614" s="14" t="n">
        <f aca="false">(B2614-D2614)/D2614*100</f>
        <v>1.21231062786833</v>
      </c>
    </row>
    <row r="2615" customFormat="false" ht="15" hidden="false" customHeight="false" outlineLevel="0" collapsed="false">
      <c r="A2615" s="12" t="n">
        <v>45804</v>
      </c>
      <c r="B2615" s="15" t="n">
        <v>60.89</v>
      </c>
      <c r="C2615" s="15" t="n">
        <v>64.09</v>
      </c>
      <c r="D2615" s="14" t="n">
        <f aca="false">AVERAGE(B2596:B2615)</f>
        <v>60.735</v>
      </c>
      <c r="E2615" s="14" t="n">
        <f aca="false">(B2615-D2615)/D2615*100</f>
        <v>0.255207047007493</v>
      </c>
    </row>
    <row r="2616" customFormat="false" ht="15" hidden="false" customHeight="false" outlineLevel="0" collapsed="false">
      <c r="A2616" s="12" t="n">
        <v>45805</v>
      </c>
      <c r="B2616" s="15" t="n">
        <v>61.84</v>
      </c>
      <c r="C2616" s="15" t="n">
        <v>64.9</v>
      </c>
      <c r="D2616" s="14" t="n">
        <f aca="false">AVERAGE(B2597:B2616)</f>
        <v>60.806</v>
      </c>
      <c r="E2616" s="14" t="n">
        <f aca="false">(B2616-D2616)/D2616*100</f>
        <v>1.70049008321547</v>
      </c>
    </row>
    <row r="2617" customFormat="false" ht="15" hidden="false" customHeight="false" outlineLevel="0" collapsed="false">
      <c r="A2617" s="12" t="n">
        <v>45806</v>
      </c>
      <c r="B2617" s="15" t="n">
        <v>60.94</v>
      </c>
      <c r="C2617" s="15" t="n">
        <v>64.15</v>
      </c>
      <c r="D2617" s="14" t="n">
        <f aca="false">AVERAGE(B2598:B2617)</f>
        <v>60.9425</v>
      </c>
      <c r="E2617" s="14" t="n">
        <f aca="false">(B2617-D2617)/D2617*100</f>
        <v>-0.00410222750953395</v>
      </c>
    </row>
    <row r="2618" customFormat="false" ht="15" hidden="false" customHeight="false" outlineLevel="0" collapsed="false">
      <c r="A2618" s="12" t="n">
        <v>45807</v>
      </c>
      <c r="B2618" s="15" t="n">
        <v>60.79</v>
      </c>
      <c r="C2618" s="15" t="n">
        <v>63.9</v>
      </c>
      <c r="D2618" s="14" t="n">
        <f aca="false">AVERAGE(B2599:B2618)</f>
        <v>61.02</v>
      </c>
      <c r="E2618" s="14" t="n">
        <f aca="false">(B2618-D2618)/D2618*100</f>
        <v>-0.376925598164543</v>
      </c>
    </row>
    <row r="2619" customFormat="false" ht="15" hidden="false" customHeight="false" outlineLevel="0" collapsed="false">
      <c r="A2619" s="12" t="n">
        <v>45810</v>
      </c>
      <c r="B2619" s="15" t="n">
        <v>62.52</v>
      </c>
      <c r="C2619" s="15" t="n">
        <v>64.63</v>
      </c>
      <c r="D2619" s="14" t="n">
        <f aca="false">AVERAGE(B2600:B2619)</f>
        <v>61.2315</v>
      </c>
      <c r="E2619" s="14" t="n">
        <f aca="false">(B2619-D2619)/D2619*100</f>
        <v>2.10430905661302</v>
      </c>
    </row>
    <row r="2620" customFormat="false" ht="15" hidden="false" customHeight="false" outlineLevel="0" collapsed="false">
      <c r="A2620" s="12" t="n">
        <v>45811</v>
      </c>
      <c r="B2620" s="15" t="n">
        <v>63.41</v>
      </c>
      <c r="C2620" s="15" t="n">
        <v>65.63</v>
      </c>
      <c r="D2620" s="14" t="n">
        <f aca="false">AVERAGE(B2601:B2620)</f>
        <v>61.5455</v>
      </c>
      <c r="E2620" s="14" t="n">
        <f aca="false">(B2620-D2620)/D2620*100</f>
        <v>3.02946600482569</v>
      </c>
    </row>
    <row r="2621" customFormat="false" ht="15" hidden="false" customHeight="false" outlineLevel="0" collapsed="false">
      <c r="A2621" s="12" t="n">
        <v>45812</v>
      </c>
      <c r="B2621" s="15" t="n">
        <v>62.85</v>
      </c>
      <c r="C2621" s="15" t="n">
        <v>64.86</v>
      </c>
      <c r="D2621" s="14" t="n">
        <f aca="false">AVERAGE(B2602:B2621)</f>
        <v>61.7335</v>
      </c>
      <c r="E2621" s="14" t="n">
        <f aca="false">(B2621-D2621)/D2621*100</f>
        <v>1.8085804303984</v>
      </c>
    </row>
    <row r="2622" customFormat="false" ht="15" hidden="false" customHeight="false" outlineLevel="0" collapsed="false">
      <c r="A2622" s="12" t="n">
        <v>45813</v>
      </c>
      <c r="B2622" s="15" t="n">
        <v>63.37</v>
      </c>
      <c r="C2622" s="15" t="n">
        <v>65.34</v>
      </c>
      <c r="D2622" s="14" t="n">
        <f aca="false">AVERAGE(B2603:B2622)</f>
        <v>61.9985</v>
      </c>
      <c r="E2622" s="14" t="n">
        <f aca="false">(B2622-D2622)/D2622*100</f>
        <v>2.21215029395872</v>
      </c>
    </row>
    <row r="2623" customFormat="false" ht="15" hidden="false" customHeight="false" outlineLevel="0" collapsed="false">
      <c r="A2623" s="12" t="n">
        <v>45814</v>
      </c>
      <c r="B2623" s="15" t="n">
        <v>64.58</v>
      </c>
      <c r="C2623" s="15" t="n">
        <v>66.47</v>
      </c>
      <c r="D2623" s="14" t="n">
        <f aca="false">AVERAGE(B2604:B2623)</f>
        <v>62.232</v>
      </c>
      <c r="E2623" s="14" t="n">
        <f aca="false">(B2623-D2623)/D2623*100</f>
        <v>3.77297853194497</v>
      </c>
    </row>
    <row r="2624" customFormat="false" ht="15" hidden="false" customHeight="false" outlineLevel="0" collapsed="false">
      <c r="A2624" s="12" t="n">
        <v>45817</v>
      </c>
      <c r="B2624" s="15" t="n">
        <v>65.29</v>
      </c>
      <c r="C2624" s="15" t="n">
        <v>67.04</v>
      </c>
      <c r="D2624" s="14" t="n">
        <f aca="false">AVERAGE(B2605:B2624)</f>
        <v>62.4455</v>
      </c>
      <c r="E2624" s="14" t="n">
        <f aca="false">(B2624-D2624)/D2624*100</f>
        <v>4.55517211008</v>
      </c>
    </row>
    <row r="2625" customFormat="false" ht="15" hidden="false" customHeight="false" outlineLevel="0" collapsed="false">
      <c r="A2625" s="12" t="n">
        <v>45818</v>
      </c>
      <c r="B2625" s="15" t="n">
        <v>64.98</v>
      </c>
      <c r="C2625" s="15" t="n">
        <v>66.87</v>
      </c>
      <c r="D2625" s="14" t="n">
        <f aca="false">AVERAGE(B2606:B2625)</f>
        <v>62.597</v>
      </c>
      <c r="E2625" s="14" t="n">
        <f aca="false">(B2625-D2625)/D2625*100</f>
        <v>3.80689170407528</v>
      </c>
    </row>
    <row r="2626" customFormat="false" ht="15" hidden="false" customHeight="false" outlineLevel="0" collapsed="false">
      <c r="A2626" s="12" t="n">
        <v>45819</v>
      </c>
      <c r="B2626" s="15" t="n">
        <v>68.15</v>
      </c>
      <c r="C2626" s="15" t="n">
        <v>69.77</v>
      </c>
      <c r="D2626" s="14" t="n">
        <f aca="false">AVERAGE(B2607:B2626)</f>
        <v>62.821</v>
      </c>
      <c r="E2626" s="14" t="n">
        <f aca="false">(B2626-D2626)/D2626*100</f>
        <v>8.48283217395457</v>
      </c>
    </row>
    <row r="2627" customFormat="false" ht="15" hidden="false" customHeight="false" outlineLevel="0" collapsed="false">
      <c r="A2627" s="12" t="n">
        <v>45820</v>
      </c>
      <c r="B2627" s="15" t="n">
        <v>68.04</v>
      </c>
      <c r="C2627" s="15" t="n">
        <v>69.36</v>
      </c>
      <c r="D2627" s="14" t="n">
        <f aca="false">AVERAGE(B2608:B2627)</f>
        <v>63.0655</v>
      </c>
      <c r="E2627" s="14" t="n">
        <f aca="false">(B2627-D2627)/D2627*100</f>
        <v>7.88783090596286</v>
      </c>
    </row>
    <row r="2628" customFormat="false" ht="15" hidden="false" customHeight="false" outlineLevel="0" collapsed="false">
      <c r="A2628" s="12" t="n">
        <v>45821</v>
      </c>
      <c r="B2628" s="15" t="n">
        <v>72.98</v>
      </c>
      <c r="C2628" s="15" t="n">
        <v>74.23</v>
      </c>
      <c r="D2628" s="14" t="n">
        <f aca="false">AVERAGE(B2609:B2628)</f>
        <v>63.6335</v>
      </c>
      <c r="E2628" s="14" t="n">
        <f aca="false">(B2628-D2628)/D2628*100</f>
        <v>14.6880181036718</v>
      </c>
    </row>
    <row r="2629" customFormat="false" ht="15" hidden="false" customHeight="false" outlineLevel="0" collapsed="false">
      <c r="A2629" s="12" t="n">
        <v>45824</v>
      </c>
      <c r="B2629" s="15" t="n">
        <v>71.77</v>
      </c>
      <c r="C2629" s="15" t="n">
        <v>73.23</v>
      </c>
      <c r="D2629" s="14" t="n">
        <f aca="false">AVERAGE(B2610:B2629)</f>
        <v>64.0975</v>
      </c>
      <c r="E2629" s="14" t="n">
        <f aca="false">(B2629-D2629)/D2629*100</f>
        <v>11.9700456336051</v>
      </c>
    </row>
    <row r="2630" customFormat="false" ht="15" hidden="false" customHeight="false" outlineLevel="0" collapsed="false">
      <c r="A2630" s="12" t="n">
        <v>45825</v>
      </c>
      <c r="B2630" s="15" t="n">
        <v>74.84</v>
      </c>
      <c r="C2630" s="15" t="n">
        <v>76.45</v>
      </c>
      <c r="D2630" s="14" t="n">
        <f aca="false">AVERAGE(B2611:B2630)</f>
        <v>64.705</v>
      </c>
      <c r="E2630" s="14" t="n">
        <f aca="false">(B2630-D2630)/D2630*100</f>
        <v>15.6633954099374</v>
      </c>
    </row>
    <row r="2631" customFormat="false" ht="15" hidden="false" customHeight="false" outlineLevel="0" collapsed="false">
      <c r="A2631" s="12" t="n">
        <v>45826</v>
      </c>
      <c r="B2631" s="15" t="n">
        <v>75.14</v>
      </c>
      <c r="C2631" s="15" t="n">
        <v>76.7</v>
      </c>
      <c r="D2631" s="14" t="n">
        <f aca="false">AVERAGE(B2612:B2631)</f>
        <v>65.334</v>
      </c>
      <c r="E2631" s="14" t="n">
        <f aca="false">(B2631-D2631)/D2631*100</f>
        <v>15.0090305200967</v>
      </c>
    </row>
    <row r="2632" customFormat="false" ht="15" hidden="false" customHeight="false" outlineLevel="0" collapsed="false">
      <c r="A2632" s="12" t="n">
        <v>45828</v>
      </c>
      <c r="B2632" s="15" t="n">
        <v>74.93</v>
      </c>
      <c r="C2632" s="15" t="n">
        <v>77.01</v>
      </c>
      <c r="D2632" s="14" t="n">
        <f aca="false">AVERAGE(B2613:B2632)</f>
        <v>66.002</v>
      </c>
      <c r="E2632" s="14" t="n">
        <f aca="false">(B2632-D2632)/D2632*100</f>
        <v>13.5268628223387</v>
      </c>
    </row>
    <row r="2633" customFormat="false" ht="15" hidden="false" customHeight="false" outlineLevel="0" collapsed="false">
      <c r="A2633" s="12" t="n">
        <v>45831</v>
      </c>
      <c r="B2633" s="15" t="n">
        <v>68.51</v>
      </c>
      <c r="C2633" s="15" t="n">
        <v>71.48</v>
      </c>
      <c r="D2633" s="14" t="n">
        <f aca="false">AVERAGE(B2614:B2633)</f>
        <v>66.3675</v>
      </c>
      <c r="E2633" s="14" t="n">
        <f aca="false">(B2633-D2633)/D2633*100</f>
        <v>3.2282367122462</v>
      </c>
    </row>
    <row r="2634" customFormat="false" ht="15" hidden="false" customHeight="false" outlineLevel="0" collapsed="false">
      <c r="A2634" s="12" t="n">
        <v>45832</v>
      </c>
      <c r="B2634" s="15" t="n">
        <v>64.37</v>
      </c>
      <c r="C2634" s="15" t="n">
        <v>67.14</v>
      </c>
      <c r="D2634" s="14" t="n">
        <f aca="false">AVERAGE(B2615:B2634)</f>
        <v>66.5095</v>
      </c>
      <c r="E2634" s="14" t="n">
        <f aca="false">(B2634-D2634)/D2634*100</f>
        <v>-3.21683368541336</v>
      </c>
    </row>
    <row r="2635" customFormat="false" ht="15" hidden="false" customHeight="false" outlineLevel="0" collapsed="false">
      <c r="A2635" s="12" t="n">
        <v>45833</v>
      </c>
      <c r="B2635" s="15" t="n">
        <v>64.92</v>
      </c>
      <c r="C2635" s="15" t="n">
        <v>67.68</v>
      </c>
      <c r="D2635" s="14" t="n">
        <f aca="false">AVERAGE(B2616:B2635)</f>
        <v>66.711</v>
      </c>
      <c r="E2635" s="14" t="n">
        <f aca="false">(B2635-D2635)/D2635*100</f>
        <v>-2.68471466474794</v>
      </c>
    </row>
    <row r="2636" customFormat="false" ht="15" hidden="false" customHeight="false" outlineLevel="0" collapsed="false">
      <c r="A2636" s="12" t="n">
        <v>45834</v>
      </c>
      <c r="B2636" s="15" t="n">
        <v>65.24</v>
      </c>
      <c r="C2636" s="15" t="n">
        <v>67.73</v>
      </c>
      <c r="D2636" s="14" t="n">
        <f aca="false">AVERAGE(B2617:B2636)</f>
        <v>66.881</v>
      </c>
      <c r="E2636" s="14" t="n">
        <f aca="false">(B2636-D2636)/D2636*100</f>
        <v>-2.45361163858197</v>
      </c>
    </row>
    <row r="2637" customFormat="false" ht="15" hidden="false" customHeight="false" outlineLevel="0" collapsed="false">
      <c r="A2637" s="12" t="n">
        <v>45835</v>
      </c>
      <c r="B2637" s="15" t="n">
        <v>65.52</v>
      </c>
      <c r="C2637" s="15" t="n">
        <v>67.77</v>
      </c>
      <c r="D2637" s="14" t="n">
        <f aca="false">AVERAGE(B2618:B2637)</f>
        <v>67.11</v>
      </c>
      <c r="E2637" s="14" t="n">
        <f aca="false">(B2637-D2637)/D2637*100</f>
        <v>-2.36924452391596</v>
      </c>
    </row>
    <row r="2638" customFormat="false" ht="15" hidden="false" customHeight="false" outlineLevel="0" collapsed="false">
      <c r="A2638" s="12" t="n">
        <v>45838</v>
      </c>
      <c r="B2638" s="15" t="n">
        <v>65.11</v>
      </c>
      <c r="C2638" s="15" t="n">
        <v>67.61</v>
      </c>
      <c r="D2638" s="14" t="n">
        <f aca="false">AVERAGE(B2619:B2638)</f>
        <v>67.326</v>
      </c>
      <c r="E2638" s="14" t="n">
        <f aca="false">(B2638-D2638)/D2638*100</f>
        <v>-3.29144758340016</v>
      </c>
    </row>
    <row r="2639" customFormat="false" ht="15" hidden="false" customHeight="false" outlineLevel="0" collapsed="false">
      <c r="A2639" s="12" t="n">
        <v>45839</v>
      </c>
      <c r="B2639" s="15" t="n">
        <v>65.45</v>
      </c>
      <c r="C2639" s="15" t="n">
        <v>67.11</v>
      </c>
      <c r="D2639" s="14" t="n">
        <f aca="false">AVERAGE(B2620:B2639)</f>
        <v>67.4725</v>
      </c>
      <c r="E2639" s="14" t="n">
        <f aca="false">(B2639-D2639)/D2639*100</f>
        <v>-2.99751750713253</v>
      </c>
    </row>
    <row r="2640" customFormat="false" ht="15" hidden="false" customHeight="false" outlineLevel="0" collapsed="false">
      <c r="A2640" s="12" t="n">
        <v>45840</v>
      </c>
      <c r="B2640" s="15" t="n">
        <v>67.45</v>
      </c>
      <c r="C2640" s="15" t="n">
        <v>69.11</v>
      </c>
      <c r="D2640" s="14" t="n">
        <f aca="false">AVERAGE(B2621:B2640)</f>
        <v>67.6745</v>
      </c>
      <c r="E2640" s="14" t="n">
        <f aca="false">(B2640-D2640)/D2640*100</f>
        <v>-0.33173499619501</v>
      </c>
    </row>
    <row r="2641" customFormat="false" ht="15" hidden="false" customHeight="false" outlineLevel="0" collapsed="false">
      <c r="A2641" s="12" t="n">
        <v>45841</v>
      </c>
      <c r="B2641" s="15" t="n">
        <v>67</v>
      </c>
      <c r="C2641" s="15" t="n">
        <v>68.8</v>
      </c>
      <c r="D2641" s="14" t="n">
        <f aca="false">AVERAGE(B2622:B2641)</f>
        <v>67.882</v>
      </c>
      <c r="E2641" s="14" t="n">
        <f aca="false">(B2641-D2641)/D2641*100</f>
        <v>-1.29931351462833</v>
      </c>
    </row>
    <row r="2642" customFormat="false" ht="15" hidden="false" customHeight="false" outlineLevel="0" collapsed="false">
      <c r="A2642" s="12" t="n">
        <v>45842</v>
      </c>
      <c r="B2642" s="15" t="n">
        <v>66.5</v>
      </c>
      <c r="C2642" s="15" t="n">
        <v>68.29</v>
      </c>
      <c r="D2642" s="14" t="n">
        <f aca="false">AVERAGE(B2623:B2642)</f>
        <v>68.0385</v>
      </c>
      <c r="E2642" s="14" t="n">
        <f aca="false">(B2642-D2642)/D2642*100</f>
        <v>-2.26121975058239</v>
      </c>
    </row>
    <row r="2643" customFormat="false" ht="15" hidden="false" customHeight="false" outlineLevel="0" collapsed="false">
      <c r="A2643" s="12" t="n">
        <v>45845</v>
      </c>
      <c r="B2643" s="15" t="n">
        <v>67.93</v>
      </c>
      <c r="C2643" s="15" t="n">
        <v>69.58</v>
      </c>
      <c r="D2643" s="14" t="n">
        <f aca="false">AVERAGE(B2624:B2643)</f>
        <v>68.206</v>
      </c>
      <c r="E2643" s="14" t="n">
        <f aca="false">(B2643-D2643)/D2643*100</f>
        <v>-0.404656481834437</v>
      </c>
    </row>
    <row r="2644" customFormat="false" ht="15" hidden="false" customHeight="false" outlineLevel="0" collapsed="false">
      <c r="A2644" s="12" t="n">
        <v>45846</v>
      </c>
      <c r="B2644" s="15" t="n">
        <v>68.33</v>
      </c>
      <c r="C2644" s="15" t="n">
        <v>70.15</v>
      </c>
      <c r="D2644" s="14" t="n">
        <f aca="false">AVERAGE(B2625:B2644)</f>
        <v>68.358</v>
      </c>
      <c r="E2644" s="14" t="n">
        <f aca="false">(B2644-D2644)/D2644*100</f>
        <v>-0.0409608238977235</v>
      </c>
    </row>
    <row r="2645" customFormat="false" ht="15" hidden="false" customHeight="false" outlineLevel="0" collapsed="false">
      <c r="A2645" s="12" t="n">
        <v>45847</v>
      </c>
      <c r="B2645" s="15" t="n">
        <v>68.38</v>
      </c>
      <c r="C2645" s="15" t="n">
        <v>70.19</v>
      </c>
      <c r="D2645" s="14" t="n">
        <f aca="false">AVERAGE(B2626:B2645)</f>
        <v>68.528</v>
      </c>
      <c r="E2645" s="14" t="n">
        <f aca="false">(B2645-D2645)/D2645*100</f>
        <v>-0.215970114405785</v>
      </c>
    </row>
    <row r="2646" customFormat="false" ht="15" hidden="false" customHeight="false" outlineLevel="0" collapsed="false">
      <c r="A2646" s="12" t="n">
        <v>45848</v>
      </c>
      <c r="B2646" s="15" t="n">
        <v>66.57</v>
      </c>
      <c r="C2646" s="15" t="n">
        <v>68.64</v>
      </c>
      <c r="D2646" s="14" t="n">
        <f aca="false">AVERAGE(B2627:B2646)</f>
        <v>68.449</v>
      </c>
      <c r="E2646" s="14" t="n">
        <f aca="false">(B2646-D2646)/D2646*100</f>
        <v>-2.74510949758215</v>
      </c>
    </row>
    <row r="2647" customFormat="false" ht="15" hidden="false" customHeight="false" outlineLevel="0" collapsed="false">
      <c r="A2647" s="12" t="n">
        <v>45849</v>
      </c>
      <c r="B2647" s="15" t="n">
        <v>68.45</v>
      </c>
      <c r="C2647" s="15" t="n">
        <v>70.36</v>
      </c>
      <c r="D2647" s="14" t="n">
        <f aca="false">AVERAGE(B2628:B2647)</f>
        <v>68.4695</v>
      </c>
      <c r="E2647" s="14" t="n">
        <f aca="false">(B2647-D2647)/D2647*100</f>
        <v>-0.0284798340867216</v>
      </c>
    </row>
    <row r="2648" customFormat="false" ht="15" hidden="false" customHeight="false" outlineLevel="0" collapsed="false">
      <c r="A2648" s="12" t="n">
        <v>45852</v>
      </c>
      <c r="B2648" s="15" t="n">
        <v>66.98</v>
      </c>
      <c r="C2648" s="15" t="n">
        <v>69.21</v>
      </c>
      <c r="D2648" s="14" t="n">
        <f aca="false">AVERAGE(B2629:B2648)</f>
        <v>68.1695</v>
      </c>
      <c r="E2648" s="14" t="n">
        <f aca="false">(B2648-D2648)/D2648*100</f>
        <v>-1.74491524802147</v>
      </c>
    </row>
    <row r="2649" customFormat="false" ht="15" hidden="false" customHeight="false" outlineLevel="0" collapsed="false">
      <c r="A2649" s="12" t="n">
        <v>45853</v>
      </c>
      <c r="B2649" s="15" t="n">
        <v>66.52</v>
      </c>
      <c r="C2649" s="15" t="n">
        <v>68.71</v>
      </c>
      <c r="D2649" s="14" t="n">
        <f aca="false">AVERAGE(B2630:B2649)</f>
        <v>67.907</v>
      </c>
      <c r="E2649" s="14" t="n">
        <f aca="false">(B2649-D2649)/D2649*100</f>
        <v>-2.04249930051396</v>
      </c>
    </row>
    <row r="2650" customFormat="false" ht="15" hidden="false" customHeight="false" outlineLevel="0" collapsed="false">
      <c r="A2650" s="12" t="n">
        <v>45854</v>
      </c>
      <c r="B2650" s="15" t="n">
        <v>66.38</v>
      </c>
      <c r="C2650" s="15" t="n">
        <v>68.52</v>
      </c>
      <c r="D2650" s="14" t="n">
        <f aca="false">AVERAGE(B2631:B2650)</f>
        <v>67.484</v>
      </c>
      <c r="E2650" s="14" t="n">
        <f aca="false">(B2650-D2650)/D2650*100</f>
        <v>-1.6359433347164</v>
      </c>
    </row>
    <row r="2651" customFormat="false" ht="15" hidden="false" customHeight="false" outlineLevel="0" collapsed="false">
      <c r="A2651" s="12" t="n">
        <v>45855</v>
      </c>
      <c r="B2651" s="15" t="n">
        <v>67.54</v>
      </c>
      <c r="C2651" s="15" t="n">
        <v>69.52</v>
      </c>
      <c r="D2651" s="14" t="n">
        <f aca="false">AVERAGE(B2632:B2651)</f>
        <v>67.104</v>
      </c>
      <c r="E2651" s="14" t="n">
        <f aca="false">(B2651-D2651)/D2651*100</f>
        <v>0.649737720553182</v>
      </c>
    </row>
    <row r="2652" customFormat="false" ht="15" hidden="false" customHeight="false" outlineLevel="0" collapsed="false">
      <c r="A2652" s="12" t="n">
        <v>45856</v>
      </c>
      <c r="B2652" s="15" t="n">
        <v>67.34</v>
      </c>
      <c r="C2652" s="15" t="n">
        <v>69.28</v>
      </c>
      <c r="D2652" s="14" t="n">
        <f aca="false">AVERAGE(B2633:B2652)</f>
        <v>66.7245</v>
      </c>
      <c r="E2652" s="14" t="n">
        <f aca="false">(B2652-D2652)/D2652*100</f>
        <v>0.922449774820339</v>
      </c>
    </row>
    <row r="2653" customFormat="false" ht="15" hidden="false" customHeight="false" outlineLevel="0" collapsed="false">
      <c r="A2653" s="12" t="n">
        <v>45859</v>
      </c>
      <c r="B2653" s="15" t="n">
        <v>67.2</v>
      </c>
      <c r="C2653" s="15" t="n">
        <v>69.21</v>
      </c>
      <c r="D2653" s="14" t="n">
        <f aca="false">AVERAGE(B2634:B2653)</f>
        <v>66.659</v>
      </c>
      <c r="E2653" s="14" t="n">
        <f aca="false">(B2653-D2653)/D2653*100</f>
        <v>0.811593333233317</v>
      </c>
    </row>
    <row r="2654" customFormat="false" ht="15" hidden="false" customHeight="false" outlineLevel="0" collapsed="false">
      <c r="A2654" s="12" t="n">
        <v>45860</v>
      </c>
      <c r="B2654" s="15" t="n">
        <v>66.21</v>
      </c>
      <c r="C2654" s="15" t="n">
        <v>68.59</v>
      </c>
      <c r="D2654" s="14" t="n">
        <f aca="false">AVERAGE(B2635:B2654)</f>
        <v>66.751</v>
      </c>
      <c r="E2654" s="14" t="n">
        <f aca="false">(B2654-D2654)/D2654*100</f>
        <v>-0.810474749441973</v>
      </c>
    </row>
    <row r="2655" customFormat="false" ht="15" hidden="false" customHeight="false" outlineLevel="0" collapsed="false">
      <c r="A2655" s="12" t="n">
        <v>45861</v>
      </c>
      <c r="B2655" s="15" t="n">
        <v>65.25</v>
      </c>
      <c r="C2655" s="15" t="n">
        <v>68.51</v>
      </c>
      <c r="D2655" s="14" t="n">
        <f aca="false">AVERAGE(B2636:B2655)</f>
        <v>66.7675</v>
      </c>
      <c r="E2655" s="14" t="n">
        <f aca="false">(B2655-D2655)/D2655*100</f>
        <v>-2.27281237128842</v>
      </c>
    </row>
    <row r="2656" customFormat="false" ht="15" hidden="false" customHeight="false" outlineLevel="0" collapsed="false">
      <c r="A2656" s="12" t="n">
        <v>45862</v>
      </c>
      <c r="B2656" s="15" t="n">
        <v>66.03</v>
      </c>
      <c r="C2656" s="15" t="n">
        <v>69.18</v>
      </c>
      <c r="D2656" s="14" t="n">
        <f aca="false">AVERAGE(B2637:B2656)</f>
        <v>66.807</v>
      </c>
      <c r="E2656" s="14" t="n">
        <f aca="false">(B2656-D2656)/D2656*100</f>
        <v>-1.1630517760115</v>
      </c>
    </row>
    <row r="2657" customFormat="false" ht="15" hidden="false" customHeight="false" outlineLevel="0" collapsed="false">
      <c r="A2657" s="12" t="n">
        <v>45863</v>
      </c>
      <c r="B2657" s="15" t="n">
        <v>65.16</v>
      </c>
      <c r="C2657" s="15" t="n">
        <v>68.44</v>
      </c>
      <c r="D2657" s="14" t="n">
        <f aca="false">AVERAGE(B2638:B2657)</f>
        <v>66.789</v>
      </c>
      <c r="E2657" s="14" t="n">
        <f aca="false">(B2657-D2657)/D2657*100</f>
        <v>-2.43902439024391</v>
      </c>
    </row>
    <row r="2658" customFormat="false" ht="15" hidden="false" customHeight="false" outlineLevel="0" collapsed="false">
      <c r="A2658" s="12" t="n">
        <v>45866</v>
      </c>
      <c r="B2658" s="15" t="n">
        <v>66.71</v>
      </c>
      <c r="C2658" s="15" t="n">
        <v>70.04</v>
      </c>
      <c r="D2658" s="14" t="n">
        <f aca="false">AVERAGE(B2639:B2658)</f>
        <v>66.869</v>
      </c>
      <c r="E2658" s="14" t="n">
        <f aca="false">(B2658-D2658)/D2658*100</f>
        <v>-0.237778342729824</v>
      </c>
    </row>
    <row r="2659" customFormat="false" ht="15" hidden="false" customHeight="false" outlineLevel="0" collapsed="false">
      <c r="A2659" s="12" t="n">
        <v>45867</v>
      </c>
      <c r="B2659" s="15" t="n">
        <v>69.21</v>
      </c>
      <c r="C2659" s="15" t="n">
        <v>72.51</v>
      </c>
      <c r="D2659" s="14" t="n">
        <f aca="false">AVERAGE(B2640:B2659)</f>
        <v>67.057</v>
      </c>
      <c r="E2659" s="14" t="n">
        <f aca="false">(B2659-D2659)/D2659*100</f>
        <v>3.21070134363304</v>
      </c>
    </row>
    <row r="2660" customFormat="false" ht="15" hidden="false" customHeight="false" outlineLevel="0" collapsed="false">
      <c r="A2660" s="12" t="n">
        <v>45868</v>
      </c>
      <c r="B2660" s="15" t="n">
        <v>70</v>
      </c>
      <c r="C2660" s="15" t="n">
        <v>73.24</v>
      </c>
      <c r="D2660" s="14" t="n">
        <f aca="false">AVERAGE(B2641:B2660)</f>
        <v>67.1845</v>
      </c>
      <c r="E2660" s="14" t="n">
        <f aca="false">(B2660-D2660)/D2660*100</f>
        <v>4.19069874747896</v>
      </c>
    </row>
    <row r="2661" customFormat="false" ht="15" hidden="false" customHeight="false" outlineLevel="0" collapsed="false">
      <c r="A2661" s="12" t="n">
        <v>45869</v>
      </c>
      <c r="B2661" s="15" t="n">
        <v>69.26</v>
      </c>
      <c r="C2661" s="15" t="n">
        <v>72.53</v>
      </c>
      <c r="D2661" s="14" t="n">
        <f aca="false">AVERAGE(B2642:B2661)</f>
        <v>67.2975</v>
      </c>
      <c r="E2661" s="14" t="n">
        <f aca="false">(B2661-D2661)/D2661*100</f>
        <v>2.91615587503251</v>
      </c>
    </row>
    <row r="2662" customFormat="false" ht="15" hidden="false" customHeight="false" outlineLevel="0" collapsed="false">
      <c r="A2662" s="12" t="n">
        <v>45870</v>
      </c>
      <c r="B2662" s="15" t="n">
        <v>67.33</v>
      </c>
      <c r="C2662" s="15" t="n">
        <v>69.67</v>
      </c>
      <c r="D2662" s="14" t="n">
        <f aca="false">AVERAGE(B2643:B2662)</f>
        <v>67.339</v>
      </c>
      <c r="E2662" s="14" t="n">
        <f aca="false">(B2662-D2662)/D2662*100</f>
        <v>-0.0133652118386081</v>
      </c>
    </row>
    <row r="2663" customFormat="false" ht="15" hidden="false" customHeight="false" outlineLevel="0" collapsed="false">
      <c r="A2663" s="12" t="n">
        <v>45873</v>
      </c>
      <c r="B2663" s="15" t="n">
        <v>66.29</v>
      </c>
      <c r="C2663" s="15" t="n">
        <v>68.76</v>
      </c>
      <c r="D2663" s="14" t="n">
        <f aca="false">AVERAGE(B2644:B2663)</f>
        <v>67.257</v>
      </c>
      <c r="E2663" s="14" t="n">
        <f aca="false">(B2663-D2663)/D2663*100</f>
        <v>-1.43776855940643</v>
      </c>
    </row>
    <row r="2664" customFormat="false" ht="15" hidden="false" customHeight="false" outlineLevel="0" collapsed="false">
      <c r="A2664" s="12" t="n">
        <v>45874</v>
      </c>
      <c r="B2664" s="15" t="n">
        <v>65.16</v>
      </c>
      <c r="C2664" s="15" t="n">
        <v>67.64</v>
      </c>
      <c r="D2664" s="14" t="n">
        <f aca="false">AVERAGE(B2645:B2664)</f>
        <v>67.0985</v>
      </c>
      <c r="E2664" s="14" t="n">
        <f aca="false">(B2664-D2664)/D2664*100</f>
        <v>-2.88903626757678</v>
      </c>
    </row>
    <row r="2665" customFormat="false" ht="15" hidden="false" customHeight="false" outlineLevel="0" collapsed="false">
      <c r="A2665" s="12" t="n">
        <v>45875</v>
      </c>
      <c r="B2665" s="15" t="n">
        <v>64.35</v>
      </c>
      <c r="C2665" s="15" t="n">
        <v>66.89</v>
      </c>
      <c r="D2665" s="14" t="n">
        <f aca="false">AVERAGE(B2646:B2665)</f>
        <v>66.897</v>
      </c>
      <c r="E2665" s="14" t="n">
        <f aca="false">(B2665-D2665)/D2665*100</f>
        <v>-3.80734562087988</v>
      </c>
    </row>
    <row r="2666" customFormat="false" ht="15" hidden="false" customHeight="false" outlineLevel="0" collapsed="false">
      <c r="A2666" s="12" t="n">
        <v>45876</v>
      </c>
      <c r="B2666" s="15" t="n">
        <v>63.88</v>
      </c>
      <c r="C2666" s="15" t="n">
        <v>66.43</v>
      </c>
      <c r="D2666" s="14" t="n">
        <f aca="false">AVERAGE(B2647:B2666)</f>
        <v>66.7625</v>
      </c>
      <c r="E2666" s="14" t="n">
        <f aca="false">(B2666-D2666)/D2666*100</f>
        <v>-4.31754353117394</v>
      </c>
    </row>
    <row r="2667" customFormat="false" ht="15" hidden="false" customHeight="false" outlineLevel="0" collapsed="false">
      <c r="A2667" s="12" t="n">
        <v>45877</v>
      </c>
      <c r="B2667" s="15" t="n">
        <v>63.88</v>
      </c>
      <c r="C2667" s="15" t="n">
        <v>66.59</v>
      </c>
      <c r="D2667" s="14" t="n">
        <f aca="false">AVERAGE(B2648:B2667)</f>
        <v>66.534</v>
      </c>
      <c r="E2667" s="14" t="n">
        <f aca="false">(B2667-D2667)/D2667*100</f>
        <v>-3.98893798659333</v>
      </c>
    </row>
    <row r="2668" customFormat="false" ht="15" hidden="false" customHeight="false" outlineLevel="0" collapsed="false">
      <c r="A2668" s="12" t="n">
        <v>45880</v>
      </c>
      <c r="B2668" s="15" t="n">
        <v>63.96</v>
      </c>
      <c r="C2668" s="15" t="n">
        <v>66.63</v>
      </c>
      <c r="D2668" s="14" t="n">
        <f aca="false">AVERAGE(B2649:B2668)</f>
        <v>66.383</v>
      </c>
      <c r="E2668" s="14" t="n">
        <f aca="false">(B2668-D2668)/D2668*100</f>
        <v>-3.65003088140037</v>
      </c>
    </row>
    <row r="2669" customFormat="false" ht="15" hidden="false" customHeight="false" outlineLevel="0" collapsed="false">
      <c r="A2669" s="12" t="n">
        <v>45881</v>
      </c>
      <c r="B2669" s="15" t="n">
        <v>63.17</v>
      </c>
      <c r="C2669" s="15" t="n">
        <v>66.12</v>
      </c>
      <c r="D2669" s="14" t="n">
        <f aca="false">AVERAGE(B2650:B2669)</f>
        <v>66.2155</v>
      </c>
      <c r="E2669" s="14" t="n">
        <f aca="false">(B2669-D2669)/D2669*100</f>
        <v>-4.5993762789679</v>
      </c>
    </row>
    <row r="2670" customFormat="false" ht="15" hidden="false" customHeight="false" outlineLevel="0" collapsed="false">
      <c r="A2670" s="12" t="n">
        <v>45882</v>
      </c>
      <c r="B2670" s="15" t="n">
        <v>62.65</v>
      </c>
      <c r="C2670" s="15" t="n">
        <v>65.63</v>
      </c>
      <c r="D2670" s="14" t="n">
        <f aca="false">AVERAGE(B2651:B2670)</f>
        <v>66.029</v>
      </c>
      <c r="E2670" s="14" t="n">
        <f aca="false">(B2670-D2670)/D2670*100</f>
        <v>-5.11744839388753</v>
      </c>
    </row>
    <row r="2671" customFormat="false" ht="15" hidden="false" customHeight="false" outlineLevel="0" collapsed="false">
      <c r="A2671" s="12" t="n">
        <v>45883</v>
      </c>
      <c r="B2671" s="15" t="n">
        <v>63.96</v>
      </c>
      <c r="C2671" s="15" t="n">
        <v>66.84</v>
      </c>
      <c r="D2671" s="14" t="n">
        <f aca="false">AVERAGE(B2652:B2671)</f>
        <v>65.85</v>
      </c>
      <c r="E2671" s="14" t="n">
        <f aca="false">(B2671-D2671)/D2671*100</f>
        <v>-2.87015945330295</v>
      </c>
    </row>
    <row r="2672" customFormat="false" ht="15" hidden="false" customHeight="false" outlineLevel="0" collapsed="false">
      <c r="A2672" s="12" t="n">
        <v>45884</v>
      </c>
      <c r="B2672" s="15" t="n">
        <v>62.8</v>
      </c>
      <c r="C2672" s="15" t="n">
        <v>65.85</v>
      </c>
      <c r="D2672" s="14" t="n">
        <f aca="false">AVERAGE(B2653:B2672)</f>
        <v>65.623</v>
      </c>
      <c r="E2672" s="14" t="n">
        <f aca="false">(B2672-D2672)/D2672*100</f>
        <v>-4.30184538957379</v>
      </c>
    </row>
    <row r="2673" customFormat="false" ht="15" hidden="false" customHeight="false" outlineLevel="0" collapsed="false">
      <c r="A2673" s="12" t="n">
        <v>45887</v>
      </c>
      <c r="B2673" s="15" t="n">
        <v>63.42</v>
      </c>
      <c r="C2673" s="15" t="n">
        <v>66.6</v>
      </c>
      <c r="D2673" s="14" t="n">
        <f aca="false">AVERAGE(B2654:B2673)</f>
        <v>65.434</v>
      </c>
      <c r="E2673" s="14" t="n">
        <f aca="false">(B2673-D2673)/D2673*100</f>
        <v>-3.07791056637222</v>
      </c>
    </row>
    <row r="2674" customFormat="false" ht="15" hidden="false" customHeight="false" outlineLevel="0" collapsed="false">
      <c r="A2674" s="12" t="n">
        <v>45888</v>
      </c>
      <c r="B2674" s="15" t="n">
        <v>62.35</v>
      </c>
      <c r="C2674" s="15" t="n">
        <v>65.79</v>
      </c>
      <c r="D2674" s="14" t="n">
        <f aca="false">AVERAGE(B2655:B2674)</f>
        <v>65.241</v>
      </c>
      <c r="E2674" s="14" t="n">
        <f aca="false">(B2674-D2674)/D2674*100</f>
        <v>-4.4312625496237</v>
      </c>
    </row>
    <row r="2675" customFormat="false" ht="15" hidden="false" customHeight="false" outlineLevel="0" collapsed="false">
      <c r="A2675" s="12" t="n">
        <v>45889</v>
      </c>
      <c r="B2675" s="15" t="n">
        <v>63.21</v>
      </c>
      <c r="C2675" s="15" t="n">
        <v>66.84</v>
      </c>
      <c r="D2675" s="14" t="n">
        <f aca="false">AVERAGE(B2656:B2675)</f>
        <v>65.139</v>
      </c>
      <c r="E2675" s="14" t="n">
        <f aca="false">(B2675-D2675)/D2675*100</f>
        <v>-2.96135955418412</v>
      </c>
    </row>
    <row r="2676" customFormat="false" ht="15" hidden="false" customHeight="false" outlineLevel="0" collapsed="false">
      <c r="A2676" s="12" t="n">
        <v>45890</v>
      </c>
      <c r="B2676" s="15" t="n">
        <v>63.52</v>
      </c>
      <c r="C2676" s="15" t="n">
        <v>67.67</v>
      </c>
      <c r="D2676" s="14" t="n">
        <f aca="false">AVERAGE(B2657:B2676)</f>
        <v>65.0135</v>
      </c>
      <c r="E2676" s="14" t="n">
        <f aca="false">(B2676-D2676)/D2676*100</f>
        <v>-2.29721519376743</v>
      </c>
    </row>
    <row r="2677" customFormat="false" ht="15" hidden="false" customHeight="false" outlineLevel="0" collapsed="false">
      <c r="A2677" s="12" t="n">
        <v>45891</v>
      </c>
      <c r="B2677" s="15" t="n">
        <v>63.66</v>
      </c>
      <c r="C2677" s="15" t="n">
        <v>67.73</v>
      </c>
      <c r="D2677" s="14" t="n">
        <f aca="false">AVERAGE(B2658:B2677)</f>
        <v>64.9385</v>
      </c>
      <c r="E2677" s="14" t="n">
        <f aca="false">(B2677-D2677)/D2677*100</f>
        <v>-1.96878585122848</v>
      </c>
    </row>
    <row r="2678" customFormat="false" ht="15" hidden="false" customHeight="false" outlineLevel="0" collapsed="false">
      <c r="A2678" s="12" t="n">
        <v>45894</v>
      </c>
      <c r="B2678" s="15" t="n">
        <v>64.8</v>
      </c>
      <c r="C2678" s="15" t="n">
        <v>68.8</v>
      </c>
      <c r="D2678" s="14" t="n">
        <f aca="false">AVERAGE(B2659:B2678)</f>
        <v>64.843</v>
      </c>
      <c r="E2678" s="14" t="n">
        <f aca="false">(B2678-D2678)/D2678*100</f>
        <v>-0.0663140200175688</v>
      </c>
    </row>
    <row r="2679" customFormat="false" ht="15" hidden="false" customHeight="false" outlineLevel="0" collapsed="false">
      <c r="A2679" s="12" t="n">
        <v>45895</v>
      </c>
      <c r="B2679" s="15" t="n">
        <v>63.25</v>
      </c>
      <c r="C2679" s="15" t="n">
        <v>67.22</v>
      </c>
      <c r="D2679" s="14" t="n">
        <f aca="false">AVERAGE(B2660:B2679)</f>
        <v>64.545</v>
      </c>
      <c r="E2679" s="14" t="n">
        <f aca="false">(B2679-D2679)/D2679*100</f>
        <v>-2.00635215740956</v>
      </c>
    </row>
    <row r="2680" customFormat="false" ht="15" hidden="false" customHeight="false" outlineLevel="0" collapsed="false">
      <c r="A2680" s="12" t="n">
        <v>45896</v>
      </c>
      <c r="B2680" s="15" t="n">
        <v>64.15</v>
      </c>
      <c r="C2680" s="15" t="n">
        <v>68.05</v>
      </c>
      <c r="D2680" s="14" t="n">
        <f aca="false">AVERAGE(B2661:B2680)</f>
        <v>64.2525</v>
      </c>
      <c r="E2680" s="14" t="n">
        <f aca="false">(B2680-D2680)/D2680*100</f>
        <v>-0.159526866658873</v>
      </c>
    </row>
    <row r="2681" customFormat="false" ht="15" hidden="false" customHeight="false" outlineLevel="0" collapsed="false">
      <c r="A2681" s="12" t="n">
        <v>45897</v>
      </c>
      <c r="B2681" s="15" t="n">
        <v>64.6</v>
      </c>
      <c r="C2681" s="15" t="n">
        <v>68.62</v>
      </c>
      <c r="D2681" s="14" t="n">
        <f aca="false">AVERAGE(B2662:B2681)</f>
        <v>64.0195</v>
      </c>
      <c r="E2681" s="14" t="n">
        <f aca="false">(B2681-D2681)/D2681*100</f>
        <v>0.906754973094114</v>
      </c>
    </row>
    <row r="2682" customFormat="false" ht="15" hidden="false" customHeight="false" outlineLevel="0" collapsed="false">
      <c r="A2682" s="12" t="n">
        <v>45898</v>
      </c>
      <c r="B2682" s="15" t="n">
        <v>64.01</v>
      </c>
      <c r="C2682" s="15" t="n">
        <v>68.12</v>
      </c>
      <c r="D2682" s="14" t="n">
        <f aca="false">AVERAGE(B2663:B2682)</f>
        <v>63.8535</v>
      </c>
      <c r="E2682" s="14" t="n">
        <f aca="false">(B2682-D2682)/D2682*100</f>
        <v>0.24509228155075</v>
      </c>
    </row>
    <row r="2683" customFormat="false" ht="15" hidden="false" customHeight="false" outlineLevel="0" collapsed="false">
      <c r="A2683" s="12" t="n">
        <v>45902</v>
      </c>
      <c r="B2683" s="15" t="n">
        <v>65.59</v>
      </c>
      <c r="C2683" s="15" t="n">
        <v>69.14</v>
      </c>
      <c r="D2683" s="14" t="n">
        <f aca="false">AVERAGE(B2664:B2683)</f>
        <v>63.8185</v>
      </c>
      <c r="E2683" s="14" t="n">
        <f aca="false">(B2683-D2683)/D2683*100</f>
        <v>2.7758408611923</v>
      </c>
    </row>
    <row r="2684" customFormat="false" ht="15" hidden="false" customHeight="false" outlineLevel="0" collapsed="false">
      <c r="A2684" s="12" t="n">
        <v>45903</v>
      </c>
      <c r="B2684" s="15" t="n">
        <v>63.97</v>
      </c>
      <c r="C2684" s="15" t="n">
        <v>67.6</v>
      </c>
      <c r="D2684" s="14" t="n">
        <f aca="false">AVERAGE(B2665:B2684)</f>
        <v>63.759</v>
      </c>
      <c r="E2684" s="14" t="n">
        <f aca="false">(B2684-D2684)/D2684*100</f>
        <v>0.330933672109033</v>
      </c>
    </row>
    <row r="2685" customFormat="false" ht="15" hidden="false" customHeight="false" outlineLevel="0" collapsed="false">
      <c r="A2685" s="12" t="n">
        <v>45904</v>
      </c>
      <c r="B2685" s="15" t="n">
        <v>63.48</v>
      </c>
      <c r="C2685" s="15" t="n">
        <v>66.99</v>
      </c>
      <c r="D2685" s="14" t="n">
        <f aca="false">AVERAGE(B2666:B2685)</f>
        <v>63.7155</v>
      </c>
      <c r="E2685" s="14" t="n">
        <f aca="false">(B2685-D2685)/D2685*100</f>
        <v>-0.369611789909836</v>
      </c>
    </row>
    <row r="2686" customFormat="false" ht="15" hidden="false" customHeight="false" outlineLevel="0" collapsed="false">
      <c r="A2686" s="12" t="n">
        <v>45905</v>
      </c>
      <c r="B2686" s="15" t="n">
        <v>61.87</v>
      </c>
      <c r="C2686" s="15" t="n">
        <v>65.5</v>
      </c>
      <c r="D2686" s="14" t="n">
        <f aca="false">AVERAGE(B2667:B2686)</f>
        <v>63.615</v>
      </c>
      <c r="E2686" s="14" t="n">
        <f aca="false">(B2686-D2686)/D2686*100</f>
        <v>-2.74306374282795</v>
      </c>
    </row>
    <row r="2687" customFormat="false" ht="15" hidden="false" customHeight="false" outlineLevel="0" collapsed="false">
      <c r="A2687" s="12" t="n">
        <v>45908</v>
      </c>
      <c r="B2687" s="15" t="n">
        <v>62.26</v>
      </c>
      <c r="C2687" s="15" t="n">
        <v>66.02</v>
      </c>
      <c r="D2687" s="14" t="n">
        <f aca="false">AVERAGE(B2668:B2687)</f>
        <v>63.534</v>
      </c>
      <c r="E2687" s="14" t="n">
        <f aca="false">(B2687-D2687)/D2687*100</f>
        <v>-2.00522554852521</v>
      </c>
    </row>
    <row r="2688" customFormat="false" ht="15" hidden="false" customHeight="false" outlineLevel="0" collapsed="false">
      <c r="A2688" s="12" t="n">
        <v>45909</v>
      </c>
      <c r="B2688" s="15" t="n">
        <v>62.63</v>
      </c>
      <c r="C2688" s="15" t="n">
        <v>66.39</v>
      </c>
      <c r="D2688" s="14" t="n">
        <f aca="false">AVERAGE(B2669:B2688)</f>
        <v>63.4675</v>
      </c>
      <c r="E2688" s="14" t="n">
        <f aca="false">(B2688-D2688)/D2688*100</f>
        <v>-1.31957300980816</v>
      </c>
    </row>
    <row r="2689" customFormat="false" ht="15" hidden="false" customHeight="false" outlineLevel="0" collapsed="false">
      <c r="A2689" s="12" t="n">
        <v>45910</v>
      </c>
      <c r="B2689" s="15" t="n">
        <v>63.67</v>
      </c>
      <c r="C2689" s="15" t="n">
        <v>67.49</v>
      </c>
      <c r="D2689" s="14" t="n">
        <f aca="false">AVERAGE(B2670:B2689)</f>
        <v>63.4925</v>
      </c>
      <c r="E2689" s="14" t="n">
        <f aca="false">(B2689-D2689)/D2689*100</f>
        <v>0.27956057802104</v>
      </c>
    </row>
    <row r="2690" customFormat="false" ht="15" hidden="false" customHeight="false" outlineLevel="0" collapsed="false">
      <c r="A2690" s="12" t="n">
        <v>45911</v>
      </c>
      <c r="B2690" s="15" t="n">
        <v>62.37</v>
      </c>
      <c r="C2690" s="15" t="n">
        <v>66.37</v>
      </c>
      <c r="D2690" s="14" t="n">
        <f aca="false">AVERAGE(B2671:B2690)</f>
        <v>63.4785</v>
      </c>
      <c r="E2690" s="14" t="n">
        <f aca="false">(B2690-D2690)/D2690*100</f>
        <v>-1.74626054490891</v>
      </c>
    </row>
    <row r="2691" customFormat="false" ht="15" hidden="false" customHeight="false" outlineLevel="0" collapsed="false">
      <c r="A2691" s="12" t="n">
        <v>45912</v>
      </c>
      <c r="B2691" s="15" t="n">
        <v>62.69</v>
      </c>
      <c r="C2691" s="15" t="n">
        <v>66.99</v>
      </c>
      <c r="D2691" s="14" t="n">
        <f aca="false">AVERAGE(B2672:B2691)</f>
        <v>63.415</v>
      </c>
      <c r="E2691" s="14" t="n">
        <f aca="false">(B2691-D2691)/D2691*100</f>
        <v>-1.14326263502326</v>
      </c>
    </row>
    <row r="2692" customFormat="false" ht="15" hidden="false" customHeight="false" outlineLevel="0" collapsed="false">
      <c r="A2692" s="12" t="n">
        <v>45915</v>
      </c>
      <c r="B2692" s="15" t="n">
        <v>63.3</v>
      </c>
      <c r="C2692" s="15" t="n">
        <v>67.44</v>
      </c>
      <c r="D2692" s="14" t="n">
        <f aca="false">AVERAGE(B2673:B2692)</f>
        <v>63.44</v>
      </c>
      <c r="E2692" s="14" t="n">
        <f aca="false">(B2692-D2692)/D2692*100</f>
        <v>-0.220680958385877</v>
      </c>
    </row>
    <row r="2693" customFormat="false" ht="15" hidden="false" customHeight="false" outlineLevel="0" collapsed="false">
      <c r="A2693" s="12" t="n">
        <v>45916</v>
      </c>
      <c r="B2693" s="15" t="n">
        <v>64.52</v>
      </c>
      <c r="C2693" s="15" t="n">
        <v>68.47</v>
      </c>
      <c r="D2693" s="14" t="n">
        <f aca="false">AVERAGE(B2674:B2693)</f>
        <v>63.495</v>
      </c>
      <c r="E2693" s="14" t="n">
        <f aca="false">(B2693-D2693)/D2693*100</f>
        <v>1.61430033860933</v>
      </c>
    </row>
    <row r="2694" customFormat="false" ht="15" hidden="false" customHeight="false" outlineLevel="0" collapsed="false">
      <c r="A2694" s="12" t="n">
        <v>45917</v>
      </c>
      <c r="B2694" s="15" t="n">
        <v>64.05</v>
      </c>
      <c r="C2694" s="15" t="n">
        <v>67.95</v>
      </c>
      <c r="D2694" s="14" t="n">
        <f aca="false">AVERAGE(B2675:B2694)</f>
        <v>63.58</v>
      </c>
      <c r="E2694" s="14" t="n">
        <f aca="false">(B2694-D2694)/D2694*100</f>
        <v>0.739226171752122</v>
      </c>
    </row>
    <row r="2695" customFormat="false" ht="15" hidden="false" customHeight="false" outlineLevel="0" collapsed="false">
      <c r="A2695" s="12" t="n">
        <v>45918</v>
      </c>
      <c r="B2695" s="15" t="n">
        <v>63.57</v>
      </c>
      <c r="C2695" s="15" t="n">
        <v>67.44</v>
      </c>
      <c r="D2695" s="14" t="n">
        <f aca="false">AVERAGE(B2676:B2695)</f>
        <v>63.598</v>
      </c>
      <c r="E2695" s="14" t="n">
        <f aca="false">(B2695-D2695)/D2695*100</f>
        <v>-0.0440265417151462</v>
      </c>
    </row>
    <row r="2696" customFormat="false" ht="15" hidden="false" customHeight="false" outlineLevel="0" collapsed="false">
      <c r="A2696" s="12" t="n">
        <v>45919</v>
      </c>
      <c r="B2696" s="15" t="n">
        <v>62.68</v>
      </c>
      <c r="C2696" s="15" t="n">
        <v>66.68</v>
      </c>
      <c r="D2696" s="14" t="n">
        <f aca="false">AVERAGE(B2677:B2696)</f>
        <v>63.556</v>
      </c>
      <c r="E2696" s="14" t="n">
        <f aca="false">(B2696-D2696)/D2696*100</f>
        <v>-1.37831203977594</v>
      </c>
    </row>
    <row r="2697" customFormat="false" ht="15" hidden="false" customHeight="false" outlineLevel="0" collapsed="false">
      <c r="A2697" s="12" t="n">
        <v>45922</v>
      </c>
      <c r="B2697" s="15" t="n">
        <v>62.64</v>
      </c>
      <c r="C2697" s="15" t="n">
        <v>66.57</v>
      </c>
      <c r="D2697" s="14" t="n">
        <f aca="false">AVERAGE(B2678:B2697)</f>
        <v>63.505</v>
      </c>
      <c r="E2697" s="14" t="n">
        <f aca="false">(B2697-D2697)/D2697*100</f>
        <v>-1.36209747263994</v>
      </c>
    </row>
    <row r="2698" customFormat="false" ht="15" hidden="false" customHeight="false" outlineLevel="0" collapsed="false">
      <c r="A2698" s="12" t="n">
        <v>45923</v>
      </c>
      <c r="B2698" s="15" t="n">
        <v>63.41</v>
      </c>
      <c r="C2698" s="15" t="n">
        <v>67.63</v>
      </c>
      <c r="D2698" s="14" t="n">
        <f aca="false">AVERAGE(B2679:B2698)</f>
        <v>63.4355</v>
      </c>
      <c r="E2698" s="14" t="n">
        <f aca="false">(B2698-D2698)/D2698*100</f>
        <v>-0.0401983116709225</v>
      </c>
    </row>
    <row r="2699" customFormat="false" ht="15" hidden="false" customHeight="false" outlineLevel="0" collapsed="false">
      <c r="A2699" s="12" t="n">
        <v>45924</v>
      </c>
      <c r="B2699" s="15" t="n">
        <v>64.99</v>
      </c>
      <c r="C2699" s="15" t="n">
        <v>69.31</v>
      </c>
      <c r="D2699" s="14" t="n">
        <f aca="false">AVERAGE(B2680:B2699)</f>
        <v>63.5225</v>
      </c>
      <c r="E2699" s="14" t="n">
        <f aca="false">(B2699-D2699)/D2699*100</f>
        <v>2.31020504545633</v>
      </c>
    </row>
    <row r="2700" customFormat="false" ht="15" hidden="false" customHeight="false" outlineLevel="0" collapsed="false">
      <c r="A2700" s="12" t="n">
        <v>45925</v>
      </c>
      <c r="B2700" s="15" t="n">
        <v>64.98</v>
      </c>
      <c r="C2700" s="15" t="n">
        <v>69.42</v>
      </c>
      <c r="D2700" s="14" t="n">
        <f aca="false">AVERAGE(B2681:B2700)</f>
        <v>63.564</v>
      </c>
      <c r="E2700" s="14" t="n">
        <f aca="false">(B2700-D2700)/D2700*100</f>
        <v>2.22767604304324</v>
      </c>
    </row>
    <row r="2701" customFormat="false" ht="15" hidden="false" customHeight="false" outlineLevel="0" collapsed="false">
      <c r="A2701" s="12" t="n">
        <v>45926</v>
      </c>
      <c r="B2701" s="15" t="n">
        <v>65.72</v>
      </c>
      <c r="C2701" s="15" t="n">
        <v>70.13</v>
      </c>
      <c r="D2701" s="14" t="n">
        <f aca="false">AVERAGE(B2682:B2701)</f>
        <v>63.62</v>
      </c>
      <c r="E2701" s="14" t="n">
        <f aca="false">(B2701-D2701)/D2701*100</f>
        <v>3.30084878968877</v>
      </c>
    </row>
    <row r="2702" customFormat="false" ht="15" hidden="false" customHeight="false" outlineLevel="0" collapsed="false">
      <c r="A2702" s="12" t="n">
        <v>45929</v>
      </c>
      <c r="B2702" s="15" t="n">
        <v>63.45</v>
      </c>
      <c r="C2702" s="15" t="n">
        <v>67.97</v>
      </c>
      <c r="D2702" s="14" t="n">
        <f aca="false">AVERAGE(B2683:B2702)</f>
        <v>63.592</v>
      </c>
      <c r="E2702" s="14" t="n">
        <f aca="false">(B2702-D2702)/D2702*100</f>
        <v>-0.223298528116738</v>
      </c>
    </row>
    <row r="2703" customFormat="false" ht="15" hidden="false" customHeight="false" outlineLevel="0" collapsed="false">
      <c r="A2703" s="12" t="n">
        <v>45930</v>
      </c>
      <c r="B2703" s="15" t="n">
        <v>62.37</v>
      </c>
      <c r="C2703" s="15" t="n">
        <v>67.02</v>
      </c>
      <c r="D2703" s="14" t="n">
        <f aca="false">AVERAGE(B2684:B2703)</f>
        <v>63.431</v>
      </c>
      <c r="E2703" s="14" t="n">
        <f aca="false">(B2703-D2703)/D2703*100</f>
        <v>-1.67268370355189</v>
      </c>
    </row>
    <row r="2704" customFormat="false" ht="15" hidden="false" customHeight="false" outlineLevel="0" collapsed="false">
      <c r="A2704" s="12" t="n">
        <v>45931</v>
      </c>
      <c r="B2704" s="15" t="n">
        <v>61.78</v>
      </c>
      <c r="C2704" s="15" t="n">
        <v>65.35</v>
      </c>
      <c r="D2704" s="14" t="n">
        <f aca="false">AVERAGE(B2685:B2704)</f>
        <v>63.3215</v>
      </c>
      <c r="E2704" s="14" t="n">
        <f aca="false">(B2704-D2704)/D2704*100</f>
        <v>-2.43440221725638</v>
      </c>
    </row>
    <row r="2705" customFormat="false" ht="15" hidden="false" customHeight="false" outlineLevel="0" collapsed="false">
      <c r="A2705" s="12" t="n">
        <v>45932</v>
      </c>
      <c r="B2705" s="15" t="n">
        <v>60.48</v>
      </c>
      <c r="C2705" s="15" t="n">
        <v>64.11</v>
      </c>
      <c r="D2705" s="14" t="n">
        <f aca="false">AVERAGE(B2686:B2705)</f>
        <v>63.1715</v>
      </c>
      <c r="E2705" s="14" t="n">
        <f aca="false">(B2705-D2705)/D2705*100</f>
        <v>-4.26062385727742</v>
      </c>
    </row>
    <row r="2706" customFormat="false" ht="15" hidden="false" customHeight="false" outlineLevel="0" collapsed="false">
      <c r="A2706" s="12" t="n">
        <v>45933</v>
      </c>
      <c r="B2706" s="15" t="n">
        <v>60.88</v>
      </c>
      <c r="C2706" s="15" t="n">
        <v>64.53</v>
      </c>
      <c r="D2706" s="14" t="n">
        <f aca="false">AVERAGE(B2687:B2706)</f>
        <v>63.122</v>
      </c>
      <c r="E2706" s="14" t="n">
        <f aca="false">(B2706-D2706)/D2706*100</f>
        <v>-3.55185196920249</v>
      </c>
    </row>
    <row r="2707" customFormat="false" ht="15" hidden="false" customHeight="false" outlineLevel="0" collapsed="false">
      <c r="A2707" s="12" t="n">
        <v>45936</v>
      </c>
      <c r="B2707" s="15" t="n">
        <v>61.69</v>
      </c>
      <c r="C2707" s="15" t="n">
        <v>65.47</v>
      </c>
      <c r="D2707" s="14" t="n">
        <f aca="false">AVERAGE(B2688:B2707)</f>
        <v>63.0935</v>
      </c>
      <c r="E2707" s="14" t="n">
        <f aca="false">(B2707-D2707)/D2707*100</f>
        <v>-2.22447637236798</v>
      </c>
    </row>
    <row r="2708" customFormat="false" ht="15" hidden="false" customHeight="false" outlineLevel="0" collapsed="false">
      <c r="A2708" s="12" t="n">
        <v>45937</v>
      </c>
      <c r="B2708" s="15" t="n">
        <v>61.73</v>
      </c>
      <c r="C2708" s="15" t="n">
        <v>65.45</v>
      </c>
      <c r="D2708" s="14" t="n">
        <f aca="false">AVERAGE(B2689:B2708)</f>
        <v>63.0485</v>
      </c>
      <c r="E2708" s="14" t="n">
        <f aca="false">(B2708-D2708)/D2708*100</f>
        <v>-2.09124721444603</v>
      </c>
    </row>
    <row r="2709" customFormat="false" ht="15" hidden="false" customHeight="false" outlineLevel="0" collapsed="false">
      <c r="A2709" s="12" t="n">
        <v>45938</v>
      </c>
      <c r="B2709" s="15" t="n">
        <v>62.55</v>
      </c>
      <c r="C2709" s="15" t="n">
        <v>66.25</v>
      </c>
      <c r="D2709" s="14" t="n">
        <f aca="false">AVERAGE(B2690:B2709)</f>
        <v>62.9925</v>
      </c>
      <c r="E2709" s="14" t="n">
        <f aca="false">(B2709-D2709)/D2709*100</f>
        <v>-0.702464579116554</v>
      </c>
    </row>
    <row r="2710" customFormat="false" ht="15" hidden="false" customHeight="false" outlineLevel="0" collapsed="false">
      <c r="A2710" s="12" t="n">
        <v>45939</v>
      </c>
      <c r="B2710" s="15" t="n">
        <v>61.51</v>
      </c>
      <c r="C2710" s="15" t="n">
        <v>65.22</v>
      </c>
      <c r="D2710" s="14" t="n">
        <f aca="false">AVERAGE(B2691:B2710)</f>
        <v>62.9495</v>
      </c>
      <c r="E2710" s="14" t="n">
        <f aca="false">(B2710-D2710)/D2710*100</f>
        <v>-2.28675366762246</v>
      </c>
    </row>
    <row r="2711" customFormat="false" ht="15" hidden="false" customHeight="false" outlineLevel="0" collapsed="false">
      <c r="A2711" s="12" t="n">
        <v>45940</v>
      </c>
      <c r="B2711" s="15" t="n">
        <v>58.9</v>
      </c>
      <c r="C2711" s="15" t="n">
        <v>62.73</v>
      </c>
      <c r="D2711" s="14" t="n">
        <f aca="false">AVERAGE(B2692:B2711)</f>
        <v>62.76</v>
      </c>
      <c r="E2711" s="14" t="n">
        <f aca="false">(B2711-D2711)/D2711*100</f>
        <v>-6.15041427660932</v>
      </c>
    </row>
    <row r="2712" customFormat="false" ht="15" hidden="false" customHeight="false" outlineLevel="0" collapsed="false">
      <c r="A2712" s="12" t="n">
        <v>45943</v>
      </c>
      <c r="B2712" s="15" t="n">
        <v>59.49</v>
      </c>
      <c r="C2712" s="15" t="n">
        <v>63.32</v>
      </c>
      <c r="D2712" s="14" t="n">
        <f aca="false">AVERAGE(B2693:B2712)</f>
        <v>62.5695</v>
      </c>
      <c r="E2712" s="14" t="n">
        <f aca="false">(B2712-D2712)/D2712*100</f>
        <v>-4.92172703953202</v>
      </c>
    </row>
    <row r="2713" customFormat="false" ht="15" hidden="false" customHeight="false" outlineLevel="0" collapsed="false">
      <c r="A2713" s="12" t="n">
        <v>45944</v>
      </c>
      <c r="B2713" s="15" t="n">
        <v>58.7</v>
      </c>
      <c r="C2713" s="15" t="n">
        <v>62.39</v>
      </c>
      <c r="D2713" s="14" t="n">
        <f aca="false">AVERAGE(B2694:B2713)</f>
        <v>62.2785</v>
      </c>
      <c r="E2713" s="14" t="n">
        <f aca="false">(B2713-D2713)/D2713*100</f>
        <v>-5.74596369533626</v>
      </c>
    </row>
    <row r="2714" customFormat="false" ht="15" hidden="false" customHeight="false" outlineLevel="0" collapsed="false">
      <c r="A2714" s="12" t="n">
        <v>45945</v>
      </c>
      <c r="B2714" s="15" t="n">
        <v>58.27</v>
      </c>
      <c r="C2714" s="15" t="n">
        <v>61.91</v>
      </c>
      <c r="D2714" s="14" t="n">
        <f aca="false">AVERAGE(B2695:B2714)</f>
        <v>61.9895</v>
      </c>
      <c r="E2714" s="14" t="n">
        <f aca="false">(B2714-D2714)/D2714*100</f>
        <v>-6.00020971293525</v>
      </c>
    </row>
    <row r="2715" customFormat="false" ht="15" hidden="false" customHeight="false" outlineLevel="0" collapsed="false">
      <c r="A2715" s="12" t="n">
        <v>45946</v>
      </c>
      <c r="B2715" s="15" t="n">
        <v>57.46</v>
      </c>
      <c r="C2715" s="15" t="n">
        <v>61.06</v>
      </c>
      <c r="D2715" s="14" t="n">
        <f aca="false">AVERAGE(B2696:B2715)</f>
        <v>61.684</v>
      </c>
      <c r="E2715" s="14" t="n">
        <f aca="false">(B2715-D2715)/D2715*100</f>
        <v>-6.8478049413138</v>
      </c>
    </row>
    <row r="2716" customFormat="false" ht="15" hidden="false" customHeight="false" outlineLevel="0" collapsed="false">
      <c r="A2716" s="12" t="n">
        <v>45947</v>
      </c>
      <c r="B2716" s="15" t="n">
        <v>57.54</v>
      </c>
      <c r="C2716" s="15" t="n">
        <v>61.29</v>
      </c>
      <c r="D2716" s="14" t="n">
        <f aca="false">AVERAGE(B2697:B2716)</f>
        <v>61.427</v>
      </c>
      <c r="E2716" s="14" t="n">
        <f aca="false">(B2716-D2716)/D2716*100</f>
        <v>-6.32783629348658</v>
      </c>
    </row>
    <row r="2717" customFormat="false" ht="15" hidden="false" customHeight="false" outlineLevel="0" collapsed="false">
      <c r="A2717" s="12" t="n">
        <v>45950</v>
      </c>
      <c r="B2717" s="15" t="n">
        <v>57.52</v>
      </c>
      <c r="C2717" s="15" t="n">
        <v>61.01</v>
      </c>
      <c r="D2717" s="14" t="n">
        <f aca="false">AVERAGE(B2698:B2717)</f>
        <v>61.171</v>
      </c>
      <c r="E2717" s="14" t="n">
        <f aca="false">(B2717-D2717)/D2717*100</f>
        <v>-5.96851449216132</v>
      </c>
    </row>
    <row r="2718" customFormat="false" ht="15" hidden="false" customHeight="false" outlineLevel="0" collapsed="false">
      <c r="A2718" s="12" t="n">
        <v>45951</v>
      </c>
      <c r="B2718" s="15" t="n">
        <v>57.82</v>
      </c>
      <c r="C2718" s="15" t="n">
        <v>61.32</v>
      </c>
      <c r="D2718" s="14" t="n">
        <f aca="false">AVERAGE(B2699:B2718)</f>
        <v>60.8915</v>
      </c>
      <c r="E2718" s="14" t="n">
        <f aca="false">(B2718-D2718)/D2718*100</f>
        <v>-5.04421799430133</v>
      </c>
    </row>
    <row r="2719" customFormat="false" ht="15" hidden="false" customHeight="false" outlineLevel="0" collapsed="false">
      <c r="A2719" s="12" t="n">
        <v>45952</v>
      </c>
      <c r="B2719" s="15" t="n">
        <v>58.5</v>
      </c>
      <c r="C2719" s="15" t="n">
        <v>62.59</v>
      </c>
      <c r="D2719" s="14" t="n">
        <f aca="false">AVERAGE(B2700:B2719)</f>
        <v>60.567</v>
      </c>
      <c r="E2719" s="14" t="n">
        <f aca="false">(B2719-D2719)/D2719*100</f>
        <v>-3.41274951706374</v>
      </c>
    </row>
    <row r="2720" customFormat="false" ht="15" hidden="false" customHeight="false" outlineLevel="0" collapsed="false">
      <c r="A2720" s="12" t="n">
        <v>45953</v>
      </c>
      <c r="B2720" s="15" t="n">
        <v>61.79</v>
      </c>
      <c r="C2720" s="15" t="n">
        <v>65.99</v>
      </c>
      <c r="D2720" s="14" t="n">
        <f aca="false">AVERAGE(B2701:B2720)</f>
        <v>60.4075</v>
      </c>
      <c r="E2720" s="14" t="n">
        <f aca="false">(B2720-D2720)/D2720*100</f>
        <v>2.28862310143607</v>
      </c>
    </row>
    <row r="2721" customFormat="false" ht="15" hidden="false" customHeight="false" outlineLevel="0" collapsed="false">
      <c r="A2721" s="12" t="n">
        <v>45954</v>
      </c>
      <c r="B2721" s="15" t="n">
        <v>61.5</v>
      </c>
      <c r="C2721" s="15" t="n">
        <v>65.94</v>
      </c>
      <c r="D2721" s="14" t="n">
        <f aca="false">AVERAGE(B2702:B2721)</f>
        <v>60.1965</v>
      </c>
      <c r="E2721" s="14" t="n">
        <f aca="false">(B2721-D2721)/D2721*100</f>
        <v>2.16540828785727</v>
      </c>
    </row>
    <row r="2722" customFormat="false" ht="15" hidden="false" customHeight="false" outlineLevel="0" collapsed="false">
      <c r="A2722" s="12" t="n">
        <v>45957</v>
      </c>
      <c r="B2722" s="15" t="n">
        <v>61.31</v>
      </c>
      <c r="C2722" s="15" t="n">
        <v>65.62</v>
      </c>
      <c r="D2722" s="14" t="n">
        <f aca="false">AVERAGE(B2703:B2722)</f>
        <v>60.0895</v>
      </c>
      <c r="E2722" s="14" t="n">
        <f aca="false">(B2722-D2722)/D2722*100</f>
        <v>2.03113688747618</v>
      </c>
    </row>
    <row r="2723" customFormat="false" ht="15" hidden="false" customHeight="false" outlineLevel="0" collapsed="false">
      <c r="A2723" s="12" t="n">
        <v>45958</v>
      </c>
      <c r="B2723" s="15" t="n">
        <v>60.15</v>
      </c>
      <c r="C2723" s="15" t="n">
        <v>64.4</v>
      </c>
      <c r="D2723" s="14" t="n">
        <f aca="false">AVERAGE(B2704:B2723)</f>
        <v>59.9785</v>
      </c>
      <c r="E2723" s="14" t="n">
        <f aca="false">(B2723-D2723)/D2723*100</f>
        <v>0.285935793659398</v>
      </c>
    </row>
    <row r="2724" customFormat="false" ht="15" hidden="false" customHeight="false" outlineLevel="0" collapsed="false">
      <c r="A2724" s="12" t="n">
        <v>45959</v>
      </c>
      <c r="B2724" s="15" t="n">
        <v>60.48</v>
      </c>
      <c r="C2724" s="15" t="n">
        <v>64.92</v>
      </c>
      <c r="D2724" s="14" t="n">
        <f aca="false">AVERAGE(B2705:B2724)</f>
        <v>59.9135</v>
      </c>
      <c r="E2724" s="14" t="n">
        <f aca="false">(B2724-D2724)/D2724*100</f>
        <v>0.945529805469548</v>
      </c>
    </row>
    <row r="2725" customFormat="false" ht="15" hidden="false" customHeight="false" outlineLevel="0" collapsed="false">
      <c r="A2725" s="12" t="n">
        <v>45960</v>
      </c>
      <c r="B2725" s="15" t="n">
        <v>60.57</v>
      </c>
      <c r="C2725" s="15" t="n">
        <v>65</v>
      </c>
      <c r="D2725" s="14" t="n">
        <f aca="false">AVERAGE(B2706:B2725)</f>
        <v>59.918</v>
      </c>
      <c r="E2725" s="14" t="n">
        <f aca="false">(B2725-D2725)/D2725*100</f>
        <v>1.0881538102073</v>
      </c>
    </row>
    <row r="2726" customFormat="false" ht="15" hidden="false" customHeight="false" outlineLevel="0" collapsed="false">
      <c r="A2726" s="12" t="n">
        <v>45961</v>
      </c>
      <c r="B2726" s="15" t="n">
        <v>60.98</v>
      </c>
      <c r="C2726" s="15" t="n">
        <v>65.07</v>
      </c>
      <c r="D2726" s="14" t="n">
        <f aca="false">AVERAGE(B2707:B2726)</f>
        <v>59.923</v>
      </c>
      <c r="E2726" s="14" t="n">
        <f aca="false">(B2726-D2726)/D2726*100</f>
        <v>1.76393037731755</v>
      </c>
    </row>
    <row r="2727" customFormat="false" ht="15" hidden="false" customHeight="false" outlineLevel="0" collapsed="false">
      <c r="A2727" s="12" t="n">
        <v>45964</v>
      </c>
      <c r="B2727" s="15" t="n">
        <v>61.05</v>
      </c>
      <c r="C2727" s="15" t="n">
        <v>64.89</v>
      </c>
      <c r="D2727" s="14" t="n">
        <f aca="false">AVERAGE(B2708:B2727)</f>
        <v>59.891</v>
      </c>
      <c r="E2727" s="14" t="n">
        <f aca="false">(B2727-D2727)/D2727*100</f>
        <v>1.93518224775008</v>
      </c>
    </row>
    <row r="2728" customFormat="false" ht="15" hidden="false" customHeight="false" outlineLevel="0" collapsed="false">
      <c r="A2728" s="12" t="n">
        <v>45965</v>
      </c>
      <c r="B2728" s="15" t="n">
        <v>60.56</v>
      </c>
      <c r="C2728" s="15" t="n">
        <v>64.44</v>
      </c>
      <c r="D2728" s="14" t="n">
        <f aca="false">AVERAGE(B2709:B2728)</f>
        <v>59.8325</v>
      </c>
      <c r="E2728" s="14" t="n">
        <f aca="false">(B2728-D2728)/D2728*100</f>
        <v>1.21589437178791</v>
      </c>
    </row>
    <row r="2729" customFormat="false" ht="15" hidden="false" customHeight="false" outlineLevel="0" collapsed="false">
      <c r="A2729" s="12" t="n">
        <v>45966</v>
      </c>
      <c r="B2729" s="15" t="n">
        <v>59.6</v>
      </c>
      <c r="C2729" s="15" t="n">
        <v>63.52</v>
      </c>
      <c r="D2729" s="14" t="n">
        <f aca="false">AVERAGE(B2710:B2729)</f>
        <v>59.685</v>
      </c>
      <c r="E2729" s="14" t="n">
        <f aca="false">(B2729-D2729)/D2729*100</f>
        <v>-0.142414341961968</v>
      </c>
    </row>
    <row r="2730" customFormat="false" ht="15" hidden="false" customHeight="false" outlineLevel="0" collapsed="false">
      <c r="A2730" s="12" t="n">
        <v>45967</v>
      </c>
      <c r="B2730" s="15" t="n">
        <v>59.43</v>
      </c>
      <c r="C2730" s="15" t="n">
        <v>63.38</v>
      </c>
      <c r="D2730" s="14" t="n">
        <f aca="false">AVERAGE(B2711:B2730)</f>
        <v>59.581</v>
      </c>
      <c r="E2730" s="14" t="n">
        <f aca="false">(B2730-D2730)/D2730*100</f>
        <v>-0.253436498212511</v>
      </c>
    </row>
    <row r="2731" customFormat="false" ht="15" hidden="false" customHeight="false" outlineLevel="0" collapsed="false">
      <c r="A2731" s="12" t="n">
        <v>45968</v>
      </c>
      <c r="B2731" s="15" t="n">
        <v>59.75</v>
      </c>
      <c r="C2731" s="15" t="n">
        <v>63.63</v>
      </c>
      <c r="D2731" s="14" t="n">
        <f aca="false">AVERAGE(B2712:B2731)</f>
        <v>59.6235</v>
      </c>
      <c r="E2731" s="14" t="n">
        <f aca="false">(B2731-D2731)/D2731*100</f>
        <v>0.212164666616351</v>
      </c>
    </row>
    <row r="2732" customFormat="false" ht="15" hidden="false" customHeight="false" outlineLevel="0" collapsed="false">
      <c r="A2732" s="12" t="n">
        <v>45971</v>
      </c>
      <c r="B2732" s="15" t="n">
        <v>60.13</v>
      </c>
      <c r="C2732" s="15" t="n">
        <v>64.06</v>
      </c>
      <c r="D2732" s="14" t="n">
        <f aca="false">AVERAGE(B2713:B2732)</f>
        <v>59.6555</v>
      </c>
      <c r="E2732" s="14" t="n">
        <f aca="false">(B2732-D2732)/D2732*100</f>
        <v>0.795400256472591</v>
      </c>
    </row>
    <row r="2733" customFormat="false" ht="15" hidden="false" customHeight="false" outlineLevel="0" collapsed="false">
      <c r="A2733" s="12" t="n">
        <v>45972</v>
      </c>
      <c r="B2733" s="15" t="n">
        <v>61.04</v>
      </c>
      <c r="C2733" s="15" t="n">
        <v>65.16</v>
      </c>
      <c r="D2733" s="14" t="n">
        <f aca="false">AVERAGE(B2714:B2733)</f>
        <v>59.7725</v>
      </c>
      <c r="E2733" s="14" t="n">
        <f aca="false">(B2733-D2733)/D2733*100</f>
        <v>2.12054038228282</v>
      </c>
    </row>
    <row r="2734" customFormat="false" ht="15" hidden="false" customHeight="false" outlineLevel="0" collapsed="false">
      <c r="A2734" s="12" t="n">
        <v>45973</v>
      </c>
      <c r="B2734" s="15" t="n">
        <v>58.49</v>
      </c>
      <c r="C2734" s="15" t="n">
        <v>62.71</v>
      </c>
      <c r="D2734" s="14" t="n">
        <f aca="false">AVERAGE(B2715:B2734)</f>
        <v>59.7835</v>
      </c>
      <c r="E2734" s="14" t="n">
        <f aca="false">(B2734-D2734)/D2734*100</f>
        <v>-2.16364046936028</v>
      </c>
    </row>
    <row r="2735" customFormat="false" ht="15" hidden="false" customHeight="false" outlineLevel="0" collapsed="false">
      <c r="A2735" s="12" t="n">
        <v>45974</v>
      </c>
      <c r="B2735" s="15" t="n">
        <v>58.69</v>
      </c>
      <c r="C2735" s="15" t="n">
        <v>63.01</v>
      </c>
      <c r="D2735" s="14" t="n">
        <f aca="false">AVERAGE(B2716:B2735)</f>
        <v>59.845</v>
      </c>
      <c r="E2735" s="14" t="n">
        <f aca="false">(B2735-D2735)/D2735*100</f>
        <v>-1.92998579664134</v>
      </c>
    </row>
    <row r="2736" customFormat="false" ht="15" hidden="false" customHeight="false" outlineLevel="0" collapsed="false">
      <c r="A2736" s="12" t="n">
        <v>45975</v>
      </c>
      <c r="B2736" s="15" t="n">
        <v>60.09</v>
      </c>
      <c r="C2736" s="15" t="n">
        <v>64.39</v>
      </c>
      <c r="D2736" s="14" t="n">
        <f aca="false">AVERAGE(B2717:B2736)</f>
        <v>59.9725</v>
      </c>
      <c r="E2736" s="14" t="n">
        <f aca="false">(B2736-D2736)/D2736*100</f>
        <v>0.195923131435241</v>
      </c>
    </row>
    <row r="2737" customFormat="false" ht="15" hidden="false" customHeight="false" outlineLevel="0" collapsed="false">
      <c r="A2737" s="12" t="n">
        <v>45978</v>
      </c>
      <c r="B2737" s="15" t="n">
        <v>59.91</v>
      </c>
      <c r="C2737" s="15" t="n">
        <v>64.2</v>
      </c>
      <c r="D2737" s="14" t="n">
        <f aca="false">AVERAGE(B2718:B2737)</f>
        <v>60.092</v>
      </c>
      <c r="E2737" s="14" t="n">
        <f aca="false">(B2737-D2737)/D2737*100</f>
        <v>-0.302868934300742</v>
      </c>
    </row>
    <row r="2738" customFormat="false" ht="15" hidden="false" customHeight="false" outlineLevel="0" collapsed="false">
      <c r="A2738" s="12" t="n">
        <v>45979</v>
      </c>
      <c r="B2738" s="15" t="n">
        <v>60.74</v>
      </c>
      <c r="C2738" s="15" t="n">
        <v>64.89</v>
      </c>
      <c r="D2738" s="14" t="n">
        <f aca="false">AVERAGE(B2719:B2738)</f>
        <v>60.238</v>
      </c>
      <c r="E2738" s="14" t="n">
        <f aca="false">(B2738-D2738)/D2738*100</f>
        <v>0.833361001361271</v>
      </c>
    </row>
    <row r="2739" customFormat="false" ht="15" hidden="false" customHeight="false" outlineLevel="0" collapsed="false">
      <c r="A2739" s="12" t="n">
        <v>45980</v>
      </c>
      <c r="B2739" s="15" t="n">
        <v>59.44</v>
      </c>
      <c r="C2739" s="15" t="n">
        <v>63.51</v>
      </c>
      <c r="D2739" s="14" t="n">
        <f aca="false">AVERAGE(B2720:B2739)</f>
        <v>60.285</v>
      </c>
      <c r="E2739" s="14" t="n">
        <f aca="false">(B2739-D2739)/D2739*100</f>
        <v>-1.40167537530067</v>
      </c>
    </row>
    <row r="2740" customFormat="false" ht="15" hidden="false" customHeight="false" outlineLevel="0" collapsed="false">
      <c r="A2740" s="12" t="n">
        <v>45981</v>
      </c>
      <c r="B2740" s="15" t="n">
        <v>59.14</v>
      </c>
      <c r="C2740" s="15" t="n">
        <v>63.38</v>
      </c>
      <c r="D2740" s="14" t="n">
        <f aca="false">AVERAGE(B2721:B2740)</f>
        <v>60.1525</v>
      </c>
      <c r="E2740" s="14" t="n">
        <f aca="false">(B2740-D2740)/D2740*100</f>
        <v>-1.68322181122978</v>
      </c>
    </row>
    <row r="2741" customFormat="false" ht="15" hidden="false" customHeight="false" outlineLevel="0" collapsed="false">
      <c r="A2741" s="12" t="n">
        <v>45982</v>
      </c>
      <c r="B2741" s="15" t="n">
        <v>58.06</v>
      </c>
      <c r="C2741" s="15" t="n">
        <v>62.56</v>
      </c>
      <c r="D2741" s="14" t="n">
        <f aca="false">AVERAGE(B2722:B2741)</f>
        <v>59.9805</v>
      </c>
      <c r="E2741" s="14" t="n">
        <f aca="false">(B2741-D2741)/D2741*100</f>
        <v>-3.20187394236459</v>
      </c>
    </row>
    <row r="2742" customFormat="false" ht="15" hidden="false" customHeight="false" outlineLevel="0" collapsed="false">
      <c r="A2742" s="12" t="n">
        <v>45985</v>
      </c>
      <c r="B2742" s="15" t="n">
        <v>58.84</v>
      </c>
      <c r="C2742" s="15" t="n">
        <v>63.37</v>
      </c>
      <c r="D2742" s="14" t="n">
        <f aca="false">AVERAGE(B2723:B2742)</f>
        <v>59.857</v>
      </c>
      <c r="E2742" s="14" t="n">
        <f aca="false">(B2742-D2742)/D2742*100</f>
        <v>-1.69904940107256</v>
      </c>
    </row>
    <row r="2743" customFormat="false" ht="15" hidden="false" customHeight="false" outlineLevel="0" collapsed="false">
      <c r="A2743" s="12" t="n">
        <v>45986</v>
      </c>
      <c r="B2743" s="15" t="n">
        <v>57.95</v>
      </c>
      <c r="C2743" s="15" t="n">
        <v>62.48</v>
      </c>
      <c r="D2743" s="14" t="n">
        <f aca="false">AVERAGE(B2724:B2743)</f>
        <v>59.747</v>
      </c>
      <c r="E2743" s="14" t="n">
        <f aca="false">(B2743-D2743)/D2743*100</f>
        <v>-3.0076823940951</v>
      </c>
    </row>
    <row r="2744" customFormat="false" ht="15" hidden="false" customHeight="false" outlineLevel="0" collapsed="false">
      <c r="A2744" s="12" t="n">
        <v>45987</v>
      </c>
      <c r="B2744" s="15" t="n">
        <v>58.65</v>
      </c>
      <c r="C2744" s="15" t="n">
        <v>63.13</v>
      </c>
      <c r="D2744" s="14" t="n">
        <f aca="false">AVERAGE(B2725:B2744)</f>
        <v>59.6555</v>
      </c>
      <c r="E2744" s="14" t="n">
        <f aca="false">(B2744-D2744)/D2744*100</f>
        <v>-1.68551097551776</v>
      </c>
    </row>
    <row r="2745" customFormat="false" ht="15" hidden="false" customHeight="false" outlineLevel="0" collapsed="false">
      <c r="A2745" s="12" t="n">
        <v>45989</v>
      </c>
      <c r="B2745" s="15" t="n">
        <v>58.55</v>
      </c>
      <c r="C2745" s="15" t="n">
        <v>63.2</v>
      </c>
      <c r="D2745" s="14" t="n">
        <f aca="false">AVERAGE(B2726:B2745)</f>
        <v>59.5545</v>
      </c>
      <c r="E2745" s="14" t="n">
        <f aca="false">(B2745-D2745)/D2745*100</f>
        <v>-1.68669034245943</v>
      </c>
    </row>
    <row r="2746" customFormat="false" ht="15" hidden="false" customHeight="false" outlineLevel="0" collapsed="false">
      <c r="A2746" s="12" t="n">
        <v>45992</v>
      </c>
      <c r="B2746" s="15" t="n">
        <v>59.32</v>
      </c>
      <c r="C2746" s="15" t="n">
        <v>63.17</v>
      </c>
      <c r="D2746" s="14" t="n">
        <f aca="false">AVERAGE(B2727:B2746)</f>
        <v>59.4715</v>
      </c>
      <c r="E2746" s="14" t="n">
        <f aca="false">(B2746-D2746)/D2746*100</f>
        <v>-0.25474386891201</v>
      </c>
    </row>
    <row r="2747" customFormat="false" ht="15" hidden="false" customHeight="false" outlineLevel="0" collapsed="false">
      <c r="A2747" s="12" t="n">
        <v>45993</v>
      </c>
      <c r="B2747" s="15" t="n">
        <v>58.64</v>
      </c>
      <c r="C2747" s="15" t="n">
        <v>62.45</v>
      </c>
      <c r="D2747" s="14" t="n">
        <f aca="false">AVERAGE(B2728:B2747)</f>
        <v>59.351</v>
      </c>
      <c r="E2747" s="14" t="n">
        <f aca="false">(B2747-D2747)/D2747*100</f>
        <v>-1.1979579114084</v>
      </c>
    </row>
    <row r="2748" customFormat="false" ht="15" hidden="false" customHeight="false" outlineLevel="0" collapsed="false">
      <c r="A2748" s="12" t="n">
        <v>45994</v>
      </c>
      <c r="B2748" s="15" t="n">
        <v>58.95</v>
      </c>
      <c r="C2748" s="15" t="n">
        <v>62.67</v>
      </c>
      <c r="D2748" s="14" t="n">
        <f aca="false">AVERAGE(B2729:B2748)</f>
        <v>59.2705</v>
      </c>
      <c r="E2748" s="14" t="n">
        <f aca="false">(B2748-D2748)/D2748*100</f>
        <v>-0.540741178157773</v>
      </c>
    </row>
    <row r="2749" customFormat="false" ht="15" hidden="false" customHeight="false" outlineLevel="0" collapsed="false">
      <c r="A2749" s="12" t="n">
        <v>45995</v>
      </c>
      <c r="B2749" s="15" t="n">
        <v>59.67</v>
      </c>
      <c r="C2749" s="15" t="n">
        <v>63.26</v>
      </c>
      <c r="D2749" s="14" t="n">
        <f aca="false">AVERAGE(B2730:B2749)</f>
        <v>59.274</v>
      </c>
      <c r="E2749" s="14" t="n">
        <f aca="false">(B2749-D2749)/D2749*100</f>
        <v>0.668083814151231</v>
      </c>
    </row>
    <row r="2750" customFormat="false" ht="15" hidden="false" customHeight="false" outlineLevel="0" collapsed="false">
      <c r="A2750" s="12" t="n">
        <v>45996</v>
      </c>
      <c r="B2750" s="15" t="n">
        <v>60.08</v>
      </c>
      <c r="C2750" s="15" t="n">
        <v>63.75</v>
      </c>
      <c r="D2750" s="14" t="n">
        <f aca="false">AVERAGE(B2731:B2750)</f>
        <v>59.3065</v>
      </c>
      <c r="E2750" s="14" t="n">
        <f aca="false">(B2750-D2750)/D2750*100</f>
        <v>1.30424152495931</v>
      </c>
    </row>
    <row r="2751" customFormat="false" ht="15" hidden="false" customHeight="false" outlineLevel="0" collapsed="false">
      <c r="A2751" s="12" t="n">
        <v>45999</v>
      </c>
      <c r="B2751" s="15" t="n">
        <v>58.88</v>
      </c>
      <c r="C2751" s="15" t="n">
        <v>62.49</v>
      </c>
      <c r="D2751" s="14" t="n">
        <f aca="false">AVERAGE(B2732:B2751)</f>
        <v>59.263</v>
      </c>
      <c r="E2751" s="14" t="n">
        <f aca="false">(B2751-D2751)/D2751*100</f>
        <v>-0.646271704098671</v>
      </c>
    </row>
    <row r="2752" customFormat="false" ht="15" hidden="false" customHeight="false" outlineLevel="0" collapsed="false">
      <c r="A2752" s="12" t="n">
        <v>46000</v>
      </c>
      <c r="B2752" s="15" t="n">
        <v>58.25</v>
      </c>
      <c r="C2752" s="15" t="n">
        <v>61.94</v>
      </c>
      <c r="D2752" s="14" t="n">
        <f aca="false">AVERAGE(B2733:B2752)</f>
        <v>59.169</v>
      </c>
      <c r="E2752" s="14" t="n">
        <f aca="false">(B2752-D2752)/D2752*100</f>
        <v>-1.55317818452231</v>
      </c>
    </row>
    <row r="2753" customFormat="false" ht="15" hidden="false" customHeight="false" outlineLevel="0" collapsed="false">
      <c r="A2753" s="12" t="n">
        <v>46001</v>
      </c>
      <c r="B2753" s="15" t="n">
        <v>58.46</v>
      </c>
      <c r="C2753" s="15" t="n">
        <v>62.21</v>
      </c>
      <c r="D2753" s="14" t="n">
        <f aca="false">AVERAGE(B2734:B2753)</f>
        <v>59.04</v>
      </c>
      <c r="E2753" s="14" t="n">
        <f aca="false">(B2753-D2753)/D2753*100</f>
        <v>-0.982384823848236</v>
      </c>
    </row>
    <row r="2754" customFormat="false" ht="15" hidden="false" customHeight="false" outlineLevel="0" collapsed="false">
      <c r="A2754" s="12" t="n">
        <v>46002</v>
      </c>
      <c r="B2754" s="15" t="n">
        <v>57.6</v>
      </c>
      <c r="C2754" s="15" t="n">
        <v>61.28</v>
      </c>
      <c r="D2754" s="14" t="n">
        <f aca="false">AVERAGE(B2735:B2754)</f>
        <v>58.9955</v>
      </c>
      <c r="E2754" s="14" t="n">
        <f aca="false">(B2754-D2754)/D2754*100</f>
        <v>-2.36543465179548</v>
      </c>
    </row>
    <row r="2755" customFormat="false" ht="15" hidden="false" customHeight="false" outlineLevel="0" collapsed="false">
      <c r="A2755" s="12" t="n">
        <v>46003</v>
      </c>
      <c r="B2755" s="15" t="n">
        <v>57.44</v>
      </c>
      <c r="C2755" s="15" t="n">
        <v>61.12</v>
      </c>
      <c r="D2755" s="14" t="n">
        <f aca="false">AVERAGE(B2736:B2755)</f>
        <v>58.933</v>
      </c>
      <c r="E2755" s="14" t="n">
        <f aca="false">(B2755-D2755)/D2755*100</f>
        <v>-2.53338536982677</v>
      </c>
    </row>
    <row r="2756" customFormat="false" ht="15" hidden="false" customHeight="false" outlineLevel="0" collapsed="false">
      <c r="A2756" s="12" t="n">
        <v>46006</v>
      </c>
      <c r="B2756" s="15" t="n">
        <v>56.82</v>
      </c>
      <c r="C2756" s="15" t="n">
        <v>60.56</v>
      </c>
      <c r="D2756" s="14" t="n">
        <f aca="false">AVERAGE(B2737:B2756)</f>
        <v>58.7695</v>
      </c>
      <c r="E2756" s="14" t="n">
        <f aca="false">(B2756-D2756)/D2756*100</f>
        <v>-3.31719684530242</v>
      </c>
    </row>
    <row r="2757" customFormat="false" ht="15" hidden="false" customHeight="false" outlineLevel="0" collapsed="false">
      <c r="A2757" s="12" t="n">
        <v>46007</v>
      </c>
      <c r="B2757" s="15" t="n">
        <v>55.27</v>
      </c>
      <c r="C2757" s="15" t="n">
        <v>58.92</v>
      </c>
      <c r="D2757" s="14" t="n">
        <f aca="false">AVERAGE(B2738:B2757)</f>
        <v>58.5375</v>
      </c>
      <c r="E2757" s="14" t="n">
        <f aca="false">(B2757-D2757)/D2757*100</f>
        <v>-5.58189194960495</v>
      </c>
    </row>
    <row r="2758" customFormat="false" ht="15" hidden="false" customHeight="false" outlineLevel="0" collapsed="false">
      <c r="A2758" s="12" t="n">
        <v>46008</v>
      </c>
      <c r="B2758" s="15" t="n">
        <v>55.94</v>
      </c>
      <c r="C2758" s="15" t="n">
        <v>59.68</v>
      </c>
      <c r="D2758" s="14" t="n">
        <f aca="false">AVERAGE(B2739:B2758)</f>
        <v>58.2975</v>
      </c>
      <c r="E2758" s="14" t="n">
        <f aca="false">(B2758-D2758)/D2758*100</f>
        <v>-4.04391268922338</v>
      </c>
    </row>
    <row r="2759" customFormat="false" ht="15" hidden="false" customHeight="false" outlineLevel="0" collapsed="false">
      <c r="A2759" s="12" t="n">
        <v>46009</v>
      </c>
      <c r="B2759" s="15" t="n">
        <v>56.15</v>
      </c>
      <c r="C2759" s="15" t="n">
        <v>59.82</v>
      </c>
      <c r="D2759" s="14" t="n">
        <f aca="false">AVERAGE(B2740:B2759)</f>
        <v>58.133</v>
      </c>
      <c r="E2759" s="14" t="n">
        <f aca="false">(B2759-D2759)/D2759*100</f>
        <v>-3.41114341251957</v>
      </c>
    </row>
    <row r="2760" customFormat="false" ht="15" hidden="false" customHeight="false" outlineLevel="0" collapsed="false">
      <c r="A2760" s="12" t="n">
        <v>46010</v>
      </c>
      <c r="B2760" s="15" t="n">
        <v>56.66</v>
      </c>
      <c r="C2760" s="15" t="n">
        <v>60.47</v>
      </c>
      <c r="D2760" s="14" t="n">
        <f aca="false">AVERAGE(B2741:B2760)</f>
        <v>58.009</v>
      </c>
      <c r="E2760" s="14" t="n">
        <f aca="false">(B2760-D2760)/D2760*100</f>
        <v>-2.32550121532866</v>
      </c>
    </row>
    <row r="2761" customFormat="false" ht="15" hidden="false" customHeight="false" outlineLevel="0" collapsed="false">
      <c r="A2761" s="12" t="n">
        <v>46013</v>
      </c>
      <c r="B2761" s="15" t="n">
        <v>58.01</v>
      </c>
      <c r="C2761" s="15" t="n">
        <v>62.07</v>
      </c>
      <c r="D2761" s="14" t="n">
        <f aca="false">AVERAGE(B2742:B2761)</f>
        <v>58.0065</v>
      </c>
      <c r="E2761" s="14" t="n">
        <f aca="false">(B2761-D2761)/D2761*100</f>
        <v>0.00603380655615387</v>
      </c>
    </row>
    <row r="2762" customFormat="false" ht="15" hidden="false" customHeight="false" outlineLevel="0" collapsed="false">
      <c r="A2762" s="12" t="n">
        <v>46014</v>
      </c>
      <c r="B2762" s="15" t="n">
        <v>58.38</v>
      </c>
      <c r="C2762" s="15" t="n">
        <v>62.38</v>
      </c>
      <c r="D2762" s="14" t="n">
        <f aca="false">AVERAGE(B2743:B2762)</f>
        <v>57.9835</v>
      </c>
      <c r="E2762" s="14" t="n">
        <f aca="false">(B2762-D2762)/D2762*100</f>
        <v>0.683815223296276</v>
      </c>
    </row>
    <row r="2763" customFormat="false" ht="15" hidden="false" customHeight="false" outlineLevel="0" collapsed="false">
      <c r="A2763" s="12" t="n">
        <v>46015</v>
      </c>
      <c r="B2763" s="15" t="n">
        <v>58.35</v>
      </c>
      <c r="C2763" s="15" t="n">
        <v>62.24</v>
      </c>
      <c r="D2763" s="14" t="n">
        <f aca="false">AVERAGE(B2744:B2763)</f>
        <v>58.0035</v>
      </c>
      <c r="E2763" s="14" t="n">
        <f aca="false">(B2763-D2763)/D2763*100</f>
        <v>0.597377744446466</v>
      </c>
    </row>
    <row r="2764" customFormat="false" ht="15" hidden="false" customHeight="false" outlineLevel="0" collapsed="false">
      <c r="A2764" s="12" t="n">
        <v>46017</v>
      </c>
      <c r="B2764" s="15" t="n">
        <v>56.74</v>
      </c>
      <c r="C2764" s="15" t="n">
        <v>60.64</v>
      </c>
      <c r="D2764" s="14" t="n">
        <f aca="false">AVERAGE(B2745:B2764)</f>
        <v>57.908</v>
      </c>
      <c r="E2764" s="14" t="n">
        <f aca="false">(B2764-D2764)/D2764*100</f>
        <v>-2.01699247081578</v>
      </c>
    </row>
    <row r="2765" customFormat="false" ht="15" hidden="false" customHeight="false" outlineLevel="0" collapsed="false">
      <c r="A2765" s="12" t="n">
        <v>46020</v>
      </c>
      <c r="B2765" s="15" t="n">
        <v>58.08</v>
      </c>
      <c r="C2765" s="15" t="n">
        <v>61.94</v>
      </c>
      <c r="D2765" s="14" t="n">
        <f aca="false">AVERAGE(B2746:B2765)</f>
        <v>57.8845</v>
      </c>
      <c r="E2765" s="14" t="n">
        <f aca="false">(B2765-D2765)/D2765*100</f>
        <v>0.337741537026312</v>
      </c>
    </row>
    <row r="2766" customFormat="false" ht="15" hidden="false" customHeight="false" outlineLevel="0" collapsed="false">
      <c r="A2766" s="12" t="n">
        <v>46021</v>
      </c>
      <c r="B2766" s="15" t="n">
        <v>57.95</v>
      </c>
      <c r="C2766" s="15" t="n">
        <v>61.92</v>
      </c>
      <c r="D2766" s="14" t="n">
        <f aca="false">AVERAGE(B2747:B2766)</f>
        <v>57.816</v>
      </c>
      <c r="E2766" s="14" t="n">
        <f aca="false">(B2766-D2766)/D2766*100</f>
        <v>0.23176975231771</v>
      </c>
    </row>
    <row r="2767" customFormat="false" ht="15" hidden="false" customHeight="false" outlineLevel="0" collapsed="false">
      <c r="A2767" s="12" t="n">
        <v>46022</v>
      </c>
      <c r="B2767" s="15" t="n">
        <v>57.42</v>
      </c>
      <c r="C2767" s="15" t="n">
        <v>60.85</v>
      </c>
      <c r="D2767" s="14" t="n">
        <f aca="false">AVERAGE(B2748:B2767)</f>
        <v>57.755</v>
      </c>
      <c r="E2767" s="14" t="n">
        <f aca="false">(B2767-D2767)/D2767*100</f>
        <v>-0.580036360488259</v>
      </c>
    </row>
    <row r="2768" customFormat="false" ht="15" hidden="false" customHeight="false" outlineLevel="0" collapsed="false">
      <c r="A2768" s="12" t="n">
        <v>46024</v>
      </c>
      <c r="B2768" s="15" t="n">
        <v>57.32</v>
      </c>
      <c r="C2768" s="15" t="n">
        <v>60.75</v>
      </c>
      <c r="D2768" s="14" t="n">
        <f aca="false">AVERAGE(B2749:B2768)</f>
        <v>57.6735</v>
      </c>
      <c r="E2768" s="14" t="n">
        <f aca="false">(B2768-D2768)/D2768*100</f>
        <v>-0.61293314954009</v>
      </c>
    </row>
    <row r="2769" customFormat="false" ht="15" hidden="false" customHeight="false" outlineLevel="0" collapsed="false">
      <c r="A2769" s="12" t="n">
        <v>46027</v>
      </c>
      <c r="B2769" s="15" t="n">
        <v>58.32</v>
      </c>
      <c r="C2769" s="15" t="n">
        <v>61.76</v>
      </c>
      <c r="D2769" s="14" t="n">
        <f aca="false">AVERAGE(B2750:B2769)</f>
        <v>57.606</v>
      </c>
      <c r="E2769" s="14" t="n">
        <f aca="false">(B2769-D2769)/D2769*100</f>
        <v>1.23945422351839</v>
      </c>
    </row>
    <row r="2770" customFormat="false" ht="15" hidden="false" customHeight="false" outlineLevel="0" collapsed="false">
      <c r="A2770" s="12" t="n">
        <v>46028</v>
      </c>
      <c r="B2770" s="15" t="n">
        <v>57.13</v>
      </c>
      <c r="C2770" s="15" t="n">
        <v>60.7</v>
      </c>
      <c r="D2770" s="14" t="n">
        <f aca="false">AVERAGE(B2751:B2770)</f>
        <v>57.4585</v>
      </c>
      <c r="E2770" s="14" t="n">
        <f aca="false">(B2770-D2770)/D2770*100</f>
        <v>-0.571716978340886</v>
      </c>
    </row>
    <row r="2771" customFormat="false" ht="15" hidden="false" customHeight="false" outlineLevel="0" collapsed="false">
      <c r="A2771" s="12" t="n">
        <v>46029</v>
      </c>
      <c r="B2771" s="15" t="n">
        <v>55.99</v>
      </c>
      <c r="C2771" s="15" t="n">
        <v>59.96</v>
      </c>
      <c r="D2771" s="14" t="n">
        <f aca="false">AVERAGE(B2752:B2771)</f>
        <v>57.314</v>
      </c>
      <c r="E2771" s="14" t="n">
        <f aca="false">(B2771-D2771)/D2771*100</f>
        <v>-2.31008130648707</v>
      </c>
    </row>
    <row r="2772" customFormat="false" ht="15" hidden="false" customHeight="false" outlineLevel="0" collapsed="false">
      <c r="A2772" s="12" t="n">
        <v>46030</v>
      </c>
      <c r="B2772" s="15" t="n">
        <v>57.76</v>
      </c>
      <c r="C2772" s="15" t="n">
        <v>61.99</v>
      </c>
      <c r="D2772" s="14" t="n">
        <f aca="false">AVERAGE(B2753:B2772)</f>
        <v>57.2895</v>
      </c>
      <c r="E2772" s="14" t="n">
        <f aca="false">(B2772-D2772)/D2772*100</f>
        <v>0.821267422477071</v>
      </c>
    </row>
    <row r="2773" customFormat="false" ht="15" hidden="false" customHeight="false" outlineLevel="0" collapsed="false">
      <c r="A2773" s="12" t="n">
        <v>46031</v>
      </c>
      <c r="B2773" s="15" t="n">
        <v>59.12</v>
      </c>
      <c r="C2773" s="15" t="n">
        <v>63.34</v>
      </c>
      <c r="D2773" s="14" t="n">
        <f aca="false">AVERAGE(B2754:B2773)</f>
        <v>57.3225</v>
      </c>
      <c r="E2773" s="14" t="n">
        <f aca="false">(B2773-D2773)/D2773*100</f>
        <v>3.13576693270529</v>
      </c>
    </row>
    <row r="2774" customFormat="false" ht="15" hidden="false" customHeight="false" outlineLevel="0" collapsed="false">
      <c r="A2774" s="12" t="n">
        <v>46034</v>
      </c>
      <c r="B2774" s="15" t="n">
        <v>59.5</v>
      </c>
      <c r="C2774" s="15" t="n">
        <v>63.87</v>
      </c>
      <c r="D2774" s="14" t="n">
        <f aca="false">AVERAGE(B2755:B2774)</f>
        <v>57.4175</v>
      </c>
      <c r="E2774" s="14" t="n">
        <f aca="false">(B2774-D2774)/D2774*100</f>
        <v>3.62694300518135</v>
      </c>
    </row>
    <row r="2775" customFormat="false" ht="15" hidden="false" customHeight="false" outlineLevel="0" collapsed="false">
      <c r="A2775" s="12" t="n">
        <v>46035</v>
      </c>
      <c r="B2775" s="15" t="n">
        <v>61.15</v>
      </c>
      <c r="C2775" s="15" t="n">
        <v>65.47</v>
      </c>
      <c r="D2775" s="14" t="n">
        <f aca="false">AVERAGE(B2756:B2775)</f>
        <v>57.603</v>
      </c>
      <c r="E2775" s="14" t="n">
        <f aca="false">(B2775-D2775)/D2775*100</f>
        <v>6.15766539937157</v>
      </c>
    </row>
    <row r="2776" customFormat="false" ht="15" hidden="false" customHeight="false" outlineLevel="0" collapsed="false">
      <c r="A2776" s="12" t="n">
        <v>46036</v>
      </c>
      <c r="B2776" s="15" t="n">
        <v>62.02</v>
      </c>
      <c r="C2776" s="15" t="n">
        <v>66.52</v>
      </c>
      <c r="D2776" s="14" t="n">
        <f aca="false">AVERAGE(B2757:B2776)</f>
        <v>57.863</v>
      </c>
      <c r="E2776" s="14" t="n">
        <f aca="false">(B2776-D2776)/D2776*100</f>
        <v>7.18421098111056</v>
      </c>
    </row>
    <row r="2777" customFormat="false" ht="15" hidden="false" customHeight="false" outlineLevel="0" collapsed="false">
      <c r="A2777" s="12" t="n">
        <v>46037</v>
      </c>
      <c r="B2777" s="15" t="n">
        <v>59.19</v>
      </c>
      <c r="C2777" s="15" t="n">
        <v>63.76</v>
      </c>
      <c r="D2777" s="14" t="n">
        <f aca="false">AVERAGE(B2758:B2777)</f>
        <v>58.059</v>
      </c>
      <c r="E2777" s="14" t="n">
        <f aca="false">(B2777-D2777)/D2777*100</f>
        <v>1.94801839508085</v>
      </c>
    </row>
    <row r="2778" customFormat="false" ht="15" hidden="false" customHeight="false" outlineLevel="0" collapsed="false">
      <c r="A2778" s="12" t="n">
        <v>46038</v>
      </c>
      <c r="B2778" s="15" t="n">
        <v>59.44</v>
      </c>
      <c r="C2778" s="15" t="n">
        <v>64.13</v>
      </c>
      <c r="D2778" s="14" t="n">
        <f aca="false">AVERAGE(B2759:B2778)</f>
        <v>58.234</v>
      </c>
      <c r="E2778" s="14" t="n">
        <f aca="false">(B2778-D2778)/D2778*100</f>
        <v>2.0709551121338</v>
      </c>
    </row>
    <row r="2779" customFormat="false" ht="15" hidden="false" customHeight="false" outlineLevel="0" collapsed="false">
      <c r="A2779" s="12" t="n">
        <v>46042</v>
      </c>
      <c r="B2779" s="15" t="n">
        <v>60.34</v>
      </c>
      <c r="C2779" s="15" t="n">
        <v>64.92</v>
      </c>
      <c r="D2779" s="14" t="n">
        <f aca="false">AVERAGE(B2760:B2779)</f>
        <v>58.4435</v>
      </c>
      <c r="E2779" s="14" t="n">
        <f aca="false">(B2779-D2779)/D2779*100</f>
        <v>3.24501441563221</v>
      </c>
    </row>
    <row r="2780" customFormat="false" ht="15" hidden="false" customHeight="false" outlineLevel="0" collapsed="false">
      <c r="A2780" s="12" t="n">
        <v>46043</v>
      </c>
      <c r="B2780" s="15" t="n">
        <v>60.62</v>
      </c>
      <c r="C2780" s="15" t="n">
        <v>65.24</v>
      </c>
      <c r="D2780" s="14" t="n">
        <f aca="false">AVERAGE(B2761:B2780)</f>
        <v>58.6415</v>
      </c>
      <c r="E2780" s="14" t="n">
        <f aca="false">(B2780-D2780)/D2780*100</f>
        <v>3.37389050416515</v>
      </c>
    </row>
    <row r="2781" customFormat="false" ht="15" hidden="false" customHeight="false" outlineLevel="0" collapsed="false">
      <c r="A2781" s="12" t="n">
        <v>46044</v>
      </c>
      <c r="B2781" s="15" t="n">
        <v>59.36</v>
      </c>
      <c r="C2781" s="15" t="n">
        <v>64.06</v>
      </c>
      <c r="D2781" s="14" t="n">
        <f aca="false">AVERAGE(B2762:B2781)</f>
        <v>58.709</v>
      </c>
      <c r="E2781" s="14" t="n">
        <f aca="false">(B2781-D2781)/D2781*100</f>
        <v>1.10885894837247</v>
      </c>
    </row>
    <row r="2782" customFormat="false" ht="15" hidden="false" customHeight="false" outlineLevel="0" collapsed="false">
      <c r="A2782" s="12" t="n">
        <v>46045</v>
      </c>
      <c r="B2782" s="15" t="n">
        <v>61.07</v>
      </c>
      <c r="C2782" s="15" t="n">
        <v>65.88</v>
      </c>
      <c r="D2782" s="14" t="n">
        <f aca="false">AVERAGE(B2763:B2782)</f>
        <v>58.8435</v>
      </c>
      <c r="E2782" s="14" t="n">
        <f aca="false">(B2782-D2782)/D2782*100</f>
        <v>3.78376541164276</v>
      </c>
    </row>
    <row r="2783" customFormat="false" ht="15" hidden="false" customHeight="false" outlineLevel="0" collapsed="false">
      <c r="A2783" s="12" t="n">
        <v>46048</v>
      </c>
      <c r="B2783" s="15" t="n">
        <v>60.63</v>
      </c>
      <c r="C2783" s="15" t="n">
        <v>65.59</v>
      </c>
      <c r="D2783" s="14" t="n">
        <f aca="false">AVERAGE(B2764:B2783)</f>
        <v>58.9575</v>
      </c>
      <c r="E2783" s="14" t="n">
        <f aca="false">(B2783-D2783)/D2783*100</f>
        <v>2.83678921256837</v>
      </c>
    </row>
    <row r="2784" customFormat="false" ht="15" hidden="false" customHeight="false" outlineLevel="0" collapsed="false">
      <c r="A2784" s="12" t="n">
        <v>46049</v>
      </c>
      <c r="B2784" s="15" t="n">
        <v>62.39</v>
      </c>
      <c r="C2784" s="15" t="n">
        <v>67.57</v>
      </c>
      <c r="D2784" s="14" t="n">
        <f aca="false">AVERAGE(B2765:B2784)</f>
        <v>59.24</v>
      </c>
      <c r="E2784" s="14" t="n">
        <f aca="false">(B2784-D2784)/D2784*100</f>
        <v>5.31735313977044</v>
      </c>
    </row>
    <row r="2785" customFormat="false" ht="15" hidden="false" customHeight="false" outlineLevel="0" collapsed="false">
      <c r="A2785" s="12" t="n">
        <v>46050</v>
      </c>
      <c r="B2785" s="15" t="n">
        <v>63.21</v>
      </c>
      <c r="C2785" s="15" t="n">
        <v>68.4</v>
      </c>
      <c r="D2785" s="14" t="n">
        <f aca="false">AVERAGE(B2766:B2785)</f>
        <v>59.4965</v>
      </c>
      <c r="E2785" s="14" t="n">
        <f aca="false">(B2785-D2785)/D2785*100</f>
        <v>6.24154362021295</v>
      </c>
    </row>
    <row r="2786" customFormat="false" ht="15" hidden="false" customHeight="false" outlineLevel="0" collapsed="false">
      <c r="A2786" s="12" t="n">
        <v>46051</v>
      </c>
      <c r="B2786" s="15" t="n">
        <v>65.42</v>
      </c>
      <c r="C2786" s="15" t="n">
        <v>70.71</v>
      </c>
      <c r="D2786" s="14" t="n">
        <f aca="false">AVERAGE(B2767:B2786)</f>
        <v>59.87</v>
      </c>
      <c r="E2786" s="14" t="n">
        <f aca="false">(B2786-D2786)/D2786*100</f>
        <v>9.27008518456656</v>
      </c>
    </row>
    <row r="2787" customFormat="false" ht="15" hidden="false" customHeight="false" outlineLevel="0" collapsed="false">
      <c r="A2787" s="12" t="n">
        <v>46052</v>
      </c>
      <c r="B2787" s="15" t="n">
        <v>65.21</v>
      </c>
      <c r="C2787" s="15" t="n">
        <v>70.69</v>
      </c>
      <c r="D2787" s="14" t="n">
        <f aca="false">AVERAGE(B2768:B2787)</f>
        <v>60.2595</v>
      </c>
      <c r="E2787" s="14" t="n">
        <f aca="false">(B2787-D2787)/D2787*100</f>
        <v>8.21530215152796</v>
      </c>
    </row>
    <row r="2788" customFormat="false" ht="15" hidden="false" customHeight="false" outlineLevel="0" collapsed="false">
      <c r="A2788" s="12" t="n">
        <v>46055</v>
      </c>
      <c r="B2788" s="15" t="n">
        <v>62.14</v>
      </c>
      <c r="C2788" s="15" t="n">
        <v>66.3</v>
      </c>
      <c r="D2788" s="14" t="n">
        <f aca="false">AVERAGE(B2769:B2788)</f>
        <v>60.5005</v>
      </c>
      <c r="E2788" s="14" t="n">
        <f aca="false">(B2788-D2788)/D2788*100</f>
        <v>2.70989495954579</v>
      </c>
    </row>
    <row r="2789" customFormat="false" ht="15" hidden="false" customHeight="false" outlineLevel="0" collapsed="false">
      <c r="A2789" s="12" t="n">
        <v>46056</v>
      </c>
      <c r="B2789" s="15" t="n">
        <v>63.21</v>
      </c>
      <c r="C2789" s="15" t="n">
        <v>67.33</v>
      </c>
      <c r="D2789" s="14" t="n">
        <f aca="false">AVERAGE(B2770:B2789)</f>
        <v>60.745</v>
      </c>
      <c r="E2789" s="14" t="n">
        <f aca="false">(B2789-D2789)/D2789*100</f>
        <v>4.05794715614453</v>
      </c>
    </row>
    <row r="2790" customFormat="false" ht="15" hidden="false" customHeight="false" outlineLevel="0" collapsed="false">
      <c r="A2790" s="12" t="n">
        <v>46057</v>
      </c>
      <c r="B2790" s="15" t="n">
        <v>65.14</v>
      </c>
      <c r="C2790" s="15" t="n">
        <v>69.46</v>
      </c>
      <c r="D2790" s="14" t="n">
        <f aca="false">AVERAGE(B2771:B2790)</f>
        <v>61.1455</v>
      </c>
      <c r="E2790" s="14" t="n">
        <f aca="false">(B2790-D2790)/D2790*100</f>
        <v>6.53277837289742</v>
      </c>
    </row>
    <row r="2791" customFormat="false" ht="15" hidden="false" customHeight="false" outlineLevel="0" collapsed="false">
      <c r="A2791" s="12" t="n">
        <v>46058</v>
      </c>
      <c r="B2791" s="15" t="n">
        <v>63.29</v>
      </c>
      <c r="C2791" s="15" t="n">
        <v>67.55</v>
      </c>
      <c r="D2791" s="14" t="n">
        <f aca="false">AVERAGE(B2772:B2791)</f>
        <v>61.5105</v>
      </c>
      <c r="E2791" s="14" t="n">
        <f aca="false">(B2791-D2791)/D2791*100</f>
        <v>2.89300200778729</v>
      </c>
    </row>
    <row r="2792" customFormat="false" ht="15" hidden="false" customHeight="false" outlineLevel="0" collapsed="false">
      <c r="A2792" s="12" t="n">
        <v>46059</v>
      </c>
      <c r="B2792" s="15" t="n">
        <v>63.55</v>
      </c>
      <c r="C2792" s="15" t="n">
        <v>68.05</v>
      </c>
      <c r="D2792" s="14" t="n">
        <f aca="false">AVERAGE(B2773:B2792)</f>
        <v>61.8</v>
      </c>
      <c r="E2792" s="14" t="n">
        <f aca="false">(B2792-D2792)/D2792*100</f>
        <v>2.83171521035599</v>
      </c>
    </row>
    <row r="2793" customFormat="false" ht="15" hidden="false" customHeight="false" outlineLevel="0" collapsed="false">
      <c r="A2793" s="12" t="n">
        <v>46062</v>
      </c>
      <c r="B2793" s="15" t="n">
        <v>64.36</v>
      </c>
      <c r="C2793" s="15" t="n">
        <v>69.04</v>
      </c>
      <c r="D2793" s="14" t="n">
        <f aca="false">AVERAGE(B2774:B2793)</f>
        <v>62.062</v>
      </c>
      <c r="E2793" s="14" t="n">
        <f aca="false">(B2793-D2793)/D2793*100</f>
        <v>3.70274886403919</v>
      </c>
    </row>
    <row r="2794" customFormat="false" ht="15" hidden="false" customHeight="false" outlineLevel="0" collapsed="false">
      <c r="A2794" s="12" t="n">
        <v>46063</v>
      </c>
      <c r="B2794" s="15" t="n">
        <v>63.96</v>
      </c>
      <c r="C2794" s="15" t="n">
        <v>68.8</v>
      </c>
      <c r="D2794" s="14" t="n">
        <f aca="false">AVERAGE(B2775:B2794)</f>
        <v>62.285</v>
      </c>
      <c r="E2794" s="14" t="n">
        <f aca="false">(B2794-D2794)/D2794*100</f>
        <v>2.68925102352091</v>
      </c>
    </row>
    <row r="2795" customFormat="false" ht="15" hidden="false" customHeight="false" outlineLevel="0" collapsed="false">
      <c r="A2795" s="12" t="n">
        <v>46064</v>
      </c>
      <c r="B2795" s="15" t="n">
        <v>64.63</v>
      </c>
      <c r="C2795" s="15" t="n">
        <v>69.4</v>
      </c>
      <c r="D2795" s="14" t="n">
        <f aca="false">AVERAGE(B2776:B2795)</f>
        <v>62.459</v>
      </c>
      <c r="E2795" s="14" t="n">
        <f aca="false">(B2795-D2795)/D2795*100</f>
        <v>3.47588017739636</v>
      </c>
    </row>
    <row r="2796" customFormat="false" ht="15" hidden="false" customHeight="false" outlineLevel="0" collapsed="false">
      <c r="A2796" s="12" t="n">
        <v>46065</v>
      </c>
      <c r="B2796" s="15" t="n">
        <v>62.84</v>
      </c>
      <c r="C2796" s="15" t="n">
        <v>67.52</v>
      </c>
      <c r="D2796" s="14" t="n">
        <f aca="false">AVERAGE(B2777:B2796)</f>
        <v>62.5</v>
      </c>
      <c r="E2796" s="14" t="n">
        <f aca="false">(B2796-D2796)/D2796*100</f>
        <v>0.544000000000005</v>
      </c>
    </row>
    <row r="2797" customFormat="false" ht="15" hidden="false" customHeight="false" outlineLevel="0" collapsed="false">
      <c r="A2797" s="12" t="n">
        <v>46066</v>
      </c>
      <c r="B2797" s="15" t="n">
        <v>62.89</v>
      </c>
      <c r="C2797" s="15" t="n">
        <v>67.75</v>
      </c>
      <c r="D2797" s="14" t="n">
        <f aca="false">AVERAGE(B2778:B2797)</f>
        <v>62.685</v>
      </c>
      <c r="E2797" s="14" t="n">
        <f aca="false">(B2797-D2797)/D2797*100</f>
        <v>0.32703198532344</v>
      </c>
    </row>
    <row r="2798" customFormat="false" ht="15" hidden="false" customHeight="false" outlineLevel="0" collapsed="false">
      <c r="A2798" s="12" t="n">
        <v>46070</v>
      </c>
      <c r="B2798" s="15" t="n">
        <v>62.33</v>
      </c>
      <c r="C2798" s="15" t="n">
        <v>67.42</v>
      </c>
      <c r="D2798" s="14" t="n">
        <f aca="false">AVERAGE(B2779:B2798)</f>
        <v>62.8295</v>
      </c>
      <c r="E2798" s="14" t="n">
        <f aca="false">(B2798-D2798)/D2798*100</f>
        <v>-0.795008714059475</v>
      </c>
    </row>
    <row r="2799" customFormat="false" ht="15" hidden="false" customHeight="false" outlineLevel="0" collapsed="false">
      <c r="A2799" s="12" t="n">
        <v>46071</v>
      </c>
      <c r="B2799" s="15" t="n">
        <v>65.19</v>
      </c>
      <c r="C2799" s="15" t="n">
        <v>70.35</v>
      </c>
      <c r="D2799" s="14" t="n">
        <f aca="false">AVERAGE(B2780:B2799)</f>
        <v>63.072</v>
      </c>
      <c r="E2799" s="14" t="n">
        <f aca="false">(B2799-D2799)/D2799*100</f>
        <v>3.35806697108066</v>
      </c>
    </row>
    <row r="2800" customFormat="false" ht="15" hidden="false" customHeight="false" outlineLevel="0" collapsed="false">
      <c r="A2800" s="12" t="n">
        <v>46072</v>
      </c>
      <c r="B2800" s="15" t="n">
        <v>66.43</v>
      </c>
      <c r="C2800" s="15" t="n">
        <v>71.66</v>
      </c>
      <c r="D2800" s="14" t="n">
        <f aca="false">AVERAGE(B2781:B2800)</f>
        <v>63.3625</v>
      </c>
      <c r="E2800" s="14" t="n">
        <f aca="false">(B2800-D2800)/D2800*100</f>
        <v>4.84119155652004</v>
      </c>
    </row>
    <row r="2801" customFormat="false" ht="15" hidden="false" customHeight="false" outlineLevel="0" collapsed="false">
      <c r="A2801" s="12" t="n">
        <v>46073</v>
      </c>
      <c r="B2801" s="15" t="n">
        <v>66.39</v>
      </c>
      <c r="C2801" s="15" t="n">
        <v>71.76</v>
      </c>
      <c r="D2801" s="14" t="n">
        <f aca="false">AVERAGE(B2782:B2801)</f>
        <v>63.714</v>
      </c>
      <c r="E2801" s="14" t="n">
        <f aca="false">(B2801-D2801)/D2801*100</f>
        <v>4.20001883416518</v>
      </c>
    </row>
    <row r="2802" customFormat="false" ht="15" hidden="false" customHeight="false" outlineLevel="0" collapsed="false">
      <c r="A2802" s="12" t="n">
        <v>46076</v>
      </c>
      <c r="B2802" s="15" t="n">
        <v>66.31</v>
      </c>
      <c r="C2802" s="15" t="n">
        <v>71.49</v>
      </c>
      <c r="D2802" s="14" t="n">
        <f aca="false">AVERAGE(B2783:B2802)</f>
        <v>63.976</v>
      </c>
      <c r="E2802" s="14" t="n">
        <f aca="false">(B2802-D2802)/D2802*100</f>
        <v>3.64824309115919</v>
      </c>
    </row>
    <row r="2803" customFormat="false" ht="15" hidden="false" customHeight="false" outlineLevel="0" collapsed="false">
      <c r="A2803" s="12" t="n">
        <v>46077</v>
      </c>
      <c r="B2803" s="15" t="n">
        <v>65.63</v>
      </c>
      <c r="C2803" s="15" t="n">
        <v>70.77</v>
      </c>
      <c r="D2803" s="14" t="n">
        <f aca="false">AVERAGE(B2784:B2803)</f>
        <v>64.226</v>
      </c>
      <c r="E2803" s="14" t="n">
        <f aca="false">(B2803-D2803)/D2803*100</f>
        <v>2.18603057951608</v>
      </c>
    </row>
    <row r="2804" customFormat="false" ht="15" hidden="false" customHeight="false" outlineLevel="0" collapsed="false">
      <c r="A2804" s="12" t="n">
        <v>46078</v>
      </c>
      <c r="B2804" s="15" t="n">
        <v>65.42</v>
      </c>
      <c r="C2804" s="15" t="n">
        <v>70.85</v>
      </c>
      <c r="D2804" s="14" t="n">
        <f aca="false">AVERAGE(B2785:B2804)</f>
        <v>64.3775</v>
      </c>
      <c r="E2804" s="14" t="n">
        <f aca="false">(B2804-D2804)/D2804*100</f>
        <v>1.61935458817134</v>
      </c>
    </row>
    <row r="2805" customFormat="false" ht="15" hidden="false" customHeight="false" outlineLevel="0" collapsed="false">
      <c r="A2805" s="12" t="n">
        <v>46079</v>
      </c>
      <c r="B2805" s="15" t="n">
        <v>65.21</v>
      </c>
      <c r="C2805" s="15" t="n">
        <v>70.75</v>
      </c>
      <c r="D2805" s="14" t="n">
        <f aca="false">AVERAGE(B2786:B2805)</f>
        <v>64.4775</v>
      </c>
      <c r="E2805" s="14" t="n">
        <f aca="false">(B2805-D2805)/D2805*100</f>
        <v>1.13605521305882</v>
      </c>
    </row>
    <row r="2806" customFormat="false" ht="15" hidden="false" customHeight="false" outlineLevel="0" collapsed="false">
      <c r="A2806" s="12" t="n">
        <v>46080</v>
      </c>
      <c r="B2806" s="15" t="n">
        <v>67.02</v>
      </c>
      <c r="C2806" s="15" t="n">
        <v>72.48</v>
      </c>
      <c r="D2806" s="14" t="n">
        <f aca="false">AVERAGE(B2787:B2806)</f>
        <v>64.5575</v>
      </c>
      <c r="E2806" s="14" t="n">
        <f aca="false">(B2806-D2806)/D2806*100</f>
        <v>3.8144289974054</v>
      </c>
    </row>
    <row r="2807" customFormat="false" ht="15" hidden="false" customHeight="false" outlineLevel="0" collapsed="false">
      <c r="A2807" s="12" t="n">
        <v>46083</v>
      </c>
      <c r="B2807" s="15" t="n">
        <v>71.23</v>
      </c>
      <c r="C2807" s="15" t="n">
        <v>77.74</v>
      </c>
      <c r="D2807" s="14" t="n">
        <f aca="false">AVERAGE(B2788:B2807)</f>
        <v>64.8585</v>
      </c>
      <c r="E2807" s="14" t="n">
        <f aca="false">(B2807-D2807)/D2807*100</f>
        <v>9.82369311655372</v>
      </c>
    </row>
    <row r="2808" customFormat="false" ht="15" hidden="false" customHeight="false" outlineLevel="0" collapsed="false">
      <c r="A2808" s="12" t="n">
        <v>46084</v>
      </c>
      <c r="B2808" s="15" t="n">
        <v>74.56</v>
      </c>
      <c r="C2808" s="15" t="n">
        <v>81.4</v>
      </c>
      <c r="D2808" s="14" t="n">
        <f aca="false">AVERAGE(B2789:B2808)</f>
        <v>65.4795</v>
      </c>
      <c r="E2808" s="14" t="n">
        <f aca="false">(B2808-D2808)/D2808*100</f>
        <v>13.867699050848</v>
      </c>
    </row>
    <row r="2809" customFormat="false" ht="15" hidden="false" customHeight="false" outlineLevel="0" collapsed="false">
      <c r="A2809" s="12" t="n">
        <v>46085</v>
      </c>
      <c r="B2809" s="15" t="n">
        <v>74.66</v>
      </c>
      <c r="C2809" s="15" t="n">
        <v>81.4</v>
      </c>
      <c r="D2809" s="14" t="n">
        <f aca="false">AVERAGE(B2790:B2809)</f>
        <v>66.052</v>
      </c>
      <c r="E2809" s="14" t="n">
        <f aca="false">(B2809-D2809)/D2809*100</f>
        <v>13.0321564827712</v>
      </c>
    </row>
    <row r="2810" customFormat="false" ht="15" hidden="false" customHeight="false" outlineLevel="0" collapsed="false">
      <c r="A2810" s="12" t="n">
        <v>46086</v>
      </c>
      <c r="B2810" s="15" t="n">
        <v>81.01</v>
      </c>
      <c r="C2810" s="15" t="n">
        <v>85.41</v>
      </c>
      <c r="D2810" s="14" t="n">
        <f aca="false">AVERAGE(B2791:B2810)</f>
        <v>66.8455</v>
      </c>
      <c r="E2810" s="14" t="n">
        <f aca="false">(B2810-D2810)/D2810*100</f>
        <v>21.1899080715979</v>
      </c>
    </row>
    <row r="2811" customFormat="false" ht="15" hidden="false" customHeight="false" outlineLevel="0" collapsed="false">
      <c r="A2811" s="12" t="n">
        <v>46087</v>
      </c>
      <c r="B2811" s="15" t="n">
        <v>90.9</v>
      </c>
      <c r="C2811" s="15" t="n">
        <v>92.69</v>
      </c>
      <c r="D2811" s="14" t="n">
        <f aca="false">AVERAGE(B2792:B2811)</f>
        <v>68.226</v>
      </c>
      <c r="E2811" s="14" t="n">
        <f aca="false">(B2811-D2811)/D2811*100</f>
        <v>33.2336645853487</v>
      </c>
    </row>
    <row r="2812" customFormat="false" ht="15" hidden="false" customHeight="false" outlineLevel="0" collapsed="false">
      <c r="A2812" s="12" t="n">
        <v>46090</v>
      </c>
      <c r="B2812" s="15" t="n">
        <v>94.77</v>
      </c>
      <c r="C2812" s="15" t="n">
        <v>98.96</v>
      </c>
      <c r="D2812" s="14" t="n">
        <f aca="false">AVERAGE(B2793:B2812)</f>
        <v>69.787</v>
      </c>
      <c r="E2812" s="14" t="n">
        <f aca="false">(B2812-D2812)/D2812*100</f>
        <v>35.7989310330004</v>
      </c>
    </row>
    <row r="2813" customFormat="false" ht="15" hidden="false" customHeight="false" outlineLevel="0" collapsed="false">
      <c r="A2813" s="12" t="n">
        <v>46091</v>
      </c>
      <c r="B2813" s="15" t="n">
        <v>83.45</v>
      </c>
      <c r="C2813" s="15" t="n">
        <v>87.8</v>
      </c>
      <c r="D2813" s="14" t="n">
        <f aca="false">AVERAGE(B2794:B2813)</f>
        <v>70.7415</v>
      </c>
      <c r="E2813" s="14" t="n">
        <f aca="false">(B2813-D2813)/D2813*100</f>
        <v>17.9647024730886</v>
      </c>
    </row>
    <row r="2814" customFormat="false" ht="15" hidden="false" customHeight="false" outlineLevel="0" collapsed="false">
      <c r="A2814" s="12" t="n">
        <v>46092</v>
      </c>
      <c r="B2814" s="15" t="n">
        <v>87.25</v>
      </c>
      <c r="C2814" s="15" t="n">
        <v>91.98</v>
      </c>
      <c r="D2814" s="14" t="n">
        <f aca="false">AVERAGE(B2795:B2814)</f>
        <v>71.906</v>
      </c>
      <c r="E2814" s="14" t="n">
        <f aca="false">(B2814-D2814)/D2814*100</f>
        <v>21.3389703223653</v>
      </c>
    </row>
    <row r="2815" customFormat="false" ht="15" hidden="false" customHeight="false" outlineLevel="0" collapsed="false">
      <c r="A2815" s="12" t="n">
        <v>46093</v>
      </c>
      <c r="B2815" s="15" t="n">
        <v>95.73</v>
      </c>
      <c r="C2815" s="15" t="n">
        <v>100.46</v>
      </c>
      <c r="D2815" s="14" t="n">
        <f aca="false">AVERAGE(B2796:B2815)</f>
        <v>73.461</v>
      </c>
      <c r="E2815" s="14" t="n">
        <f aca="false">(B2815-D2815)/D2815*100</f>
        <v>30.3140441867113</v>
      </c>
    </row>
    <row r="2816" customFormat="false" ht="15" hidden="false" customHeight="false" outlineLevel="0" collapsed="false">
      <c r="A2816" s="12" t="n">
        <v>46094</v>
      </c>
      <c r="B2816" s="15" t="n">
        <v>98.71</v>
      </c>
      <c r="C2816" s="15" t="n">
        <v>103.14</v>
      </c>
      <c r="D2816" s="14" t="n">
        <f aca="false">AVERAGE(B2797:B2816)</f>
        <v>75.2545</v>
      </c>
      <c r="E2816" s="14" t="n">
        <f aca="false">(B2816-D2816)/D2816*100</f>
        <v>31.1682357865643</v>
      </c>
    </row>
    <row r="2817" customFormat="false" ht="15" hidden="false" customHeight="false" outlineLevel="0" collapsed="false">
      <c r="A2817" s="12" t="n">
        <v>46097</v>
      </c>
      <c r="B2817" s="15" t="n">
        <v>93.5</v>
      </c>
      <c r="C2817" s="15" t="n">
        <v>100.21</v>
      </c>
      <c r="D2817" s="14" t="n">
        <f aca="false">AVERAGE(B2798:B2817)</f>
        <v>76.785</v>
      </c>
      <c r="E2817" s="14" t="n">
        <f aca="false">(B2817-D2817)/D2817*100</f>
        <v>21.7685745913916</v>
      </c>
    </row>
    <row r="2818" customFormat="false" ht="15" hidden="false" customHeight="false" outlineLevel="0" collapsed="false">
      <c r="A2818" s="12" t="n">
        <v>46098</v>
      </c>
      <c r="B2818" s="15" t="n">
        <v>96.21</v>
      </c>
      <c r="C2818" s="15" t="n">
        <v>103.42</v>
      </c>
      <c r="D2818" s="14" t="n">
        <f aca="false">AVERAGE(B2799:B2818)</f>
        <v>78.479</v>
      </c>
      <c r="E2818" s="14" t="n">
        <f aca="false">(B2818-D2818)/D2818*100</f>
        <v>22.5933052154079</v>
      </c>
    </row>
    <row r="2819" customFormat="false" ht="15" hidden="false" customHeight="false" outlineLevel="0" collapsed="false">
      <c r="A2819" s="12" t="n">
        <v>46099</v>
      </c>
      <c r="B2819" s="15" t="n">
        <v>96.32</v>
      </c>
      <c r="C2819" s="15" t="n">
        <v>107.38</v>
      </c>
      <c r="D2819" s="14" t="n">
        <f aca="false">AVERAGE(B2800:B2819)</f>
        <v>80.0355</v>
      </c>
      <c r="E2819" s="14" t="n">
        <f aca="false">(B2819-D2819)/D2819*100</f>
        <v>20.3465961979372</v>
      </c>
    </row>
    <row r="2820" customFormat="false" ht="15" hidden="false" customHeight="false" outlineLevel="0" collapsed="false">
      <c r="A2820" s="12" t="n">
        <v>46100</v>
      </c>
      <c r="B2820" s="15" t="n">
        <v>96.14</v>
      </c>
      <c r="C2820" s="15" t="n">
        <v>108.65</v>
      </c>
      <c r="D2820" s="14" t="n">
        <f aca="false">AVERAGE(B2801:B2820)</f>
        <v>81.521</v>
      </c>
      <c r="E2820" s="14" t="n">
        <f aca="false">(B2820-D2820)/D2820*100</f>
        <v>17.9328025907435</v>
      </c>
    </row>
    <row r="2821" customFormat="false" ht="15" hidden="false" customHeight="false" outlineLevel="0" collapsed="false">
      <c r="A2821" s="12" t="n">
        <v>46101</v>
      </c>
      <c r="B2821" s="15" t="n">
        <v>98.32</v>
      </c>
      <c r="C2821" s="15" t="n">
        <v>112.19</v>
      </c>
      <c r="D2821" s="14" t="n">
        <f aca="false">AVERAGE(B2802:B2821)</f>
        <v>83.1175</v>
      </c>
      <c r="E2821" s="14" t="n">
        <f aca="false">(B2821-D2821)/D2821*100</f>
        <v>18.2903720636448</v>
      </c>
    </row>
    <row r="2822" customFormat="false" ht="15" hidden="false" customHeight="false" outlineLevel="0" collapsed="false">
      <c r="A2822" s="12" t="n">
        <v>46104</v>
      </c>
      <c r="B2822" s="15" t="n">
        <v>88.13</v>
      </c>
      <c r="C2822" s="15" t="n">
        <v>99.94</v>
      </c>
      <c r="D2822" s="14" t="n">
        <f aca="false">AVERAGE(B2803:B2822)</f>
        <v>84.2085</v>
      </c>
      <c r="E2822" s="14" t="n">
        <f aca="false">(B2822-D2822)/D2822*100</f>
        <v>4.65689330649518</v>
      </c>
    </row>
    <row r="2823" customFormat="false" ht="15" hidden="false" customHeight="false" outlineLevel="0" collapsed="false">
      <c r="A2823" s="12" t="n">
        <v>46105</v>
      </c>
      <c r="B2823" s="15" t="n">
        <v>92.35</v>
      </c>
      <c r="C2823" s="15" t="n">
        <v>104.49</v>
      </c>
      <c r="D2823" s="14" t="n">
        <f aca="false">AVERAGE(B2804:B2823)</f>
        <v>85.5445</v>
      </c>
      <c r="E2823" s="14" t="n">
        <f aca="false">(B2823-D2823)/D2823*100</f>
        <v>7.9555085364927</v>
      </c>
    </row>
    <row r="2824" customFormat="false" ht="15" hidden="false" customHeight="false" outlineLevel="0" collapsed="false">
      <c r="A2824" s="12" t="n">
        <v>46106</v>
      </c>
      <c r="B2824" s="15" t="n">
        <v>90.32</v>
      </c>
      <c r="C2824" s="15" t="n">
        <v>102.22</v>
      </c>
      <c r="D2824" s="14" t="n">
        <f aca="false">AVERAGE(B2805:B2824)</f>
        <v>86.7895</v>
      </c>
      <c r="E2824" s="14" t="n">
        <f aca="false">(B2824-D2824)/D2824*100</f>
        <v>4.06788839663783</v>
      </c>
    </row>
    <row r="2825" customFormat="false" ht="15" hidden="false" customHeight="false" outlineLevel="0" collapsed="false">
      <c r="A2825" s="12" t="n">
        <v>46107</v>
      </c>
      <c r="B2825" s="15" t="n">
        <v>94.48</v>
      </c>
      <c r="C2825" s="15" t="n">
        <v>108.01</v>
      </c>
      <c r="D2825" s="14" t="n">
        <f aca="false">AVERAGE(B2806:B2825)</f>
        <v>88.253</v>
      </c>
      <c r="E2825" s="14" t="n">
        <f aca="false">(B2825-D2825)/D2825*100</f>
        <v>7.05585079260762</v>
      </c>
    </row>
    <row r="2826" customFormat="false" ht="15" hidden="false" customHeight="false" outlineLevel="0" collapsed="false">
      <c r="A2826" s="12" t="n">
        <v>46108</v>
      </c>
      <c r="B2826" s="15" t="n">
        <v>99.64</v>
      </c>
      <c r="C2826" s="15" t="n">
        <v>112.57</v>
      </c>
      <c r="D2826" s="14" t="n">
        <f aca="false">AVERAGE(B2807:B2826)</f>
        <v>89.884</v>
      </c>
      <c r="E2826" s="14" t="n">
        <f aca="false">(B2826-D2826)/D2826*100</f>
        <v>10.8539895865783</v>
      </c>
    </row>
    <row r="2827" customFormat="false" ht="15" hidden="false" customHeight="false" outlineLevel="0" collapsed="false">
      <c r="A2827" s="12" t="n">
        <v>46111</v>
      </c>
      <c r="B2827" s="15" t="n">
        <v>102.88</v>
      </c>
      <c r="C2827" s="15" t="n">
        <v>112.78</v>
      </c>
      <c r="D2827" s="14" t="n">
        <f aca="false">AVERAGE(B2808:B2827)</f>
        <v>91.4665</v>
      </c>
      <c r="E2827" s="14" t="n">
        <f aca="false">(B2827-D2827)/D2827*100</f>
        <v>12.4783390640289</v>
      </c>
    </row>
    <row r="2828" customFormat="false" ht="15" hidden="false" customHeight="false" outlineLevel="0" collapsed="false">
      <c r="A2828" s="12" t="n">
        <v>46112</v>
      </c>
      <c r="B2828" s="15" t="n">
        <v>101.38</v>
      </c>
      <c r="C2828" s="15" t="n">
        <v>118.35</v>
      </c>
      <c r="D2828" s="14" t="n">
        <f aca="false">AVERAGE(B2809:B2828)</f>
        <v>92.8075</v>
      </c>
      <c r="E2828" s="14" t="n">
        <f aca="false">(B2828-D2828)/D2828*100</f>
        <v>9.23686124505024</v>
      </c>
    </row>
    <row r="2829" customFormat="false" ht="15" hidden="false" customHeight="false" outlineLevel="0" collapsed="false">
      <c r="A2829" s="12" t="n">
        <v>46113</v>
      </c>
      <c r="B2829" s="15" t="n">
        <v>100.12</v>
      </c>
      <c r="C2829" s="15" t="n">
        <v>101.16</v>
      </c>
      <c r="D2829" s="14" t="n">
        <f aca="false">AVERAGE(B2810:B2829)</f>
        <v>94.0805</v>
      </c>
      <c r="E2829" s="14" t="n">
        <f aca="false">(B2829-D2829)/D2829*100</f>
        <v>6.4195024473722</v>
      </c>
    </row>
    <row r="2830" customFormat="false" ht="15" hidden="false" customHeight="false" outlineLevel="0" collapsed="false">
      <c r="A2830" s="12" t="n">
        <v>46114</v>
      </c>
      <c r="B2830" s="15" t="n">
        <v>111.54</v>
      </c>
      <c r="C2830" s="15" t="n">
        <v>109.03</v>
      </c>
      <c r="D2830" s="14" t="n">
        <f aca="false">AVERAGE(B2811:B2830)</f>
        <v>95.607</v>
      </c>
      <c r="E2830" s="14" t="n">
        <f aca="false">(B2830-D2830)/D2830*100</f>
        <v>16.6650977438891</v>
      </c>
    </row>
    <row r="2831" customFormat="false" ht="15" hidden="false" customHeight="false" outlineLevel="0" collapsed="false">
      <c r="A2831" s="12" t="n">
        <v>46118</v>
      </c>
      <c r="B2831" s="15" t="n">
        <v>112.41</v>
      </c>
      <c r="C2831" s="15" t="n">
        <v>109.77</v>
      </c>
      <c r="D2831" s="14" t="n">
        <f aca="false">AVERAGE(B2812:B2831)</f>
        <v>96.6825</v>
      </c>
      <c r="E2831" s="14" t="n">
        <f aca="false">(B2831-D2831)/D2831*100</f>
        <v>16.2671631370724</v>
      </c>
    </row>
    <row r="2832" customFormat="false" ht="15" hidden="false" customHeight="false" outlineLevel="0" collapsed="false">
      <c r="A2832" s="12" t="n">
        <v>46119</v>
      </c>
      <c r="B2832" s="15" t="n">
        <v>112.95</v>
      </c>
      <c r="C2832" s="15" t="n">
        <v>109.27</v>
      </c>
      <c r="D2832" s="14" t="n">
        <f aca="false">AVERAGE(B2813:B2832)</f>
        <v>97.5915</v>
      </c>
      <c r="E2832" s="14" t="n">
        <f aca="false">(B2832-D2832)/D2832*100</f>
        <v>15.737538617605</v>
      </c>
    </row>
    <row r="2833" customFormat="false" ht="15" hidden="false" customHeight="false" outlineLevel="0" collapsed="false">
      <c r="A2833" s="12" t="n">
        <v>46120</v>
      </c>
      <c r="B2833" s="15" t="n">
        <v>94.41</v>
      </c>
      <c r="C2833" s="15" t="n">
        <v>94.75</v>
      </c>
      <c r="D2833" s="14" t="n">
        <f aca="false">AVERAGE(B2814:B2833)</f>
        <v>98.1395</v>
      </c>
      <c r="E2833" s="14" t="n">
        <f aca="false">(B2833-D2833)/D2833*100</f>
        <v>-3.80020277258393</v>
      </c>
    </row>
    <row r="2834" customFormat="false" ht="15" hidden="false" customHeight="false" outlineLevel="0" collapsed="false">
      <c r="A2834" s="12" t="n">
        <v>46121</v>
      </c>
      <c r="B2834" s="15" t="n">
        <v>97.87</v>
      </c>
      <c r="C2834" s="15" t="n">
        <v>95.92</v>
      </c>
      <c r="D2834" s="14" t="n">
        <f aca="false">AVERAGE(B2815:B2834)</f>
        <v>98.6705</v>
      </c>
      <c r="E2834" s="14" t="n">
        <f aca="false">(B2834-D2834)/D2834*100</f>
        <v>-0.811286048008255</v>
      </c>
    </row>
    <row r="2835" customFormat="false" ht="15" hidden="false" customHeight="false" outlineLevel="0" collapsed="false">
      <c r="A2835" s="12" t="n">
        <v>46122</v>
      </c>
      <c r="B2835" s="15" t="n">
        <v>96.57</v>
      </c>
      <c r="C2835" s="15" t="n">
        <v>95.2</v>
      </c>
      <c r="D2835" s="14" t="n">
        <f aca="false">AVERAGE(B2816:B2835)</f>
        <v>98.7125</v>
      </c>
      <c r="E2835" s="14" t="n">
        <f aca="false">(B2835-D2835)/D2835*100</f>
        <v>-2.17044447258454</v>
      </c>
    </row>
    <row r="2836" customFormat="false" ht="15" hidden="false" customHeight="false" outlineLevel="0" collapsed="false">
      <c r="A2836" s="12" t="n">
        <v>46125</v>
      </c>
      <c r="B2836" s="15" t="n">
        <v>99.08</v>
      </c>
      <c r="C2836" s="15" t="n">
        <v>99.36</v>
      </c>
      <c r="D2836" s="14" t="n">
        <f aca="false">AVERAGE(B2817:B2836)</f>
        <v>98.731</v>
      </c>
      <c r="E2836" s="14" t="n">
        <f aca="false">(B2836-D2836)/D2836*100</f>
        <v>0.353485733964007</v>
      </c>
    </row>
    <row r="2837" customFormat="false" ht="15" hidden="false" customHeight="false" outlineLevel="0" collapsed="false">
      <c r="A2837" s="12" t="n">
        <v>46126</v>
      </c>
      <c r="B2837" s="15" t="n">
        <v>91.28</v>
      </c>
      <c r="C2837" s="15" t="n">
        <v>94.79</v>
      </c>
      <c r="D2837" s="14" t="n">
        <f aca="false">AVERAGE(B2818:B2837)</f>
        <v>98.62</v>
      </c>
      <c r="E2837" s="14" t="n">
        <f aca="false">(B2837-D2837)/D2837*100</f>
        <v>-7.44270938957614</v>
      </c>
    </row>
    <row r="2838" customFormat="false" ht="15" hidden="false" customHeight="false" outlineLevel="0" collapsed="false">
      <c r="A2838" s="12" t="n">
        <v>46127</v>
      </c>
      <c r="B2838" s="15" t="n">
        <v>91.29</v>
      </c>
      <c r="C2838" s="15" t="n">
        <v>94.93</v>
      </c>
      <c r="D2838" s="14" t="n">
        <f aca="false">AVERAGE(B2819:B2838)</f>
        <v>98.374</v>
      </c>
      <c r="E2838" s="14" t="n">
        <f aca="false">(B2838-D2838)/D2838*100</f>
        <v>-7.20108971882814</v>
      </c>
    </row>
    <row r="2839" customFormat="false" ht="15" hidden="false" customHeight="false" outlineLevel="0" collapsed="false">
      <c r="A2839" s="12" t="n">
        <v>46128</v>
      </c>
      <c r="B2839" s="15" t="n">
        <v>94.69</v>
      </c>
      <c r="C2839" s="15" t="n">
        <v>99.39</v>
      </c>
      <c r="D2839" s="14" t="n">
        <f aca="false">AVERAGE(B2820:B2839)</f>
        <v>98.2925</v>
      </c>
      <c r="E2839" s="14" t="n">
        <f aca="false">(B2839-D2839)/D2839*100</f>
        <v>-3.66508126255817</v>
      </c>
    </row>
    <row r="2840" customFormat="false" ht="15" hidden="false" customHeight="false" outlineLevel="0" collapsed="false">
      <c r="A2840" s="12" t="n">
        <v>46129</v>
      </c>
      <c r="B2840" s="15" t="n">
        <v>83.85</v>
      </c>
      <c r="C2840" s="15" t="n">
        <v>90.38</v>
      </c>
      <c r="D2840" s="14" t="n">
        <f aca="false">AVERAGE(B2821:B2840)</f>
        <v>97.678</v>
      </c>
      <c r="E2840" s="14" t="n">
        <f aca="false">(B2840-D2840)/D2840*100</f>
        <v>-14.1567190155409</v>
      </c>
    </row>
    <row r="2841" customFormat="false" ht="15" hidden="false" customHeight="false" outlineLevel="0" collapsed="false">
      <c r="A2841" s="12" t="n">
        <v>46132</v>
      </c>
      <c r="B2841" s="15" t="n">
        <v>89.61</v>
      </c>
      <c r="C2841" s="15" t="n">
        <v>95.48</v>
      </c>
      <c r="D2841" s="14" t="n">
        <f aca="false">AVERAGE(B2822:B2841)</f>
        <v>97.2425</v>
      </c>
      <c r="E2841" s="14" t="n">
        <f aca="false">(B2841-D2841)/D2841*100</f>
        <v>-7.84893436511813</v>
      </c>
    </row>
    <row r="2842" customFormat="false" ht="15" hidden="false" customHeight="false" outlineLevel="0" collapsed="false">
      <c r="A2842" s="12" t="n">
        <v>46133</v>
      </c>
      <c r="B2842" s="15" t="n">
        <v>92.13</v>
      </c>
      <c r="C2842" s="15" t="n">
        <v>98.48</v>
      </c>
      <c r="D2842" s="14" t="n">
        <f aca="false">AVERAGE(B2823:B2842)</f>
        <v>97.4425</v>
      </c>
      <c r="E2842" s="14" t="n">
        <f aca="false">(B2842-D2842)/D2842*100</f>
        <v>-5.45193319136927</v>
      </c>
    </row>
    <row r="2843" customFormat="false" ht="15" hidden="false" customHeight="false" outlineLevel="0" collapsed="false">
      <c r="A2843" s="12" t="n">
        <v>46134</v>
      </c>
      <c r="B2843" s="15" t="n">
        <v>92.96</v>
      </c>
      <c r="C2843" s="15" t="n">
        <v>101.91</v>
      </c>
      <c r="D2843" s="14" t="n">
        <f aca="false">AVERAGE(B2824:B2843)</f>
        <v>97.473</v>
      </c>
      <c r="E2843" s="14" t="n">
        <f aca="false">(B2843-D2843)/D2843*100</f>
        <v>-4.63000010259252</v>
      </c>
    </row>
    <row r="2844" customFormat="false" ht="15" hidden="false" customHeight="false" outlineLevel="0" collapsed="false">
      <c r="A2844" s="12" t="n">
        <v>46135</v>
      </c>
      <c r="B2844" s="15" t="n">
        <v>95.85</v>
      </c>
      <c r="C2844" s="15" t="n">
        <v>105.07</v>
      </c>
      <c r="D2844" s="14" t="n">
        <f aca="false">AVERAGE(B2825:B2844)</f>
        <v>97.7495</v>
      </c>
      <c r="E2844" s="14" t="n">
        <f aca="false">(B2844-D2844)/D2844*100</f>
        <v>-1.94323244620177</v>
      </c>
    </row>
    <row r="2845" customFormat="false" ht="15" hidden="false" customHeight="false" outlineLevel="0" collapsed="false">
      <c r="A2845" s="12" t="n">
        <v>46136</v>
      </c>
      <c r="B2845" s="15" t="n">
        <v>94.4</v>
      </c>
      <c r="C2845" s="15" t="n">
        <v>105.33</v>
      </c>
      <c r="D2845" s="14" t="n">
        <f aca="false">AVERAGE(B2826:B2845)</f>
        <v>97.7455</v>
      </c>
      <c r="E2845" s="14" t="n">
        <f aca="false">(B2845-D2845)/D2845*100</f>
        <v>-3.42266395895463</v>
      </c>
    </row>
    <row r="2846" customFormat="false" ht="15" hidden="false" customHeight="false" outlineLevel="0" collapsed="false">
      <c r="A2846" s="12" t="n">
        <v>46139</v>
      </c>
      <c r="B2846" s="15" t="n">
        <v>96.37</v>
      </c>
      <c r="C2846" s="15" t="n">
        <v>108.23</v>
      </c>
      <c r="D2846" s="14" t="n">
        <f aca="false">AVERAGE(B2827:B2846)</f>
        <v>97.582</v>
      </c>
      <c r="E2846" s="14" t="n">
        <f aca="false">(B2846-D2846)/D2846*100</f>
        <v>-1.24203234203028</v>
      </c>
    </row>
    <row r="2847" customFormat="false" ht="15" hidden="false" customHeight="false" outlineLevel="0" collapsed="false">
      <c r="A2847" s="12" t="n">
        <v>46140</v>
      </c>
      <c r="B2847" s="15" t="n">
        <v>99.93</v>
      </c>
      <c r="C2847" s="15" t="n">
        <v>111.26</v>
      </c>
      <c r="D2847" s="14" t="n">
        <f aca="false">AVERAGE(B2828:B2847)</f>
        <v>97.4345</v>
      </c>
      <c r="E2847" s="14" t="n">
        <f aca="false">(B2847-D2847)/D2847*100</f>
        <v>2.56120778574325</v>
      </c>
    </row>
    <row r="2848" customFormat="false" ht="15" hidden="false" customHeight="false" outlineLevel="0" collapsed="false">
      <c r="A2848" s="12" t="n">
        <v>46141</v>
      </c>
      <c r="B2848" s="15" t="n">
        <v>106.88</v>
      </c>
      <c r="C2848" s="15" t="n">
        <v>118.03</v>
      </c>
      <c r="D2848" s="14" t="n">
        <f aca="false">AVERAGE(B2829:B2848)</f>
        <v>97.7095</v>
      </c>
      <c r="E2848" s="14" t="n">
        <f aca="false">(B2848-D2848)/D2848*100</f>
        <v>9.38547428857991</v>
      </c>
    </row>
    <row r="2849" customFormat="false" ht="15" hidden="false" customHeight="false" outlineLevel="0" collapsed="false">
      <c r="A2849" s="12" t="n">
        <v>46142</v>
      </c>
      <c r="B2849" s="15" t="n">
        <v>105.07</v>
      </c>
      <c r="C2849" s="15" t="n">
        <v>114.01</v>
      </c>
      <c r="D2849" s="14" t="n">
        <f aca="false">AVERAGE(B2830:B2849)</f>
        <v>97.957</v>
      </c>
      <c r="E2849" s="14" t="n">
        <f aca="false">(B2849-D2849)/D2849*100</f>
        <v>7.26134936757965</v>
      </c>
    </row>
    <row r="2850" customFormat="false" ht="15" hidden="false" customHeight="false" outlineLevel="0" collapsed="false">
      <c r="A2850" s="12" t="n">
        <v>46143</v>
      </c>
      <c r="B2850" s="15" t="n">
        <v>101.94</v>
      </c>
      <c r="C2850" s="15" t="n">
        <v>108.17</v>
      </c>
      <c r="D2850" s="14" t="n">
        <f aca="false">AVERAGE(B2831:B2850)</f>
        <v>97.477</v>
      </c>
      <c r="E2850" s="14" t="n">
        <f aca="false">(B2850-D2850)/D2850*100</f>
        <v>4.57851595761051</v>
      </c>
    </row>
    <row r="2851" customFormat="false" ht="15" hidden="false" customHeight="false" outlineLevel="0" collapsed="false">
      <c r="A2851" s="12" t="n">
        <v>46146</v>
      </c>
      <c r="B2851" s="15" t="n">
        <v>106.42</v>
      </c>
      <c r="C2851" s="15" t="n">
        <v>114.44</v>
      </c>
      <c r="D2851" s="14" t="n">
        <f aca="false">AVERAGE(B2832:B2851)</f>
        <v>97.1775</v>
      </c>
      <c r="E2851" s="14" t="n">
        <f aca="false">(B2851-D2851)/D2851*100</f>
        <v>9.51094646394485</v>
      </c>
    </row>
    <row r="2852" customFormat="false" ht="15" hidden="false" customHeight="false" outlineLevel="0" collapsed="false">
      <c r="A2852" s="12" t="n">
        <v>46147</v>
      </c>
      <c r="B2852" s="15" t="n">
        <v>102.27</v>
      </c>
      <c r="C2852" s="15" t="n">
        <v>109.87</v>
      </c>
      <c r="D2852" s="14" t="n">
        <f aca="false">AVERAGE(B2833:B2852)</f>
        <v>96.6435</v>
      </c>
      <c r="E2852" s="14" t="n">
        <f aca="false">(B2852-D2852)/D2852*100</f>
        <v>5.82191249282156</v>
      </c>
    </row>
    <row r="2853" customFormat="false" ht="15" hidden="false" customHeight="false" outlineLevel="0" collapsed="false">
      <c r="A2853" s="12" t="n">
        <v>46148</v>
      </c>
      <c r="B2853" s="15" t="n">
        <v>95.08</v>
      </c>
      <c r="C2853" s="15" t="n">
        <v>101.27</v>
      </c>
      <c r="D2853" s="14" t="n">
        <f aca="false">AVERAGE(B2834:B2853)</f>
        <v>96.677</v>
      </c>
      <c r="E2853" s="14" t="n">
        <f aca="false">(B2853-D2853)/D2853*100</f>
        <v>-1.65189238391758</v>
      </c>
    </row>
    <row r="2854" customFormat="false" ht="15" hidden="false" customHeight="false" outlineLevel="0" collapsed="false">
      <c r="A2854" s="12" t="n">
        <v>46149</v>
      </c>
      <c r="B2854" s="15" t="n">
        <v>94.81</v>
      </c>
      <c r="C2854" s="15" t="n">
        <v>100.06</v>
      </c>
      <c r="D2854" s="14" t="n">
        <f aca="false">AVERAGE(B2835:B2854)</f>
        <v>96.524</v>
      </c>
      <c r="E2854" s="14" t="n">
        <f aca="false">(B2854-D2854)/D2854*100</f>
        <v>-1.7757241722266</v>
      </c>
    </row>
    <row r="2855" customFormat="false" ht="15" hidden="false" customHeight="false" outlineLevel="0" collapsed="false">
      <c r="A2855" s="12" t="n">
        <v>46150</v>
      </c>
      <c r="B2855" s="15" t="n">
        <v>95.42</v>
      </c>
      <c r="C2855" s="15" t="n">
        <v>101.29</v>
      </c>
      <c r="D2855" s="14" t="n">
        <f aca="false">AVERAGE(B2836:B2855)</f>
        <v>96.4665</v>
      </c>
      <c r="E2855" s="14" t="n">
        <f aca="false">(B2855-D2855)/D2855*100</f>
        <v>-1.08483255845293</v>
      </c>
    </row>
    <row r="2856" customFormat="false" ht="15" hidden="false" customHeight="false" outlineLevel="0" collapsed="false">
      <c r="A2856" s="12" t="n">
        <v>46153</v>
      </c>
      <c r="B2856" s="15" t="n">
        <v>98.07</v>
      </c>
      <c r="C2856" s="15" t="n">
        <v>104.21</v>
      </c>
      <c r="D2856" s="14" t="n">
        <f aca="false">AVERAGE(B2837:B2856)</f>
        <v>96.416</v>
      </c>
      <c r="E2856" s="14" t="n">
        <f aca="false">(B2856-D2856)/D2856*100</f>
        <v>1.71548290740126</v>
      </c>
    </row>
    <row r="2857" customFormat="false" ht="15" hidden="false" customHeight="false" outlineLevel="0" collapsed="false">
      <c r="A2857" s="12" t="n">
        <v>46154</v>
      </c>
      <c r="B2857" s="15" t="n">
        <v>102.18</v>
      </c>
      <c r="C2857" s="15" t="n">
        <v>107.77</v>
      </c>
      <c r="D2857" s="14" t="n">
        <f aca="false">AVERAGE(B2838:B2857)</f>
        <v>96.961</v>
      </c>
      <c r="E2857" s="14" t="n">
        <f aca="false">(B2857-D2857)/D2857*100</f>
        <v>5.38257649982984</v>
      </c>
    </row>
    <row r="2858" customFormat="false" ht="15" hidden="false" customHeight="false" outlineLevel="0" collapsed="false">
      <c r="A2858" s="12" t="n">
        <v>46155</v>
      </c>
      <c r="B2858" s="15" t="n">
        <v>101.02</v>
      </c>
      <c r="C2858" s="15" t="n">
        <v>105.63</v>
      </c>
      <c r="D2858" s="14" t="n">
        <f aca="false">AVERAGE(B2839:B2858)</f>
        <v>97.4475</v>
      </c>
      <c r="E2858" s="14" t="n">
        <f aca="false">(B2858-D2858)/D2858*100</f>
        <v>3.66607660535159</v>
      </c>
    </row>
    <row r="2859" customFormat="false" ht="15" hidden="false" customHeight="false" outlineLevel="0" collapsed="false">
      <c r="A2859" s="12" t="n">
        <v>46156</v>
      </c>
      <c r="B2859" s="15" t="n">
        <v>101.17</v>
      </c>
      <c r="C2859" s="15" t="n">
        <v>105.72</v>
      </c>
      <c r="D2859" s="14" t="n">
        <f aca="false">AVERAGE(B2840:B2859)</f>
        <v>97.7715</v>
      </c>
      <c r="E2859" s="14" t="n">
        <f aca="false">(B2859-D2859)/D2859*100</f>
        <v>3.47596180891159</v>
      </c>
    </row>
    <row r="2860" customFormat="false" ht="15" hidden="false" customHeight="false" outlineLevel="0" collapsed="false">
      <c r="A2860" s="12" t="n">
        <v>46157</v>
      </c>
      <c r="B2860" s="15" t="n">
        <v>105.42</v>
      </c>
      <c r="C2860" s="15" t="n">
        <v>109.26</v>
      </c>
      <c r="D2860" s="14" t="n">
        <f aca="false">AVERAGE(B2841:B2860)</f>
        <v>98.85</v>
      </c>
      <c r="E2860" s="14" t="n">
        <f aca="false">(B2860-D2860)/D2860*100</f>
        <v>6.6464339908953</v>
      </c>
    </row>
    <row r="2861" customFormat="false" ht="15" hidden="false" customHeight="false" outlineLevel="0" collapsed="false">
      <c r="A2861" s="12" t="n">
        <v>46160</v>
      </c>
      <c r="B2861" s="15" t="n">
        <v>108.66</v>
      </c>
      <c r="C2861" s="15" t="n">
        <v>112.1</v>
      </c>
      <c r="D2861" s="14" t="n">
        <f aca="false">AVERAGE(B2842:B2861)</f>
        <v>99.8025</v>
      </c>
      <c r="E2861" s="14" t="n">
        <f aca="false">(B2861-D2861)/D2861*100</f>
        <v>8.8750281806568</v>
      </c>
    </row>
    <row r="2862" customFormat="false" ht="15" hidden="false" customHeight="false" outlineLevel="0" collapsed="false">
      <c r="A2862" s="12" t="n">
        <v>46161</v>
      </c>
      <c r="B2862" s="15" t="n">
        <v>107.77</v>
      </c>
      <c r="C2862" s="15" t="n">
        <v>111.28</v>
      </c>
      <c r="D2862" s="14" t="n">
        <f aca="false">AVERAGE(B2843:B2862)</f>
        <v>100.5845</v>
      </c>
      <c r="E2862" s="14" t="n">
        <f aca="false">(B2862-D2862)/D2862*100</f>
        <v>7.14374481157633</v>
      </c>
    </row>
    <row r="2863" customFormat="false" ht="15" hidden="false" customHeight="false" outlineLevel="0" collapsed="false">
      <c r="A2863" s="12" t="n">
        <v>46162</v>
      </c>
      <c r="B2863" s="15" t="n">
        <v>98.26</v>
      </c>
      <c r="C2863" s="15" t="n">
        <v>105.02</v>
      </c>
      <c r="D2863" s="14" t="n">
        <f aca="false">AVERAGE(B2844:B2863)</f>
        <v>100.8495</v>
      </c>
      <c r="E2863" s="14" t="n">
        <f aca="false">(B2863-D2863)/D2863*100</f>
        <v>-2.56768749473225</v>
      </c>
    </row>
    <row r="2864" customFormat="false" ht="15" hidden="false" customHeight="false" outlineLevel="0" collapsed="false">
      <c r="A2864" s="12" t="n">
        <v>46163</v>
      </c>
      <c r="B2864" s="15" t="n">
        <v>96.35</v>
      </c>
      <c r="C2864" s="15" t="n">
        <v>102.58</v>
      </c>
      <c r="D2864" s="14" t="n">
        <f aca="false">AVERAGE(B2845:B2864)</f>
        <v>100.8745</v>
      </c>
      <c r="E2864" s="14" t="n">
        <f aca="false">(B2864-D2864)/D2864*100</f>
        <v>-4.48527625911405</v>
      </c>
    </row>
    <row r="2865" customFormat="false" ht="15" hidden="false" customHeight="false" outlineLevel="0" collapsed="false">
      <c r="A2865" s="12" t="n">
        <v>46164</v>
      </c>
      <c r="B2865" s="15" t="n">
        <v>96.6</v>
      </c>
      <c r="C2865" s="15" t="n">
        <v>103.54</v>
      </c>
      <c r="D2865" s="14" t="n">
        <f aca="false">AVERAGE(B2846:B2865)</f>
        <v>100.9845</v>
      </c>
      <c r="E2865" s="14" t="n">
        <f aca="false">(B2865-D2865)/D2865*100</f>
        <v>-4.34175541791067</v>
      </c>
    </row>
    <row r="2866" customFormat="false" ht="15" hidden="false" customHeight="false" outlineLevel="0" collapsed="false">
      <c r="A2866" s="12" t="n">
        <v>46168</v>
      </c>
      <c r="B2866" s="15" t="n">
        <v>93.89</v>
      </c>
      <c r="C2866" s="15" t="n">
        <v>99.58</v>
      </c>
      <c r="D2866" s="14" t="n">
        <f aca="false">AVERAGE(B2847:B2866)</f>
        <v>100.8605</v>
      </c>
      <c r="E2866" s="14" t="n">
        <f aca="false">(B2866-D2866)/D2866*100</f>
        <v>-6.91103058184324</v>
      </c>
    </row>
    <row r="2867" customFormat="false" ht="15" hidden="false" customHeight="false" outlineLevel="0" collapsed="false">
      <c r="A2867" s="12" t="n">
        <v>46169</v>
      </c>
      <c r="B2867" s="15" t="n">
        <v>88.68</v>
      </c>
      <c r="C2867" s="15" t="n">
        <v>94.29</v>
      </c>
      <c r="D2867" s="14" t="n">
        <f aca="false">AVERAGE(B2848:B2867)</f>
        <v>100.298</v>
      </c>
      <c r="E2867" s="14" t="n">
        <f aca="false">(B2867-D2867)/D2867*100</f>
        <v>-11.5834812259467</v>
      </c>
    </row>
    <row r="2868" customFormat="false" ht="15" hidden="false" customHeight="false" outlineLevel="0" collapsed="false">
      <c r="A2868" s="12" t="n">
        <v>46170</v>
      </c>
      <c r="B2868" s="15" t="n">
        <v>88.9</v>
      </c>
      <c r="C2868" s="15" t="n">
        <v>93.71</v>
      </c>
      <c r="D2868" s="14" t="n">
        <f aca="false">AVERAGE(B2849:B2868)</f>
        <v>99.399</v>
      </c>
      <c r="E2868" s="14" t="n">
        <f aca="false">(B2868-D2868)/D2868*100</f>
        <v>-10.5624805078522</v>
      </c>
    </row>
    <row r="2869" customFormat="false" ht="15" hidden="false" customHeight="false" outlineLevel="0" collapsed="false">
      <c r="A2869" s="12" t="n">
        <v>46171</v>
      </c>
      <c r="B2869" s="15" t="n">
        <v>87.36</v>
      </c>
      <c r="C2869" s="15" t="n">
        <v>92.05</v>
      </c>
      <c r="D2869" s="14" t="n">
        <f aca="false">AVERAGE(B2850:B2869)</f>
        <v>98.5135</v>
      </c>
      <c r="E2869" s="14" t="n">
        <f aca="false">(B2869-D2869)/D2869*100</f>
        <v>-11.3217985352261</v>
      </c>
    </row>
    <row r="2870" customFormat="false" ht="15" hidden="false" customHeight="false" outlineLevel="0" collapsed="false">
      <c r="A2870" s="12" t="n">
        <v>46174</v>
      </c>
      <c r="B2870" s="15" t="n">
        <v>92.16</v>
      </c>
      <c r="C2870" s="15" t="n">
        <v>94.98</v>
      </c>
      <c r="D2870" s="14" t="n">
        <f aca="false">AVERAGE(B2851:B2870)</f>
        <v>98.0245</v>
      </c>
      <c r="E2870" s="14" t="n">
        <f aca="false">(B2870-D2870)/D2870*100</f>
        <v>-5.98268800146903</v>
      </c>
    </row>
    <row r="2871" customFormat="false" ht="15" hidden="false" customHeight="false" outlineLevel="0" collapsed="false">
      <c r="A2871" s="12" t="n">
        <v>46175</v>
      </c>
      <c r="B2871" s="15" t="n">
        <v>93.76</v>
      </c>
      <c r="C2871" s="15" t="n">
        <v>96</v>
      </c>
      <c r="D2871" s="14" t="n">
        <f aca="false">AVERAGE(B2852:B2871)</f>
        <v>97.3915</v>
      </c>
      <c r="E2871" s="14" t="n">
        <f aca="false">(B2871-D2871)/D2871*100</f>
        <v>-3.72876483060636</v>
      </c>
    </row>
    <row r="2872" customFormat="false" ht="15" hidden="false" customHeight="false" outlineLevel="0" collapsed="false">
      <c r="A2872" s="12" t="n">
        <v>46176</v>
      </c>
      <c r="B2872" s="15" t="n">
        <v>96.02</v>
      </c>
      <c r="C2872" s="15" t="n">
        <v>97.81</v>
      </c>
      <c r="D2872" s="14" t="n">
        <f aca="false">AVERAGE(B2853:B2872)</f>
        <v>97.079</v>
      </c>
      <c r="E2872" s="14" t="n">
        <f aca="false">(B2872-D2872)/D2872*100</f>
        <v>-1.09086414157542</v>
      </c>
    </row>
    <row r="2873" customFormat="false" ht="15" hidden="false" customHeight="false" outlineLevel="0" collapsed="false">
      <c r="A2873" s="12" t="n">
        <v>46177</v>
      </c>
      <c r="B2873" s="15" t="n">
        <v>93.04</v>
      </c>
      <c r="C2873" s="15" t="n">
        <v>95.03</v>
      </c>
      <c r="D2873" s="14" t="n">
        <f aca="false">AVERAGE(B2854:B2873)</f>
        <v>96.977</v>
      </c>
      <c r="E2873" s="14" t="n">
        <f aca="false">(B2873-D2873)/D2873*100</f>
        <v>-4.05972550192313</v>
      </c>
    </row>
    <row r="2874" customFormat="false" ht="15" hidden="false" customHeight="false" outlineLevel="0" collapsed="false">
      <c r="A2874" s="12" t="n">
        <v>46178</v>
      </c>
      <c r="B2874" s="15" t="n">
        <v>90.54</v>
      </c>
      <c r="C2874" s="15" t="n">
        <v>93.09</v>
      </c>
      <c r="D2874" s="14" t="n">
        <f aca="false">AVERAGE(B2855:B2874)</f>
        <v>96.7635</v>
      </c>
      <c r="E2874" s="14" t="n">
        <f aca="false">(B2874-D2874)/D2874*100</f>
        <v>-6.43166069850717</v>
      </c>
    </row>
    <row r="2875" customFormat="false" ht="15" hidden="false" customHeight="false" outlineLevel="0" collapsed="false">
      <c r="A2875" s="12" t="n">
        <v>46181</v>
      </c>
      <c r="B2875" s="15" t="n">
        <v>91.3</v>
      </c>
      <c r="C2875" s="15" t="n">
        <v>94.25</v>
      </c>
      <c r="D2875" s="14" t="n">
        <f aca="false">AVERAGE(B2856:B2875)</f>
        <v>96.5575</v>
      </c>
      <c r="E2875" s="14" t="n">
        <f aca="false">(B2875-D2875)/D2875*100</f>
        <v>-5.44494213292598</v>
      </c>
    </row>
    <row r="2876" customFormat="false" ht="15" hidden="false" customHeight="false" outlineLevel="0" collapsed="false">
      <c r="A2876" s="12" t="n">
        <v>46182</v>
      </c>
      <c r="B2876" s="15" t="n">
        <v>88.2</v>
      </c>
      <c r="C2876" s="15" t="n">
        <v>91.45</v>
      </c>
      <c r="D2876" s="14" t="n">
        <f aca="false">AVERAGE(B2857:B2876)</f>
        <v>96.064</v>
      </c>
      <c r="E2876" s="14" t="n">
        <f aca="false">(B2876-D2876)/D2876*100</f>
        <v>-8.18620919387074</v>
      </c>
    </row>
    <row r="2877" customFormat="false" ht="15" hidden="false" customHeight="false" outlineLevel="0" collapsed="false">
      <c r="A2877" s="12" t="n">
        <v>46183</v>
      </c>
      <c r="B2877" s="15" t="n">
        <v>90.03</v>
      </c>
      <c r="C2877" s="15" t="n">
        <v>93.1</v>
      </c>
      <c r="D2877" s="14" t="n">
        <f aca="false">AVERAGE(B2858:B2877)</f>
        <v>95.4565</v>
      </c>
      <c r="E2877" s="14" t="n">
        <f aca="false">(B2877-D2877)/D2877*100</f>
        <v>-5.68478835909551</v>
      </c>
    </row>
    <row r="2878" customFormat="false" ht="15" hidden="false" customHeight="false" outlineLevel="0" collapsed="false">
      <c r="A2878" s="12" t="n">
        <v>46184</v>
      </c>
      <c r="B2878" s="15" t="n">
        <v>87.71</v>
      </c>
      <c r="C2878" s="15" t="n">
        <v>90.38</v>
      </c>
      <c r="D2878" s="14" t="n">
        <f aca="false">AVERAGE(B2859:B2878)</f>
        <v>94.791</v>
      </c>
      <c r="E2878" s="14" t="n">
        <f aca="false">(B2878-D2878)/D2878*100</f>
        <v>-7.47011847116288</v>
      </c>
    </row>
    <row r="2879" customFormat="false" ht="15" hidden="false" customHeight="false" outlineLevel="0" collapsed="false">
      <c r="A2879" s="12" t="n">
        <v>46185</v>
      </c>
      <c r="B2879" s="15" t="n">
        <v>84.88</v>
      </c>
      <c r="C2879" s="15" t="n">
        <v>87.33</v>
      </c>
      <c r="D2879" s="14" t="n">
        <f aca="false">AVERAGE(B2860:B2879)</f>
        <v>93.9765</v>
      </c>
      <c r="E2879" s="14" t="n">
        <f aca="false">(B2879-D2879)/D2879*100</f>
        <v>-9.67954754646109</v>
      </c>
    </row>
    <row r="2880" customFormat="false" ht="15" hidden="false" customHeight="false" outlineLevel="0" collapsed="false">
      <c r="A2880" s="12" t="n">
        <v>46188</v>
      </c>
      <c r="B2880" s="15" t="n">
        <v>80.75</v>
      </c>
      <c r="C2880" s="15" t="n">
        <v>83.17</v>
      </c>
      <c r="D2880" s="14" t="n">
        <f aca="false">AVERAGE(B2861:B2880)</f>
        <v>92.743</v>
      </c>
      <c r="E2880" s="14" t="n">
        <f aca="false">(B2880-D2880)/D2880*100</f>
        <v>-12.9314341783207</v>
      </c>
    </row>
    <row r="2881" customFormat="false" ht="15" hidden="false" customHeight="false" outlineLevel="0" collapsed="false">
      <c r="A2881" s="12" t="n">
        <v>46189</v>
      </c>
      <c r="B2881" s="15" t="n">
        <v>76.05</v>
      </c>
      <c r="C2881" s="15" t="n">
        <v>78.96</v>
      </c>
      <c r="D2881" s="14" t="n">
        <f aca="false">AVERAGE(B2862:B2881)</f>
        <v>91.1125</v>
      </c>
      <c r="E2881" s="14" t="n">
        <f aca="false">(B2881-D2881)/D2881*100</f>
        <v>-16.5317601865825</v>
      </c>
    </row>
    <row r="2882" customFormat="false" ht="15" hidden="false" customHeight="false" outlineLevel="0" collapsed="false">
      <c r="A2882" s="12" t="n">
        <v>46190</v>
      </c>
      <c r="B2882" s="15" t="n">
        <v>76.79</v>
      </c>
      <c r="C2882" s="15" t="n">
        <v>79.55</v>
      </c>
      <c r="D2882" s="14" t="n">
        <f aca="false">AVERAGE(B2863:B2882)</f>
        <v>89.5635</v>
      </c>
      <c r="E2882" s="14" t="n">
        <f aca="false">(B2882-D2882)/D2882*100</f>
        <v>-14.2619482266772</v>
      </c>
    </row>
    <row r="2883" customFormat="false" ht="15" hidden="false" customHeight="false" outlineLevel="0" collapsed="false">
      <c r="A2883" s="12" t="n">
        <v>46191</v>
      </c>
      <c r="B2883" s="15" t="n">
        <v>76.6</v>
      </c>
      <c r="C2883" s="15" t="n">
        <v>79.85</v>
      </c>
      <c r="D2883" s="14" t="n">
        <f aca="false">AVERAGE(B2864:B2883)</f>
        <v>88.4805</v>
      </c>
      <c r="E2883" s="14" t="n">
        <f aca="false">(B2883-D2883)/D2883*100</f>
        <v>-13.4272523324348</v>
      </c>
    </row>
    <row r="2884" customFormat="false" ht="15" hidden="false" customHeight="false" outlineLevel="0" collapsed="false">
      <c r="A2884" s="12" t="n">
        <v>46195</v>
      </c>
      <c r="B2884" s="15" t="n">
        <v>74.82</v>
      </c>
      <c r="C2884" s="15" t="n">
        <v>77.9</v>
      </c>
      <c r="D2884" s="14" t="n">
        <f aca="false">AVERAGE(B2865:B2884)</f>
        <v>87.404</v>
      </c>
      <c r="E2884" s="14" t="n">
        <f aca="false">(B2884-D2884)/D2884*100</f>
        <v>-14.3975104114228</v>
      </c>
    </row>
    <row r="2885" customFormat="false" ht="15" hidden="false" customHeight="false" outlineLevel="0" collapsed="false">
      <c r="A2885" s="12" t="n">
        <v>46196</v>
      </c>
      <c r="B2885" s="15" t="n">
        <v>73.21</v>
      </c>
      <c r="C2885" s="15" t="n">
        <v>77.08</v>
      </c>
      <c r="D2885" s="14" t="n">
        <f aca="false">AVERAGE(B2866:B2885)</f>
        <v>86.2345</v>
      </c>
      <c r="E2885" s="14" t="n">
        <f aca="false">(B2885-D2885)/D2885*100</f>
        <v>-15.1035838324569</v>
      </c>
    </row>
    <row r="2886" customFormat="false" ht="15" hidden="false" customHeight="false" outlineLevel="0" collapsed="false">
      <c r="A2886" s="12" t="n">
        <v>46197</v>
      </c>
      <c r="B2886" s="15" t="n">
        <v>70.34</v>
      </c>
      <c r="C2886" s="15" t="n">
        <v>73.74</v>
      </c>
      <c r="D2886" s="14" t="n">
        <f aca="false">AVERAGE(B2867:B2886)</f>
        <v>85.057</v>
      </c>
      <c r="E2886" s="14" t="n">
        <f aca="false">(B2886-D2886)/D2886*100</f>
        <v>-17.3025147842035</v>
      </c>
    </row>
    <row r="2887" customFormat="false" ht="15" hidden="false" customHeight="false" outlineLevel="0" collapsed="false">
      <c r="A2887" s="12" t="n">
        <v>46198</v>
      </c>
      <c r="B2887" s="15" t="n">
        <v>71.92</v>
      </c>
      <c r="C2887" s="15" t="n">
        <v>75.26</v>
      </c>
      <c r="D2887" s="14" t="n">
        <f aca="false">AVERAGE(B2868:B2887)</f>
        <v>84.219</v>
      </c>
      <c r="E2887" s="14" t="n">
        <f aca="false">(B2887-D2887)/D2887*100</f>
        <v>-14.603593013453</v>
      </c>
    </row>
    <row r="2888" customFormat="false" ht="15" hidden="false" customHeight="false" outlineLevel="0" collapsed="false">
      <c r="A2888" s="12" t="n">
        <v>46199</v>
      </c>
      <c r="B2888" s="15" t="n">
        <v>69.23</v>
      </c>
      <c r="C2888" s="15" t="n">
        <v>71.99</v>
      </c>
      <c r="D2888" s="14" t="n">
        <f aca="false">AVERAGE(B2869:B2888)</f>
        <v>83.2355</v>
      </c>
      <c r="E2888" s="14" t="n">
        <f aca="false">(B2888-D2888)/D2888*100</f>
        <v>-16.8263541397601</v>
      </c>
    </row>
    <row r="2889" customFormat="false" ht="15" hidden="false" customHeight="false" outlineLevel="0" collapsed="false">
      <c r="A2889" s="12" t="n">
        <v>46202</v>
      </c>
      <c r="B2889" s="15" t="n">
        <v>70.75</v>
      </c>
      <c r="C2889" s="15" t="n">
        <v>73.15</v>
      </c>
      <c r="D2889" s="14" t="n">
        <f aca="false">AVERAGE(B2870:B2889)</f>
        <v>82.405</v>
      </c>
      <c r="E2889" s="14" t="n">
        <f aca="false">(B2889-D2889)/D2889*100</f>
        <v>-14.1435592500455</v>
      </c>
    </row>
    <row r="2890" customFormat="false" ht="15" hidden="false" customHeight="false" outlineLevel="0" collapsed="false">
      <c r="A2890" s="12" t="n">
        <v>46203</v>
      </c>
      <c r="B2890" s="15" t="n">
        <v>69.5</v>
      </c>
      <c r="C2890" s="15" t="n">
        <v>72.92</v>
      </c>
      <c r="D2890" s="14" t="n">
        <f aca="false">AVERAGE(B2871:B2890)</f>
        <v>81.272</v>
      </c>
      <c r="E2890" s="14" t="n">
        <f aca="false">(B2890-D2890)/D2890*100</f>
        <v>-14.4846933753322</v>
      </c>
    </row>
    <row r="2891" customFormat="false" ht="15" hidden="false" customHeight="false" outlineLevel="0" collapsed="false">
      <c r="A2891" s="12" t="n">
        <v>46204</v>
      </c>
      <c r="B2891" s="15" t="n">
        <v>68.58</v>
      </c>
      <c r="C2891" s="15" t="n">
        <v>71.57</v>
      </c>
      <c r="D2891" s="14" t="n">
        <f aca="false">AVERAGE(B2872:B2891)</f>
        <v>80.013</v>
      </c>
      <c r="E2891" s="14" t="n">
        <f aca="false">(B2891-D2891)/D2891*100</f>
        <v>-14.288928049192</v>
      </c>
    </row>
    <row r="2892" customFormat="false" ht="15" hidden="false" customHeight="false" outlineLevel="0" collapsed="false">
      <c r="A2892" s="12" t="n">
        <v>46205</v>
      </c>
      <c r="B2892" s="15" t="n">
        <v>68.69</v>
      </c>
      <c r="C2892" s="15" t="n">
        <v>71.8</v>
      </c>
      <c r="D2892" s="14" t="n">
        <f aca="false">AVERAGE(B2873:B2892)</f>
        <v>78.6465</v>
      </c>
      <c r="E2892" s="14" t="n">
        <f aca="false">(B2892-D2892)/D2892*100</f>
        <v>-12.6598132148284</v>
      </c>
    </row>
    <row r="2893" customFormat="false" ht="15" hidden="false" customHeight="false" outlineLevel="0" collapsed="false">
      <c r="A2893" s="12" t="n">
        <v>46209</v>
      </c>
      <c r="B2893" s="15" t="n">
        <v>68.55</v>
      </c>
      <c r="C2893" s="15" t="n">
        <v>71.99</v>
      </c>
      <c r="D2893" s="14" t="n">
        <f aca="false">AVERAGE(B2874:B2893)</f>
        <v>77.422</v>
      </c>
      <c r="E2893" s="14" t="n">
        <f aca="false">(B2893-D2893)/D2893*100</f>
        <v>-11.4592751414327</v>
      </c>
    </row>
    <row r="2894" customFormat="false" ht="15" hidden="false" customHeight="false" outlineLevel="0" collapsed="false">
      <c r="A2894" s="12" t="n">
        <v>46210</v>
      </c>
      <c r="B2894" s="15" t="n">
        <v>70.44</v>
      </c>
      <c r="C2894" s="15" t="n">
        <v>74.16</v>
      </c>
      <c r="D2894" s="14" t="n">
        <f aca="false">AVERAGE(B2875:B2894)</f>
        <v>76.417</v>
      </c>
      <c r="E2894" s="14" t="n">
        <f aca="false">(B2894-D2894)/D2894*100</f>
        <v>-7.82155803028123</v>
      </c>
    </row>
    <row r="2895" customFormat="false" ht="15" hidden="false" customHeight="false" outlineLevel="0" collapsed="false">
      <c r="A2895" s="12" t="n">
        <v>46211</v>
      </c>
      <c r="B2895" s="15" t="n">
        <v>73.52</v>
      </c>
      <c r="C2895" s="15" t="n">
        <v>78.02</v>
      </c>
      <c r="D2895" s="14" t="n">
        <f aca="false">AVERAGE(B2876:B2895)</f>
        <v>75.528</v>
      </c>
      <c r="E2895" s="14" t="n">
        <f aca="false">(B2895-D2895)/D2895*100</f>
        <v>-2.65861667196271</v>
      </c>
    </row>
    <row r="2896" customFormat="false" ht="15" hidden="false" customHeight="false" outlineLevel="0" collapsed="false">
      <c r="A2896" s="12" t="n">
        <v>46212</v>
      </c>
      <c r="B2896" s="15" t="n">
        <v>72.08</v>
      </c>
      <c r="C2896" s="15" t="n">
        <v>76.3</v>
      </c>
      <c r="D2896" s="14" t="n">
        <f aca="false">AVERAGE(B2877:B2896)</f>
        <v>74.722</v>
      </c>
      <c r="E2896" s="14" t="n">
        <f aca="false">(B2896-D2896)/D2896*100</f>
        <v>-3.53577259709324</v>
      </c>
    </row>
    <row r="2897" customFormat="false" ht="15" hidden="false" customHeight="false" outlineLevel="0" collapsed="false">
      <c r="A2897" s="12" t="n">
        <v>46213</v>
      </c>
      <c r="B2897" s="15" t="n">
        <v>71.41</v>
      </c>
      <c r="C2897" s="15" t="n">
        <v>76.01</v>
      </c>
      <c r="D2897" s="14" t="n">
        <f aca="false">AVERAGE(B2878:B2897)</f>
        <v>73.791</v>
      </c>
      <c r="E2897" s="14" t="n">
        <f aca="false">(B2897-D2897)/D2897*100</f>
        <v>-3.22668076052635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89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0"/>
    <col collapsed="false" customWidth="true" hidden="false" outlineLevel="0" max="3" min="3" style="0" width="9"/>
    <col collapsed="false" customWidth="true" hidden="false" outlineLevel="0" max="5" min="4" style="0" width="11"/>
    <col collapsed="false" customWidth="true" hidden="false" outlineLevel="0" max="6" min="6" style="0" width="12"/>
    <col collapsed="false" customWidth="true" hidden="false" outlineLevel="0" max="7" min="7" style="0" width="10"/>
    <col collapsed="false" customWidth="true" hidden="false" outlineLevel="0" max="8" min="8" style="0" width="16"/>
    <col collapsed="false" customWidth="true" hidden="false" outlineLevel="0" max="9" min="9" style="0" width="13"/>
    <col collapsed="false" customWidth="true" hidden="false" outlineLevel="0" max="10" min="10" style="0" width="11"/>
  </cols>
  <sheetData>
    <row r="1" customFormat="false" ht="15" hidden="false" customHeight="false" outlineLevel="0" collapsed="false">
      <c r="A1" s="4" t="s">
        <v>3</v>
      </c>
      <c r="B1" s="4" t="s">
        <v>17</v>
      </c>
      <c r="C1" s="4" t="s">
        <v>18</v>
      </c>
      <c r="D1" s="4" t="s">
        <v>19</v>
      </c>
      <c r="E1" s="4" t="s">
        <v>20</v>
      </c>
      <c r="F1" s="4" t="s">
        <v>21</v>
      </c>
      <c r="G1" s="4" t="s">
        <v>22</v>
      </c>
      <c r="H1" s="4" t="s">
        <v>23</v>
      </c>
      <c r="I1" s="4" t="s">
        <v>24</v>
      </c>
      <c r="J1" s="4" t="s">
        <v>25</v>
      </c>
    </row>
    <row r="2" customFormat="false" ht="15" hidden="false" customHeight="false" outlineLevel="0" collapsed="false">
      <c r="A2" s="12" t="n">
        <f aca="false">Data!A2</f>
        <v>42006</v>
      </c>
      <c r="B2" s="14" t="n">
        <f aca="false">Data!B2</f>
        <v>52.69</v>
      </c>
      <c r="C2" s="0" t="str">
        <f aca="false">IF(Data!D2="","HOLD",IF(AND(G1&lt;&gt;"IN",Data!E2&lt;-5),"BUY",IF(AND(G1="IN",Data!E2&gt;0),"SELL","HOLD")))</f>
        <v>HOLD</v>
      </c>
      <c r="D2" s="14" t="str">
        <f aca="false">IF(C2="BUY",B2,IF(G1="IN",D1,""))</f>
        <v/>
      </c>
      <c r="E2" s="14" t="str">
        <f aca="false">IF(C2="SELL",B2,"")</f>
        <v/>
      </c>
      <c r="F2" s="14" t="str">
        <f aca="false">IF(E2="","",(E2-D2)/D2*100)</f>
        <v/>
      </c>
      <c r="G2" s="0" t="str">
        <f aca="false">IF(C2="BUY","IN",IF(C2="SELL","OUT",IF(G1="IN","IN","OUT")))</f>
        <v>OUT</v>
      </c>
      <c r="H2" s="14" t="n">
        <f aca="false">IF(F2="",0,F2)</f>
        <v>0</v>
      </c>
      <c r="I2" s="14" t="n">
        <f aca="false">H2</f>
        <v>0</v>
      </c>
      <c r="J2" s="14" t="n">
        <f aca="false">I2-H2</f>
        <v>0</v>
      </c>
    </row>
    <row r="3" customFormat="false" ht="15" hidden="false" customHeight="false" outlineLevel="0" collapsed="false">
      <c r="A3" s="12" t="n">
        <f aca="false">Data!A3</f>
        <v>42009</v>
      </c>
      <c r="B3" s="14" t="n">
        <f aca="false">Data!B3</f>
        <v>50.04</v>
      </c>
      <c r="C3" s="0" t="str">
        <f aca="false">IF(Data!D3="","HOLD",IF(AND(G2&lt;&gt;"IN",Data!E3&lt;-5),"BUY",IF(AND(G2="IN",Data!E3&gt;0),"SELL","HOLD")))</f>
        <v>HOLD</v>
      </c>
      <c r="D3" s="14" t="str">
        <f aca="false">IF(C3="BUY",B3,IF(G2="IN",D2,""))</f>
        <v/>
      </c>
      <c r="E3" s="14" t="str">
        <f aca="false">IF(C3="SELL",B3,"")</f>
        <v/>
      </c>
      <c r="F3" s="14" t="str">
        <f aca="false">IF(E3="","",(E3-D3)/D3*100)</f>
        <v/>
      </c>
      <c r="G3" s="0" t="str">
        <f aca="false">IF(C3="BUY","IN",IF(C3="SELL","OUT",IF(G2="IN","IN","OUT")))</f>
        <v>OUT</v>
      </c>
      <c r="H3" s="14" t="n">
        <f aca="false">H2+IF(F3="",0,F3)</f>
        <v>0</v>
      </c>
      <c r="I3" s="14" t="n">
        <f aca="false">MAX(I2,H3)</f>
        <v>0</v>
      </c>
      <c r="J3" s="14" t="n">
        <f aca="false">I3-H3</f>
        <v>0</v>
      </c>
    </row>
    <row r="4" customFormat="false" ht="15" hidden="false" customHeight="false" outlineLevel="0" collapsed="false">
      <c r="A4" s="12" t="n">
        <f aca="false">Data!A4</f>
        <v>42010</v>
      </c>
      <c r="B4" s="14" t="n">
        <f aca="false">Data!B4</f>
        <v>47.93</v>
      </c>
      <c r="C4" s="0" t="str">
        <f aca="false">IF(Data!D4="","HOLD",IF(AND(G3&lt;&gt;"IN",Data!E4&lt;-5),"BUY",IF(AND(G3="IN",Data!E4&gt;0),"SELL","HOLD")))</f>
        <v>HOLD</v>
      </c>
      <c r="D4" s="14" t="str">
        <f aca="false">IF(C4="BUY",B4,IF(G3="IN",D3,""))</f>
        <v/>
      </c>
      <c r="E4" s="14" t="str">
        <f aca="false">IF(C4="SELL",B4,"")</f>
        <v/>
      </c>
      <c r="F4" s="14" t="str">
        <f aca="false">IF(E4="","",(E4-D4)/D4*100)</f>
        <v/>
      </c>
      <c r="G4" s="0" t="str">
        <f aca="false">IF(C4="BUY","IN",IF(C4="SELL","OUT",IF(G3="IN","IN","OUT")))</f>
        <v>OUT</v>
      </c>
      <c r="H4" s="14" t="n">
        <f aca="false">H3+IF(F4="",0,F4)</f>
        <v>0</v>
      </c>
      <c r="I4" s="14" t="n">
        <f aca="false">MAX(I3,H4)</f>
        <v>0</v>
      </c>
      <c r="J4" s="14" t="n">
        <f aca="false">I4-H4</f>
        <v>0</v>
      </c>
    </row>
    <row r="5" customFormat="false" ht="15" hidden="false" customHeight="false" outlineLevel="0" collapsed="false">
      <c r="A5" s="12" t="n">
        <f aca="false">Data!A5</f>
        <v>42011</v>
      </c>
      <c r="B5" s="14" t="n">
        <f aca="false">Data!B5</f>
        <v>48.65</v>
      </c>
      <c r="C5" s="0" t="str">
        <f aca="false">IF(Data!D5="","HOLD",IF(AND(G4&lt;&gt;"IN",Data!E5&lt;-5),"BUY",IF(AND(G4="IN",Data!E5&gt;0),"SELL","HOLD")))</f>
        <v>HOLD</v>
      </c>
      <c r="D5" s="14" t="str">
        <f aca="false">IF(C5="BUY",B5,IF(G4="IN",D4,""))</f>
        <v/>
      </c>
      <c r="E5" s="14" t="str">
        <f aca="false">IF(C5="SELL",B5,"")</f>
        <v/>
      </c>
      <c r="F5" s="14" t="str">
        <f aca="false">IF(E5="","",(E5-D5)/D5*100)</f>
        <v/>
      </c>
      <c r="G5" s="0" t="str">
        <f aca="false">IF(C5="BUY","IN",IF(C5="SELL","OUT",IF(G4="IN","IN","OUT")))</f>
        <v>OUT</v>
      </c>
      <c r="H5" s="14" t="n">
        <f aca="false">H4+IF(F5="",0,F5)</f>
        <v>0</v>
      </c>
      <c r="I5" s="14" t="n">
        <f aca="false">MAX(I4,H5)</f>
        <v>0</v>
      </c>
      <c r="J5" s="14" t="n">
        <f aca="false">I5-H5</f>
        <v>0</v>
      </c>
    </row>
    <row r="6" customFormat="false" ht="15" hidden="false" customHeight="false" outlineLevel="0" collapsed="false">
      <c r="A6" s="12" t="n">
        <f aca="false">Data!A6</f>
        <v>42012</v>
      </c>
      <c r="B6" s="14" t="n">
        <f aca="false">Data!B6</f>
        <v>48.79</v>
      </c>
      <c r="C6" s="0" t="str">
        <f aca="false">IF(Data!D6="","HOLD",IF(AND(G5&lt;&gt;"IN",Data!E6&lt;-5),"BUY",IF(AND(G5="IN",Data!E6&gt;0),"SELL","HOLD")))</f>
        <v>HOLD</v>
      </c>
      <c r="D6" s="14" t="str">
        <f aca="false">IF(C6="BUY",B6,IF(G5="IN",D5,""))</f>
        <v/>
      </c>
      <c r="E6" s="14" t="str">
        <f aca="false">IF(C6="SELL",B6,"")</f>
        <v/>
      </c>
      <c r="F6" s="14" t="str">
        <f aca="false">IF(E6="","",(E6-D6)/D6*100)</f>
        <v/>
      </c>
      <c r="G6" s="0" t="str">
        <f aca="false">IF(C6="BUY","IN",IF(C6="SELL","OUT",IF(G5="IN","IN","OUT")))</f>
        <v>OUT</v>
      </c>
      <c r="H6" s="14" t="n">
        <f aca="false">H5+IF(F6="",0,F6)</f>
        <v>0</v>
      </c>
      <c r="I6" s="14" t="n">
        <f aca="false">MAX(I5,H6)</f>
        <v>0</v>
      </c>
      <c r="J6" s="14" t="n">
        <f aca="false">I6-H6</f>
        <v>0</v>
      </c>
    </row>
    <row r="7" customFormat="false" ht="15" hidden="false" customHeight="false" outlineLevel="0" collapsed="false">
      <c r="A7" s="12" t="n">
        <f aca="false">Data!A7</f>
        <v>42013</v>
      </c>
      <c r="B7" s="14" t="n">
        <f aca="false">Data!B7</f>
        <v>48.36</v>
      </c>
      <c r="C7" s="0" t="str">
        <f aca="false">IF(Data!D7="","HOLD",IF(AND(G6&lt;&gt;"IN",Data!E7&lt;-5),"BUY",IF(AND(G6="IN",Data!E7&gt;0),"SELL","HOLD")))</f>
        <v>HOLD</v>
      </c>
      <c r="D7" s="14" t="str">
        <f aca="false">IF(C7="BUY",B7,IF(G6="IN",D6,""))</f>
        <v/>
      </c>
      <c r="E7" s="14" t="str">
        <f aca="false">IF(C7="SELL",B7,"")</f>
        <v/>
      </c>
      <c r="F7" s="14" t="str">
        <f aca="false">IF(E7="","",(E7-D7)/D7*100)</f>
        <v/>
      </c>
      <c r="G7" s="0" t="str">
        <f aca="false">IF(C7="BUY","IN",IF(C7="SELL","OUT",IF(G6="IN","IN","OUT")))</f>
        <v>OUT</v>
      </c>
      <c r="H7" s="14" t="n">
        <f aca="false">H6+IF(F7="",0,F7)</f>
        <v>0</v>
      </c>
      <c r="I7" s="14" t="n">
        <f aca="false">MAX(I6,H7)</f>
        <v>0</v>
      </c>
      <c r="J7" s="14" t="n">
        <f aca="false">I7-H7</f>
        <v>0</v>
      </c>
    </row>
    <row r="8" customFormat="false" ht="15" hidden="false" customHeight="false" outlineLevel="0" collapsed="false">
      <c r="A8" s="12" t="n">
        <f aca="false">Data!A8</f>
        <v>42016</v>
      </c>
      <c r="B8" s="14" t="n">
        <f aca="false">Data!B8</f>
        <v>46.07</v>
      </c>
      <c r="C8" s="0" t="str">
        <f aca="false">IF(Data!D8="","HOLD",IF(AND(G7&lt;&gt;"IN",Data!E8&lt;-5),"BUY",IF(AND(G7="IN",Data!E8&gt;0),"SELL","HOLD")))</f>
        <v>HOLD</v>
      </c>
      <c r="D8" s="14" t="str">
        <f aca="false">IF(C8="BUY",B8,IF(G7="IN",D7,""))</f>
        <v/>
      </c>
      <c r="E8" s="14" t="str">
        <f aca="false">IF(C8="SELL",B8,"")</f>
        <v/>
      </c>
      <c r="F8" s="14" t="str">
        <f aca="false">IF(E8="","",(E8-D8)/D8*100)</f>
        <v/>
      </c>
      <c r="G8" s="0" t="str">
        <f aca="false">IF(C8="BUY","IN",IF(C8="SELL","OUT",IF(G7="IN","IN","OUT")))</f>
        <v>OUT</v>
      </c>
      <c r="H8" s="14" t="n">
        <f aca="false">H7+IF(F8="",0,F8)</f>
        <v>0</v>
      </c>
      <c r="I8" s="14" t="n">
        <f aca="false">MAX(I7,H8)</f>
        <v>0</v>
      </c>
      <c r="J8" s="14" t="n">
        <f aca="false">I8-H8</f>
        <v>0</v>
      </c>
    </row>
    <row r="9" customFormat="false" ht="15" hidden="false" customHeight="false" outlineLevel="0" collapsed="false">
      <c r="A9" s="12" t="n">
        <f aca="false">Data!A9</f>
        <v>42017</v>
      </c>
      <c r="B9" s="14" t="n">
        <f aca="false">Data!B9</f>
        <v>45.89</v>
      </c>
      <c r="C9" s="0" t="str">
        <f aca="false">IF(Data!D9="","HOLD",IF(AND(G8&lt;&gt;"IN",Data!E9&lt;-5),"BUY",IF(AND(G8="IN",Data!E9&gt;0),"SELL","HOLD")))</f>
        <v>HOLD</v>
      </c>
      <c r="D9" s="14" t="str">
        <f aca="false">IF(C9="BUY",B9,IF(G8="IN",D8,""))</f>
        <v/>
      </c>
      <c r="E9" s="14" t="str">
        <f aca="false">IF(C9="SELL",B9,"")</f>
        <v/>
      </c>
      <c r="F9" s="14" t="str">
        <f aca="false">IF(E9="","",(E9-D9)/D9*100)</f>
        <v/>
      </c>
      <c r="G9" s="0" t="str">
        <f aca="false">IF(C9="BUY","IN",IF(C9="SELL","OUT",IF(G8="IN","IN","OUT")))</f>
        <v>OUT</v>
      </c>
      <c r="H9" s="14" t="n">
        <f aca="false">H8+IF(F9="",0,F9)</f>
        <v>0</v>
      </c>
      <c r="I9" s="14" t="n">
        <f aca="false">MAX(I8,H9)</f>
        <v>0</v>
      </c>
      <c r="J9" s="14" t="n">
        <f aca="false">I9-H9</f>
        <v>0</v>
      </c>
    </row>
    <row r="10" customFormat="false" ht="15" hidden="false" customHeight="false" outlineLevel="0" collapsed="false">
      <c r="A10" s="12" t="n">
        <f aca="false">Data!A10</f>
        <v>42018</v>
      </c>
      <c r="B10" s="14" t="n">
        <f aca="false">Data!B10</f>
        <v>48.48</v>
      </c>
      <c r="C10" s="0" t="str">
        <f aca="false">IF(Data!D10="","HOLD",IF(AND(G9&lt;&gt;"IN",Data!E10&lt;-5),"BUY",IF(AND(G9="IN",Data!E10&gt;0),"SELL","HOLD")))</f>
        <v>HOLD</v>
      </c>
      <c r="D10" s="14" t="str">
        <f aca="false">IF(C10="BUY",B10,IF(G9="IN",D9,""))</f>
        <v/>
      </c>
      <c r="E10" s="14" t="str">
        <f aca="false">IF(C10="SELL",B10,"")</f>
        <v/>
      </c>
      <c r="F10" s="14" t="str">
        <f aca="false">IF(E10="","",(E10-D10)/D10*100)</f>
        <v/>
      </c>
      <c r="G10" s="0" t="str">
        <f aca="false">IF(C10="BUY","IN",IF(C10="SELL","OUT",IF(G9="IN","IN","OUT")))</f>
        <v>OUT</v>
      </c>
      <c r="H10" s="14" t="n">
        <f aca="false">H9+IF(F10="",0,F10)</f>
        <v>0</v>
      </c>
      <c r="I10" s="14" t="n">
        <f aca="false">MAX(I9,H10)</f>
        <v>0</v>
      </c>
      <c r="J10" s="14" t="n">
        <f aca="false">I10-H10</f>
        <v>0</v>
      </c>
    </row>
    <row r="11" customFormat="false" ht="15" hidden="false" customHeight="false" outlineLevel="0" collapsed="false">
      <c r="A11" s="12" t="n">
        <f aca="false">Data!A11</f>
        <v>42019</v>
      </c>
      <c r="B11" s="14" t="n">
        <f aca="false">Data!B11</f>
        <v>46.25</v>
      </c>
      <c r="C11" s="0" t="str">
        <f aca="false">IF(Data!D11="","HOLD",IF(AND(G10&lt;&gt;"IN",Data!E11&lt;-5),"BUY",IF(AND(G10="IN",Data!E11&gt;0),"SELL","HOLD")))</f>
        <v>HOLD</v>
      </c>
      <c r="D11" s="14" t="str">
        <f aca="false">IF(C11="BUY",B11,IF(G10="IN",D10,""))</f>
        <v/>
      </c>
      <c r="E11" s="14" t="str">
        <f aca="false">IF(C11="SELL",B11,"")</f>
        <v/>
      </c>
      <c r="F11" s="14" t="str">
        <f aca="false">IF(E11="","",(E11-D11)/D11*100)</f>
        <v/>
      </c>
      <c r="G11" s="0" t="str">
        <f aca="false">IF(C11="BUY","IN",IF(C11="SELL","OUT",IF(G10="IN","IN","OUT")))</f>
        <v>OUT</v>
      </c>
      <c r="H11" s="14" t="n">
        <f aca="false">H10+IF(F11="",0,F11)</f>
        <v>0</v>
      </c>
      <c r="I11" s="14" t="n">
        <f aca="false">MAX(I10,H11)</f>
        <v>0</v>
      </c>
      <c r="J11" s="14" t="n">
        <f aca="false">I11-H11</f>
        <v>0</v>
      </c>
    </row>
    <row r="12" customFormat="false" ht="15" hidden="false" customHeight="false" outlineLevel="0" collapsed="false">
      <c r="A12" s="12" t="n">
        <f aca="false">Data!A12</f>
        <v>42020</v>
      </c>
      <c r="B12" s="14" t="n">
        <f aca="false">Data!B12</f>
        <v>48.69</v>
      </c>
      <c r="C12" s="0" t="str">
        <f aca="false">IF(Data!D12="","HOLD",IF(AND(G11&lt;&gt;"IN",Data!E12&lt;-5),"BUY",IF(AND(G11="IN",Data!E12&gt;0),"SELL","HOLD")))</f>
        <v>HOLD</v>
      </c>
      <c r="D12" s="14" t="str">
        <f aca="false">IF(C12="BUY",B12,IF(G11="IN",D11,""))</f>
        <v/>
      </c>
      <c r="E12" s="14" t="str">
        <f aca="false">IF(C12="SELL",B12,"")</f>
        <v/>
      </c>
      <c r="F12" s="14" t="str">
        <f aca="false">IF(E12="","",(E12-D12)/D12*100)</f>
        <v/>
      </c>
      <c r="G12" s="0" t="str">
        <f aca="false">IF(C12="BUY","IN",IF(C12="SELL","OUT",IF(G11="IN","IN","OUT")))</f>
        <v>OUT</v>
      </c>
      <c r="H12" s="14" t="n">
        <f aca="false">H11+IF(F12="",0,F12)</f>
        <v>0</v>
      </c>
      <c r="I12" s="14" t="n">
        <f aca="false">MAX(I11,H12)</f>
        <v>0</v>
      </c>
      <c r="J12" s="14" t="n">
        <f aca="false">I12-H12</f>
        <v>0</v>
      </c>
    </row>
    <row r="13" customFormat="false" ht="15" hidden="false" customHeight="false" outlineLevel="0" collapsed="false">
      <c r="A13" s="12" t="n">
        <f aca="false">Data!A13</f>
        <v>42024</v>
      </c>
      <c r="B13" s="14" t="n">
        <f aca="false">Data!B13</f>
        <v>46.39</v>
      </c>
      <c r="C13" s="0" t="str">
        <f aca="false">IF(Data!D13="","HOLD",IF(AND(G12&lt;&gt;"IN",Data!E13&lt;-5),"BUY",IF(AND(G12="IN",Data!E13&gt;0),"SELL","HOLD")))</f>
        <v>HOLD</v>
      </c>
      <c r="D13" s="14" t="str">
        <f aca="false">IF(C13="BUY",B13,IF(G12="IN",D12,""))</f>
        <v/>
      </c>
      <c r="E13" s="14" t="str">
        <f aca="false">IF(C13="SELL",B13,"")</f>
        <v/>
      </c>
      <c r="F13" s="14" t="str">
        <f aca="false">IF(E13="","",(E13-D13)/D13*100)</f>
        <v/>
      </c>
      <c r="G13" s="0" t="str">
        <f aca="false">IF(C13="BUY","IN",IF(C13="SELL","OUT",IF(G12="IN","IN","OUT")))</f>
        <v>OUT</v>
      </c>
      <c r="H13" s="14" t="n">
        <f aca="false">H12+IF(F13="",0,F13)</f>
        <v>0</v>
      </c>
      <c r="I13" s="14" t="n">
        <f aca="false">MAX(I12,H13)</f>
        <v>0</v>
      </c>
      <c r="J13" s="14" t="n">
        <f aca="false">I13-H13</f>
        <v>0</v>
      </c>
    </row>
    <row r="14" customFormat="false" ht="15" hidden="false" customHeight="false" outlineLevel="0" collapsed="false">
      <c r="A14" s="12" t="n">
        <f aca="false">Data!A14</f>
        <v>42025</v>
      </c>
      <c r="B14" s="14" t="n">
        <f aca="false">Data!B14</f>
        <v>47.78</v>
      </c>
      <c r="C14" s="0" t="str">
        <f aca="false">IF(Data!D14="","HOLD",IF(AND(G13&lt;&gt;"IN",Data!E14&lt;-5),"BUY",IF(AND(G13="IN",Data!E14&gt;0),"SELL","HOLD")))</f>
        <v>HOLD</v>
      </c>
      <c r="D14" s="14" t="str">
        <f aca="false">IF(C14="BUY",B14,IF(G13="IN",D13,""))</f>
        <v/>
      </c>
      <c r="E14" s="14" t="str">
        <f aca="false">IF(C14="SELL",B14,"")</f>
        <v/>
      </c>
      <c r="F14" s="14" t="str">
        <f aca="false">IF(E14="","",(E14-D14)/D14*100)</f>
        <v/>
      </c>
      <c r="G14" s="0" t="str">
        <f aca="false">IF(C14="BUY","IN",IF(C14="SELL","OUT",IF(G13="IN","IN","OUT")))</f>
        <v>OUT</v>
      </c>
      <c r="H14" s="14" t="n">
        <f aca="false">H13+IF(F14="",0,F14)</f>
        <v>0</v>
      </c>
      <c r="I14" s="14" t="n">
        <f aca="false">MAX(I13,H14)</f>
        <v>0</v>
      </c>
      <c r="J14" s="14" t="n">
        <f aca="false">I14-H14</f>
        <v>0</v>
      </c>
    </row>
    <row r="15" customFormat="false" ht="15" hidden="false" customHeight="false" outlineLevel="0" collapsed="false">
      <c r="A15" s="12" t="n">
        <f aca="false">Data!A15</f>
        <v>42026</v>
      </c>
      <c r="B15" s="14" t="n">
        <f aca="false">Data!B15</f>
        <v>46.31</v>
      </c>
      <c r="C15" s="0" t="str">
        <f aca="false">IF(Data!D15="","HOLD",IF(AND(G14&lt;&gt;"IN",Data!E15&lt;-5),"BUY",IF(AND(G14="IN",Data!E15&gt;0),"SELL","HOLD")))</f>
        <v>HOLD</v>
      </c>
      <c r="D15" s="14" t="str">
        <f aca="false">IF(C15="BUY",B15,IF(G14="IN",D14,""))</f>
        <v/>
      </c>
      <c r="E15" s="14" t="str">
        <f aca="false">IF(C15="SELL",B15,"")</f>
        <v/>
      </c>
      <c r="F15" s="14" t="str">
        <f aca="false">IF(E15="","",(E15-D15)/D15*100)</f>
        <v/>
      </c>
      <c r="G15" s="0" t="str">
        <f aca="false">IF(C15="BUY","IN",IF(C15="SELL","OUT",IF(G14="IN","IN","OUT")))</f>
        <v>OUT</v>
      </c>
      <c r="H15" s="14" t="n">
        <f aca="false">H14+IF(F15="",0,F15)</f>
        <v>0</v>
      </c>
      <c r="I15" s="14" t="n">
        <f aca="false">MAX(I14,H15)</f>
        <v>0</v>
      </c>
      <c r="J15" s="14" t="n">
        <f aca="false">I15-H15</f>
        <v>0</v>
      </c>
    </row>
    <row r="16" customFormat="false" ht="15" hidden="false" customHeight="false" outlineLevel="0" collapsed="false">
      <c r="A16" s="12" t="n">
        <f aca="false">Data!A16</f>
        <v>42027</v>
      </c>
      <c r="B16" s="14" t="n">
        <f aca="false">Data!B16</f>
        <v>45.59</v>
      </c>
      <c r="C16" s="0" t="str">
        <f aca="false">IF(Data!D16="","HOLD",IF(AND(G15&lt;&gt;"IN",Data!E16&lt;-5),"BUY",IF(AND(G15="IN",Data!E16&gt;0),"SELL","HOLD")))</f>
        <v>HOLD</v>
      </c>
      <c r="D16" s="14" t="str">
        <f aca="false">IF(C16="BUY",B16,IF(G15="IN",D15,""))</f>
        <v/>
      </c>
      <c r="E16" s="14" t="str">
        <f aca="false">IF(C16="SELL",B16,"")</f>
        <v/>
      </c>
      <c r="F16" s="14" t="str">
        <f aca="false">IF(E16="","",(E16-D16)/D16*100)</f>
        <v/>
      </c>
      <c r="G16" s="0" t="str">
        <f aca="false">IF(C16="BUY","IN",IF(C16="SELL","OUT",IF(G15="IN","IN","OUT")))</f>
        <v>OUT</v>
      </c>
      <c r="H16" s="14" t="n">
        <f aca="false">H15+IF(F16="",0,F16)</f>
        <v>0</v>
      </c>
      <c r="I16" s="14" t="n">
        <f aca="false">MAX(I15,H16)</f>
        <v>0</v>
      </c>
      <c r="J16" s="14" t="n">
        <f aca="false">I16-H16</f>
        <v>0</v>
      </c>
    </row>
    <row r="17" customFormat="false" ht="15" hidden="false" customHeight="false" outlineLevel="0" collapsed="false">
      <c r="A17" s="12" t="n">
        <f aca="false">Data!A17</f>
        <v>42030</v>
      </c>
      <c r="B17" s="14" t="n">
        <f aca="false">Data!B17</f>
        <v>45.15</v>
      </c>
      <c r="C17" s="0" t="str">
        <f aca="false">IF(Data!D17="","HOLD",IF(AND(G16&lt;&gt;"IN",Data!E17&lt;-5),"BUY",IF(AND(G16="IN",Data!E17&gt;0),"SELL","HOLD")))</f>
        <v>HOLD</v>
      </c>
      <c r="D17" s="14" t="str">
        <f aca="false">IF(C17="BUY",B17,IF(G16="IN",D16,""))</f>
        <v/>
      </c>
      <c r="E17" s="14" t="str">
        <f aca="false">IF(C17="SELL",B17,"")</f>
        <v/>
      </c>
      <c r="F17" s="14" t="str">
        <f aca="false">IF(E17="","",(E17-D17)/D17*100)</f>
        <v/>
      </c>
      <c r="G17" s="0" t="str">
        <f aca="false">IF(C17="BUY","IN",IF(C17="SELL","OUT",IF(G16="IN","IN","OUT")))</f>
        <v>OUT</v>
      </c>
      <c r="H17" s="14" t="n">
        <f aca="false">H16+IF(F17="",0,F17)</f>
        <v>0</v>
      </c>
      <c r="I17" s="14" t="n">
        <f aca="false">MAX(I16,H17)</f>
        <v>0</v>
      </c>
      <c r="J17" s="14" t="n">
        <f aca="false">I17-H17</f>
        <v>0</v>
      </c>
    </row>
    <row r="18" customFormat="false" ht="15" hidden="false" customHeight="false" outlineLevel="0" collapsed="false">
      <c r="A18" s="12" t="n">
        <f aca="false">Data!A18</f>
        <v>42031</v>
      </c>
      <c r="B18" s="14" t="n">
        <f aca="false">Data!B18</f>
        <v>46.23</v>
      </c>
      <c r="C18" s="0" t="str">
        <f aca="false">IF(Data!D18="","HOLD",IF(AND(G17&lt;&gt;"IN",Data!E18&lt;-5),"BUY",IF(AND(G17="IN",Data!E18&gt;0),"SELL","HOLD")))</f>
        <v>HOLD</v>
      </c>
      <c r="D18" s="14" t="str">
        <f aca="false">IF(C18="BUY",B18,IF(G17="IN",D17,""))</f>
        <v/>
      </c>
      <c r="E18" s="14" t="str">
        <f aca="false">IF(C18="SELL",B18,"")</f>
        <v/>
      </c>
      <c r="F18" s="14" t="str">
        <f aca="false">IF(E18="","",(E18-D18)/D18*100)</f>
        <v/>
      </c>
      <c r="G18" s="0" t="str">
        <f aca="false">IF(C18="BUY","IN",IF(C18="SELL","OUT",IF(G17="IN","IN","OUT")))</f>
        <v>OUT</v>
      </c>
      <c r="H18" s="14" t="n">
        <f aca="false">H17+IF(F18="",0,F18)</f>
        <v>0</v>
      </c>
      <c r="I18" s="14" t="n">
        <f aca="false">MAX(I17,H18)</f>
        <v>0</v>
      </c>
      <c r="J18" s="14" t="n">
        <f aca="false">I18-H18</f>
        <v>0</v>
      </c>
    </row>
    <row r="19" customFormat="false" ht="15" hidden="false" customHeight="false" outlineLevel="0" collapsed="false">
      <c r="A19" s="12" t="n">
        <f aca="false">Data!A19</f>
        <v>42032</v>
      </c>
      <c r="B19" s="14" t="n">
        <f aca="false">Data!B19</f>
        <v>44.45</v>
      </c>
      <c r="C19" s="0" t="str">
        <f aca="false">IF(Data!D19="","HOLD",IF(AND(G18&lt;&gt;"IN",Data!E19&lt;-5),"BUY",IF(AND(G18="IN",Data!E19&gt;0),"SELL","HOLD")))</f>
        <v>HOLD</v>
      </c>
      <c r="D19" s="14" t="str">
        <f aca="false">IF(C19="BUY",B19,IF(G18="IN",D18,""))</f>
        <v/>
      </c>
      <c r="E19" s="14" t="str">
        <f aca="false">IF(C19="SELL",B19,"")</f>
        <v/>
      </c>
      <c r="F19" s="14" t="str">
        <f aca="false">IF(E19="","",(E19-D19)/D19*100)</f>
        <v/>
      </c>
      <c r="G19" s="0" t="str">
        <f aca="false">IF(C19="BUY","IN",IF(C19="SELL","OUT",IF(G18="IN","IN","OUT")))</f>
        <v>OUT</v>
      </c>
      <c r="H19" s="14" t="n">
        <f aca="false">H18+IF(F19="",0,F19)</f>
        <v>0</v>
      </c>
      <c r="I19" s="14" t="n">
        <f aca="false">MAX(I18,H19)</f>
        <v>0</v>
      </c>
      <c r="J19" s="14" t="n">
        <f aca="false">I19-H19</f>
        <v>0</v>
      </c>
    </row>
    <row r="20" customFormat="false" ht="15" hidden="false" customHeight="false" outlineLevel="0" collapsed="false">
      <c r="A20" s="12" t="n">
        <f aca="false">Data!A20</f>
        <v>42033</v>
      </c>
      <c r="B20" s="14" t="n">
        <f aca="false">Data!B20</f>
        <v>44.53</v>
      </c>
      <c r="C20" s="0" t="str">
        <f aca="false">IF(Data!D20="","HOLD",IF(AND(G19&lt;&gt;"IN",Data!E20&lt;-5),"BUY",IF(AND(G19="IN",Data!E20&gt;0),"SELL","HOLD")))</f>
        <v>HOLD</v>
      </c>
      <c r="D20" s="14" t="str">
        <f aca="false">IF(C20="BUY",B20,IF(G19="IN",D19,""))</f>
        <v/>
      </c>
      <c r="E20" s="14" t="str">
        <f aca="false">IF(C20="SELL",B20,"")</f>
        <v/>
      </c>
      <c r="F20" s="14" t="str">
        <f aca="false">IF(E20="","",(E20-D20)/D20*100)</f>
        <v/>
      </c>
      <c r="G20" s="0" t="str">
        <f aca="false">IF(C20="BUY","IN",IF(C20="SELL","OUT",IF(G19="IN","IN","OUT")))</f>
        <v>OUT</v>
      </c>
      <c r="H20" s="14" t="n">
        <f aca="false">H19+IF(F20="",0,F20)</f>
        <v>0</v>
      </c>
      <c r="I20" s="14" t="n">
        <f aca="false">MAX(I19,H20)</f>
        <v>0</v>
      </c>
      <c r="J20" s="14" t="n">
        <f aca="false">I20-H20</f>
        <v>0</v>
      </c>
    </row>
    <row r="21" customFormat="false" ht="15" hidden="false" customHeight="false" outlineLevel="0" collapsed="false">
      <c r="A21" s="12" t="n">
        <f aca="false">Data!A21</f>
        <v>42034</v>
      </c>
      <c r="B21" s="14" t="n">
        <f aca="false">Data!B21</f>
        <v>48.24</v>
      </c>
      <c r="C21" s="0" t="str">
        <f aca="false">IF(Data!D21="","HOLD",IF(AND(G20&lt;&gt;"IN",Data!E21&lt;-5),"BUY",IF(AND(G20="IN",Data!E21&gt;0),"SELL","HOLD")))</f>
        <v>HOLD</v>
      </c>
      <c r="D21" s="14" t="str">
        <f aca="false">IF(C21="BUY",B21,IF(G20="IN",D20,""))</f>
        <v/>
      </c>
      <c r="E21" s="14" t="str">
        <f aca="false">IF(C21="SELL",B21,"")</f>
        <v/>
      </c>
      <c r="F21" s="14" t="str">
        <f aca="false">IF(E21="","",(E21-D21)/D21*100)</f>
        <v/>
      </c>
      <c r="G21" s="0" t="str">
        <f aca="false">IF(C21="BUY","IN",IF(C21="SELL","OUT",IF(G20="IN","IN","OUT")))</f>
        <v>OUT</v>
      </c>
      <c r="H21" s="14" t="n">
        <f aca="false">H20+IF(F21="",0,F21)</f>
        <v>0</v>
      </c>
      <c r="I21" s="14" t="n">
        <f aca="false">MAX(I20,H21)</f>
        <v>0</v>
      </c>
      <c r="J21" s="14" t="n">
        <f aca="false">I21-H21</f>
        <v>0</v>
      </c>
    </row>
    <row r="22" customFormat="false" ht="15" hidden="false" customHeight="false" outlineLevel="0" collapsed="false">
      <c r="A22" s="12" t="n">
        <f aca="false">Data!A22</f>
        <v>42037</v>
      </c>
      <c r="B22" s="14" t="n">
        <f aca="false">Data!B22</f>
        <v>49.57</v>
      </c>
      <c r="C22" s="0" t="str">
        <f aca="false">IF(Data!D22="","HOLD",IF(AND(G21&lt;&gt;"IN",Data!E22&lt;-5),"BUY",IF(AND(G21="IN",Data!E22&gt;0),"SELL","HOLD")))</f>
        <v>HOLD</v>
      </c>
      <c r="D22" s="14" t="str">
        <f aca="false">IF(C22="BUY",B22,IF(G21="IN",D21,""))</f>
        <v/>
      </c>
      <c r="E22" s="14" t="str">
        <f aca="false">IF(C22="SELL",B22,"")</f>
        <v/>
      </c>
      <c r="F22" s="14" t="str">
        <f aca="false">IF(E22="","",(E22-D22)/D22*100)</f>
        <v/>
      </c>
      <c r="G22" s="0" t="str">
        <f aca="false">IF(C22="BUY","IN",IF(C22="SELL","OUT",IF(G21="IN","IN","OUT")))</f>
        <v>OUT</v>
      </c>
      <c r="H22" s="14" t="n">
        <f aca="false">H21+IF(F22="",0,F22)</f>
        <v>0</v>
      </c>
      <c r="I22" s="14" t="n">
        <f aca="false">MAX(I21,H22)</f>
        <v>0</v>
      </c>
      <c r="J22" s="14" t="n">
        <f aca="false">I22-H22</f>
        <v>0</v>
      </c>
    </row>
    <row r="23" customFormat="false" ht="15" hidden="false" customHeight="false" outlineLevel="0" collapsed="false">
      <c r="A23" s="12" t="n">
        <f aca="false">Data!A23</f>
        <v>42038</v>
      </c>
      <c r="B23" s="14" t="n">
        <f aca="false">Data!B23</f>
        <v>53.05</v>
      </c>
      <c r="C23" s="0" t="str">
        <f aca="false">IF(Data!D23="","HOLD",IF(AND(G22&lt;&gt;"IN",Data!E23&lt;-5),"BUY",IF(AND(G22="IN",Data!E23&gt;0),"SELL","HOLD")))</f>
        <v>HOLD</v>
      </c>
      <c r="D23" s="14" t="str">
        <f aca="false">IF(C23="BUY",B23,IF(G22="IN",D22,""))</f>
        <v/>
      </c>
      <c r="E23" s="14" t="str">
        <f aca="false">IF(C23="SELL",B23,"")</f>
        <v/>
      </c>
      <c r="F23" s="14" t="str">
        <f aca="false">IF(E23="","",(E23-D23)/D23*100)</f>
        <v/>
      </c>
      <c r="G23" s="0" t="str">
        <f aca="false">IF(C23="BUY","IN",IF(C23="SELL","OUT",IF(G22="IN","IN","OUT")))</f>
        <v>OUT</v>
      </c>
      <c r="H23" s="14" t="n">
        <f aca="false">H22+IF(F23="",0,F23)</f>
        <v>0</v>
      </c>
      <c r="I23" s="14" t="n">
        <f aca="false">MAX(I22,H23)</f>
        <v>0</v>
      </c>
      <c r="J23" s="14" t="n">
        <f aca="false">I23-H23</f>
        <v>0</v>
      </c>
    </row>
    <row r="24" customFormat="false" ht="15" hidden="false" customHeight="false" outlineLevel="0" collapsed="false">
      <c r="A24" s="12" t="n">
        <f aca="false">Data!A24</f>
        <v>42039</v>
      </c>
      <c r="B24" s="14" t="n">
        <f aca="false">Data!B24</f>
        <v>48.45</v>
      </c>
      <c r="C24" s="0" t="str">
        <f aca="false">IF(Data!D24="","HOLD",IF(AND(G23&lt;&gt;"IN",Data!E24&lt;-5),"BUY",IF(AND(G23="IN",Data!E24&gt;0),"SELL","HOLD")))</f>
        <v>HOLD</v>
      </c>
      <c r="D24" s="14" t="str">
        <f aca="false">IF(C24="BUY",B24,IF(G23="IN",D23,""))</f>
        <v/>
      </c>
      <c r="E24" s="14" t="str">
        <f aca="false">IF(C24="SELL",B24,"")</f>
        <v/>
      </c>
      <c r="F24" s="14" t="str">
        <f aca="false">IF(E24="","",(E24-D24)/D24*100)</f>
        <v/>
      </c>
      <c r="G24" s="0" t="str">
        <f aca="false">IF(C24="BUY","IN",IF(C24="SELL","OUT",IF(G23="IN","IN","OUT")))</f>
        <v>OUT</v>
      </c>
      <c r="H24" s="14" t="n">
        <f aca="false">H23+IF(F24="",0,F24)</f>
        <v>0</v>
      </c>
      <c r="I24" s="14" t="n">
        <f aca="false">MAX(I23,H24)</f>
        <v>0</v>
      </c>
      <c r="J24" s="14" t="n">
        <f aca="false">I24-H24</f>
        <v>0</v>
      </c>
    </row>
    <row r="25" customFormat="false" ht="15" hidden="false" customHeight="false" outlineLevel="0" collapsed="false">
      <c r="A25" s="12" t="n">
        <f aca="false">Data!A25</f>
        <v>42040</v>
      </c>
      <c r="B25" s="14" t="n">
        <f aca="false">Data!B25</f>
        <v>50.48</v>
      </c>
      <c r="C25" s="0" t="str">
        <f aca="false">IF(Data!D25="","HOLD",IF(AND(G24&lt;&gt;"IN",Data!E25&lt;-5),"BUY",IF(AND(G24="IN",Data!E25&gt;0),"SELL","HOLD")))</f>
        <v>HOLD</v>
      </c>
      <c r="D25" s="14" t="str">
        <f aca="false">IF(C25="BUY",B25,IF(G24="IN",D24,""))</f>
        <v/>
      </c>
      <c r="E25" s="14" t="str">
        <f aca="false">IF(C25="SELL",B25,"")</f>
        <v/>
      </c>
      <c r="F25" s="14" t="str">
        <f aca="false">IF(E25="","",(E25-D25)/D25*100)</f>
        <v/>
      </c>
      <c r="G25" s="0" t="str">
        <f aca="false">IF(C25="BUY","IN",IF(C25="SELL","OUT",IF(G24="IN","IN","OUT")))</f>
        <v>OUT</v>
      </c>
      <c r="H25" s="14" t="n">
        <f aca="false">H24+IF(F25="",0,F25)</f>
        <v>0</v>
      </c>
      <c r="I25" s="14" t="n">
        <f aca="false">MAX(I24,H25)</f>
        <v>0</v>
      </c>
      <c r="J25" s="14" t="n">
        <f aca="false">I25-H25</f>
        <v>0</v>
      </c>
    </row>
    <row r="26" customFormat="false" ht="15" hidden="false" customHeight="false" outlineLevel="0" collapsed="false">
      <c r="A26" s="12" t="n">
        <f aca="false">Data!A26</f>
        <v>42041</v>
      </c>
      <c r="B26" s="14" t="n">
        <f aca="false">Data!B26</f>
        <v>51.69</v>
      </c>
      <c r="C26" s="0" t="str">
        <f aca="false">IF(Data!D26="","HOLD",IF(AND(G25&lt;&gt;"IN",Data!E26&lt;-5),"BUY",IF(AND(G25="IN",Data!E26&gt;0),"SELL","HOLD")))</f>
        <v>HOLD</v>
      </c>
      <c r="D26" s="14" t="str">
        <f aca="false">IF(C26="BUY",B26,IF(G25="IN",D25,""))</f>
        <v/>
      </c>
      <c r="E26" s="14" t="str">
        <f aca="false">IF(C26="SELL",B26,"")</f>
        <v/>
      </c>
      <c r="F26" s="14" t="str">
        <f aca="false">IF(E26="","",(E26-D26)/D26*100)</f>
        <v/>
      </c>
      <c r="G26" s="0" t="str">
        <f aca="false">IF(C26="BUY","IN",IF(C26="SELL","OUT",IF(G25="IN","IN","OUT")))</f>
        <v>OUT</v>
      </c>
      <c r="H26" s="14" t="n">
        <f aca="false">H25+IF(F26="",0,F26)</f>
        <v>0</v>
      </c>
      <c r="I26" s="14" t="n">
        <f aca="false">MAX(I25,H26)</f>
        <v>0</v>
      </c>
      <c r="J26" s="14" t="n">
        <f aca="false">I26-H26</f>
        <v>0</v>
      </c>
    </row>
    <row r="27" customFormat="false" ht="15" hidden="false" customHeight="false" outlineLevel="0" collapsed="false">
      <c r="A27" s="12" t="n">
        <f aca="false">Data!A27</f>
        <v>42044</v>
      </c>
      <c r="B27" s="14" t="n">
        <f aca="false">Data!B27</f>
        <v>52.86</v>
      </c>
      <c r="C27" s="0" t="str">
        <f aca="false">IF(Data!D27="","HOLD",IF(AND(G26&lt;&gt;"IN",Data!E27&lt;-5),"BUY",IF(AND(G26="IN",Data!E27&gt;0),"SELL","HOLD")))</f>
        <v>HOLD</v>
      </c>
      <c r="D27" s="14" t="str">
        <f aca="false">IF(C27="BUY",B27,IF(G26="IN",D26,""))</f>
        <v/>
      </c>
      <c r="E27" s="14" t="str">
        <f aca="false">IF(C27="SELL",B27,"")</f>
        <v/>
      </c>
      <c r="F27" s="14" t="str">
        <f aca="false">IF(E27="","",(E27-D27)/D27*100)</f>
        <v/>
      </c>
      <c r="G27" s="0" t="str">
        <f aca="false">IF(C27="BUY","IN",IF(C27="SELL","OUT",IF(G26="IN","IN","OUT")))</f>
        <v>OUT</v>
      </c>
      <c r="H27" s="14" t="n">
        <f aca="false">H26+IF(F27="",0,F27)</f>
        <v>0</v>
      </c>
      <c r="I27" s="14" t="n">
        <f aca="false">MAX(I26,H27)</f>
        <v>0</v>
      </c>
      <c r="J27" s="14" t="n">
        <f aca="false">I27-H27</f>
        <v>0</v>
      </c>
    </row>
    <row r="28" customFormat="false" ht="15" hidden="false" customHeight="false" outlineLevel="0" collapsed="false">
      <c r="A28" s="12" t="n">
        <f aca="false">Data!A28</f>
        <v>42045</v>
      </c>
      <c r="B28" s="14" t="n">
        <f aca="false">Data!B28</f>
        <v>50.02</v>
      </c>
      <c r="C28" s="0" t="str">
        <f aca="false">IF(Data!D28="","HOLD",IF(AND(G27&lt;&gt;"IN",Data!E28&lt;-5),"BUY",IF(AND(G27="IN",Data!E28&gt;0),"SELL","HOLD")))</f>
        <v>HOLD</v>
      </c>
      <c r="D28" s="14" t="str">
        <f aca="false">IF(C28="BUY",B28,IF(G27="IN",D27,""))</f>
        <v/>
      </c>
      <c r="E28" s="14" t="str">
        <f aca="false">IF(C28="SELL",B28,"")</f>
        <v/>
      </c>
      <c r="F28" s="14" t="str">
        <f aca="false">IF(E28="","",(E28-D28)/D28*100)</f>
        <v/>
      </c>
      <c r="G28" s="0" t="str">
        <f aca="false">IF(C28="BUY","IN",IF(C28="SELL","OUT",IF(G27="IN","IN","OUT")))</f>
        <v>OUT</v>
      </c>
      <c r="H28" s="14" t="n">
        <f aca="false">H27+IF(F28="",0,F28)</f>
        <v>0</v>
      </c>
      <c r="I28" s="14" t="n">
        <f aca="false">MAX(I27,H28)</f>
        <v>0</v>
      </c>
      <c r="J28" s="14" t="n">
        <f aca="false">I28-H28</f>
        <v>0</v>
      </c>
    </row>
    <row r="29" customFormat="false" ht="15" hidden="false" customHeight="false" outlineLevel="0" collapsed="false">
      <c r="A29" s="12" t="n">
        <f aca="false">Data!A29</f>
        <v>42046</v>
      </c>
      <c r="B29" s="14" t="n">
        <f aca="false">Data!B29</f>
        <v>48.84</v>
      </c>
      <c r="C29" s="0" t="str">
        <f aca="false">IF(Data!D29="","HOLD",IF(AND(G28&lt;&gt;"IN",Data!E29&lt;-5),"BUY",IF(AND(G28="IN",Data!E29&gt;0),"SELL","HOLD")))</f>
        <v>HOLD</v>
      </c>
      <c r="D29" s="14" t="str">
        <f aca="false">IF(C29="BUY",B29,IF(G28="IN",D28,""))</f>
        <v/>
      </c>
      <c r="E29" s="14" t="str">
        <f aca="false">IF(C29="SELL",B29,"")</f>
        <v/>
      </c>
      <c r="F29" s="14" t="str">
        <f aca="false">IF(E29="","",(E29-D29)/D29*100)</f>
        <v/>
      </c>
      <c r="G29" s="0" t="str">
        <f aca="false">IF(C29="BUY","IN",IF(C29="SELL","OUT",IF(G28="IN","IN","OUT")))</f>
        <v>OUT</v>
      </c>
      <c r="H29" s="14" t="n">
        <f aca="false">H28+IF(F29="",0,F29)</f>
        <v>0</v>
      </c>
      <c r="I29" s="14" t="n">
        <f aca="false">MAX(I28,H29)</f>
        <v>0</v>
      </c>
      <c r="J29" s="14" t="n">
        <f aca="false">I29-H29</f>
        <v>0</v>
      </c>
    </row>
    <row r="30" customFormat="false" ht="15" hidden="false" customHeight="false" outlineLevel="0" collapsed="false">
      <c r="A30" s="12" t="n">
        <f aca="false">Data!A30</f>
        <v>42047</v>
      </c>
      <c r="B30" s="14" t="n">
        <f aca="false">Data!B30</f>
        <v>51.21</v>
      </c>
      <c r="C30" s="0" t="str">
        <f aca="false">IF(Data!D30="","HOLD",IF(AND(G29&lt;&gt;"IN",Data!E30&lt;-5),"BUY",IF(AND(G29="IN",Data!E30&gt;0),"SELL","HOLD")))</f>
        <v>HOLD</v>
      </c>
      <c r="D30" s="14" t="str">
        <f aca="false">IF(C30="BUY",B30,IF(G29="IN",D29,""))</f>
        <v/>
      </c>
      <c r="E30" s="14" t="str">
        <f aca="false">IF(C30="SELL",B30,"")</f>
        <v/>
      </c>
      <c r="F30" s="14" t="str">
        <f aca="false">IF(E30="","",(E30-D30)/D30*100)</f>
        <v/>
      </c>
      <c r="G30" s="0" t="str">
        <f aca="false">IF(C30="BUY","IN",IF(C30="SELL","OUT",IF(G29="IN","IN","OUT")))</f>
        <v>OUT</v>
      </c>
      <c r="H30" s="14" t="n">
        <f aca="false">H29+IF(F30="",0,F30)</f>
        <v>0</v>
      </c>
      <c r="I30" s="14" t="n">
        <f aca="false">MAX(I29,H30)</f>
        <v>0</v>
      </c>
      <c r="J30" s="14" t="n">
        <f aca="false">I30-H30</f>
        <v>0</v>
      </c>
    </row>
    <row r="31" customFormat="false" ht="15" hidden="false" customHeight="false" outlineLevel="0" collapsed="false">
      <c r="A31" s="12" t="n">
        <f aca="false">Data!A31</f>
        <v>42048</v>
      </c>
      <c r="B31" s="14" t="n">
        <f aca="false">Data!B31</f>
        <v>52.78</v>
      </c>
      <c r="C31" s="0" t="str">
        <f aca="false">IF(Data!D31="","HOLD",IF(AND(G30&lt;&gt;"IN",Data!E31&lt;-5),"BUY",IF(AND(G30="IN",Data!E31&gt;0),"SELL","HOLD")))</f>
        <v>HOLD</v>
      </c>
      <c r="D31" s="14" t="str">
        <f aca="false">IF(C31="BUY",B31,IF(G30="IN",D30,""))</f>
        <v/>
      </c>
      <c r="E31" s="14" t="str">
        <f aca="false">IF(C31="SELL",B31,"")</f>
        <v/>
      </c>
      <c r="F31" s="14" t="str">
        <f aca="false">IF(E31="","",(E31-D31)/D31*100)</f>
        <v/>
      </c>
      <c r="G31" s="0" t="str">
        <f aca="false">IF(C31="BUY","IN",IF(C31="SELL","OUT",IF(G30="IN","IN","OUT")))</f>
        <v>OUT</v>
      </c>
      <c r="H31" s="14" t="n">
        <f aca="false">H30+IF(F31="",0,F31)</f>
        <v>0</v>
      </c>
      <c r="I31" s="14" t="n">
        <f aca="false">MAX(I30,H31)</f>
        <v>0</v>
      </c>
      <c r="J31" s="14" t="n">
        <f aca="false">I31-H31</f>
        <v>0</v>
      </c>
    </row>
    <row r="32" customFormat="false" ht="15" hidden="false" customHeight="false" outlineLevel="0" collapsed="false">
      <c r="A32" s="12" t="n">
        <f aca="false">Data!A32</f>
        <v>42052</v>
      </c>
      <c r="B32" s="14" t="n">
        <f aca="false">Data!B32</f>
        <v>53.53</v>
      </c>
      <c r="C32" s="0" t="str">
        <f aca="false">IF(Data!D32="","HOLD",IF(AND(G31&lt;&gt;"IN",Data!E32&lt;-5),"BUY",IF(AND(G31="IN",Data!E32&gt;0),"SELL","HOLD")))</f>
        <v>HOLD</v>
      </c>
      <c r="D32" s="14" t="str">
        <f aca="false">IF(C32="BUY",B32,IF(G31="IN",D31,""))</f>
        <v/>
      </c>
      <c r="E32" s="14" t="str">
        <f aca="false">IF(C32="SELL",B32,"")</f>
        <v/>
      </c>
      <c r="F32" s="14" t="str">
        <f aca="false">IF(E32="","",(E32-D32)/D32*100)</f>
        <v/>
      </c>
      <c r="G32" s="0" t="str">
        <f aca="false">IF(C32="BUY","IN",IF(C32="SELL","OUT",IF(G31="IN","IN","OUT")))</f>
        <v>OUT</v>
      </c>
      <c r="H32" s="14" t="n">
        <f aca="false">H31+IF(F32="",0,F32)</f>
        <v>0</v>
      </c>
      <c r="I32" s="14" t="n">
        <f aca="false">MAX(I31,H32)</f>
        <v>0</v>
      </c>
      <c r="J32" s="14" t="n">
        <f aca="false">I32-H32</f>
        <v>0</v>
      </c>
    </row>
    <row r="33" customFormat="false" ht="15" hidden="false" customHeight="false" outlineLevel="0" collapsed="false">
      <c r="A33" s="12" t="n">
        <f aca="false">Data!A33</f>
        <v>42053</v>
      </c>
      <c r="B33" s="14" t="n">
        <f aca="false">Data!B33</f>
        <v>52.14</v>
      </c>
      <c r="C33" s="0" t="str">
        <f aca="false">IF(Data!D33="","HOLD",IF(AND(G32&lt;&gt;"IN",Data!E33&lt;-5),"BUY",IF(AND(G32="IN",Data!E33&gt;0),"SELL","HOLD")))</f>
        <v>HOLD</v>
      </c>
      <c r="D33" s="14" t="str">
        <f aca="false">IF(C33="BUY",B33,IF(G32="IN",D32,""))</f>
        <v/>
      </c>
      <c r="E33" s="14" t="str">
        <f aca="false">IF(C33="SELL",B33,"")</f>
        <v/>
      </c>
      <c r="F33" s="14" t="str">
        <f aca="false">IF(E33="","",(E33-D33)/D33*100)</f>
        <v/>
      </c>
      <c r="G33" s="0" t="str">
        <f aca="false">IF(C33="BUY","IN",IF(C33="SELL","OUT",IF(G32="IN","IN","OUT")))</f>
        <v>OUT</v>
      </c>
      <c r="H33" s="14" t="n">
        <f aca="false">H32+IF(F33="",0,F33)</f>
        <v>0</v>
      </c>
      <c r="I33" s="14" t="n">
        <f aca="false">MAX(I32,H33)</f>
        <v>0</v>
      </c>
      <c r="J33" s="14" t="n">
        <f aca="false">I33-H33</f>
        <v>0</v>
      </c>
    </row>
    <row r="34" customFormat="false" ht="15" hidden="false" customHeight="false" outlineLevel="0" collapsed="false">
      <c r="A34" s="12" t="n">
        <f aca="false">Data!A34</f>
        <v>42054</v>
      </c>
      <c r="B34" s="14" t="n">
        <f aca="false">Data!B34</f>
        <v>51.16</v>
      </c>
      <c r="C34" s="0" t="str">
        <f aca="false">IF(Data!D34="","HOLD",IF(AND(G33&lt;&gt;"IN",Data!E34&lt;-5),"BUY",IF(AND(G33="IN",Data!E34&gt;0),"SELL","HOLD")))</f>
        <v>HOLD</v>
      </c>
      <c r="D34" s="14" t="str">
        <f aca="false">IF(C34="BUY",B34,IF(G33="IN",D33,""))</f>
        <v/>
      </c>
      <c r="E34" s="14" t="str">
        <f aca="false">IF(C34="SELL",B34,"")</f>
        <v/>
      </c>
      <c r="F34" s="14" t="str">
        <f aca="false">IF(E34="","",(E34-D34)/D34*100)</f>
        <v/>
      </c>
      <c r="G34" s="0" t="str">
        <f aca="false">IF(C34="BUY","IN",IF(C34="SELL","OUT",IF(G33="IN","IN","OUT")))</f>
        <v>OUT</v>
      </c>
      <c r="H34" s="14" t="n">
        <f aca="false">H33+IF(F34="",0,F34)</f>
        <v>0</v>
      </c>
      <c r="I34" s="14" t="n">
        <f aca="false">MAX(I33,H34)</f>
        <v>0</v>
      </c>
      <c r="J34" s="14" t="n">
        <f aca="false">I34-H34</f>
        <v>0</v>
      </c>
    </row>
    <row r="35" customFormat="false" ht="15" hidden="false" customHeight="false" outlineLevel="0" collapsed="false">
      <c r="A35" s="12" t="n">
        <f aca="false">Data!A35</f>
        <v>42055</v>
      </c>
      <c r="B35" s="14" t="n">
        <f aca="false">Data!B35</f>
        <v>50.34</v>
      </c>
      <c r="C35" s="0" t="str">
        <f aca="false">IF(Data!D35="","HOLD",IF(AND(G34&lt;&gt;"IN",Data!E35&lt;-5),"BUY",IF(AND(G34="IN",Data!E35&gt;0),"SELL","HOLD")))</f>
        <v>HOLD</v>
      </c>
      <c r="D35" s="14" t="str">
        <f aca="false">IF(C35="BUY",B35,IF(G34="IN",D34,""))</f>
        <v/>
      </c>
      <c r="E35" s="14" t="str">
        <f aca="false">IF(C35="SELL",B35,"")</f>
        <v/>
      </c>
      <c r="F35" s="14" t="str">
        <f aca="false">IF(E35="","",(E35-D35)/D35*100)</f>
        <v/>
      </c>
      <c r="G35" s="0" t="str">
        <f aca="false">IF(C35="BUY","IN",IF(C35="SELL","OUT",IF(G34="IN","IN","OUT")))</f>
        <v>OUT</v>
      </c>
      <c r="H35" s="14" t="n">
        <f aca="false">H34+IF(F35="",0,F35)</f>
        <v>0</v>
      </c>
      <c r="I35" s="14" t="n">
        <f aca="false">MAX(I34,H35)</f>
        <v>0</v>
      </c>
      <c r="J35" s="14" t="n">
        <f aca="false">I35-H35</f>
        <v>0</v>
      </c>
    </row>
    <row r="36" customFormat="false" ht="15" hidden="false" customHeight="false" outlineLevel="0" collapsed="false">
      <c r="A36" s="12" t="n">
        <f aca="false">Data!A36</f>
        <v>42058</v>
      </c>
      <c r="B36" s="14" t="n">
        <f aca="false">Data!B36</f>
        <v>49.45</v>
      </c>
      <c r="C36" s="0" t="str">
        <f aca="false">IF(Data!D36="","HOLD",IF(AND(G35&lt;&gt;"IN",Data!E36&lt;-5),"BUY",IF(AND(G35="IN",Data!E36&gt;0),"SELL","HOLD")))</f>
        <v>HOLD</v>
      </c>
      <c r="D36" s="14" t="str">
        <f aca="false">IF(C36="BUY",B36,IF(G35="IN",D35,""))</f>
        <v/>
      </c>
      <c r="E36" s="14" t="str">
        <f aca="false">IF(C36="SELL",B36,"")</f>
        <v/>
      </c>
      <c r="F36" s="14" t="str">
        <f aca="false">IF(E36="","",(E36-D36)/D36*100)</f>
        <v/>
      </c>
      <c r="G36" s="0" t="str">
        <f aca="false">IF(C36="BUY","IN",IF(C36="SELL","OUT",IF(G35="IN","IN","OUT")))</f>
        <v>OUT</v>
      </c>
      <c r="H36" s="14" t="n">
        <f aca="false">H35+IF(F36="",0,F36)</f>
        <v>0</v>
      </c>
      <c r="I36" s="14" t="n">
        <f aca="false">MAX(I35,H36)</f>
        <v>0</v>
      </c>
      <c r="J36" s="14" t="n">
        <f aca="false">I36-H36</f>
        <v>0</v>
      </c>
    </row>
    <row r="37" customFormat="false" ht="15" hidden="false" customHeight="false" outlineLevel="0" collapsed="false">
      <c r="A37" s="12" t="n">
        <f aca="false">Data!A37</f>
        <v>42059</v>
      </c>
      <c r="B37" s="14" t="n">
        <f aca="false">Data!B37</f>
        <v>49.28</v>
      </c>
      <c r="C37" s="0" t="str">
        <f aca="false">IF(Data!D37="","HOLD",IF(AND(G36&lt;&gt;"IN",Data!E37&lt;-5),"BUY",IF(AND(G36="IN",Data!E37&gt;0),"SELL","HOLD")))</f>
        <v>HOLD</v>
      </c>
      <c r="D37" s="14" t="str">
        <f aca="false">IF(C37="BUY",B37,IF(G36="IN",D36,""))</f>
        <v/>
      </c>
      <c r="E37" s="14" t="str">
        <f aca="false">IF(C37="SELL",B37,"")</f>
        <v/>
      </c>
      <c r="F37" s="14" t="str">
        <f aca="false">IF(E37="","",(E37-D37)/D37*100)</f>
        <v/>
      </c>
      <c r="G37" s="0" t="str">
        <f aca="false">IF(C37="BUY","IN",IF(C37="SELL","OUT",IF(G36="IN","IN","OUT")))</f>
        <v>OUT</v>
      </c>
      <c r="H37" s="14" t="n">
        <f aca="false">H36+IF(F37="",0,F37)</f>
        <v>0</v>
      </c>
      <c r="I37" s="14" t="n">
        <f aca="false">MAX(I36,H37)</f>
        <v>0</v>
      </c>
      <c r="J37" s="14" t="n">
        <f aca="false">I37-H37</f>
        <v>0</v>
      </c>
    </row>
    <row r="38" customFormat="false" ht="15" hidden="false" customHeight="false" outlineLevel="0" collapsed="false">
      <c r="A38" s="12" t="n">
        <f aca="false">Data!A38</f>
        <v>42060</v>
      </c>
      <c r="B38" s="14" t="n">
        <f aca="false">Data!B38</f>
        <v>50.99</v>
      </c>
      <c r="C38" s="0" t="str">
        <f aca="false">IF(Data!D38="","HOLD",IF(AND(G37&lt;&gt;"IN",Data!E38&lt;-5),"BUY",IF(AND(G37="IN",Data!E38&gt;0),"SELL","HOLD")))</f>
        <v>HOLD</v>
      </c>
      <c r="D38" s="14" t="str">
        <f aca="false">IF(C38="BUY",B38,IF(G37="IN",D37,""))</f>
        <v/>
      </c>
      <c r="E38" s="14" t="str">
        <f aca="false">IF(C38="SELL",B38,"")</f>
        <v/>
      </c>
      <c r="F38" s="14" t="str">
        <f aca="false">IF(E38="","",(E38-D38)/D38*100)</f>
        <v/>
      </c>
      <c r="G38" s="0" t="str">
        <f aca="false">IF(C38="BUY","IN",IF(C38="SELL","OUT",IF(G37="IN","IN","OUT")))</f>
        <v>OUT</v>
      </c>
      <c r="H38" s="14" t="n">
        <f aca="false">H37+IF(F38="",0,F38)</f>
        <v>0</v>
      </c>
      <c r="I38" s="14" t="n">
        <f aca="false">MAX(I37,H38)</f>
        <v>0</v>
      </c>
      <c r="J38" s="14" t="n">
        <f aca="false">I38-H38</f>
        <v>0</v>
      </c>
    </row>
    <row r="39" customFormat="false" ht="15" hidden="false" customHeight="false" outlineLevel="0" collapsed="false">
      <c r="A39" s="12" t="n">
        <f aca="false">Data!A39</f>
        <v>42061</v>
      </c>
      <c r="B39" s="14" t="n">
        <f aca="false">Data!B39</f>
        <v>48.17</v>
      </c>
      <c r="C39" s="0" t="str">
        <f aca="false">IF(Data!D39="","HOLD",IF(AND(G38&lt;&gt;"IN",Data!E39&lt;-5),"BUY",IF(AND(G38="IN",Data!E39&gt;0),"SELL","HOLD")))</f>
        <v>HOLD</v>
      </c>
      <c r="D39" s="14" t="str">
        <f aca="false">IF(C39="BUY",B39,IF(G38="IN",D38,""))</f>
        <v/>
      </c>
      <c r="E39" s="14" t="str">
        <f aca="false">IF(C39="SELL",B39,"")</f>
        <v/>
      </c>
      <c r="F39" s="14" t="str">
        <f aca="false">IF(E39="","",(E39-D39)/D39*100)</f>
        <v/>
      </c>
      <c r="G39" s="0" t="str">
        <f aca="false">IF(C39="BUY","IN",IF(C39="SELL","OUT",IF(G38="IN","IN","OUT")))</f>
        <v>OUT</v>
      </c>
      <c r="H39" s="14" t="n">
        <f aca="false">H38+IF(F39="",0,F39)</f>
        <v>0</v>
      </c>
      <c r="I39" s="14" t="n">
        <f aca="false">MAX(I38,H39)</f>
        <v>0</v>
      </c>
      <c r="J39" s="14" t="n">
        <f aca="false">I39-H39</f>
        <v>0</v>
      </c>
    </row>
    <row r="40" customFormat="false" ht="15" hidden="false" customHeight="false" outlineLevel="0" collapsed="false">
      <c r="A40" s="12" t="n">
        <f aca="false">Data!A40</f>
        <v>42062</v>
      </c>
      <c r="B40" s="14" t="n">
        <f aca="false">Data!B40</f>
        <v>49.76</v>
      </c>
      <c r="C40" s="0" t="str">
        <f aca="false">IF(Data!D40="","HOLD",IF(AND(G39&lt;&gt;"IN",Data!E40&lt;-5),"BUY",IF(AND(G39="IN",Data!E40&gt;0),"SELL","HOLD")))</f>
        <v>HOLD</v>
      </c>
      <c r="D40" s="14" t="str">
        <f aca="false">IF(C40="BUY",B40,IF(G39="IN",D39,""))</f>
        <v/>
      </c>
      <c r="E40" s="14" t="str">
        <f aca="false">IF(C40="SELL",B40,"")</f>
        <v/>
      </c>
      <c r="F40" s="14" t="str">
        <f aca="false">IF(E40="","",(E40-D40)/D40*100)</f>
        <v/>
      </c>
      <c r="G40" s="0" t="str">
        <f aca="false">IF(C40="BUY","IN",IF(C40="SELL","OUT",IF(G39="IN","IN","OUT")))</f>
        <v>OUT</v>
      </c>
      <c r="H40" s="14" t="n">
        <f aca="false">H39+IF(F40="",0,F40)</f>
        <v>0</v>
      </c>
      <c r="I40" s="14" t="n">
        <f aca="false">MAX(I39,H40)</f>
        <v>0</v>
      </c>
      <c r="J40" s="14" t="n">
        <f aca="false">I40-H40</f>
        <v>0</v>
      </c>
    </row>
    <row r="41" customFormat="false" ht="15" hidden="false" customHeight="false" outlineLevel="0" collapsed="false">
      <c r="A41" s="12" t="n">
        <f aca="false">Data!A41</f>
        <v>42065</v>
      </c>
      <c r="B41" s="14" t="n">
        <f aca="false">Data!B41</f>
        <v>49.59</v>
      </c>
      <c r="C41" s="0" t="str">
        <f aca="false">IF(Data!D41="","HOLD",IF(AND(G40&lt;&gt;"IN",Data!E41&lt;-5),"BUY",IF(AND(G40="IN",Data!E41&gt;0),"SELL","HOLD")))</f>
        <v>HOLD</v>
      </c>
      <c r="D41" s="14" t="str">
        <f aca="false">IF(C41="BUY",B41,IF(G40="IN",D40,""))</f>
        <v/>
      </c>
      <c r="E41" s="14" t="str">
        <f aca="false">IF(C41="SELL",B41,"")</f>
        <v/>
      </c>
      <c r="F41" s="14" t="str">
        <f aca="false">IF(E41="","",(E41-D41)/D41*100)</f>
        <v/>
      </c>
      <c r="G41" s="0" t="str">
        <f aca="false">IF(C41="BUY","IN",IF(C41="SELL","OUT",IF(G40="IN","IN","OUT")))</f>
        <v>OUT</v>
      </c>
      <c r="H41" s="14" t="n">
        <f aca="false">H40+IF(F41="",0,F41)</f>
        <v>0</v>
      </c>
      <c r="I41" s="14" t="n">
        <f aca="false">MAX(I40,H41)</f>
        <v>0</v>
      </c>
      <c r="J41" s="14" t="n">
        <f aca="false">I41-H41</f>
        <v>0</v>
      </c>
    </row>
    <row r="42" customFormat="false" ht="15" hidden="false" customHeight="false" outlineLevel="0" collapsed="false">
      <c r="A42" s="12" t="n">
        <f aca="false">Data!A42</f>
        <v>42066</v>
      </c>
      <c r="B42" s="14" t="n">
        <f aca="false">Data!B42</f>
        <v>50.52</v>
      </c>
      <c r="C42" s="0" t="str">
        <f aca="false">IF(Data!D42="","HOLD",IF(AND(G41&lt;&gt;"IN",Data!E42&lt;-5),"BUY",IF(AND(G41="IN",Data!E42&gt;0),"SELL","HOLD")))</f>
        <v>HOLD</v>
      </c>
      <c r="D42" s="14" t="str">
        <f aca="false">IF(C42="BUY",B42,IF(G41="IN",D41,""))</f>
        <v/>
      </c>
      <c r="E42" s="14" t="str">
        <f aca="false">IF(C42="SELL",B42,"")</f>
        <v/>
      </c>
      <c r="F42" s="14" t="str">
        <f aca="false">IF(E42="","",(E42-D42)/D42*100)</f>
        <v/>
      </c>
      <c r="G42" s="0" t="str">
        <f aca="false">IF(C42="BUY","IN",IF(C42="SELL","OUT",IF(G41="IN","IN","OUT")))</f>
        <v>OUT</v>
      </c>
      <c r="H42" s="14" t="n">
        <f aca="false">H41+IF(F42="",0,F42)</f>
        <v>0</v>
      </c>
      <c r="I42" s="14" t="n">
        <f aca="false">MAX(I41,H42)</f>
        <v>0</v>
      </c>
      <c r="J42" s="14" t="n">
        <f aca="false">I42-H42</f>
        <v>0</v>
      </c>
    </row>
    <row r="43" customFormat="false" ht="15" hidden="false" customHeight="false" outlineLevel="0" collapsed="false">
      <c r="A43" s="12" t="n">
        <f aca="false">Data!A43</f>
        <v>42067</v>
      </c>
      <c r="B43" s="14" t="n">
        <f aca="false">Data!B43</f>
        <v>51.53</v>
      </c>
      <c r="C43" s="0" t="str">
        <f aca="false">IF(Data!D43="","HOLD",IF(AND(G42&lt;&gt;"IN",Data!E43&lt;-5),"BUY",IF(AND(G42="IN",Data!E43&gt;0),"SELL","HOLD")))</f>
        <v>HOLD</v>
      </c>
      <c r="D43" s="14" t="str">
        <f aca="false">IF(C43="BUY",B43,IF(G42="IN",D42,""))</f>
        <v/>
      </c>
      <c r="E43" s="14" t="str">
        <f aca="false">IF(C43="SELL",B43,"")</f>
        <v/>
      </c>
      <c r="F43" s="14" t="str">
        <f aca="false">IF(E43="","",(E43-D43)/D43*100)</f>
        <v/>
      </c>
      <c r="G43" s="0" t="str">
        <f aca="false">IF(C43="BUY","IN",IF(C43="SELL","OUT",IF(G42="IN","IN","OUT")))</f>
        <v>OUT</v>
      </c>
      <c r="H43" s="14" t="n">
        <f aca="false">H42+IF(F43="",0,F43)</f>
        <v>0</v>
      </c>
      <c r="I43" s="14" t="n">
        <f aca="false">MAX(I42,H43)</f>
        <v>0</v>
      </c>
      <c r="J43" s="14" t="n">
        <f aca="false">I43-H43</f>
        <v>0</v>
      </c>
    </row>
    <row r="44" customFormat="false" ht="15" hidden="false" customHeight="false" outlineLevel="0" collapsed="false">
      <c r="A44" s="12" t="n">
        <f aca="false">Data!A44</f>
        <v>42068</v>
      </c>
      <c r="B44" s="14" t="n">
        <f aca="false">Data!B44</f>
        <v>50.76</v>
      </c>
      <c r="C44" s="0" t="str">
        <f aca="false">IF(Data!D44="","HOLD",IF(AND(G43&lt;&gt;"IN",Data!E44&lt;-5),"BUY",IF(AND(G43="IN",Data!E44&gt;0),"SELL","HOLD")))</f>
        <v>HOLD</v>
      </c>
      <c r="D44" s="14" t="str">
        <f aca="false">IF(C44="BUY",B44,IF(G43="IN",D43,""))</f>
        <v/>
      </c>
      <c r="E44" s="14" t="str">
        <f aca="false">IF(C44="SELL",B44,"")</f>
        <v/>
      </c>
      <c r="F44" s="14" t="str">
        <f aca="false">IF(E44="","",(E44-D44)/D44*100)</f>
        <v/>
      </c>
      <c r="G44" s="0" t="str">
        <f aca="false">IF(C44="BUY","IN",IF(C44="SELL","OUT",IF(G43="IN","IN","OUT")))</f>
        <v>OUT</v>
      </c>
      <c r="H44" s="14" t="n">
        <f aca="false">H43+IF(F44="",0,F44)</f>
        <v>0</v>
      </c>
      <c r="I44" s="14" t="n">
        <f aca="false">MAX(I43,H44)</f>
        <v>0</v>
      </c>
      <c r="J44" s="14" t="n">
        <f aca="false">I44-H44</f>
        <v>0</v>
      </c>
    </row>
    <row r="45" customFormat="false" ht="15" hidden="false" customHeight="false" outlineLevel="0" collapsed="false">
      <c r="A45" s="12" t="n">
        <f aca="false">Data!A45</f>
        <v>42069</v>
      </c>
      <c r="B45" s="14" t="n">
        <f aca="false">Data!B45</f>
        <v>49.61</v>
      </c>
      <c r="C45" s="0" t="str">
        <f aca="false">IF(Data!D45="","HOLD",IF(AND(G44&lt;&gt;"IN",Data!E45&lt;-5),"BUY",IF(AND(G44="IN",Data!E45&gt;0),"SELL","HOLD")))</f>
        <v>HOLD</v>
      </c>
      <c r="D45" s="14" t="str">
        <f aca="false">IF(C45="BUY",B45,IF(G44="IN",D44,""))</f>
        <v/>
      </c>
      <c r="E45" s="14" t="str">
        <f aca="false">IF(C45="SELL",B45,"")</f>
        <v/>
      </c>
      <c r="F45" s="14" t="str">
        <f aca="false">IF(E45="","",(E45-D45)/D45*100)</f>
        <v/>
      </c>
      <c r="G45" s="0" t="str">
        <f aca="false">IF(C45="BUY","IN",IF(C45="SELL","OUT",IF(G44="IN","IN","OUT")))</f>
        <v>OUT</v>
      </c>
      <c r="H45" s="14" t="n">
        <f aca="false">H44+IF(F45="",0,F45)</f>
        <v>0</v>
      </c>
      <c r="I45" s="14" t="n">
        <f aca="false">MAX(I44,H45)</f>
        <v>0</v>
      </c>
      <c r="J45" s="14" t="n">
        <f aca="false">I45-H45</f>
        <v>0</v>
      </c>
    </row>
    <row r="46" customFormat="false" ht="15" hidden="false" customHeight="false" outlineLevel="0" collapsed="false">
      <c r="A46" s="12" t="n">
        <f aca="false">Data!A46</f>
        <v>42072</v>
      </c>
      <c r="B46" s="14" t="n">
        <f aca="false">Data!B46</f>
        <v>50</v>
      </c>
      <c r="C46" s="0" t="str">
        <f aca="false">IF(Data!D46="","HOLD",IF(AND(G45&lt;&gt;"IN",Data!E46&lt;-5),"BUY",IF(AND(G45="IN",Data!E46&gt;0),"SELL","HOLD")))</f>
        <v>HOLD</v>
      </c>
      <c r="D46" s="14" t="str">
        <f aca="false">IF(C46="BUY",B46,IF(G45="IN",D45,""))</f>
        <v/>
      </c>
      <c r="E46" s="14" t="str">
        <f aca="false">IF(C46="SELL",B46,"")</f>
        <v/>
      </c>
      <c r="F46" s="14" t="str">
        <f aca="false">IF(E46="","",(E46-D46)/D46*100)</f>
        <v/>
      </c>
      <c r="G46" s="0" t="str">
        <f aca="false">IF(C46="BUY","IN",IF(C46="SELL","OUT",IF(G45="IN","IN","OUT")))</f>
        <v>OUT</v>
      </c>
      <c r="H46" s="14" t="n">
        <f aca="false">H45+IF(F46="",0,F46)</f>
        <v>0</v>
      </c>
      <c r="I46" s="14" t="n">
        <f aca="false">MAX(I45,H46)</f>
        <v>0</v>
      </c>
      <c r="J46" s="14" t="n">
        <f aca="false">I46-H46</f>
        <v>0</v>
      </c>
    </row>
    <row r="47" customFormat="false" ht="15" hidden="false" customHeight="false" outlineLevel="0" collapsed="false">
      <c r="A47" s="12" t="n">
        <f aca="false">Data!A47</f>
        <v>42073</v>
      </c>
      <c r="B47" s="14" t="n">
        <f aca="false">Data!B47</f>
        <v>48.29</v>
      </c>
      <c r="C47" s="0" t="str">
        <f aca="false">IF(Data!D47="","HOLD",IF(AND(G46&lt;&gt;"IN",Data!E47&lt;-5),"BUY",IF(AND(G46="IN",Data!E47&gt;0),"SELL","HOLD")))</f>
        <v>HOLD</v>
      </c>
      <c r="D47" s="14" t="str">
        <f aca="false">IF(C47="BUY",B47,IF(G46="IN",D46,""))</f>
        <v/>
      </c>
      <c r="E47" s="14" t="str">
        <f aca="false">IF(C47="SELL",B47,"")</f>
        <v/>
      </c>
      <c r="F47" s="14" t="str">
        <f aca="false">IF(E47="","",(E47-D47)/D47*100)</f>
        <v/>
      </c>
      <c r="G47" s="0" t="str">
        <f aca="false">IF(C47="BUY","IN",IF(C47="SELL","OUT",IF(G46="IN","IN","OUT")))</f>
        <v>OUT</v>
      </c>
      <c r="H47" s="14" t="n">
        <f aca="false">H46+IF(F47="",0,F47)</f>
        <v>0</v>
      </c>
      <c r="I47" s="14" t="n">
        <f aca="false">MAX(I46,H47)</f>
        <v>0</v>
      </c>
      <c r="J47" s="14" t="n">
        <f aca="false">I47-H47</f>
        <v>0</v>
      </c>
    </row>
    <row r="48" customFormat="false" ht="15" hidden="false" customHeight="false" outlineLevel="0" collapsed="false">
      <c r="A48" s="12" t="n">
        <f aca="false">Data!A48</f>
        <v>42074</v>
      </c>
      <c r="B48" s="14" t="n">
        <f aca="false">Data!B48</f>
        <v>48.17</v>
      </c>
      <c r="C48" s="0" t="str">
        <f aca="false">IF(Data!D48="","HOLD",IF(AND(G47&lt;&gt;"IN",Data!E48&lt;-5),"BUY",IF(AND(G47="IN",Data!E48&gt;0),"SELL","HOLD")))</f>
        <v>HOLD</v>
      </c>
      <c r="D48" s="14" t="str">
        <f aca="false">IF(C48="BUY",B48,IF(G47="IN",D47,""))</f>
        <v/>
      </c>
      <c r="E48" s="14" t="str">
        <f aca="false">IF(C48="SELL",B48,"")</f>
        <v/>
      </c>
      <c r="F48" s="14" t="str">
        <f aca="false">IF(E48="","",(E48-D48)/D48*100)</f>
        <v/>
      </c>
      <c r="G48" s="0" t="str">
        <f aca="false">IF(C48="BUY","IN",IF(C48="SELL","OUT",IF(G47="IN","IN","OUT")))</f>
        <v>OUT</v>
      </c>
      <c r="H48" s="14" t="n">
        <f aca="false">H47+IF(F48="",0,F48)</f>
        <v>0</v>
      </c>
      <c r="I48" s="14" t="n">
        <f aca="false">MAX(I47,H48)</f>
        <v>0</v>
      </c>
      <c r="J48" s="14" t="n">
        <f aca="false">I48-H48</f>
        <v>0</v>
      </c>
    </row>
    <row r="49" customFormat="false" ht="15" hidden="false" customHeight="false" outlineLevel="0" collapsed="false">
      <c r="A49" s="12" t="n">
        <f aca="false">Data!A49</f>
        <v>42075</v>
      </c>
      <c r="B49" s="14" t="n">
        <f aca="false">Data!B49</f>
        <v>47.05</v>
      </c>
      <c r="C49" s="0" t="str">
        <f aca="false">IF(Data!D49="","HOLD",IF(AND(G48&lt;&gt;"IN",Data!E49&lt;-5),"BUY",IF(AND(G48="IN",Data!E49&gt;0),"SELL","HOLD")))</f>
        <v>BUY</v>
      </c>
      <c r="D49" s="14" t="n">
        <f aca="false">IF(C49="BUY",B49,IF(G48="IN",D48,""))</f>
        <v>47.05</v>
      </c>
      <c r="E49" s="14" t="str">
        <f aca="false">IF(C49="SELL",B49,"")</f>
        <v/>
      </c>
      <c r="F49" s="14" t="str">
        <f aca="false">IF(E49="","",(E49-D49)/D49*100)</f>
        <v/>
      </c>
      <c r="G49" s="0" t="str">
        <f aca="false">IF(C49="BUY","IN",IF(C49="SELL","OUT",IF(G48="IN","IN","OUT")))</f>
        <v>IN</v>
      </c>
      <c r="H49" s="14" t="n">
        <f aca="false">H48+IF(F49="",0,F49)</f>
        <v>0</v>
      </c>
      <c r="I49" s="14" t="n">
        <f aca="false">MAX(I48,H49)</f>
        <v>0</v>
      </c>
      <c r="J49" s="14" t="n">
        <f aca="false">I49-H49</f>
        <v>0</v>
      </c>
    </row>
    <row r="50" customFormat="false" ht="15" hidden="false" customHeight="false" outlineLevel="0" collapsed="false">
      <c r="A50" s="12" t="n">
        <f aca="false">Data!A50</f>
        <v>42076</v>
      </c>
      <c r="B50" s="14" t="n">
        <f aca="false">Data!B50</f>
        <v>44.84</v>
      </c>
      <c r="C50" s="0" t="str">
        <f aca="false">IF(Data!D50="","HOLD",IF(AND(G49&lt;&gt;"IN",Data!E50&lt;-5),"BUY",IF(AND(G49="IN",Data!E50&gt;0),"SELL","HOLD")))</f>
        <v>HOLD</v>
      </c>
      <c r="D50" s="14" t="n">
        <f aca="false">IF(C50="BUY",B50,IF(G49="IN",D49,""))</f>
        <v>47.05</v>
      </c>
      <c r="E50" s="14" t="str">
        <f aca="false">IF(C50="SELL",B50,"")</f>
        <v/>
      </c>
      <c r="F50" s="14" t="str">
        <f aca="false">IF(E50="","",(E50-D50)/D50*100)</f>
        <v/>
      </c>
      <c r="G50" s="0" t="str">
        <f aca="false">IF(C50="BUY","IN",IF(C50="SELL","OUT",IF(G49="IN","IN","OUT")))</f>
        <v>IN</v>
      </c>
      <c r="H50" s="14" t="n">
        <f aca="false">H49+IF(F50="",0,F50)</f>
        <v>0</v>
      </c>
      <c r="I50" s="14" t="n">
        <f aca="false">MAX(I49,H50)</f>
        <v>0</v>
      </c>
      <c r="J50" s="14" t="n">
        <f aca="false">I50-H50</f>
        <v>0</v>
      </c>
    </row>
    <row r="51" customFormat="false" ht="15" hidden="false" customHeight="false" outlineLevel="0" collapsed="false">
      <c r="A51" s="12" t="n">
        <f aca="false">Data!A51</f>
        <v>42079</v>
      </c>
      <c r="B51" s="14" t="n">
        <f aca="false">Data!B51</f>
        <v>43.88</v>
      </c>
      <c r="C51" s="0" t="str">
        <f aca="false">IF(Data!D51="","HOLD",IF(AND(G50&lt;&gt;"IN",Data!E51&lt;-5),"BUY",IF(AND(G50="IN",Data!E51&gt;0),"SELL","HOLD")))</f>
        <v>HOLD</v>
      </c>
      <c r="D51" s="14" t="n">
        <f aca="false">IF(C51="BUY",B51,IF(G50="IN",D50,""))</f>
        <v>47.05</v>
      </c>
      <c r="E51" s="14" t="str">
        <f aca="false">IF(C51="SELL",B51,"")</f>
        <v/>
      </c>
      <c r="F51" s="14" t="str">
        <f aca="false">IF(E51="","",(E51-D51)/D51*100)</f>
        <v/>
      </c>
      <c r="G51" s="0" t="str">
        <f aca="false">IF(C51="BUY","IN",IF(C51="SELL","OUT",IF(G50="IN","IN","OUT")))</f>
        <v>IN</v>
      </c>
      <c r="H51" s="14" t="n">
        <f aca="false">H50+IF(F51="",0,F51)</f>
        <v>0</v>
      </c>
      <c r="I51" s="14" t="n">
        <f aca="false">MAX(I50,H51)</f>
        <v>0</v>
      </c>
      <c r="J51" s="14" t="n">
        <f aca="false">I51-H51</f>
        <v>0</v>
      </c>
    </row>
    <row r="52" customFormat="false" ht="15" hidden="false" customHeight="false" outlineLevel="0" collapsed="false">
      <c r="A52" s="12" t="n">
        <f aca="false">Data!A52</f>
        <v>42080</v>
      </c>
      <c r="B52" s="14" t="n">
        <f aca="false">Data!B52</f>
        <v>43.46</v>
      </c>
      <c r="C52" s="0" t="str">
        <f aca="false">IF(Data!D52="","HOLD",IF(AND(G51&lt;&gt;"IN",Data!E52&lt;-5),"BUY",IF(AND(G51="IN",Data!E52&gt;0),"SELL","HOLD")))</f>
        <v>HOLD</v>
      </c>
      <c r="D52" s="14" t="n">
        <f aca="false">IF(C52="BUY",B52,IF(G51="IN",D51,""))</f>
        <v>47.05</v>
      </c>
      <c r="E52" s="14" t="str">
        <f aca="false">IF(C52="SELL",B52,"")</f>
        <v/>
      </c>
      <c r="F52" s="14" t="str">
        <f aca="false">IF(E52="","",(E52-D52)/D52*100)</f>
        <v/>
      </c>
      <c r="G52" s="0" t="str">
        <f aca="false">IF(C52="BUY","IN",IF(C52="SELL","OUT",IF(G51="IN","IN","OUT")))</f>
        <v>IN</v>
      </c>
      <c r="H52" s="14" t="n">
        <f aca="false">H51+IF(F52="",0,F52)</f>
        <v>0</v>
      </c>
      <c r="I52" s="14" t="n">
        <f aca="false">MAX(I51,H52)</f>
        <v>0</v>
      </c>
      <c r="J52" s="14" t="n">
        <f aca="false">I52-H52</f>
        <v>0</v>
      </c>
    </row>
    <row r="53" customFormat="false" ht="15" hidden="false" customHeight="false" outlineLevel="0" collapsed="false">
      <c r="A53" s="12" t="n">
        <f aca="false">Data!A53</f>
        <v>42081</v>
      </c>
      <c r="B53" s="14" t="n">
        <f aca="false">Data!B53</f>
        <v>44.66</v>
      </c>
      <c r="C53" s="0" t="str">
        <f aca="false">IF(Data!D53="","HOLD",IF(AND(G52&lt;&gt;"IN",Data!E53&lt;-5),"BUY",IF(AND(G52="IN",Data!E53&gt;0),"SELL","HOLD")))</f>
        <v>HOLD</v>
      </c>
      <c r="D53" s="14" t="n">
        <f aca="false">IF(C53="BUY",B53,IF(G52="IN",D52,""))</f>
        <v>47.05</v>
      </c>
      <c r="E53" s="14" t="str">
        <f aca="false">IF(C53="SELL",B53,"")</f>
        <v/>
      </c>
      <c r="F53" s="14" t="str">
        <f aca="false">IF(E53="","",(E53-D53)/D53*100)</f>
        <v/>
      </c>
      <c r="G53" s="0" t="str">
        <f aca="false">IF(C53="BUY","IN",IF(C53="SELL","OUT",IF(G52="IN","IN","OUT")))</f>
        <v>IN</v>
      </c>
      <c r="H53" s="14" t="n">
        <f aca="false">H52+IF(F53="",0,F53)</f>
        <v>0</v>
      </c>
      <c r="I53" s="14" t="n">
        <f aca="false">MAX(I52,H53)</f>
        <v>0</v>
      </c>
      <c r="J53" s="14" t="n">
        <f aca="false">I53-H53</f>
        <v>0</v>
      </c>
    </row>
    <row r="54" customFormat="false" ht="15" hidden="false" customHeight="false" outlineLevel="0" collapsed="false">
      <c r="A54" s="12" t="n">
        <f aca="false">Data!A54</f>
        <v>42082</v>
      </c>
      <c r="B54" s="14" t="n">
        <f aca="false">Data!B54</f>
        <v>43.96</v>
      </c>
      <c r="C54" s="0" t="str">
        <f aca="false">IF(Data!D54="","HOLD",IF(AND(G53&lt;&gt;"IN",Data!E54&lt;-5),"BUY",IF(AND(G53="IN",Data!E54&gt;0),"SELL","HOLD")))</f>
        <v>HOLD</v>
      </c>
      <c r="D54" s="14" t="n">
        <f aca="false">IF(C54="BUY",B54,IF(G53="IN",D53,""))</f>
        <v>47.05</v>
      </c>
      <c r="E54" s="14" t="str">
        <f aca="false">IF(C54="SELL",B54,"")</f>
        <v/>
      </c>
      <c r="F54" s="14" t="str">
        <f aca="false">IF(E54="","",(E54-D54)/D54*100)</f>
        <v/>
      </c>
      <c r="G54" s="0" t="str">
        <f aca="false">IF(C54="BUY","IN",IF(C54="SELL","OUT",IF(G53="IN","IN","OUT")))</f>
        <v>IN</v>
      </c>
      <c r="H54" s="14" t="n">
        <f aca="false">H53+IF(F54="",0,F54)</f>
        <v>0</v>
      </c>
      <c r="I54" s="14" t="n">
        <f aca="false">MAX(I53,H54)</f>
        <v>0</v>
      </c>
      <c r="J54" s="14" t="n">
        <f aca="false">I54-H54</f>
        <v>0</v>
      </c>
    </row>
    <row r="55" customFormat="false" ht="15" hidden="false" customHeight="false" outlineLevel="0" collapsed="false">
      <c r="A55" s="12" t="n">
        <f aca="false">Data!A55</f>
        <v>42083</v>
      </c>
      <c r="B55" s="14" t="n">
        <f aca="false">Data!B55</f>
        <v>45.72</v>
      </c>
      <c r="C55" s="0" t="str">
        <f aca="false">IF(Data!D55="","HOLD",IF(AND(G54&lt;&gt;"IN",Data!E55&lt;-5),"BUY",IF(AND(G54="IN",Data!E55&gt;0),"SELL","HOLD")))</f>
        <v>HOLD</v>
      </c>
      <c r="D55" s="14" t="n">
        <f aca="false">IF(C55="BUY",B55,IF(G54="IN",D54,""))</f>
        <v>47.05</v>
      </c>
      <c r="E55" s="14" t="str">
        <f aca="false">IF(C55="SELL",B55,"")</f>
        <v/>
      </c>
      <c r="F55" s="14" t="str">
        <f aca="false">IF(E55="","",(E55-D55)/D55*100)</f>
        <v/>
      </c>
      <c r="G55" s="0" t="str">
        <f aca="false">IF(C55="BUY","IN",IF(C55="SELL","OUT",IF(G54="IN","IN","OUT")))</f>
        <v>IN</v>
      </c>
      <c r="H55" s="14" t="n">
        <f aca="false">H54+IF(F55="",0,F55)</f>
        <v>0</v>
      </c>
      <c r="I55" s="14" t="n">
        <f aca="false">MAX(I54,H55)</f>
        <v>0</v>
      </c>
      <c r="J55" s="14" t="n">
        <f aca="false">I55-H55</f>
        <v>0</v>
      </c>
    </row>
    <row r="56" customFormat="false" ht="15" hidden="false" customHeight="false" outlineLevel="0" collapsed="false">
      <c r="A56" s="12" t="n">
        <f aca="false">Data!A56</f>
        <v>42086</v>
      </c>
      <c r="B56" s="14" t="n">
        <f aca="false">Data!B56</f>
        <v>47.45</v>
      </c>
      <c r="C56" s="0" t="str">
        <f aca="false">IF(Data!D56="","HOLD",IF(AND(G55&lt;&gt;"IN",Data!E56&lt;-5),"BUY",IF(AND(G55="IN",Data!E56&gt;0),"SELL","HOLD")))</f>
        <v>HOLD</v>
      </c>
      <c r="D56" s="14" t="n">
        <f aca="false">IF(C56="BUY",B56,IF(G55="IN",D55,""))</f>
        <v>47.05</v>
      </c>
      <c r="E56" s="14" t="str">
        <f aca="false">IF(C56="SELL",B56,"")</f>
        <v/>
      </c>
      <c r="F56" s="14" t="str">
        <f aca="false">IF(E56="","",(E56-D56)/D56*100)</f>
        <v/>
      </c>
      <c r="G56" s="0" t="str">
        <f aca="false">IF(C56="BUY","IN",IF(C56="SELL","OUT",IF(G55="IN","IN","OUT")))</f>
        <v>IN</v>
      </c>
      <c r="H56" s="14" t="n">
        <f aca="false">H55+IF(F56="",0,F56)</f>
        <v>0</v>
      </c>
      <c r="I56" s="14" t="n">
        <f aca="false">MAX(I55,H56)</f>
        <v>0</v>
      </c>
      <c r="J56" s="14" t="n">
        <f aca="false">I56-H56</f>
        <v>0</v>
      </c>
    </row>
    <row r="57" customFormat="false" ht="15" hidden="false" customHeight="false" outlineLevel="0" collapsed="false">
      <c r="A57" s="12" t="n">
        <f aca="false">Data!A57</f>
        <v>42087</v>
      </c>
      <c r="B57" s="14" t="n">
        <f aca="false">Data!B57</f>
        <v>47.51</v>
      </c>
      <c r="C57" s="0" t="str">
        <f aca="false">IF(Data!D57="","HOLD",IF(AND(G56&lt;&gt;"IN",Data!E57&lt;-5),"BUY",IF(AND(G56="IN",Data!E57&gt;0),"SELL","HOLD")))</f>
        <v>HOLD</v>
      </c>
      <c r="D57" s="14" t="n">
        <f aca="false">IF(C57="BUY",B57,IF(G56="IN",D56,""))</f>
        <v>47.05</v>
      </c>
      <c r="E57" s="14" t="str">
        <f aca="false">IF(C57="SELL",B57,"")</f>
        <v/>
      </c>
      <c r="F57" s="14" t="str">
        <f aca="false">IF(E57="","",(E57-D57)/D57*100)</f>
        <v/>
      </c>
      <c r="G57" s="0" t="str">
        <f aca="false">IF(C57="BUY","IN",IF(C57="SELL","OUT",IF(G56="IN","IN","OUT")))</f>
        <v>IN</v>
      </c>
      <c r="H57" s="14" t="n">
        <f aca="false">H56+IF(F57="",0,F57)</f>
        <v>0</v>
      </c>
      <c r="I57" s="14" t="n">
        <f aca="false">MAX(I56,H57)</f>
        <v>0</v>
      </c>
      <c r="J57" s="14" t="n">
        <f aca="false">I57-H57</f>
        <v>0</v>
      </c>
    </row>
    <row r="58" customFormat="false" ht="15" hidden="false" customHeight="false" outlineLevel="0" collapsed="false">
      <c r="A58" s="12" t="n">
        <f aca="false">Data!A58</f>
        <v>42088</v>
      </c>
      <c r="B58" s="14" t="n">
        <f aca="false">Data!B58</f>
        <v>49.21</v>
      </c>
      <c r="C58" s="0" t="str">
        <f aca="false">IF(Data!D58="","HOLD",IF(AND(G57&lt;&gt;"IN",Data!E58&lt;-5),"BUY",IF(AND(G57="IN",Data!E58&gt;0),"SELL","HOLD")))</f>
        <v>SELL</v>
      </c>
      <c r="D58" s="14" t="n">
        <f aca="false">IF(C58="BUY",B58,IF(G57="IN",D57,""))</f>
        <v>47.05</v>
      </c>
      <c r="E58" s="14" t="n">
        <f aca="false">IF(C58="SELL",B58,"")</f>
        <v>49.21</v>
      </c>
      <c r="F58" s="14" t="n">
        <f aca="false">IF(E58="","",(E58-D58)/D58*100)</f>
        <v>4.59086078639746</v>
      </c>
      <c r="G58" s="0" t="str">
        <f aca="false">IF(C58="BUY","IN",IF(C58="SELL","OUT",IF(G57="IN","IN","OUT")))</f>
        <v>OUT</v>
      </c>
      <c r="H58" s="14" t="n">
        <f aca="false">H57+IF(F58="",0,F58)</f>
        <v>4.59086078639746</v>
      </c>
      <c r="I58" s="14" t="n">
        <f aca="false">MAX(I57,H58)</f>
        <v>4.59086078639746</v>
      </c>
      <c r="J58" s="14" t="n">
        <f aca="false">I58-H58</f>
        <v>0</v>
      </c>
    </row>
    <row r="59" customFormat="false" ht="15" hidden="false" customHeight="false" outlineLevel="0" collapsed="false">
      <c r="A59" s="12" t="n">
        <f aca="false">Data!A59</f>
        <v>42089</v>
      </c>
      <c r="B59" s="14" t="n">
        <f aca="false">Data!B59</f>
        <v>51.43</v>
      </c>
      <c r="C59" s="0" t="str">
        <f aca="false">IF(Data!D59="","HOLD",IF(AND(G58&lt;&gt;"IN",Data!E59&lt;-5),"BUY",IF(AND(G58="IN",Data!E59&gt;0),"SELL","HOLD")))</f>
        <v>HOLD</v>
      </c>
      <c r="D59" s="14" t="str">
        <f aca="false">IF(C59="BUY",B59,IF(G58="IN",D58,""))</f>
        <v/>
      </c>
      <c r="E59" s="14" t="str">
        <f aca="false">IF(C59="SELL",B59,"")</f>
        <v/>
      </c>
      <c r="F59" s="14" t="str">
        <f aca="false">IF(E59="","",(E59-D59)/D59*100)</f>
        <v/>
      </c>
      <c r="G59" s="0" t="str">
        <f aca="false">IF(C59="BUY","IN",IF(C59="SELL","OUT",IF(G58="IN","IN","OUT")))</f>
        <v>OUT</v>
      </c>
      <c r="H59" s="14" t="n">
        <f aca="false">H58+IF(F59="",0,F59)</f>
        <v>4.59086078639746</v>
      </c>
      <c r="I59" s="14" t="n">
        <f aca="false">MAX(I58,H59)</f>
        <v>4.59086078639746</v>
      </c>
      <c r="J59" s="14" t="n">
        <f aca="false">I59-H59</f>
        <v>0</v>
      </c>
    </row>
    <row r="60" customFormat="false" ht="15" hidden="false" customHeight="false" outlineLevel="0" collapsed="false">
      <c r="A60" s="12" t="n">
        <f aca="false">Data!A60</f>
        <v>42090</v>
      </c>
      <c r="B60" s="14" t="n">
        <f aca="false">Data!B60</f>
        <v>48.87</v>
      </c>
      <c r="C60" s="0" t="str">
        <f aca="false">IF(Data!D60="","HOLD",IF(AND(G59&lt;&gt;"IN",Data!E60&lt;-5),"BUY",IF(AND(G59="IN",Data!E60&gt;0),"SELL","HOLD")))</f>
        <v>HOLD</v>
      </c>
      <c r="D60" s="14" t="str">
        <f aca="false">IF(C60="BUY",B60,IF(G59="IN",D59,""))</f>
        <v/>
      </c>
      <c r="E60" s="14" t="str">
        <f aca="false">IF(C60="SELL",B60,"")</f>
        <v/>
      </c>
      <c r="F60" s="14" t="str">
        <f aca="false">IF(E60="","",(E60-D60)/D60*100)</f>
        <v/>
      </c>
      <c r="G60" s="0" t="str">
        <f aca="false">IF(C60="BUY","IN",IF(C60="SELL","OUT",IF(G59="IN","IN","OUT")))</f>
        <v>OUT</v>
      </c>
      <c r="H60" s="14" t="n">
        <f aca="false">H59+IF(F60="",0,F60)</f>
        <v>4.59086078639746</v>
      </c>
      <c r="I60" s="14" t="n">
        <f aca="false">MAX(I59,H60)</f>
        <v>4.59086078639746</v>
      </c>
      <c r="J60" s="14" t="n">
        <f aca="false">I60-H60</f>
        <v>0</v>
      </c>
    </row>
    <row r="61" customFormat="false" ht="15" hidden="false" customHeight="false" outlineLevel="0" collapsed="false">
      <c r="A61" s="12" t="n">
        <f aca="false">Data!A61</f>
        <v>42093</v>
      </c>
      <c r="B61" s="14" t="n">
        <f aca="false">Data!B61</f>
        <v>48.68</v>
      </c>
      <c r="C61" s="0" t="str">
        <f aca="false">IF(Data!D61="","HOLD",IF(AND(G60&lt;&gt;"IN",Data!E61&lt;-5),"BUY",IF(AND(G60="IN",Data!E61&gt;0),"SELL","HOLD")))</f>
        <v>HOLD</v>
      </c>
      <c r="D61" s="14" t="str">
        <f aca="false">IF(C61="BUY",B61,IF(G60="IN",D60,""))</f>
        <v/>
      </c>
      <c r="E61" s="14" t="str">
        <f aca="false">IF(C61="SELL",B61,"")</f>
        <v/>
      </c>
      <c r="F61" s="14" t="str">
        <f aca="false">IF(E61="","",(E61-D61)/D61*100)</f>
        <v/>
      </c>
      <c r="G61" s="0" t="str">
        <f aca="false">IF(C61="BUY","IN",IF(C61="SELL","OUT",IF(G60="IN","IN","OUT")))</f>
        <v>OUT</v>
      </c>
      <c r="H61" s="14" t="n">
        <f aca="false">H60+IF(F61="",0,F61)</f>
        <v>4.59086078639746</v>
      </c>
      <c r="I61" s="14" t="n">
        <f aca="false">MAX(I60,H61)</f>
        <v>4.59086078639746</v>
      </c>
      <c r="J61" s="14" t="n">
        <f aca="false">I61-H61</f>
        <v>0</v>
      </c>
    </row>
    <row r="62" customFormat="false" ht="15" hidden="false" customHeight="false" outlineLevel="0" collapsed="false">
      <c r="A62" s="12" t="n">
        <f aca="false">Data!A62</f>
        <v>42094</v>
      </c>
      <c r="B62" s="14" t="n">
        <f aca="false">Data!B62</f>
        <v>47.6</v>
      </c>
      <c r="C62" s="0" t="str">
        <f aca="false">IF(Data!D62="","HOLD",IF(AND(G61&lt;&gt;"IN",Data!E62&lt;-5),"BUY",IF(AND(G61="IN",Data!E62&gt;0),"SELL","HOLD")))</f>
        <v>HOLD</v>
      </c>
      <c r="D62" s="14" t="str">
        <f aca="false">IF(C62="BUY",B62,IF(G61="IN",D61,""))</f>
        <v/>
      </c>
      <c r="E62" s="14" t="str">
        <f aca="false">IF(C62="SELL",B62,"")</f>
        <v/>
      </c>
      <c r="F62" s="14" t="str">
        <f aca="false">IF(E62="","",(E62-D62)/D62*100)</f>
        <v/>
      </c>
      <c r="G62" s="0" t="str">
        <f aca="false">IF(C62="BUY","IN",IF(C62="SELL","OUT",IF(G61="IN","IN","OUT")))</f>
        <v>OUT</v>
      </c>
      <c r="H62" s="14" t="n">
        <f aca="false">H61+IF(F62="",0,F62)</f>
        <v>4.59086078639746</v>
      </c>
      <c r="I62" s="14" t="n">
        <f aca="false">MAX(I61,H62)</f>
        <v>4.59086078639746</v>
      </c>
      <c r="J62" s="14" t="n">
        <f aca="false">I62-H62</f>
        <v>0</v>
      </c>
    </row>
    <row r="63" customFormat="false" ht="15" hidden="false" customHeight="false" outlineLevel="0" collapsed="false">
      <c r="A63" s="12" t="n">
        <f aca="false">Data!A63</f>
        <v>42095</v>
      </c>
      <c r="B63" s="14" t="n">
        <f aca="false">Data!B63</f>
        <v>50.09</v>
      </c>
      <c r="C63" s="0" t="str">
        <f aca="false">IF(Data!D63="","HOLD",IF(AND(G62&lt;&gt;"IN",Data!E63&lt;-5),"BUY",IF(AND(G62="IN",Data!E63&gt;0),"SELL","HOLD")))</f>
        <v>HOLD</v>
      </c>
      <c r="D63" s="14" t="str">
        <f aca="false">IF(C63="BUY",B63,IF(G62="IN",D62,""))</f>
        <v/>
      </c>
      <c r="E63" s="14" t="str">
        <f aca="false">IF(C63="SELL",B63,"")</f>
        <v/>
      </c>
      <c r="F63" s="14" t="str">
        <f aca="false">IF(E63="","",(E63-D63)/D63*100)</f>
        <v/>
      </c>
      <c r="G63" s="0" t="str">
        <f aca="false">IF(C63="BUY","IN",IF(C63="SELL","OUT",IF(G62="IN","IN","OUT")))</f>
        <v>OUT</v>
      </c>
      <c r="H63" s="14" t="n">
        <f aca="false">H62+IF(F63="",0,F63)</f>
        <v>4.59086078639746</v>
      </c>
      <c r="I63" s="14" t="n">
        <f aca="false">MAX(I62,H63)</f>
        <v>4.59086078639746</v>
      </c>
      <c r="J63" s="14" t="n">
        <f aca="false">I63-H63</f>
        <v>0</v>
      </c>
    </row>
    <row r="64" customFormat="false" ht="15" hidden="false" customHeight="false" outlineLevel="0" collapsed="false">
      <c r="A64" s="12" t="n">
        <f aca="false">Data!A64</f>
        <v>42096</v>
      </c>
      <c r="B64" s="14" t="n">
        <f aca="false">Data!B64</f>
        <v>49.14</v>
      </c>
      <c r="C64" s="0" t="str">
        <f aca="false">IF(Data!D64="","HOLD",IF(AND(G63&lt;&gt;"IN",Data!E64&lt;-5),"BUY",IF(AND(G63="IN",Data!E64&gt;0),"SELL","HOLD")))</f>
        <v>HOLD</v>
      </c>
      <c r="D64" s="14" t="str">
        <f aca="false">IF(C64="BUY",B64,IF(G63="IN",D63,""))</f>
        <v/>
      </c>
      <c r="E64" s="14" t="str">
        <f aca="false">IF(C64="SELL",B64,"")</f>
        <v/>
      </c>
      <c r="F64" s="14" t="str">
        <f aca="false">IF(E64="","",(E64-D64)/D64*100)</f>
        <v/>
      </c>
      <c r="G64" s="0" t="str">
        <f aca="false">IF(C64="BUY","IN",IF(C64="SELL","OUT",IF(G63="IN","IN","OUT")))</f>
        <v>OUT</v>
      </c>
      <c r="H64" s="14" t="n">
        <f aca="false">H63+IF(F64="",0,F64)</f>
        <v>4.59086078639746</v>
      </c>
      <c r="I64" s="14" t="n">
        <f aca="false">MAX(I63,H64)</f>
        <v>4.59086078639746</v>
      </c>
      <c r="J64" s="14" t="n">
        <f aca="false">I64-H64</f>
        <v>0</v>
      </c>
    </row>
    <row r="65" customFormat="false" ht="15" hidden="false" customHeight="false" outlineLevel="0" collapsed="false">
      <c r="A65" s="12" t="n">
        <f aca="false">Data!A65</f>
        <v>42100</v>
      </c>
      <c r="B65" s="14" t="n">
        <f aca="false">Data!B65</f>
        <v>52.14</v>
      </c>
      <c r="C65" s="0" t="str">
        <f aca="false">IF(Data!D65="","HOLD",IF(AND(G64&lt;&gt;"IN",Data!E65&lt;-5),"BUY",IF(AND(G64="IN",Data!E65&gt;0),"SELL","HOLD")))</f>
        <v>HOLD</v>
      </c>
      <c r="D65" s="14" t="str">
        <f aca="false">IF(C65="BUY",B65,IF(G64="IN",D64,""))</f>
        <v/>
      </c>
      <c r="E65" s="14" t="str">
        <f aca="false">IF(C65="SELL",B65,"")</f>
        <v/>
      </c>
      <c r="F65" s="14" t="str">
        <f aca="false">IF(E65="","",(E65-D65)/D65*100)</f>
        <v/>
      </c>
      <c r="G65" s="0" t="str">
        <f aca="false">IF(C65="BUY","IN",IF(C65="SELL","OUT",IF(G64="IN","IN","OUT")))</f>
        <v>OUT</v>
      </c>
      <c r="H65" s="14" t="n">
        <f aca="false">H64+IF(F65="",0,F65)</f>
        <v>4.59086078639746</v>
      </c>
      <c r="I65" s="14" t="n">
        <f aca="false">MAX(I64,H65)</f>
        <v>4.59086078639746</v>
      </c>
      <c r="J65" s="14" t="n">
        <f aca="false">I65-H65</f>
        <v>0</v>
      </c>
    </row>
    <row r="66" customFormat="false" ht="15" hidden="false" customHeight="false" outlineLevel="0" collapsed="false">
      <c r="A66" s="12" t="n">
        <f aca="false">Data!A66</f>
        <v>42101</v>
      </c>
      <c r="B66" s="14" t="n">
        <f aca="false">Data!B66</f>
        <v>53.98</v>
      </c>
      <c r="C66" s="0" t="str">
        <f aca="false">IF(Data!D66="","HOLD",IF(AND(G65&lt;&gt;"IN",Data!E66&lt;-5),"BUY",IF(AND(G65="IN",Data!E66&gt;0),"SELL","HOLD")))</f>
        <v>HOLD</v>
      </c>
      <c r="D66" s="14" t="str">
        <f aca="false">IF(C66="BUY",B66,IF(G65="IN",D65,""))</f>
        <v/>
      </c>
      <c r="E66" s="14" t="str">
        <f aca="false">IF(C66="SELL",B66,"")</f>
        <v/>
      </c>
      <c r="F66" s="14" t="str">
        <f aca="false">IF(E66="","",(E66-D66)/D66*100)</f>
        <v/>
      </c>
      <c r="G66" s="0" t="str">
        <f aca="false">IF(C66="BUY","IN",IF(C66="SELL","OUT",IF(G65="IN","IN","OUT")))</f>
        <v>OUT</v>
      </c>
      <c r="H66" s="14" t="n">
        <f aca="false">H65+IF(F66="",0,F66)</f>
        <v>4.59086078639746</v>
      </c>
      <c r="I66" s="14" t="n">
        <f aca="false">MAX(I65,H66)</f>
        <v>4.59086078639746</v>
      </c>
      <c r="J66" s="14" t="n">
        <f aca="false">I66-H66</f>
        <v>0</v>
      </c>
    </row>
    <row r="67" customFormat="false" ht="15" hidden="false" customHeight="false" outlineLevel="0" collapsed="false">
      <c r="A67" s="12" t="n">
        <f aca="false">Data!A67</f>
        <v>42102</v>
      </c>
      <c r="B67" s="14" t="n">
        <f aca="false">Data!B67</f>
        <v>50.42</v>
      </c>
      <c r="C67" s="0" t="str">
        <f aca="false">IF(Data!D67="","HOLD",IF(AND(G66&lt;&gt;"IN",Data!E67&lt;-5),"BUY",IF(AND(G66="IN",Data!E67&gt;0),"SELL","HOLD")))</f>
        <v>HOLD</v>
      </c>
      <c r="D67" s="14" t="str">
        <f aca="false">IF(C67="BUY",B67,IF(G66="IN",D66,""))</f>
        <v/>
      </c>
      <c r="E67" s="14" t="str">
        <f aca="false">IF(C67="SELL",B67,"")</f>
        <v/>
      </c>
      <c r="F67" s="14" t="str">
        <f aca="false">IF(E67="","",(E67-D67)/D67*100)</f>
        <v/>
      </c>
      <c r="G67" s="0" t="str">
        <f aca="false">IF(C67="BUY","IN",IF(C67="SELL","OUT",IF(G66="IN","IN","OUT")))</f>
        <v>OUT</v>
      </c>
      <c r="H67" s="14" t="n">
        <f aca="false">H66+IF(F67="",0,F67)</f>
        <v>4.59086078639746</v>
      </c>
      <c r="I67" s="14" t="n">
        <f aca="false">MAX(I66,H67)</f>
        <v>4.59086078639746</v>
      </c>
      <c r="J67" s="14" t="n">
        <f aca="false">I67-H67</f>
        <v>0</v>
      </c>
    </row>
    <row r="68" customFormat="false" ht="15" hidden="false" customHeight="false" outlineLevel="0" collapsed="false">
      <c r="A68" s="12" t="n">
        <f aca="false">Data!A68</f>
        <v>42103</v>
      </c>
      <c r="B68" s="14" t="n">
        <f aca="false">Data!B68</f>
        <v>50.79</v>
      </c>
      <c r="C68" s="0" t="str">
        <f aca="false">IF(Data!D68="","HOLD",IF(AND(G67&lt;&gt;"IN",Data!E68&lt;-5),"BUY",IF(AND(G67="IN",Data!E68&gt;0),"SELL","HOLD")))</f>
        <v>HOLD</v>
      </c>
      <c r="D68" s="14" t="str">
        <f aca="false">IF(C68="BUY",B68,IF(G67="IN",D67,""))</f>
        <v/>
      </c>
      <c r="E68" s="14" t="str">
        <f aca="false">IF(C68="SELL",B68,"")</f>
        <v/>
      </c>
      <c r="F68" s="14" t="str">
        <f aca="false">IF(E68="","",(E68-D68)/D68*100)</f>
        <v/>
      </c>
      <c r="G68" s="0" t="str">
        <f aca="false">IF(C68="BUY","IN",IF(C68="SELL","OUT",IF(G67="IN","IN","OUT")))</f>
        <v>OUT</v>
      </c>
      <c r="H68" s="14" t="n">
        <f aca="false">H67+IF(F68="",0,F68)</f>
        <v>4.59086078639746</v>
      </c>
      <c r="I68" s="14" t="n">
        <f aca="false">MAX(I67,H68)</f>
        <v>4.59086078639746</v>
      </c>
      <c r="J68" s="14" t="n">
        <f aca="false">I68-H68</f>
        <v>0</v>
      </c>
    </row>
    <row r="69" customFormat="false" ht="15" hidden="false" customHeight="false" outlineLevel="0" collapsed="false">
      <c r="A69" s="12" t="n">
        <f aca="false">Data!A69</f>
        <v>42104</v>
      </c>
      <c r="B69" s="14" t="n">
        <f aca="false">Data!B69</f>
        <v>51.64</v>
      </c>
      <c r="C69" s="0" t="str">
        <f aca="false">IF(Data!D69="","HOLD",IF(AND(G68&lt;&gt;"IN",Data!E69&lt;-5),"BUY",IF(AND(G68="IN",Data!E69&gt;0),"SELL","HOLD")))</f>
        <v>HOLD</v>
      </c>
      <c r="D69" s="14" t="str">
        <f aca="false">IF(C69="BUY",B69,IF(G68="IN",D68,""))</f>
        <v/>
      </c>
      <c r="E69" s="14" t="str">
        <f aca="false">IF(C69="SELL",B69,"")</f>
        <v/>
      </c>
      <c r="F69" s="14" t="str">
        <f aca="false">IF(E69="","",(E69-D69)/D69*100)</f>
        <v/>
      </c>
      <c r="G69" s="0" t="str">
        <f aca="false">IF(C69="BUY","IN",IF(C69="SELL","OUT",IF(G68="IN","IN","OUT")))</f>
        <v>OUT</v>
      </c>
      <c r="H69" s="14" t="n">
        <f aca="false">H68+IF(F69="",0,F69)</f>
        <v>4.59086078639746</v>
      </c>
      <c r="I69" s="14" t="n">
        <f aca="false">MAX(I68,H69)</f>
        <v>4.59086078639746</v>
      </c>
      <c r="J69" s="14" t="n">
        <f aca="false">I69-H69</f>
        <v>0</v>
      </c>
    </row>
    <row r="70" customFormat="false" ht="15" hidden="false" customHeight="false" outlineLevel="0" collapsed="false">
      <c r="A70" s="12" t="n">
        <f aca="false">Data!A70</f>
        <v>42107</v>
      </c>
      <c r="B70" s="14" t="n">
        <f aca="false">Data!B70</f>
        <v>51.91</v>
      </c>
      <c r="C70" s="0" t="str">
        <f aca="false">IF(Data!D70="","HOLD",IF(AND(G69&lt;&gt;"IN",Data!E70&lt;-5),"BUY",IF(AND(G69="IN",Data!E70&gt;0),"SELL","HOLD")))</f>
        <v>HOLD</v>
      </c>
      <c r="D70" s="14" t="str">
        <f aca="false">IF(C70="BUY",B70,IF(G69="IN",D69,""))</f>
        <v/>
      </c>
      <c r="E70" s="14" t="str">
        <f aca="false">IF(C70="SELL",B70,"")</f>
        <v/>
      </c>
      <c r="F70" s="14" t="str">
        <f aca="false">IF(E70="","",(E70-D70)/D70*100)</f>
        <v/>
      </c>
      <c r="G70" s="0" t="str">
        <f aca="false">IF(C70="BUY","IN",IF(C70="SELL","OUT",IF(G69="IN","IN","OUT")))</f>
        <v>OUT</v>
      </c>
      <c r="H70" s="14" t="n">
        <f aca="false">H69+IF(F70="",0,F70)</f>
        <v>4.59086078639746</v>
      </c>
      <c r="I70" s="14" t="n">
        <f aca="false">MAX(I69,H70)</f>
        <v>4.59086078639746</v>
      </c>
      <c r="J70" s="14" t="n">
        <f aca="false">I70-H70</f>
        <v>0</v>
      </c>
    </row>
    <row r="71" customFormat="false" ht="15" hidden="false" customHeight="false" outlineLevel="0" collapsed="false">
      <c r="A71" s="12" t="n">
        <f aca="false">Data!A71</f>
        <v>42108</v>
      </c>
      <c r="B71" s="14" t="n">
        <f aca="false">Data!B71</f>
        <v>53.29</v>
      </c>
      <c r="C71" s="0" t="str">
        <f aca="false">IF(Data!D71="","HOLD",IF(AND(G70&lt;&gt;"IN",Data!E71&lt;-5),"BUY",IF(AND(G70="IN",Data!E71&gt;0),"SELL","HOLD")))</f>
        <v>HOLD</v>
      </c>
      <c r="D71" s="14" t="str">
        <f aca="false">IF(C71="BUY",B71,IF(G70="IN",D70,""))</f>
        <v/>
      </c>
      <c r="E71" s="14" t="str">
        <f aca="false">IF(C71="SELL",B71,"")</f>
        <v/>
      </c>
      <c r="F71" s="14" t="str">
        <f aca="false">IF(E71="","",(E71-D71)/D71*100)</f>
        <v/>
      </c>
      <c r="G71" s="0" t="str">
        <f aca="false">IF(C71="BUY","IN",IF(C71="SELL","OUT",IF(G70="IN","IN","OUT")))</f>
        <v>OUT</v>
      </c>
      <c r="H71" s="14" t="n">
        <f aca="false">H70+IF(F71="",0,F71)</f>
        <v>4.59086078639746</v>
      </c>
      <c r="I71" s="14" t="n">
        <f aca="false">MAX(I70,H71)</f>
        <v>4.59086078639746</v>
      </c>
      <c r="J71" s="14" t="n">
        <f aca="false">I71-H71</f>
        <v>0</v>
      </c>
    </row>
    <row r="72" customFormat="false" ht="15" hidden="false" customHeight="false" outlineLevel="0" collapsed="false">
      <c r="A72" s="12" t="n">
        <f aca="false">Data!A72</f>
        <v>42109</v>
      </c>
      <c r="B72" s="14" t="n">
        <f aca="false">Data!B72</f>
        <v>56.39</v>
      </c>
      <c r="C72" s="0" t="str">
        <f aca="false">IF(Data!D72="","HOLD",IF(AND(G71&lt;&gt;"IN",Data!E72&lt;-5),"BUY",IF(AND(G71="IN",Data!E72&gt;0),"SELL","HOLD")))</f>
        <v>HOLD</v>
      </c>
      <c r="D72" s="14" t="str">
        <f aca="false">IF(C72="BUY",B72,IF(G71="IN",D71,""))</f>
        <v/>
      </c>
      <c r="E72" s="14" t="str">
        <f aca="false">IF(C72="SELL",B72,"")</f>
        <v/>
      </c>
      <c r="F72" s="14" t="str">
        <f aca="false">IF(E72="","",(E72-D72)/D72*100)</f>
        <v/>
      </c>
      <c r="G72" s="0" t="str">
        <f aca="false">IF(C72="BUY","IN",IF(C72="SELL","OUT",IF(G71="IN","IN","OUT")))</f>
        <v>OUT</v>
      </c>
      <c r="H72" s="14" t="n">
        <f aca="false">H71+IF(F72="",0,F72)</f>
        <v>4.59086078639746</v>
      </c>
      <c r="I72" s="14" t="n">
        <f aca="false">MAX(I71,H72)</f>
        <v>4.59086078639746</v>
      </c>
      <c r="J72" s="14" t="n">
        <f aca="false">I72-H72</f>
        <v>0</v>
      </c>
    </row>
    <row r="73" customFormat="false" ht="15" hidden="false" customHeight="false" outlineLevel="0" collapsed="false">
      <c r="A73" s="12" t="n">
        <f aca="false">Data!A73</f>
        <v>42110</v>
      </c>
      <c r="B73" s="14" t="n">
        <f aca="false">Data!B73</f>
        <v>56.71</v>
      </c>
      <c r="C73" s="0" t="str">
        <f aca="false">IF(Data!D73="","HOLD",IF(AND(G72&lt;&gt;"IN",Data!E73&lt;-5),"BUY",IF(AND(G72="IN",Data!E73&gt;0),"SELL","HOLD")))</f>
        <v>HOLD</v>
      </c>
      <c r="D73" s="14" t="str">
        <f aca="false">IF(C73="BUY",B73,IF(G72="IN",D72,""))</f>
        <v/>
      </c>
      <c r="E73" s="14" t="str">
        <f aca="false">IF(C73="SELL",B73,"")</f>
        <v/>
      </c>
      <c r="F73" s="14" t="str">
        <f aca="false">IF(E73="","",(E73-D73)/D73*100)</f>
        <v/>
      </c>
      <c r="G73" s="0" t="str">
        <f aca="false">IF(C73="BUY","IN",IF(C73="SELL","OUT",IF(G72="IN","IN","OUT")))</f>
        <v>OUT</v>
      </c>
      <c r="H73" s="14" t="n">
        <f aca="false">H72+IF(F73="",0,F73)</f>
        <v>4.59086078639746</v>
      </c>
      <c r="I73" s="14" t="n">
        <f aca="false">MAX(I72,H73)</f>
        <v>4.59086078639746</v>
      </c>
      <c r="J73" s="14" t="n">
        <f aca="false">I73-H73</f>
        <v>0</v>
      </c>
    </row>
    <row r="74" customFormat="false" ht="15" hidden="false" customHeight="false" outlineLevel="0" collapsed="false">
      <c r="A74" s="12" t="n">
        <f aca="false">Data!A74</f>
        <v>42111</v>
      </c>
      <c r="B74" s="14" t="n">
        <f aca="false">Data!B74</f>
        <v>55.74</v>
      </c>
      <c r="C74" s="0" t="str">
        <f aca="false">IF(Data!D74="","HOLD",IF(AND(G73&lt;&gt;"IN",Data!E74&lt;-5),"BUY",IF(AND(G73="IN",Data!E74&gt;0),"SELL","HOLD")))</f>
        <v>HOLD</v>
      </c>
      <c r="D74" s="14" t="str">
        <f aca="false">IF(C74="BUY",B74,IF(G73="IN",D73,""))</f>
        <v/>
      </c>
      <c r="E74" s="14" t="str">
        <f aca="false">IF(C74="SELL",B74,"")</f>
        <v/>
      </c>
      <c r="F74" s="14" t="str">
        <f aca="false">IF(E74="","",(E74-D74)/D74*100)</f>
        <v/>
      </c>
      <c r="G74" s="0" t="str">
        <f aca="false">IF(C74="BUY","IN",IF(C74="SELL","OUT",IF(G73="IN","IN","OUT")))</f>
        <v>OUT</v>
      </c>
      <c r="H74" s="14" t="n">
        <f aca="false">H73+IF(F74="",0,F74)</f>
        <v>4.59086078639746</v>
      </c>
      <c r="I74" s="14" t="n">
        <f aca="false">MAX(I73,H74)</f>
        <v>4.59086078639746</v>
      </c>
      <c r="J74" s="14" t="n">
        <f aca="false">I74-H74</f>
        <v>0</v>
      </c>
    </row>
    <row r="75" customFormat="false" ht="15" hidden="false" customHeight="false" outlineLevel="0" collapsed="false">
      <c r="A75" s="12" t="n">
        <f aca="false">Data!A75</f>
        <v>42114</v>
      </c>
      <c r="B75" s="14" t="n">
        <f aca="false">Data!B75</f>
        <v>56.38</v>
      </c>
      <c r="C75" s="0" t="str">
        <f aca="false">IF(Data!D75="","HOLD",IF(AND(G74&lt;&gt;"IN",Data!E75&lt;-5),"BUY",IF(AND(G74="IN",Data!E75&gt;0),"SELL","HOLD")))</f>
        <v>HOLD</v>
      </c>
      <c r="D75" s="14" t="str">
        <f aca="false">IF(C75="BUY",B75,IF(G74="IN",D74,""))</f>
        <v/>
      </c>
      <c r="E75" s="14" t="str">
        <f aca="false">IF(C75="SELL",B75,"")</f>
        <v/>
      </c>
      <c r="F75" s="14" t="str">
        <f aca="false">IF(E75="","",(E75-D75)/D75*100)</f>
        <v/>
      </c>
      <c r="G75" s="0" t="str">
        <f aca="false">IF(C75="BUY","IN",IF(C75="SELL","OUT",IF(G74="IN","IN","OUT")))</f>
        <v>OUT</v>
      </c>
      <c r="H75" s="14" t="n">
        <f aca="false">H74+IF(F75="",0,F75)</f>
        <v>4.59086078639746</v>
      </c>
      <c r="I75" s="14" t="n">
        <f aca="false">MAX(I74,H75)</f>
        <v>4.59086078639746</v>
      </c>
      <c r="J75" s="14" t="n">
        <f aca="false">I75-H75</f>
        <v>0</v>
      </c>
    </row>
    <row r="76" customFormat="false" ht="15" hidden="false" customHeight="false" outlineLevel="0" collapsed="false">
      <c r="A76" s="12" t="n">
        <f aca="false">Data!A76</f>
        <v>42115</v>
      </c>
      <c r="B76" s="14" t="n">
        <f aca="false">Data!B76</f>
        <v>55.26</v>
      </c>
      <c r="C76" s="0" t="str">
        <f aca="false">IF(Data!D76="","HOLD",IF(AND(G75&lt;&gt;"IN",Data!E76&lt;-5),"BUY",IF(AND(G75="IN",Data!E76&gt;0),"SELL","HOLD")))</f>
        <v>HOLD</v>
      </c>
      <c r="D76" s="14" t="str">
        <f aca="false">IF(C76="BUY",B76,IF(G75="IN",D75,""))</f>
        <v/>
      </c>
      <c r="E76" s="14" t="str">
        <f aca="false">IF(C76="SELL",B76,"")</f>
        <v/>
      </c>
      <c r="F76" s="14" t="str">
        <f aca="false">IF(E76="","",(E76-D76)/D76*100)</f>
        <v/>
      </c>
      <c r="G76" s="0" t="str">
        <f aca="false">IF(C76="BUY","IN",IF(C76="SELL","OUT",IF(G75="IN","IN","OUT")))</f>
        <v>OUT</v>
      </c>
      <c r="H76" s="14" t="n">
        <f aca="false">H75+IF(F76="",0,F76)</f>
        <v>4.59086078639746</v>
      </c>
      <c r="I76" s="14" t="n">
        <f aca="false">MAX(I75,H76)</f>
        <v>4.59086078639746</v>
      </c>
      <c r="J76" s="14" t="n">
        <f aca="false">I76-H76</f>
        <v>0</v>
      </c>
    </row>
    <row r="77" customFormat="false" ht="15" hidden="false" customHeight="false" outlineLevel="0" collapsed="false">
      <c r="A77" s="12" t="n">
        <f aca="false">Data!A77</f>
        <v>42116</v>
      </c>
      <c r="B77" s="14" t="n">
        <f aca="false">Data!B77</f>
        <v>56.16</v>
      </c>
      <c r="C77" s="0" t="str">
        <f aca="false">IF(Data!D77="","HOLD",IF(AND(G76&lt;&gt;"IN",Data!E77&lt;-5),"BUY",IF(AND(G76="IN",Data!E77&gt;0),"SELL","HOLD")))</f>
        <v>HOLD</v>
      </c>
      <c r="D77" s="14" t="str">
        <f aca="false">IF(C77="BUY",B77,IF(G76="IN",D76,""))</f>
        <v/>
      </c>
      <c r="E77" s="14" t="str">
        <f aca="false">IF(C77="SELL",B77,"")</f>
        <v/>
      </c>
      <c r="F77" s="14" t="str">
        <f aca="false">IF(E77="","",(E77-D77)/D77*100)</f>
        <v/>
      </c>
      <c r="G77" s="0" t="str">
        <f aca="false">IF(C77="BUY","IN",IF(C77="SELL","OUT",IF(G76="IN","IN","OUT")))</f>
        <v>OUT</v>
      </c>
      <c r="H77" s="14" t="n">
        <f aca="false">H76+IF(F77="",0,F77)</f>
        <v>4.59086078639746</v>
      </c>
      <c r="I77" s="14" t="n">
        <f aca="false">MAX(I76,H77)</f>
        <v>4.59086078639746</v>
      </c>
      <c r="J77" s="14" t="n">
        <f aca="false">I77-H77</f>
        <v>0</v>
      </c>
    </row>
    <row r="78" customFormat="false" ht="15" hidden="false" customHeight="false" outlineLevel="0" collapsed="false">
      <c r="A78" s="12" t="n">
        <f aca="false">Data!A78</f>
        <v>42117</v>
      </c>
      <c r="B78" s="14" t="n">
        <f aca="false">Data!B78</f>
        <v>57.74</v>
      </c>
      <c r="C78" s="0" t="str">
        <f aca="false">IF(Data!D78="","HOLD",IF(AND(G77&lt;&gt;"IN",Data!E78&lt;-5),"BUY",IF(AND(G77="IN",Data!E78&gt;0),"SELL","HOLD")))</f>
        <v>HOLD</v>
      </c>
      <c r="D78" s="14" t="str">
        <f aca="false">IF(C78="BUY",B78,IF(G77="IN",D77,""))</f>
        <v/>
      </c>
      <c r="E78" s="14" t="str">
        <f aca="false">IF(C78="SELL",B78,"")</f>
        <v/>
      </c>
      <c r="F78" s="14" t="str">
        <f aca="false">IF(E78="","",(E78-D78)/D78*100)</f>
        <v/>
      </c>
      <c r="G78" s="0" t="str">
        <f aca="false">IF(C78="BUY","IN",IF(C78="SELL","OUT",IF(G77="IN","IN","OUT")))</f>
        <v>OUT</v>
      </c>
      <c r="H78" s="14" t="n">
        <f aca="false">H77+IF(F78="",0,F78)</f>
        <v>4.59086078639746</v>
      </c>
      <c r="I78" s="14" t="n">
        <f aca="false">MAX(I77,H78)</f>
        <v>4.59086078639746</v>
      </c>
      <c r="J78" s="14" t="n">
        <f aca="false">I78-H78</f>
        <v>0</v>
      </c>
    </row>
    <row r="79" customFormat="false" ht="15" hidden="false" customHeight="false" outlineLevel="0" collapsed="false">
      <c r="A79" s="12" t="n">
        <f aca="false">Data!A79</f>
        <v>42118</v>
      </c>
      <c r="B79" s="14" t="n">
        <f aca="false">Data!B79</f>
        <v>57.15</v>
      </c>
      <c r="C79" s="0" t="str">
        <f aca="false">IF(Data!D79="","HOLD",IF(AND(G78&lt;&gt;"IN",Data!E79&lt;-5),"BUY",IF(AND(G78="IN",Data!E79&gt;0),"SELL","HOLD")))</f>
        <v>HOLD</v>
      </c>
      <c r="D79" s="14" t="str">
        <f aca="false">IF(C79="BUY",B79,IF(G78="IN",D78,""))</f>
        <v/>
      </c>
      <c r="E79" s="14" t="str">
        <f aca="false">IF(C79="SELL",B79,"")</f>
        <v/>
      </c>
      <c r="F79" s="14" t="str">
        <f aca="false">IF(E79="","",(E79-D79)/D79*100)</f>
        <v/>
      </c>
      <c r="G79" s="0" t="str">
        <f aca="false">IF(C79="BUY","IN",IF(C79="SELL","OUT",IF(G78="IN","IN","OUT")))</f>
        <v>OUT</v>
      </c>
      <c r="H79" s="14" t="n">
        <f aca="false">H78+IF(F79="",0,F79)</f>
        <v>4.59086078639746</v>
      </c>
      <c r="I79" s="14" t="n">
        <f aca="false">MAX(I78,H79)</f>
        <v>4.59086078639746</v>
      </c>
      <c r="J79" s="14" t="n">
        <f aca="false">I79-H79</f>
        <v>0</v>
      </c>
    </row>
    <row r="80" customFormat="false" ht="15" hidden="false" customHeight="false" outlineLevel="0" collapsed="false">
      <c r="A80" s="12" t="n">
        <f aca="false">Data!A80</f>
        <v>42121</v>
      </c>
      <c r="B80" s="14" t="n">
        <f aca="false">Data!B80</f>
        <v>56.99</v>
      </c>
      <c r="C80" s="0" t="str">
        <f aca="false">IF(Data!D80="","HOLD",IF(AND(G79&lt;&gt;"IN",Data!E80&lt;-5),"BUY",IF(AND(G79="IN",Data!E80&gt;0),"SELL","HOLD")))</f>
        <v>HOLD</v>
      </c>
      <c r="D80" s="14" t="str">
        <f aca="false">IF(C80="BUY",B80,IF(G79="IN",D79,""))</f>
        <v/>
      </c>
      <c r="E80" s="14" t="str">
        <f aca="false">IF(C80="SELL",B80,"")</f>
        <v/>
      </c>
      <c r="F80" s="14" t="str">
        <f aca="false">IF(E80="","",(E80-D80)/D80*100)</f>
        <v/>
      </c>
      <c r="G80" s="0" t="str">
        <f aca="false">IF(C80="BUY","IN",IF(C80="SELL","OUT",IF(G79="IN","IN","OUT")))</f>
        <v>OUT</v>
      </c>
      <c r="H80" s="14" t="n">
        <f aca="false">H79+IF(F80="",0,F80)</f>
        <v>4.59086078639746</v>
      </c>
      <c r="I80" s="14" t="n">
        <f aca="false">MAX(I79,H80)</f>
        <v>4.59086078639746</v>
      </c>
      <c r="J80" s="14" t="n">
        <f aca="false">I80-H80</f>
        <v>0</v>
      </c>
    </row>
    <row r="81" customFormat="false" ht="15" hidden="false" customHeight="false" outlineLevel="0" collapsed="false">
      <c r="A81" s="12" t="n">
        <f aca="false">Data!A81</f>
        <v>42122</v>
      </c>
      <c r="B81" s="14" t="n">
        <f aca="false">Data!B81</f>
        <v>57.06</v>
      </c>
      <c r="C81" s="0" t="str">
        <f aca="false">IF(Data!D81="","HOLD",IF(AND(G80&lt;&gt;"IN",Data!E81&lt;-5),"BUY",IF(AND(G80="IN",Data!E81&gt;0),"SELL","HOLD")))</f>
        <v>HOLD</v>
      </c>
      <c r="D81" s="14" t="str">
        <f aca="false">IF(C81="BUY",B81,IF(G80="IN",D80,""))</f>
        <v/>
      </c>
      <c r="E81" s="14" t="str">
        <f aca="false">IF(C81="SELL",B81,"")</f>
        <v/>
      </c>
      <c r="F81" s="14" t="str">
        <f aca="false">IF(E81="","",(E81-D81)/D81*100)</f>
        <v/>
      </c>
      <c r="G81" s="0" t="str">
        <f aca="false">IF(C81="BUY","IN",IF(C81="SELL","OUT",IF(G80="IN","IN","OUT")))</f>
        <v>OUT</v>
      </c>
      <c r="H81" s="14" t="n">
        <f aca="false">H80+IF(F81="",0,F81)</f>
        <v>4.59086078639746</v>
      </c>
      <c r="I81" s="14" t="n">
        <f aca="false">MAX(I80,H81)</f>
        <v>4.59086078639746</v>
      </c>
      <c r="J81" s="14" t="n">
        <f aca="false">I81-H81</f>
        <v>0</v>
      </c>
    </row>
    <row r="82" customFormat="false" ht="15" hidden="false" customHeight="false" outlineLevel="0" collapsed="false">
      <c r="A82" s="12" t="n">
        <f aca="false">Data!A82</f>
        <v>42123</v>
      </c>
      <c r="B82" s="14" t="n">
        <f aca="false">Data!B82</f>
        <v>58.58</v>
      </c>
      <c r="C82" s="0" t="str">
        <f aca="false">IF(Data!D82="","HOLD",IF(AND(G81&lt;&gt;"IN",Data!E82&lt;-5),"BUY",IF(AND(G81="IN",Data!E82&gt;0),"SELL","HOLD")))</f>
        <v>HOLD</v>
      </c>
      <c r="D82" s="14" t="str">
        <f aca="false">IF(C82="BUY",B82,IF(G81="IN",D81,""))</f>
        <v/>
      </c>
      <c r="E82" s="14" t="str">
        <f aca="false">IF(C82="SELL",B82,"")</f>
        <v/>
      </c>
      <c r="F82" s="14" t="str">
        <f aca="false">IF(E82="","",(E82-D82)/D82*100)</f>
        <v/>
      </c>
      <c r="G82" s="0" t="str">
        <f aca="false">IF(C82="BUY","IN",IF(C82="SELL","OUT",IF(G81="IN","IN","OUT")))</f>
        <v>OUT</v>
      </c>
      <c r="H82" s="14" t="n">
        <f aca="false">H81+IF(F82="",0,F82)</f>
        <v>4.59086078639746</v>
      </c>
      <c r="I82" s="14" t="n">
        <f aca="false">MAX(I81,H82)</f>
        <v>4.59086078639746</v>
      </c>
      <c r="J82" s="14" t="n">
        <f aca="false">I82-H82</f>
        <v>0</v>
      </c>
    </row>
    <row r="83" customFormat="false" ht="15" hidden="false" customHeight="false" outlineLevel="0" collapsed="false">
      <c r="A83" s="12" t="n">
        <f aca="false">Data!A83</f>
        <v>42124</v>
      </c>
      <c r="B83" s="14" t="n">
        <f aca="false">Data!B83</f>
        <v>59.63</v>
      </c>
      <c r="C83" s="0" t="str">
        <f aca="false">IF(Data!D83="","HOLD",IF(AND(G82&lt;&gt;"IN",Data!E83&lt;-5),"BUY",IF(AND(G82="IN",Data!E83&gt;0),"SELL","HOLD")))</f>
        <v>HOLD</v>
      </c>
      <c r="D83" s="14" t="str">
        <f aca="false">IF(C83="BUY",B83,IF(G82="IN",D82,""))</f>
        <v/>
      </c>
      <c r="E83" s="14" t="str">
        <f aca="false">IF(C83="SELL",B83,"")</f>
        <v/>
      </c>
      <c r="F83" s="14" t="str">
        <f aca="false">IF(E83="","",(E83-D83)/D83*100)</f>
        <v/>
      </c>
      <c r="G83" s="0" t="str">
        <f aca="false">IF(C83="BUY","IN",IF(C83="SELL","OUT",IF(G82="IN","IN","OUT")))</f>
        <v>OUT</v>
      </c>
      <c r="H83" s="14" t="n">
        <f aca="false">H82+IF(F83="",0,F83)</f>
        <v>4.59086078639746</v>
      </c>
      <c r="I83" s="14" t="n">
        <f aca="false">MAX(I82,H83)</f>
        <v>4.59086078639746</v>
      </c>
      <c r="J83" s="14" t="n">
        <f aca="false">I83-H83</f>
        <v>0</v>
      </c>
    </row>
    <row r="84" customFormat="false" ht="15" hidden="false" customHeight="false" outlineLevel="0" collapsed="false">
      <c r="A84" s="12" t="n">
        <f aca="false">Data!A84</f>
        <v>42125</v>
      </c>
      <c r="B84" s="14" t="n">
        <f aca="false">Data!B84</f>
        <v>59.15</v>
      </c>
      <c r="C84" s="0" t="str">
        <f aca="false">IF(Data!D84="","HOLD",IF(AND(G83&lt;&gt;"IN",Data!E84&lt;-5),"BUY",IF(AND(G83="IN",Data!E84&gt;0),"SELL","HOLD")))</f>
        <v>HOLD</v>
      </c>
      <c r="D84" s="14" t="str">
        <f aca="false">IF(C84="BUY",B84,IF(G83="IN",D83,""))</f>
        <v/>
      </c>
      <c r="E84" s="14" t="str">
        <f aca="false">IF(C84="SELL",B84,"")</f>
        <v/>
      </c>
      <c r="F84" s="14" t="str">
        <f aca="false">IF(E84="","",(E84-D84)/D84*100)</f>
        <v/>
      </c>
      <c r="G84" s="0" t="str">
        <f aca="false">IF(C84="BUY","IN",IF(C84="SELL","OUT",IF(G83="IN","IN","OUT")))</f>
        <v>OUT</v>
      </c>
      <c r="H84" s="14" t="n">
        <f aca="false">H83+IF(F84="",0,F84)</f>
        <v>4.59086078639746</v>
      </c>
      <c r="I84" s="14" t="n">
        <f aca="false">MAX(I83,H84)</f>
        <v>4.59086078639746</v>
      </c>
      <c r="J84" s="14" t="n">
        <f aca="false">I84-H84</f>
        <v>0</v>
      </c>
    </row>
    <row r="85" customFormat="false" ht="15" hidden="false" customHeight="false" outlineLevel="0" collapsed="false">
      <c r="A85" s="12" t="n">
        <f aca="false">Data!A85</f>
        <v>42128</v>
      </c>
      <c r="B85" s="14" t="n">
        <f aca="false">Data!B85</f>
        <v>58.93</v>
      </c>
      <c r="C85" s="0" t="str">
        <f aca="false">IF(Data!D85="","HOLD",IF(AND(G84&lt;&gt;"IN",Data!E85&lt;-5),"BUY",IF(AND(G84="IN",Data!E85&gt;0),"SELL","HOLD")))</f>
        <v>HOLD</v>
      </c>
      <c r="D85" s="14" t="str">
        <f aca="false">IF(C85="BUY",B85,IF(G84="IN",D84,""))</f>
        <v/>
      </c>
      <c r="E85" s="14" t="str">
        <f aca="false">IF(C85="SELL",B85,"")</f>
        <v/>
      </c>
      <c r="F85" s="14" t="str">
        <f aca="false">IF(E85="","",(E85-D85)/D85*100)</f>
        <v/>
      </c>
      <c r="G85" s="0" t="str">
        <f aca="false">IF(C85="BUY","IN",IF(C85="SELL","OUT",IF(G84="IN","IN","OUT")))</f>
        <v>OUT</v>
      </c>
      <c r="H85" s="14" t="n">
        <f aca="false">H84+IF(F85="",0,F85)</f>
        <v>4.59086078639746</v>
      </c>
      <c r="I85" s="14" t="n">
        <f aca="false">MAX(I84,H85)</f>
        <v>4.59086078639746</v>
      </c>
      <c r="J85" s="14" t="n">
        <f aca="false">I85-H85</f>
        <v>0</v>
      </c>
    </row>
    <row r="86" customFormat="false" ht="15" hidden="false" customHeight="false" outlineLevel="0" collapsed="false">
      <c r="A86" s="12" t="n">
        <f aca="false">Data!A86</f>
        <v>42129</v>
      </c>
      <c r="B86" s="14" t="n">
        <f aca="false">Data!B86</f>
        <v>60.4</v>
      </c>
      <c r="C86" s="0" t="str">
        <f aca="false">IF(Data!D86="","HOLD",IF(AND(G85&lt;&gt;"IN",Data!E86&lt;-5),"BUY",IF(AND(G85="IN",Data!E86&gt;0),"SELL","HOLD")))</f>
        <v>HOLD</v>
      </c>
      <c r="D86" s="14" t="str">
        <f aca="false">IF(C86="BUY",B86,IF(G85="IN",D85,""))</f>
        <v/>
      </c>
      <c r="E86" s="14" t="str">
        <f aca="false">IF(C86="SELL",B86,"")</f>
        <v/>
      </c>
      <c r="F86" s="14" t="str">
        <f aca="false">IF(E86="","",(E86-D86)/D86*100)</f>
        <v/>
      </c>
      <c r="G86" s="0" t="str">
        <f aca="false">IF(C86="BUY","IN",IF(C86="SELL","OUT",IF(G85="IN","IN","OUT")))</f>
        <v>OUT</v>
      </c>
      <c r="H86" s="14" t="n">
        <f aca="false">H85+IF(F86="",0,F86)</f>
        <v>4.59086078639746</v>
      </c>
      <c r="I86" s="14" t="n">
        <f aca="false">MAX(I85,H86)</f>
        <v>4.59086078639746</v>
      </c>
      <c r="J86" s="14" t="n">
        <f aca="false">I86-H86</f>
        <v>0</v>
      </c>
    </row>
    <row r="87" customFormat="false" ht="15" hidden="false" customHeight="false" outlineLevel="0" collapsed="false">
      <c r="A87" s="12" t="n">
        <f aca="false">Data!A87</f>
        <v>42130</v>
      </c>
      <c r="B87" s="14" t="n">
        <f aca="false">Data!B87</f>
        <v>60.93</v>
      </c>
      <c r="C87" s="0" t="str">
        <f aca="false">IF(Data!D87="","HOLD",IF(AND(G86&lt;&gt;"IN",Data!E87&lt;-5),"BUY",IF(AND(G86="IN",Data!E87&gt;0),"SELL","HOLD")))</f>
        <v>HOLD</v>
      </c>
      <c r="D87" s="14" t="str">
        <f aca="false">IF(C87="BUY",B87,IF(G86="IN",D86,""))</f>
        <v/>
      </c>
      <c r="E87" s="14" t="str">
        <f aca="false">IF(C87="SELL",B87,"")</f>
        <v/>
      </c>
      <c r="F87" s="14" t="str">
        <f aca="false">IF(E87="","",(E87-D87)/D87*100)</f>
        <v/>
      </c>
      <c r="G87" s="0" t="str">
        <f aca="false">IF(C87="BUY","IN",IF(C87="SELL","OUT",IF(G86="IN","IN","OUT")))</f>
        <v>OUT</v>
      </c>
      <c r="H87" s="14" t="n">
        <f aca="false">H86+IF(F87="",0,F87)</f>
        <v>4.59086078639746</v>
      </c>
      <c r="I87" s="14" t="n">
        <f aca="false">MAX(I86,H87)</f>
        <v>4.59086078639746</v>
      </c>
      <c r="J87" s="14" t="n">
        <f aca="false">I87-H87</f>
        <v>0</v>
      </c>
    </row>
    <row r="88" customFormat="false" ht="15" hidden="false" customHeight="false" outlineLevel="0" collapsed="false">
      <c r="A88" s="12" t="n">
        <f aca="false">Data!A88</f>
        <v>42131</v>
      </c>
      <c r="B88" s="14" t="n">
        <f aca="false">Data!B88</f>
        <v>58.94</v>
      </c>
      <c r="C88" s="0" t="str">
        <f aca="false">IF(Data!D88="","HOLD",IF(AND(G87&lt;&gt;"IN",Data!E88&lt;-5),"BUY",IF(AND(G87="IN",Data!E88&gt;0),"SELL","HOLD")))</f>
        <v>HOLD</v>
      </c>
      <c r="D88" s="14" t="str">
        <f aca="false">IF(C88="BUY",B88,IF(G87="IN",D87,""))</f>
        <v/>
      </c>
      <c r="E88" s="14" t="str">
        <f aca="false">IF(C88="SELL",B88,"")</f>
        <v/>
      </c>
      <c r="F88" s="14" t="str">
        <f aca="false">IF(E88="","",(E88-D88)/D88*100)</f>
        <v/>
      </c>
      <c r="G88" s="0" t="str">
        <f aca="false">IF(C88="BUY","IN",IF(C88="SELL","OUT",IF(G87="IN","IN","OUT")))</f>
        <v>OUT</v>
      </c>
      <c r="H88" s="14" t="n">
        <f aca="false">H87+IF(F88="",0,F88)</f>
        <v>4.59086078639746</v>
      </c>
      <c r="I88" s="14" t="n">
        <f aca="false">MAX(I87,H88)</f>
        <v>4.59086078639746</v>
      </c>
      <c r="J88" s="14" t="n">
        <f aca="false">I88-H88</f>
        <v>0</v>
      </c>
    </row>
    <row r="89" customFormat="false" ht="15" hidden="false" customHeight="false" outlineLevel="0" collapsed="false">
      <c r="A89" s="12" t="n">
        <f aca="false">Data!A89</f>
        <v>42132</v>
      </c>
      <c r="B89" s="14" t="n">
        <f aca="false">Data!B89</f>
        <v>59.39</v>
      </c>
      <c r="C89" s="0" t="str">
        <f aca="false">IF(Data!D89="","HOLD",IF(AND(G88&lt;&gt;"IN",Data!E89&lt;-5),"BUY",IF(AND(G88="IN",Data!E89&gt;0),"SELL","HOLD")))</f>
        <v>HOLD</v>
      </c>
      <c r="D89" s="14" t="str">
        <f aca="false">IF(C89="BUY",B89,IF(G88="IN",D88,""))</f>
        <v/>
      </c>
      <c r="E89" s="14" t="str">
        <f aca="false">IF(C89="SELL",B89,"")</f>
        <v/>
      </c>
      <c r="F89" s="14" t="str">
        <f aca="false">IF(E89="","",(E89-D89)/D89*100)</f>
        <v/>
      </c>
      <c r="G89" s="0" t="str">
        <f aca="false">IF(C89="BUY","IN",IF(C89="SELL","OUT",IF(G88="IN","IN","OUT")))</f>
        <v>OUT</v>
      </c>
      <c r="H89" s="14" t="n">
        <f aca="false">H88+IF(F89="",0,F89)</f>
        <v>4.59086078639746</v>
      </c>
      <c r="I89" s="14" t="n">
        <f aca="false">MAX(I88,H89)</f>
        <v>4.59086078639746</v>
      </c>
      <c r="J89" s="14" t="n">
        <f aca="false">I89-H89</f>
        <v>0</v>
      </c>
    </row>
    <row r="90" customFormat="false" ht="15" hidden="false" customHeight="false" outlineLevel="0" collapsed="false">
      <c r="A90" s="12" t="n">
        <f aca="false">Data!A90</f>
        <v>42135</v>
      </c>
      <c r="B90" s="14" t="n">
        <f aca="false">Data!B90</f>
        <v>59.25</v>
      </c>
      <c r="C90" s="0" t="str">
        <f aca="false">IF(Data!D90="","HOLD",IF(AND(G89&lt;&gt;"IN",Data!E90&lt;-5),"BUY",IF(AND(G89="IN",Data!E90&gt;0),"SELL","HOLD")))</f>
        <v>HOLD</v>
      </c>
      <c r="D90" s="14" t="str">
        <f aca="false">IF(C90="BUY",B90,IF(G89="IN",D89,""))</f>
        <v/>
      </c>
      <c r="E90" s="14" t="str">
        <f aca="false">IF(C90="SELL",B90,"")</f>
        <v/>
      </c>
      <c r="F90" s="14" t="str">
        <f aca="false">IF(E90="","",(E90-D90)/D90*100)</f>
        <v/>
      </c>
      <c r="G90" s="0" t="str">
        <f aca="false">IF(C90="BUY","IN",IF(C90="SELL","OUT",IF(G89="IN","IN","OUT")))</f>
        <v>OUT</v>
      </c>
      <c r="H90" s="14" t="n">
        <f aca="false">H89+IF(F90="",0,F90)</f>
        <v>4.59086078639746</v>
      </c>
      <c r="I90" s="14" t="n">
        <f aca="false">MAX(I89,H90)</f>
        <v>4.59086078639746</v>
      </c>
      <c r="J90" s="14" t="n">
        <f aca="false">I90-H90</f>
        <v>0</v>
      </c>
    </row>
    <row r="91" customFormat="false" ht="15" hidden="false" customHeight="false" outlineLevel="0" collapsed="false">
      <c r="A91" s="12" t="n">
        <f aca="false">Data!A91</f>
        <v>42136</v>
      </c>
      <c r="B91" s="14" t="n">
        <f aca="false">Data!B91</f>
        <v>60.75</v>
      </c>
      <c r="C91" s="0" t="str">
        <f aca="false">IF(Data!D91="","HOLD",IF(AND(G90&lt;&gt;"IN",Data!E91&lt;-5),"BUY",IF(AND(G90="IN",Data!E91&gt;0),"SELL","HOLD")))</f>
        <v>HOLD</v>
      </c>
      <c r="D91" s="14" t="str">
        <f aca="false">IF(C91="BUY",B91,IF(G90="IN",D90,""))</f>
        <v/>
      </c>
      <c r="E91" s="14" t="str">
        <f aca="false">IF(C91="SELL",B91,"")</f>
        <v/>
      </c>
      <c r="F91" s="14" t="str">
        <f aca="false">IF(E91="","",(E91-D91)/D91*100)</f>
        <v/>
      </c>
      <c r="G91" s="0" t="str">
        <f aca="false">IF(C91="BUY","IN",IF(C91="SELL","OUT",IF(G90="IN","IN","OUT")))</f>
        <v>OUT</v>
      </c>
      <c r="H91" s="14" t="n">
        <f aca="false">H90+IF(F91="",0,F91)</f>
        <v>4.59086078639746</v>
      </c>
      <c r="I91" s="14" t="n">
        <f aca="false">MAX(I90,H91)</f>
        <v>4.59086078639746</v>
      </c>
      <c r="J91" s="14" t="n">
        <f aca="false">I91-H91</f>
        <v>0</v>
      </c>
    </row>
    <row r="92" customFormat="false" ht="15" hidden="false" customHeight="false" outlineLevel="0" collapsed="false">
      <c r="A92" s="12" t="n">
        <f aca="false">Data!A92</f>
        <v>42137</v>
      </c>
      <c r="B92" s="14" t="n">
        <f aca="false">Data!B92</f>
        <v>60.5</v>
      </c>
      <c r="C92" s="0" t="str">
        <f aca="false">IF(Data!D92="","HOLD",IF(AND(G91&lt;&gt;"IN",Data!E92&lt;-5),"BUY",IF(AND(G91="IN",Data!E92&gt;0),"SELL","HOLD")))</f>
        <v>HOLD</v>
      </c>
      <c r="D92" s="14" t="str">
        <f aca="false">IF(C92="BUY",B92,IF(G91="IN",D91,""))</f>
        <v/>
      </c>
      <c r="E92" s="14" t="str">
        <f aca="false">IF(C92="SELL",B92,"")</f>
        <v/>
      </c>
      <c r="F92" s="14" t="str">
        <f aca="false">IF(E92="","",(E92-D92)/D92*100)</f>
        <v/>
      </c>
      <c r="G92" s="0" t="str">
        <f aca="false">IF(C92="BUY","IN",IF(C92="SELL","OUT",IF(G91="IN","IN","OUT")))</f>
        <v>OUT</v>
      </c>
      <c r="H92" s="14" t="n">
        <f aca="false">H91+IF(F92="",0,F92)</f>
        <v>4.59086078639746</v>
      </c>
      <c r="I92" s="14" t="n">
        <f aca="false">MAX(I91,H92)</f>
        <v>4.59086078639746</v>
      </c>
      <c r="J92" s="14" t="n">
        <f aca="false">I92-H92</f>
        <v>0</v>
      </c>
    </row>
    <row r="93" customFormat="false" ht="15" hidden="false" customHeight="false" outlineLevel="0" collapsed="false">
      <c r="A93" s="12" t="n">
        <f aca="false">Data!A93</f>
        <v>42138</v>
      </c>
      <c r="B93" s="14" t="n">
        <f aca="false">Data!B93</f>
        <v>59.88</v>
      </c>
      <c r="C93" s="0" t="str">
        <f aca="false">IF(Data!D93="","HOLD",IF(AND(G92&lt;&gt;"IN",Data!E93&lt;-5),"BUY",IF(AND(G92="IN",Data!E93&gt;0),"SELL","HOLD")))</f>
        <v>HOLD</v>
      </c>
      <c r="D93" s="14" t="str">
        <f aca="false">IF(C93="BUY",B93,IF(G92="IN",D92,""))</f>
        <v/>
      </c>
      <c r="E93" s="14" t="str">
        <f aca="false">IF(C93="SELL",B93,"")</f>
        <v/>
      </c>
      <c r="F93" s="14" t="str">
        <f aca="false">IF(E93="","",(E93-D93)/D93*100)</f>
        <v/>
      </c>
      <c r="G93" s="0" t="str">
        <f aca="false">IF(C93="BUY","IN",IF(C93="SELL","OUT",IF(G92="IN","IN","OUT")))</f>
        <v>OUT</v>
      </c>
      <c r="H93" s="14" t="n">
        <f aca="false">H92+IF(F93="",0,F93)</f>
        <v>4.59086078639746</v>
      </c>
      <c r="I93" s="14" t="n">
        <f aca="false">MAX(I92,H93)</f>
        <v>4.59086078639746</v>
      </c>
      <c r="J93" s="14" t="n">
        <f aca="false">I93-H93</f>
        <v>0</v>
      </c>
    </row>
    <row r="94" customFormat="false" ht="15" hidden="false" customHeight="false" outlineLevel="0" collapsed="false">
      <c r="A94" s="12" t="n">
        <f aca="false">Data!A94</f>
        <v>42139</v>
      </c>
      <c r="B94" s="14" t="n">
        <f aca="false">Data!B94</f>
        <v>59.69</v>
      </c>
      <c r="C94" s="0" t="str">
        <f aca="false">IF(Data!D94="","HOLD",IF(AND(G93&lt;&gt;"IN",Data!E94&lt;-5),"BUY",IF(AND(G93="IN",Data!E94&gt;0),"SELL","HOLD")))</f>
        <v>HOLD</v>
      </c>
      <c r="D94" s="14" t="str">
        <f aca="false">IF(C94="BUY",B94,IF(G93="IN",D93,""))</f>
        <v/>
      </c>
      <c r="E94" s="14" t="str">
        <f aca="false">IF(C94="SELL",B94,"")</f>
        <v/>
      </c>
      <c r="F94" s="14" t="str">
        <f aca="false">IF(E94="","",(E94-D94)/D94*100)</f>
        <v/>
      </c>
      <c r="G94" s="0" t="str">
        <f aca="false">IF(C94="BUY","IN",IF(C94="SELL","OUT",IF(G93="IN","IN","OUT")))</f>
        <v>OUT</v>
      </c>
      <c r="H94" s="14" t="n">
        <f aca="false">H93+IF(F94="",0,F94)</f>
        <v>4.59086078639746</v>
      </c>
      <c r="I94" s="14" t="n">
        <f aca="false">MAX(I93,H94)</f>
        <v>4.59086078639746</v>
      </c>
      <c r="J94" s="14" t="n">
        <f aca="false">I94-H94</f>
        <v>0</v>
      </c>
    </row>
    <row r="95" customFormat="false" ht="15" hidden="false" customHeight="false" outlineLevel="0" collapsed="false">
      <c r="A95" s="12" t="n">
        <f aca="false">Data!A95</f>
        <v>42142</v>
      </c>
      <c r="B95" s="14" t="n">
        <f aca="false">Data!B95</f>
        <v>59.43</v>
      </c>
      <c r="C95" s="0" t="str">
        <f aca="false">IF(Data!D95="","HOLD",IF(AND(G94&lt;&gt;"IN",Data!E95&lt;-5),"BUY",IF(AND(G94="IN",Data!E95&gt;0),"SELL","HOLD")))</f>
        <v>HOLD</v>
      </c>
      <c r="D95" s="14" t="str">
        <f aca="false">IF(C95="BUY",B95,IF(G94="IN",D94,""))</f>
        <v/>
      </c>
      <c r="E95" s="14" t="str">
        <f aca="false">IF(C95="SELL",B95,"")</f>
        <v/>
      </c>
      <c r="F95" s="14" t="str">
        <f aca="false">IF(E95="","",(E95-D95)/D95*100)</f>
        <v/>
      </c>
      <c r="G95" s="0" t="str">
        <f aca="false">IF(C95="BUY","IN",IF(C95="SELL","OUT",IF(G94="IN","IN","OUT")))</f>
        <v>OUT</v>
      </c>
      <c r="H95" s="14" t="n">
        <f aca="false">H94+IF(F95="",0,F95)</f>
        <v>4.59086078639746</v>
      </c>
      <c r="I95" s="14" t="n">
        <f aca="false">MAX(I94,H95)</f>
        <v>4.59086078639746</v>
      </c>
      <c r="J95" s="14" t="n">
        <f aca="false">I95-H95</f>
        <v>0</v>
      </c>
    </row>
    <row r="96" customFormat="false" ht="15" hidden="false" customHeight="false" outlineLevel="0" collapsed="false">
      <c r="A96" s="12" t="n">
        <f aca="false">Data!A96</f>
        <v>42143</v>
      </c>
      <c r="B96" s="14" t="n">
        <f aca="false">Data!B96</f>
        <v>57.26</v>
      </c>
      <c r="C96" s="0" t="str">
        <f aca="false">IF(Data!D96="","HOLD",IF(AND(G95&lt;&gt;"IN",Data!E96&lt;-5),"BUY",IF(AND(G95="IN",Data!E96&gt;0),"SELL","HOLD")))</f>
        <v>HOLD</v>
      </c>
      <c r="D96" s="14" t="str">
        <f aca="false">IF(C96="BUY",B96,IF(G95="IN",D95,""))</f>
        <v/>
      </c>
      <c r="E96" s="14" t="str">
        <f aca="false">IF(C96="SELL",B96,"")</f>
        <v/>
      </c>
      <c r="F96" s="14" t="str">
        <f aca="false">IF(E96="","",(E96-D96)/D96*100)</f>
        <v/>
      </c>
      <c r="G96" s="0" t="str">
        <f aca="false">IF(C96="BUY","IN",IF(C96="SELL","OUT",IF(G95="IN","IN","OUT")))</f>
        <v>OUT</v>
      </c>
      <c r="H96" s="14" t="n">
        <f aca="false">H95+IF(F96="",0,F96)</f>
        <v>4.59086078639746</v>
      </c>
      <c r="I96" s="14" t="n">
        <f aca="false">MAX(I95,H96)</f>
        <v>4.59086078639746</v>
      </c>
      <c r="J96" s="14" t="n">
        <f aca="false">I96-H96</f>
        <v>0</v>
      </c>
    </row>
    <row r="97" customFormat="false" ht="15" hidden="false" customHeight="false" outlineLevel="0" collapsed="false">
      <c r="A97" s="12" t="n">
        <f aca="false">Data!A97</f>
        <v>42144</v>
      </c>
      <c r="B97" s="14" t="n">
        <f aca="false">Data!B97</f>
        <v>58.98</v>
      </c>
      <c r="C97" s="0" t="str">
        <f aca="false">IF(Data!D97="","HOLD",IF(AND(G96&lt;&gt;"IN",Data!E97&lt;-5),"BUY",IF(AND(G96="IN",Data!E97&gt;0),"SELL","HOLD")))</f>
        <v>HOLD</v>
      </c>
      <c r="D97" s="14" t="str">
        <f aca="false">IF(C97="BUY",B97,IF(G96="IN",D96,""))</f>
        <v/>
      </c>
      <c r="E97" s="14" t="str">
        <f aca="false">IF(C97="SELL",B97,"")</f>
        <v/>
      </c>
      <c r="F97" s="14" t="str">
        <f aca="false">IF(E97="","",(E97-D97)/D97*100)</f>
        <v/>
      </c>
      <c r="G97" s="0" t="str">
        <f aca="false">IF(C97="BUY","IN",IF(C97="SELL","OUT",IF(G96="IN","IN","OUT")))</f>
        <v>OUT</v>
      </c>
      <c r="H97" s="14" t="n">
        <f aca="false">H96+IF(F97="",0,F97)</f>
        <v>4.59086078639746</v>
      </c>
      <c r="I97" s="14" t="n">
        <f aca="false">MAX(I96,H97)</f>
        <v>4.59086078639746</v>
      </c>
      <c r="J97" s="14" t="n">
        <f aca="false">I97-H97</f>
        <v>0</v>
      </c>
    </row>
    <row r="98" customFormat="false" ht="15" hidden="false" customHeight="false" outlineLevel="0" collapsed="false">
      <c r="A98" s="12" t="n">
        <f aca="false">Data!A98</f>
        <v>42145</v>
      </c>
      <c r="B98" s="14" t="n">
        <f aca="false">Data!B98</f>
        <v>60.72</v>
      </c>
      <c r="C98" s="0" t="str">
        <f aca="false">IF(Data!D98="","HOLD",IF(AND(G97&lt;&gt;"IN",Data!E98&lt;-5),"BUY",IF(AND(G97="IN",Data!E98&gt;0),"SELL","HOLD")))</f>
        <v>HOLD</v>
      </c>
      <c r="D98" s="14" t="str">
        <f aca="false">IF(C98="BUY",B98,IF(G97="IN",D97,""))</f>
        <v/>
      </c>
      <c r="E98" s="14" t="str">
        <f aca="false">IF(C98="SELL",B98,"")</f>
        <v/>
      </c>
      <c r="F98" s="14" t="str">
        <f aca="false">IF(E98="","",(E98-D98)/D98*100)</f>
        <v/>
      </c>
      <c r="G98" s="0" t="str">
        <f aca="false">IF(C98="BUY","IN",IF(C98="SELL","OUT",IF(G97="IN","IN","OUT")))</f>
        <v>OUT</v>
      </c>
      <c r="H98" s="14" t="n">
        <f aca="false">H97+IF(F98="",0,F98)</f>
        <v>4.59086078639746</v>
      </c>
      <c r="I98" s="14" t="n">
        <f aca="false">MAX(I97,H98)</f>
        <v>4.59086078639746</v>
      </c>
      <c r="J98" s="14" t="n">
        <f aca="false">I98-H98</f>
        <v>0</v>
      </c>
    </row>
    <row r="99" customFormat="false" ht="15" hidden="false" customHeight="false" outlineLevel="0" collapsed="false">
      <c r="A99" s="12" t="n">
        <f aca="false">Data!A99</f>
        <v>42146</v>
      </c>
      <c r="B99" s="14" t="n">
        <f aca="false">Data!B99</f>
        <v>59.72</v>
      </c>
      <c r="C99" s="0" t="str">
        <f aca="false">IF(Data!D99="","HOLD",IF(AND(G98&lt;&gt;"IN",Data!E99&lt;-5),"BUY",IF(AND(G98="IN",Data!E99&gt;0),"SELL","HOLD")))</f>
        <v>HOLD</v>
      </c>
      <c r="D99" s="14" t="str">
        <f aca="false">IF(C99="BUY",B99,IF(G98="IN",D98,""))</f>
        <v/>
      </c>
      <c r="E99" s="14" t="str">
        <f aca="false">IF(C99="SELL",B99,"")</f>
        <v/>
      </c>
      <c r="F99" s="14" t="str">
        <f aca="false">IF(E99="","",(E99-D99)/D99*100)</f>
        <v/>
      </c>
      <c r="G99" s="0" t="str">
        <f aca="false">IF(C99="BUY","IN",IF(C99="SELL","OUT",IF(G98="IN","IN","OUT")))</f>
        <v>OUT</v>
      </c>
      <c r="H99" s="14" t="n">
        <f aca="false">H98+IF(F99="",0,F99)</f>
        <v>4.59086078639746</v>
      </c>
      <c r="I99" s="14" t="n">
        <f aca="false">MAX(I98,H99)</f>
        <v>4.59086078639746</v>
      </c>
      <c r="J99" s="14" t="n">
        <f aca="false">I99-H99</f>
        <v>0</v>
      </c>
    </row>
    <row r="100" customFormat="false" ht="15" hidden="false" customHeight="false" outlineLevel="0" collapsed="false">
      <c r="A100" s="12" t="n">
        <f aca="false">Data!A100</f>
        <v>42150</v>
      </c>
      <c r="B100" s="14" t="n">
        <f aca="false">Data!B100</f>
        <v>58.03</v>
      </c>
      <c r="C100" s="0" t="str">
        <f aca="false">IF(Data!D100="","HOLD",IF(AND(G99&lt;&gt;"IN",Data!E100&lt;-5),"BUY",IF(AND(G99="IN",Data!E100&gt;0),"SELL","HOLD")))</f>
        <v>HOLD</v>
      </c>
      <c r="D100" s="14" t="str">
        <f aca="false">IF(C100="BUY",B100,IF(G99="IN",D99,""))</f>
        <v/>
      </c>
      <c r="E100" s="14" t="str">
        <f aca="false">IF(C100="SELL",B100,"")</f>
        <v/>
      </c>
      <c r="F100" s="14" t="str">
        <f aca="false">IF(E100="","",(E100-D100)/D100*100)</f>
        <v/>
      </c>
      <c r="G100" s="0" t="str">
        <f aca="false">IF(C100="BUY","IN",IF(C100="SELL","OUT",IF(G99="IN","IN","OUT")))</f>
        <v>OUT</v>
      </c>
      <c r="H100" s="14" t="n">
        <f aca="false">H99+IF(F100="",0,F100)</f>
        <v>4.59086078639746</v>
      </c>
      <c r="I100" s="14" t="n">
        <f aca="false">MAX(I99,H100)</f>
        <v>4.59086078639746</v>
      </c>
      <c r="J100" s="14" t="n">
        <f aca="false">I100-H100</f>
        <v>0</v>
      </c>
    </row>
    <row r="101" customFormat="false" ht="15" hidden="false" customHeight="false" outlineLevel="0" collapsed="false">
      <c r="A101" s="12" t="n">
        <f aca="false">Data!A101</f>
        <v>42151</v>
      </c>
      <c r="B101" s="14" t="n">
        <f aca="false">Data!B101</f>
        <v>57.51</v>
      </c>
      <c r="C101" s="0" t="str">
        <f aca="false">IF(Data!D101="","HOLD",IF(AND(G100&lt;&gt;"IN",Data!E101&lt;-5),"BUY",IF(AND(G100="IN",Data!E101&gt;0),"SELL","HOLD")))</f>
        <v>HOLD</v>
      </c>
      <c r="D101" s="14" t="str">
        <f aca="false">IF(C101="BUY",B101,IF(G100="IN",D100,""))</f>
        <v/>
      </c>
      <c r="E101" s="14" t="str">
        <f aca="false">IF(C101="SELL",B101,"")</f>
        <v/>
      </c>
      <c r="F101" s="14" t="str">
        <f aca="false">IF(E101="","",(E101-D101)/D101*100)</f>
        <v/>
      </c>
      <c r="G101" s="0" t="str">
        <f aca="false">IF(C101="BUY","IN",IF(C101="SELL","OUT",IF(G100="IN","IN","OUT")))</f>
        <v>OUT</v>
      </c>
      <c r="H101" s="14" t="n">
        <f aca="false">H100+IF(F101="",0,F101)</f>
        <v>4.59086078639746</v>
      </c>
      <c r="I101" s="14" t="n">
        <f aca="false">MAX(I100,H101)</f>
        <v>4.59086078639746</v>
      </c>
      <c r="J101" s="14" t="n">
        <f aca="false">I101-H101</f>
        <v>0</v>
      </c>
    </row>
    <row r="102" customFormat="false" ht="15" hidden="false" customHeight="false" outlineLevel="0" collapsed="false">
      <c r="A102" s="12" t="n">
        <f aca="false">Data!A102</f>
        <v>42152</v>
      </c>
      <c r="B102" s="14" t="n">
        <f aca="false">Data!B102</f>
        <v>57.68</v>
      </c>
      <c r="C102" s="0" t="str">
        <f aca="false">IF(Data!D102="","HOLD",IF(AND(G101&lt;&gt;"IN",Data!E102&lt;-5),"BUY",IF(AND(G101="IN",Data!E102&gt;0),"SELL","HOLD")))</f>
        <v>HOLD</v>
      </c>
      <c r="D102" s="14" t="str">
        <f aca="false">IF(C102="BUY",B102,IF(G101="IN",D101,""))</f>
        <v/>
      </c>
      <c r="E102" s="14" t="str">
        <f aca="false">IF(C102="SELL",B102,"")</f>
        <v/>
      </c>
      <c r="F102" s="14" t="str">
        <f aca="false">IF(E102="","",(E102-D102)/D102*100)</f>
        <v/>
      </c>
      <c r="G102" s="0" t="str">
        <f aca="false">IF(C102="BUY","IN",IF(C102="SELL","OUT",IF(G101="IN","IN","OUT")))</f>
        <v>OUT</v>
      </c>
      <c r="H102" s="14" t="n">
        <f aca="false">H101+IF(F102="",0,F102)</f>
        <v>4.59086078639746</v>
      </c>
      <c r="I102" s="14" t="n">
        <f aca="false">MAX(I101,H102)</f>
        <v>4.59086078639746</v>
      </c>
      <c r="J102" s="14" t="n">
        <f aca="false">I102-H102</f>
        <v>0</v>
      </c>
    </row>
    <row r="103" customFormat="false" ht="15" hidden="false" customHeight="false" outlineLevel="0" collapsed="false">
      <c r="A103" s="12" t="n">
        <f aca="false">Data!A103</f>
        <v>42153</v>
      </c>
      <c r="B103" s="14" t="n">
        <f aca="false">Data!B103</f>
        <v>60.3</v>
      </c>
      <c r="C103" s="0" t="str">
        <f aca="false">IF(Data!D103="","HOLD",IF(AND(G102&lt;&gt;"IN",Data!E103&lt;-5),"BUY",IF(AND(G102="IN",Data!E103&gt;0),"SELL","HOLD")))</f>
        <v>HOLD</v>
      </c>
      <c r="D103" s="14" t="str">
        <f aca="false">IF(C103="BUY",B103,IF(G102="IN",D102,""))</f>
        <v/>
      </c>
      <c r="E103" s="14" t="str">
        <f aca="false">IF(C103="SELL",B103,"")</f>
        <v/>
      </c>
      <c r="F103" s="14" t="str">
        <f aca="false">IF(E103="","",(E103-D103)/D103*100)</f>
        <v/>
      </c>
      <c r="G103" s="0" t="str">
        <f aca="false">IF(C103="BUY","IN",IF(C103="SELL","OUT",IF(G102="IN","IN","OUT")))</f>
        <v>OUT</v>
      </c>
      <c r="H103" s="14" t="n">
        <f aca="false">H102+IF(F103="",0,F103)</f>
        <v>4.59086078639746</v>
      </c>
      <c r="I103" s="14" t="n">
        <f aca="false">MAX(I102,H103)</f>
        <v>4.59086078639746</v>
      </c>
      <c r="J103" s="14" t="n">
        <f aca="false">I103-H103</f>
        <v>0</v>
      </c>
    </row>
    <row r="104" customFormat="false" ht="15" hidden="false" customHeight="false" outlineLevel="0" collapsed="false">
      <c r="A104" s="12" t="n">
        <f aca="false">Data!A104</f>
        <v>42156</v>
      </c>
      <c r="B104" s="14" t="n">
        <f aca="false">Data!B104</f>
        <v>60.2</v>
      </c>
      <c r="C104" s="0" t="str">
        <f aca="false">IF(Data!D104="","HOLD",IF(AND(G103&lt;&gt;"IN",Data!E104&lt;-5),"BUY",IF(AND(G103="IN",Data!E104&gt;0),"SELL","HOLD")))</f>
        <v>HOLD</v>
      </c>
      <c r="D104" s="14" t="str">
        <f aca="false">IF(C104="BUY",B104,IF(G103="IN",D103,""))</f>
        <v/>
      </c>
      <c r="E104" s="14" t="str">
        <f aca="false">IF(C104="SELL",B104,"")</f>
        <v/>
      </c>
      <c r="F104" s="14" t="str">
        <f aca="false">IF(E104="","",(E104-D104)/D104*100)</f>
        <v/>
      </c>
      <c r="G104" s="0" t="str">
        <f aca="false">IF(C104="BUY","IN",IF(C104="SELL","OUT",IF(G103="IN","IN","OUT")))</f>
        <v>OUT</v>
      </c>
      <c r="H104" s="14" t="n">
        <f aca="false">H103+IF(F104="",0,F104)</f>
        <v>4.59086078639746</v>
      </c>
      <c r="I104" s="14" t="n">
        <f aca="false">MAX(I103,H104)</f>
        <v>4.59086078639746</v>
      </c>
      <c r="J104" s="14" t="n">
        <f aca="false">I104-H104</f>
        <v>0</v>
      </c>
    </row>
    <row r="105" customFormat="false" ht="15" hidden="false" customHeight="false" outlineLevel="0" collapsed="false">
      <c r="A105" s="12" t="n">
        <f aca="false">Data!A105</f>
        <v>42157</v>
      </c>
      <c r="B105" s="14" t="n">
        <f aca="false">Data!B105</f>
        <v>61.26</v>
      </c>
      <c r="C105" s="0" t="str">
        <f aca="false">IF(Data!D105="","HOLD",IF(AND(G104&lt;&gt;"IN",Data!E105&lt;-5),"BUY",IF(AND(G104="IN",Data!E105&gt;0),"SELL","HOLD")))</f>
        <v>HOLD</v>
      </c>
      <c r="D105" s="14" t="str">
        <f aca="false">IF(C105="BUY",B105,IF(G104="IN",D104,""))</f>
        <v/>
      </c>
      <c r="E105" s="14" t="str">
        <f aca="false">IF(C105="SELL",B105,"")</f>
        <v/>
      </c>
      <c r="F105" s="14" t="str">
        <f aca="false">IF(E105="","",(E105-D105)/D105*100)</f>
        <v/>
      </c>
      <c r="G105" s="0" t="str">
        <f aca="false">IF(C105="BUY","IN",IF(C105="SELL","OUT",IF(G104="IN","IN","OUT")))</f>
        <v>OUT</v>
      </c>
      <c r="H105" s="14" t="n">
        <f aca="false">H104+IF(F105="",0,F105)</f>
        <v>4.59086078639746</v>
      </c>
      <c r="I105" s="14" t="n">
        <f aca="false">MAX(I104,H105)</f>
        <v>4.59086078639746</v>
      </c>
      <c r="J105" s="14" t="n">
        <f aca="false">I105-H105</f>
        <v>0</v>
      </c>
    </row>
    <row r="106" customFormat="false" ht="15" hidden="false" customHeight="false" outlineLevel="0" collapsed="false">
      <c r="A106" s="12" t="n">
        <f aca="false">Data!A106</f>
        <v>42158</v>
      </c>
      <c r="B106" s="14" t="n">
        <f aca="false">Data!B106</f>
        <v>59.64</v>
      </c>
      <c r="C106" s="0" t="str">
        <f aca="false">IF(Data!D106="","HOLD",IF(AND(G105&lt;&gt;"IN",Data!E106&lt;-5),"BUY",IF(AND(G105="IN",Data!E106&gt;0),"SELL","HOLD")))</f>
        <v>HOLD</v>
      </c>
      <c r="D106" s="14" t="str">
        <f aca="false">IF(C106="BUY",B106,IF(G105="IN",D105,""))</f>
        <v/>
      </c>
      <c r="E106" s="14" t="str">
        <f aca="false">IF(C106="SELL",B106,"")</f>
        <v/>
      </c>
      <c r="F106" s="14" t="str">
        <f aca="false">IF(E106="","",(E106-D106)/D106*100)</f>
        <v/>
      </c>
      <c r="G106" s="0" t="str">
        <f aca="false">IF(C106="BUY","IN",IF(C106="SELL","OUT",IF(G105="IN","IN","OUT")))</f>
        <v>OUT</v>
      </c>
      <c r="H106" s="14" t="n">
        <f aca="false">H105+IF(F106="",0,F106)</f>
        <v>4.59086078639746</v>
      </c>
      <c r="I106" s="14" t="n">
        <f aca="false">MAX(I105,H106)</f>
        <v>4.59086078639746</v>
      </c>
      <c r="J106" s="14" t="n">
        <f aca="false">I106-H106</f>
        <v>0</v>
      </c>
    </row>
    <row r="107" customFormat="false" ht="15" hidden="false" customHeight="false" outlineLevel="0" collapsed="false">
      <c r="A107" s="12" t="n">
        <f aca="false">Data!A107</f>
        <v>42159</v>
      </c>
      <c r="B107" s="14" t="n">
        <f aca="false">Data!B107</f>
        <v>58</v>
      </c>
      <c r="C107" s="0" t="str">
        <f aca="false">IF(Data!D107="","HOLD",IF(AND(G106&lt;&gt;"IN",Data!E107&lt;-5),"BUY",IF(AND(G106="IN",Data!E107&gt;0),"SELL","HOLD")))</f>
        <v>HOLD</v>
      </c>
      <c r="D107" s="14" t="str">
        <f aca="false">IF(C107="BUY",B107,IF(G106="IN",D106,""))</f>
        <v/>
      </c>
      <c r="E107" s="14" t="str">
        <f aca="false">IF(C107="SELL",B107,"")</f>
        <v/>
      </c>
      <c r="F107" s="14" t="str">
        <f aca="false">IF(E107="","",(E107-D107)/D107*100)</f>
        <v/>
      </c>
      <c r="G107" s="0" t="str">
        <f aca="false">IF(C107="BUY","IN",IF(C107="SELL","OUT",IF(G106="IN","IN","OUT")))</f>
        <v>OUT</v>
      </c>
      <c r="H107" s="14" t="n">
        <f aca="false">H106+IF(F107="",0,F107)</f>
        <v>4.59086078639746</v>
      </c>
      <c r="I107" s="14" t="n">
        <f aca="false">MAX(I106,H107)</f>
        <v>4.59086078639746</v>
      </c>
      <c r="J107" s="14" t="n">
        <f aca="false">I107-H107</f>
        <v>0</v>
      </c>
    </row>
    <row r="108" customFormat="false" ht="15" hidden="false" customHeight="false" outlineLevel="0" collapsed="false">
      <c r="A108" s="12" t="n">
        <f aca="false">Data!A108</f>
        <v>42160</v>
      </c>
      <c r="B108" s="14" t="n">
        <f aca="false">Data!B108</f>
        <v>59.13</v>
      </c>
      <c r="C108" s="0" t="str">
        <f aca="false">IF(Data!D108="","HOLD",IF(AND(G107&lt;&gt;"IN",Data!E108&lt;-5),"BUY",IF(AND(G107="IN",Data!E108&gt;0),"SELL","HOLD")))</f>
        <v>HOLD</v>
      </c>
      <c r="D108" s="14" t="str">
        <f aca="false">IF(C108="BUY",B108,IF(G107="IN",D107,""))</f>
        <v/>
      </c>
      <c r="E108" s="14" t="str">
        <f aca="false">IF(C108="SELL",B108,"")</f>
        <v/>
      </c>
      <c r="F108" s="14" t="str">
        <f aca="false">IF(E108="","",(E108-D108)/D108*100)</f>
        <v/>
      </c>
      <c r="G108" s="0" t="str">
        <f aca="false">IF(C108="BUY","IN",IF(C108="SELL","OUT",IF(G107="IN","IN","OUT")))</f>
        <v>OUT</v>
      </c>
      <c r="H108" s="14" t="n">
        <f aca="false">H107+IF(F108="",0,F108)</f>
        <v>4.59086078639746</v>
      </c>
      <c r="I108" s="14" t="n">
        <f aca="false">MAX(I107,H108)</f>
        <v>4.59086078639746</v>
      </c>
      <c r="J108" s="14" t="n">
        <f aca="false">I108-H108</f>
        <v>0</v>
      </c>
    </row>
    <row r="109" customFormat="false" ht="15" hidden="false" customHeight="false" outlineLevel="0" collapsed="false">
      <c r="A109" s="12" t="n">
        <f aca="false">Data!A109</f>
        <v>42163</v>
      </c>
      <c r="B109" s="14" t="n">
        <f aca="false">Data!B109</f>
        <v>58.14</v>
      </c>
      <c r="C109" s="0" t="str">
        <f aca="false">IF(Data!D109="","HOLD",IF(AND(G108&lt;&gt;"IN",Data!E109&lt;-5),"BUY",IF(AND(G108="IN",Data!E109&gt;0),"SELL","HOLD")))</f>
        <v>HOLD</v>
      </c>
      <c r="D109" s="14" t="str">
        <f aca="false">IF(C109="BUY",B109,IF(G108="IN",D108,""))</f>
        <v/>
      </c>
      <c r="E109" s="14" t="str">
        <f aca="false">IF(C109="SELL",B109,"")</f>
        <v/>
      </c>
      <c r="F109" s="14" t="str">
        <f aca="false">IF(E109="","",(E109-D109)/D109*100)</f>
        <v/>
      </c>
      <c r="G109" s="0" t="str">
        <f aca="false">IF(C109="BUY","IN",IF(C109="SELL","OUT",IF(G108="IN","IN","OUT")))</f>
        <v>OUT</v>
      </c>
      <c r="H109" s="14" t="n">
        <f aca="false">H108+IF(F109="",0,F109)</f>
        <v>4.59086078639746</v>
      </c>
      <c r="I109" s="14" t="n">
        <f aca="false">MAX(I108,H109)</f>
        <v>4.59086078639746</v>
      </c>
      <c r="J109" s="14" t="n">
        <f aca="false">I109-H109</f>
        <v>0</v>
      </c>
    </row>
    <row r="110" customFormat="false" ht="15" hidden="false" customHeight="false" outlineLevel="0" collapsed="false">
      <c r="A110" s="12" t="n">
        <f aca="false">Data!A110</f>
        <v>42164</v>
      </c>
      <c r="B110" s="14" t="n">
        <f aca="false">Data!B110</f>
        <v>60.14</v>
      </c>
      <c r="C110" s="0" t="str">
        <f aca="false">IF(Data!D110="","HOLD",IF(AND(G109&lt;&gt;"IN",Data!E110&lt;-5),"BUY",IF(AND(G109="IN",Data!E110&gt;0),"SELL","HOLD")))</f>
        <v>HOLD</v>
      </c>
      <c r="D110" s="14" t="str">
        <f aca="false">IF(C110="BUY",B110,IF(G109="IN",D109,""))</f>
        <v/>
      </c>
      <c r="E110" s="14" t="str">
        <f aca="false">IF(C110="SELL",B110,"")</f>
        <v/>
      </c>
      <c r="F110" s="14" t="str">
        <f aca="false">IF(E110="","",(E110-D110)/D110*100)</f>
        <v/>
      </c>
      <c r="G110" s="0" t="str">
        <f aca="false">IF(C110="BUY","IN",IF(C110="SELL","OUT",IF(G109="IN","IN","OUT")))</f>
        <v>OUT</v>
      </c>
      <c r="H110" s="14" t="n">
        <f aca="false">H109+IF(F110="",0,F110)</f>
        <v>4.59086078639746</v>
      </c>
      <c r="I110" s="14" t="n">
        <f aca="false">MAX(I109,H110)</f>
        <v>4.59086078639746</v>
      </c>
      <c r="J110" s="14" t="n">
        <f aca="false">I110-H110</f>
        <v>0</v>
      </c>
    </row>
    <row r="111" customFormat="false" ht="15" hidden="false" customHeight="false" outlineLevel="0" collapsed="false">
      <c r="A111" s="12" t="n">
        <f aca="false">Data!A111</f>
        <v>42165</v>
      </c>
      <c r="B111" s="14" t="n">
        <f aca="false">Data!B111</f>
        <v>61.43</v>
      </c>
      <c r="C111" s="0" t="str">
        <f aca="false">IF(Data!D111="","HOLD",IF(AND(G110&lt;&gt;"IN",Data!E111&lt;-5),"BUY",IF(AND(G110="IN",Data!E111&gt;0),"SELL","HOLD")))</f>
        <v>HOLD</v>
      </c>
      <c r="D111" s="14" t="str">
        <f aca="false">IF(C111="BUY",B111,IF(G110="IN",D110,""))</f>
        <v/>
      </c>
      <c r="E111" s="14" t="str">
        <f aca="false">IF(C111="SELL",B111,"")</f>
        <v/>
      </c>
      <c r="F111" s="14" t="str">
        <f aca="false">IF(E111="","",(E111-D111)/D111*100)</f>
        <v/>
      </c>
      <c r="G111" s="0" t="str">
        <f aca="false">IF(C111="BUY","IN",IF(C111="SELL","OUT",IF(G110="IN","IN","OUT")))</f>
        <v>OUT</v>
      </c>
      <c r="H111" s="14" t="n">
        <f aca="false">H110+IF(F111="",0,F111)</f>
        <v>4.59086078639746</v>
      </c>
      <c r="I111" s="14" t="n">
        <f aca="false">MAX(I110,H111)</f>
        <v>4.59086078639746</v>
      </c>
      <c r="J111" s="14" t="n">
        <f aca="false">I111-H111</f>
        <v>0</v>
      </c>
    </row>
    <row r="112" customFormat="false" ht="15" hidden="false" customHeight="false" outlineLevel="0" collapsed="false">
      <c r="A112" s="12" t="n">
        <f aca="false">Data!A112</f>
        <v>42166</v>
      </c>
      <c r="B112" s="14" t="n">
        <f aca="false">Data!B112</f>
        <v>60.77</v>
      </c>
      <c r="C112" s="0" t="str">
        <f aca="false">IF(Data!D112="","HOLD",IF(AND(G111&lt;&gt;"IN",Data!E112&lt;-5),"BUY",IF(AND(G111="IN",Data!E112&gt;0),"SELL","HOLD")))</f>
        <v>HOLD</v>
      </c>
      <c r="D112" s="14" t="str">
        <f aca="false">IF(C112="BUY",B112,IF(G111="IN",D111,""))</f>
        <v/>
      </c>
      <c r="E112" s="14" t="str">
        <f aca="false">IF(C112="SELL",B112,"")</f>
        <v/>
      </c>
      <c r="F112" s="14" t="str">
        <f aca="false">IF(E112="","",(E112-D112)/D112*100)</f>
        <v/>
      </c>
      <c r="G112" s="0" t="str">
        <f aca="false">IF(C112="BUY","IN",IF(C112="SELL","OUT",IF(G111="IN","IN","OUT")))</f>
        <v>OUT</v>
      </c>
      <c r="H112" s="14" t="n">
        <f aca="false">H111+IF(F112="",0,F112)</f>
        <v>4.59086078639746</v>
      </c>
      <c r="I112" s="14" t="n">
        <f aca="false">MAX(I111,H112)</f>
        <v>4.59086078639746</v>
      </c>
      <c r="J112" s="14" t="n">
        <f aca="false">I112-H112</f>
        <v>0</v>
      </c>
    </row>
    <row r="113" customFormat="false" ht="15" hidden="false" customHeight="false" outlineLevel="0" collapsed="false">
      <c r="A113" s="12" t="n">
        <f aca="false">Data!A113</f>
        <v>42167</v>
      </c>
      <c r="B113" s="14" t="n">
        <f aca="false">Data!B113</f>
        <v>59.96</v>
      </c>
      <c r="C113" s="0" t="str">
        <f aca="false">IF(Data!D113="","HOLD",IF(AND(G112&lt;&gt;"IN",Data!E113&lt;-5),"BUY",IF(AND(G112="IN",Data!E113&gt;0),"SELL","HOLD")))</f>
        <v>HOLD</v>
      </c>
      <c r="D113" s="14" t="str">
        <f aca="false">IF(C113="BUY",B113,IF(G112="IN",D112,""))</f>
        <v/>
      </c>
      <c r="E113" s="14" t="str">
        <f aca="false">IF(C113="SELL",B113,"")</f>
        <v/>
      </c>
      <c r="F113" s="14" t="str">
        <f aca="false">IF(E113="","",(E113-D113)/D113*100)</f>
        <v/>
      </c>
      <c r="G113" s="0" t="str">
        <f aca="false">IF(C113="BUY","IN",IF(C113="SELL","OUT",IF(G112="IN","IN","OUT")))</f>
        <v>OUT</v>
      </c>
      <c r="H113" s="14" t="n">
        <f aca="false">H112+IF(F113="",0,F113)</f>
        <v>4.59086078639746</v>
      </c>
      <c r="I113" s="14" t="n">
        <f aca="false">MAX(I112,H113)</f>
        <v>4.59086078639746</v>
      </c>
      <c r="J113" s="14" t="n">
        <f aca="false">I113-H113</f>
        <v>0</v>
      </c>
    </row>
    <row r="114" customFormat="false" ht="15" hidden="false" customHeight="false" outlineLevel="0" collapsed="false">
      <c r="A114" s="12" t="n">
        <f aca="false">Data!A114</f>
        <v>42170</v>
      </c>
      <c r="B114" s="14" t="n">
        <f aca="false">Data!B114</f>
        <v>59.52</v>
      </c>
      <c r="C114" s="0" t="str">
        <f aca="false">IF(Data!D114="","HOLD",IF(AND(G113&lt;&gt;"IN",Data!E114&lt;-5),"BUY",IF(AND(G113="IN",Data!E114&gt;0),"SELL","HOLD")))</f>
        <v>HOLD</v>
      </c>
      <c r="D114" s="14" t="str">
        <f aca="false">IF(C114="BUY",B114,IF(G113="IN",D113,""))</f>
        <v/>
      </c>
      <c r="E114" s="14" t="str">
        <f aca="false">IF(C114="SELL",B114,"")</f>
        <v/>
      </c>
      <c r="F114" s="14" t="str">
        <f aca="false">IF(E114="","",(E114-D114)/D114*100)</f>
        <v/>
      </c>
      <c r="G114" s="0" t="str">
        <f aca="false">IF(C114="BUY","IN",IF(C114="SELL","OUT",IF(G113="IN","IN","OUT")))</f>
        <v>OUT</v>
      </c>
      <c r="H114" s="14" t="n">
        <f aca="false">H113+IF(F114="",0,F114)</f>
        <v>4.59086078639746</v>
      </c>
      <c r="I114" s="14" t="n">
        <f aca="false">MAX(I113,H114)</f>
        <v>4.59086078639746</v>
      </c>
      <c r="J114" s="14" t="n">
        <f aca="false">I114-H114</f>
        <v>0</v>
      </c>
    </row>
    <row r="115" customFormat="false" ht="15" hidden="false" customHeight="false" outlineLevel="0" collapsed="false">
      <c r="A115" s="12" t="n">
        <f aca="false">Data!A115</f>
        <v>42171</v>
      </c>
      <c r="B115" s="14" t="n">
        <f aca="false">Data!B115</f>
        <v>59.97</v>
      </c>
      <c r="C115" s="0" t="str">
        <f aca="false">IF(Data!D115="","HOLD",IF(AND(G114&lt;&gt;"IN",Data!E115&lt;-5),"BUY",IF(AND(G114="IN",Data!E115&gt;0),"SELL","HOLD")))</f>
        <v>HOLD</v>
      </c>
      <c r="D115" s="14" t="str">
        <f aca="false">IF(C115="BUY",B115,IF(G114="IN",D114,""))</f>
        <v/>
      </c>
      <c r="E115" s="14" t="str">
        <f aca="false">IF(C115="SELL",B115,"")</f>
        <v/>
      </c>
      <c r="F115" s="14" t="str">
        <f aca="false">IF(E115="","",(E115-D115)/D115*100)</f>
        <v/>
      </c>
      <c r="G115" s="0" t="str">
        <f aca="false">IF(C115="BUY","IN",IF(C115="SELL","OUT",IF(G114="IN","IN","OUT")))</f>
        <v>OUT</v>
      </c>
      <c r="H115" s="14" t="n">
        <f aca="false">H114+IF(F115="",0,F115)</f>
        <v>4.59086078639746</v>
      </c>
      <c r="I115" s="14" t="n">
        <f aca="false">MAX(I114,H115)</f>
        <v>4.59086078639746</v>
      </c>
      <c r="J115" s="14" t="n">
        <f aca="false">I115-H115</f>
        <v>0</v>
      </c>
    </row>
    <row r="116" customFormat="false" ht="15" hidden="false" customHeight="false" outlineLevel="0" collapsed="false">
      <c r="A116" s="12" t="n">
        <f aca="false">Data!A116</f>
        <v>42172</v>
      </c>
      <c r="B116" s="14" t="n">
        <f aca="false">Data!B116</f>
        <v>59.92</v>
      </c>
      <c r="C116" s="0" t="str">
        <f aca="false">IF(Data!D116="","HOLD",IF(AND(G115&lt;&gt;"IN",Data!E116&lt;-5),"BUY",IF(AND(G115="IN",Data!E116&gt;0),"SELL","HOLD")))</f>
        <v>HOLD</v>
      </c>
      <c r="D116" s="14" t="str">
        <f aca="false">IF(C116="BUY",B116,IF(G115="IN",D115,""))</f>
        <v/>
      </c>
      <c r="E116" s="14" t="str">
        <f aca="false">IF(C116="SELL",B116,"")</f>
        <v/>
      </c>
      <c r="F116" s="14" t="str">
        <f aca="false">IF(E116="","",(E116-D116)/D116*100)</f>
        <v/>
      </c>
      <c r="G116" s="0" t="str">
        <f aca="false">IF(C116="BUY","IN",IF(C116="SELL","OUT",IF(G115="IN","IN","OUT")))</f>
        <v>OUT</v>
      </c>
      <c r="H116" s="14" t="n">
        <f aca="false">H115+IF(F116="",0,F116)</f>
        <v>4.59086078639746</v>
      </c>
      <c r="I116" s="14" t="n">
        <f aca="false">MAX(I115,H116)</f>
        <v>4.59086078639746</v>
      </c>
      <c r="J116" s="14" t="n">
        <f aca="false">I116-H116</f>
        <v>0</v>
      </c>
    </row>
    <row r="117" customFormat="false" ht="15" hidden="false" customHeight="false" outlineLevel="0" collapsed="false">
      <c r="A117" s="12" t="n">
        <f aca="false">Data!A117</f>
        <v>42173</v>
      </c>
      <c r="B117" s="14" t="n">
        <f aca="false">Data!B117</f>
        <v>60.45</v>
      </c>
      <c r="C117" s="0" t="str">
        <f aca="false">IF(Data!D117="","HOLD",IF(AND(G116&lt;&gt;"IN",Data!E117&lt;-5),"BUY",IF(AND(G116="IN",Data!E117&gt;0),"SELL","HOLD")))</f>
        <v>HOLD</v>
      </c>
      <c r="D117" s="14" t="str">
        <f aca="false">IF(C117="BUY",B117,IF(G116="IN",D116,""))</f>
        <v/>
      </c>
      <c r="E117" s="14" t="str">
        <f aca="false">IF(C117="SELL",B117,"")</f>
        <v/>
      </c>
      <c r="F117" s="14" t="str">
        <f aca="false">IF(E117="","",(E117-D117)/D117*100)</f>
        <v/>
      </c>
      <c r="G117" s="0" t="str">
        <f aca="false">IF(C117="BUY","IN",IF(C117="SELL","OUT",IF(G116="IN","IN","OUT")))</f>
        <v>OUT</v>
      </c>
      <c r="H117" s="14" t="n">
        <f aca="false">H116+IF(F117="",0,F117)</f>
        <v>4.59086078639746</v>
      </c>
      <c r="I117" s="14" t="n">
        <f aca="false">MAX(I116,H117)</f>
        <v>4.59086078639746</v>
      </c>
      <c r="J117" s="14" t="n">
        <f aca="false">I117-H117</f>
        <v>0</v>
      </c>
    </row>
    <row r="118" customFormat="false" ht="15" hidden="false" customHeight="false" outlineLevel="0" collapsed="false">
      <c r="A118" s="12" t="n">
        <f aca="false">Data!A118</f>
        <v>42174</v>
      </c>
      <c r="B118" s="14" t="n">
        <f aca="false">Data!B118</f>
        <v>59.61</v>
      </c>
      <c r="C118" s="0" t="str">
        <f aca="false">IF(Data!D118="","HOLD",IF(AND(G117&lt;&gt;"IN",Data!E118&lt;-5),"BUY",IF(AND(G117="IN",Data!E118&gt;0),"SELL","HOLD")))</f>
        <v>HOLD</v>
      </c>
      <c r="D118" s="14" t="str">
        <f aca="false">IF(C118="BUY",B118,IF(G117="IN",D117,""))</f>
        <v/>
      </c>
      <c r="E118" s="14" t="str">
        <f aca="false">IF(C118="SELL",B118,"")</f>
        <v/>
      </c>
      <c r="F118" s="14" t="str">
        <f aca="false">IF(E118="","",(E118-D118)/D118*100)</f>
        <v/>
      </c>
      <c r="G118" s="0" t="str">
        <f aca="false">IF(C118="BUY","IN",IF(C118="SELL","OUT",IF(G117="IN","IN","OUT")))</f>
        <v>OUT</v>
      </c>
      <c r="H118" s="14" t="n">
        <f aca="false">H117+IF(F118="",0,F118)</f>
        <v>4.59086078639746</v>
      </c>
      <c r="I118" s="14" t="n">
        <f aca="false">MAX(I117,H118)</f>
        <v>4.59086078639746</v>
      </c>
      <c r="J118" s="14" t="n">
        <f aca="false">I118-H118</f>
        <v>0</v>
      </c>
    </row>
    <row r="119" customFormat="false" ht="15" hidden="false" customHeight="false" outlineLevel="0" collapsed="false">
      <c r="A119" s="12" t="n">
        <f aca="false">Data!A119</f>
        <v>42177</v>
      </c>
      <c r="B119" s="14" t="n">
        <f aca="false">Data!B119</f>
        <v>59.68</v>
      </c>
      <c r="C119" s="0" t="str">
        <f aca="false">IF(Data!D119="","HOLD",IF(AND(G118&lt;&gt;"IN",Data!E119&lt;-5),"BUY",IF(AND(G118="IN",Data!E119&gt;0),"SELL","HOLD")))</f>
        <v>HOLD</v>
      </c>
      <c r="D119" s="14" t="str">
        <f aca="false">IF(C119="BUY",B119,IF(G118="IN",D118,""))</f>
        <v/>
      </c>
      <c r="E119" s="14" t="str">
        <f aca="false">IF(C119="SELL",B119,"")</f>
        <v/>
      </c>
      <c r="F119" s="14" t="str">
        <f aca="false">IF(E119="","",(E119-D119)/D119*100)</f>
        <v/>
      </c>
      <c r="G119" s="0" t="str">
        <f aca="false">IF(C119="BUY","IN",IF(C119="SELL","OUT",IF(G118="IN","IN","OUT")))</f>
        <v>OUT</v>
      </c>
      <c r="H119" s="14" t="n">
        <f aca="false">H118+IF(F119="",0,F119)</f>
        <v>4.59086078639746</v>
      </c>
      <c r="I119" s="14" t="n">
        <f aca="false">MAX(I118,H119)</f>
        <v>4.59086078639746</v>
      </c>
      <c r="J119" s="14" t="n">
        <f aca="false">I119-H119</f>
        <v>0</v>
      </c>
    </row>
    <row r="120" customFormat="false" ht="15" hidden="false" customHeight="false" outlineLevel="0" collapsed="false">
      <c r="A120" s="12" t="n">
        <f aca="false">Data!A120</f>
        <v>42178</v>
      </c>
      <c r="B120" s="14" t="n">
        <f aca="false">Data!B120</f>
        <v>61.01</v>
      </c>
      <c r="C120" s="0" t="str">
        <f aca="false">IF(Data!D120="","HOLD",IF(AND(G119&lt;&gt;"IN",Data!E120&lt;-5),"BUY",IF(AND(G119="IN",Data!E120&gt;0),"SELL","HOLD")))</f>
        <v>HOLD</v>
      </c>
      <c r="D120" s="14" t="str">
        <f aca="false">IF(C120="BUY",B120,IF(G119="IN",D119,""))</f>
        <v/>
      </c>
      <c r="E120" s="14" t="str">
        <f aca="false">IF(C120="SELL",B120,"")</f>
        <v/>
      </c>
      <c r="F120" s="14" t="str">
        <f aca="false">IF(E120="","",(E120-D120)/D120*100)</f>
        <v/>
      </c>
      <c r="G120" s="0" t="str">
        <f aca="false">IF(C120="BUY","IN",IF(C120="SELL","OUT",IF(G119="IN","IN","OUT")))</f>
        <v>OUT</v>
      </c>
      <c r="H120" s="14" t="n">
        <f aca="false">H119+IF(F120="",0,F120)</f>
        <v>4.59086078639746</v>
      </c>
      <c r="I120" s="14" t="n">
        <f aca="false">MAX(I119,H120)</f>
        <v>4.59086078639746</v>
      </c>
      <c r="J120" s="14" t="n">
        <f aca="false">I120-H120</f>
        <v>0</v>
      </c>
    </row>
    <row r="121" customFormat="false" ht="15" hidden="false" customHeight="false" outlineLevel="0" collapsed="false">
      <c r="A121" s="12" t="n">
        <f aca="false">Data!A121</f>
        <v>42179</v>
      </c>
      <c r="B121" s="14" t="n">
        <f aca="false">Data!B121</f>
        <v>60.27</v>
      </c>
      <c r="C121" s="0" t="str">
        <f aca="false">IF(Data!D121="","HOLD",IF(AND(G120&lt;&gt;"IN",Data!E121&lt;-5),"BUY",IF(AND(G120="IN",Data!E121&gt;0),"SELL","HOLD")))</f>
        <v>HOLD</v>
      </c>
      <c r="D121" s="14" t="str">
        <f aca="false">IF(C121="BUY",B121,IF(G120="IN",D120,""))</f>
        <v/>
      </c>
      <c r="E121" s="14" t="str">
        <f aca="false">IF(C121="SELL",B121,"")</f>
        <v/>
      </c>
      <c r="F121" s="14" t="str">
        <f aca="false">IF(E121="","",(E121-D121)/D121*100)</f>
        <v/>
      </c>
      <c r="G121" s="0" t="str">
        <f aca="false">IF(C121="BUY","IN",IF(C121="SELL","OUT",IF(G120="IN","IN","OUT")))</f>
        <v>OUT</v>
      </c>
      <c r="H121" s="14" t="n">
        <f aca="false">H120+IF(F121="",0,F121)</f>
        <v>4.59086078639746</v>
      </c>
      <c r="I121" s="14" t="n">
        <f aca="false">MAX(I120,H121)</f>
        <v>4.59086078639746</v>
      </c>
      <c r="J121" s="14" t="n">
        <f aca="false">I121-H121</f>
        <v>0</v>
      </c>
    </row>
    <row r="122" customFormat="false" ht="15" hidden="false" customHeight="false" outlineLevel="0" collapsed="false">
      <c r="A122" s="12" t="n">
        <f aca="false">Data!A122</f>
        <v>42180</v>
      </c>
      <c r="B122" s="14" t="n">
        <f aca="false">Data!B122</f>
        <v>59.7</v>
      </c>
      <c r="C122" s="0" t="str">
        <f aca="false">IF(Data!D122="","HOLD",IF(AND(G121&lt;&gt;"IN",Data!E122&lt;-5),"BUY",IF(AND(G121="IN",Data!E122&gt;0),"SELL","HOLD")))</f>
        <v>HOLD</v>
      </c>
      <c r="D122" s="14" t="str">
        <f aca="false">IF(C122="BUY",B122,IF(G121="IN",D121,""))</f>
        <v/>
      </c>
      <c r="E122" s="14" t="str">
        <f aca="false">IF(C122="SELL",B122,"")</f>
        <v/>
      </c>
      <c r="F122" s="14" t="str">
        <f aca="false">IF(E122="","",(E122-D122)/D122*100)</f>
        <v/>
      </c>
      <c r="G122" s="0" t="str">
        <f aca="false">IF(C122="BUY","IN",IF(C122="SELL","OUT",IF(G121="IN","IN","OUT")))</f>
        <v>OUT</v>
      </c>
      <c r="H122" s="14" t="n">
        <f aca="false">H121+IF(F122="",0,F122)</f>
        <v>4.59086078639746</v>
      </c>
      <c r="I122" s="14" t="n">
        <f aca="false">MAX(I121,H122)</f>
        <v>4.59086078639746</v>
      </c>
      <c r="J122" s="14" t="n">
        <f aca="false">I122-H122</f>
        <v>0</v>
      </c>
    </row>
    <row r="123" customFormat="false" ht="15" hidden="false" customHeight="false" outlineLevel="0" collapsed="false">
      <c r="A123" s="12" t="n">
        <f aca="false">Data!A123</f>
        <v>42181</v>
      </c>
      <c r="B123" s="14" t="n">
        <f aca="false">Data!B123</f>
        <v>59.63</v>
      </c>
      <c r="C123" s="0" t="str">
        <f aca="false">IF(Data!D123="","HOLD",IF(AND(G122&lt;&gt;"IN",Data!E123&lt;-5),"BUY",IF(AND(G122="IN",Data!E123&gt;0),"SELL","HOLD")))</f>
        <v>HOLD</v>
      </c>
      <c r="D123" s="14" t="str">
        <f aca="false">IF(C123="BUY",B123,IF(G122="IN",D122,""))</f>
        <v/>
      </c>
      <c r="E123" s="14" t="str">
        <f aca="false">IF(C123="SELL",B123,"")</f>
        <v/>
      </c>
      <c r="F123" s="14" t="str">
        <f aca="false">IF(E123="","",(E123-D123)/D123*100)</f>
        <v/>
      </c>
      <c r="G123" s="0" t="str">
        <f aca="false">IF(C123="BUY","IN",IF(C123="SELL","OUT",IF(G122="IN","IN","OUT")))</f>
        <v>OUT</v>
      </c>
      <c r="H123" s="14" t="n">
        <f aca="false">H122+IF(F123="",0,F123)</f>
        <v>4.59086078639746</v>
      </c>
      <c r="I123" s="14" t="n">
        <f aca="false">MAX(I122,H123)</f>
        <v>4.59086078639746</v>
      </c>
      <c r="J123" s="14" t="n">
        <f aca="false">I123-H123</f>
        <v>0</v>
      </c>
    </row>
    <row r="124" customFormat="false" ht="15" hidden="false" customHeight="false" outlineLevel="0" collapsed="false">
      <c r="A124" s="12" t="n">
        <f aca="false">Data!A124</f>
        <v>42184</v>
      </c>
      <c r="B124" s="14" t="n">
        <f aca="false">Data!B124</f>
        <v>58.33</v>
      </c>
      <c r="C124" s="0" t="str">
        <f aca="false">IF(Data!D124="","HOLD",IF(AND(G123&lt;&gt;"IN",Data!E124&lt;-5),"BUY",IF(AND(G123="IN",Data!E124&gt;0),"SELL","HOLD")))</f>
        <v>HOLD</v>
      </c>
      <c r="D124" s="14" t="str">
        <f aca="false">IF(C124="BUY",B124,IF(G123="IN",D123,""))</f>
        <v/>
      </c>
      <c r="E124" s="14" t="str">
        <f aca="false">IF(C124="SELL",B124,"")</f>
        <v/>
      </c>
      <c r="F124" s="14" t="str">
        <f aca="false">IF(E124="","",(E124-D124)/D124*100)</f>
        <v/>
      </c>
      <c r="G124" s="0" t="str">
        <f aca="false">IF(C124="BUY","IN",IF(C124="SELL","OUT",IF(G123="IN","IN","OUT")))</f>
        <v>OUT</v>
      </c>
      <c r="H124" s="14" t="n">
        <f aca="false">H123+IF(F124="",0,F124)</f>
        <v>4.59086078639746</v>
      </c>
      <c r="I124" s="14" t="n">
        <f aca="false">MAX(I123,H124)</f>
        <v>4.59086078639746</v>
      </c>
      <c r="J124" s="14" t="n">
        <f aca="false">I124-H124</f>
        <v>0</v>
      </c>
    </row>
    <row r="125" customFormat="false" ht="15" hidden="false" customHeight="false" outlineLevel="0" collapsed="false">
      <c r="A125" s="12" t="n">
        <f aca="false">Data!A125</f>
        <v>42185</v>
      </c>
      <c r="B125" s="14" t="n">
        <f aca="false">Data!B125</f>
        <v>59.47</v>
      </c>
      <c r="C125" s="0" t="str">
        <f aca="false">IF(Data!D125="","HOLD",IF(AND(G124&lt;&gt;"IN",Data!E125&lt;-5),"BUY",IF(AND(G124="IN",Data!E125&gt;0),"SELL","HOLD")))</f>
        <v>HOLD</v>
      </c>
      <c r="D125" s="14" t="str">
        <f aca="false">IF(C125="BUY",B125,IF(G124="IN",D124,""))</f>
        <v/>
      </c>
      <c r="E125" s="14" t="str">
        <f aca="false">IF(C125="SELL",B125,"")</f>
        <v/>
      </c>
      <c r="F125" s="14" t="str">
        <f aca="false">IF(E125="","",(E125-D125)/D125*100)</f>
        <v/>
      </c>
      <c r="G125" s="0" t="str">
        <f aca="false">IF(C125="BUY","IN",IF(C125="SELL","OUT",IF(G124="IN","IN","OUT")))</f>
        <v>OUT</v>
      </c>
      <c r="H125" s="14" t="n">
        <f aca="false">H124+IF(F125="",0,F125)</f>
        <v>4.59086078639746</v>
      </c>
      <c r="I125" s="14" t="n">
        <f aca="false">MAX(I124,H125)</f>
        <v>4.59086078639746</v>
      </c>
      <c r="J125" s="14" t="n">
        <f aca="false">I125-H125</f>
        <v>0</v>
      </c>
    </row>
    <row r="126" customFormat="false" ht="15" hidden="false" customHeight="false" outlineLevel="0" collapsed="false">
      <c r="A126" s="12" t="n">
        <f aca="false">Data!A126</f>
        <v>42186</v>
      </c>
      <c r="B126" s="14" t="n">
        <f aca="false">Data!B126</f>
        <v>56.96</v>
      </c>
      <c r="C126" s="0" t="str">
        <f aca="false">IF(Data!D126="","HOLD",IF(AND(G125&lt;&gt;"IN",Data!E126&lt;-5),"BUY",IF(AND(G125="IN",Data!E126&gt;0),"SELL","HOLD")))</f>
        <v>HOLD</v>
      </c>
      <c r="D126" s="14" t="str">
        <f aca="false">IF(C126="BUY",B126,IF(G125="IN",D125,""))</f>
        <v/>
      </c>
      <c r="E126" s="14" t="str">
        <f aca="false">IF(C126="SELL",B126,"")</f>
        <v/>
      </c>
      <c r="F126" s="14" t="str">
        <f aca="false">IF(E126="","",(E126-D126)/D126*100)</f>
        <v/>
      </c>
      <c r="G126" s="0" t="str">
        <f aca="false">IF(C126="BUY","IN",IF(C126="SELL","OUT",IF(G125="IN","IN","OUT")))</f>
        <v>OUT</v>
      </c>
      <c r="H126" s="14" t="n">
        <f aca="false">H125+IF(F126="",0,F126)</f>
        <v>4.59086078639746</v>
      </c>
      <c r="I126" s="14" t="n">
        <f aca="false">MAX(I125,H126)</f>
        <v>4.59086078639746</v>
      </c>
      <c r="J126" s="14" t="n">
        <f aca="false">I126-H126</f>
        <v>0</v>
      </c>
    </row>
    <row r="127" customFormat="false" ht="15" hidden="false" customHeight="false" outlineLevel="0" collapsed="false">
      <c r="A127" s="12" t="n">
        <f aca="false">Data!A127</f>
        <v>42187</v>
      </c>
      <c r="B127" s="14" t="n">
        <f aca="false">Data!B127</f>
        <v>56.93</v>
      </c>
      <c r="C127" s="0" t="str">
        <f aca="false">IF(Data!D127="","HOLD",IF(AND(G126&lt;&gt;"IN",Data!E127&lt;-5),"BUY",IF(AND(G126="IN",Data!E127&gt;0),"SELL","HOLD")))</f>
        <v>HOLD</v>
      </c>
      <c r="D127" s="14" t="str">
        <f aca="false">IF(C127="BUY",B127,IF(G126="IN",D126,""))</f>
        <v/>
      </c>
      <c r="E127" s="14" t="str">
        <f aca="false">IF(C127="SELL",B127,"")</f>
        <v/>
      </c>
      <c r="F127" s="14" t="str">
        <f aca="false">IF(E127="","",(E127-D127)/D127*100)</f>
        <v/>
      </c>
      <c r="G127" s="0" t="str">
        <f aca="false">IF(C127="BUY","IN",IF(C127="SELL","OUT",IF(G126="IN","IN","OUT")))</f>
        <v>OUT</v>
      </c>
      <c r="H127" s="14" t="n">
        <f aca="false">H126+IF(F127="",0,F127)</f>
        <v>4.59086078639746</v>
      </c>
      <c r="I127" s="14" t="n">
        <f aca="false">MAX(I126,H127)</f>
        <v>4.59086078639746</v>
      </c>
      <c r="J127" s="14" t="n">
        <f aca="false">I127-H127</f>
        <v>0</v>
      </c>
    </row>
    <row r="128" customFormat="false" ht="15" hidden="false" customHeight="false" outlineLevel="0" collapsed="false">
      <c r="A128" s="12" t="n">
        <f aca="false">Data!A128</f>
        <v>42191</v>
      </c>
      <c r="B128" s="14" t="n">
        <f aca="false">Data!B128</f>
        <v>52.53</v>
      </c>
      <c r="C128" s="0" t="str">
        <f aca="false">IF(Data!D128="","HOLD",IF(AND(G127&lt;&gt;"IN",Data!E128&lt;-5),"BUY",IF(AND(G127="IN",Data!E128&gt;0),"SELL","HOLD")))</f>
        <v>BUY</v>
      </c>
      <c r="D128" s="14" t="n">
        <f aca="false">IF(C128="BUY",B128,IF(G127="IN",D127,""))</f>
        <v>52.53</v>
      </c>
      <c r="E128" s="14" t="str">
        <f aca="false">IF(C128="SELL",B128,"")</f>
        <v/>
      </c>
      <c r="F128" s="14" t="str">
        <f aca="false">IF(E128="","",(E128-D128)/D128*100)</f>
        <v/>
      </c>
      <c r="G128" s="0" t="str">
        <f aca="false">IF(C128="BUY","IN",IF(C128="SELL","OUT",IF(G127="IN","IN","OUT")))</f>
        <v>IN</v>
      </c>
      <c r="H128" s="14" t="n">
        <f aca="false">H127+IF(F128="",0,F128)</f>
        <v>4.59086078639746</v>
      </c>
      <c r="I128" s="14" t="n">
        <f aca="false">MAX(I127,H128)</f>
        <v>4.59086078639746</v>
      </c>
      <c r="J128" s="14" t="n">
        <f aca="false">I128-H128</f>
        <v>0</v>
      </c>
    </row>
    <row r="129" customFormat="false" ht="15" hidden="false" customHeight="false" outlineLevel="0" collapsed="false">
      <c r="A129" s="12" t="n">
        <f aca="false">Data!A129</f>
        <v>42192</v>
      </c>
      <c r="B129" s="14" t="n">
        <f aca="false">Data!B129</f>
        <v>52.33</v>
      </c>
      <c r="C129" s="0" t="str">
        <f aca="false">IF(Data!D129="","HOLD",IF(AND(G128&lt;&gt;"IN",Data!E129&lt;-5),"BUY",IF(AND(G128="IN",Data!E129&gt;0),"SELL","HOLD")))</f>
        <v>HOLD</v>
      </c>
      <c r="D129" s="14" t="n">
        <f aca="false">IF(C129="BUY",B129,IF(G128="IN",D128,""))</f>
        <v>52.53</v>
      </c>
      <c r="E129" s="14" t="str">
        <f aca="false">IF(C129="SELL",B129,"")</f>
        <v/>
      </c>
      <c r="F129" s="14" t="str">
        <f aca="false">IF(E129="","",(E129-D129)/D129*100)</f>
        <v/>
      </c>
      <c r="G129" s="0" t="str">
        <f aca="false">IF(C129="BUY","IN",IF(C129="SELL","OUT",IF(G128="IN","IN","OUT")))</f>
        <v>IN</v>
      </c>
      <c r="H129" s="14" t="n">
        <f aca="false">H128+IF(F129="",0,F129)</f>
        <v>4.59086078639746</v>
      </c>
      <c r="I129" s="14" t="n">
        <f aca="false">MAX(I128,H129)</f>
        <v>4.59086078639746</v>
      </c>
      <c r="J129" s="14" t="n">
        <f aca="false">I129-H129</f>
        <v>0</v>
      </c>
    </row>
    <row r="130" customFormat="false" ht="15" hidden="false" customHeight="false" outlineLevel="0" collapsed="false">
      <c r="A130" s="12" t="n">
        <f aca="false">Data!A130</f>
        <v>42193</v>
      </c>
      <c r="B130" s="14" t="n">
        <f aca="false">Data!B130</f>
        <v>51.65</v>
      </c>
      <c r="C130" s="0" t="str">
        <f aca="false">IF(Data!D130="","HOLD",IF(AND(G129&lt;&gt;"IN",Data!E130&lt;-5),"BUY",IF(AND(G129="IN",Data!E130&gt;0),"SELL","HOLD")))</f>
        <v>HOLD</v>
      </c>
      <c r="D130" s="14" t="n">
        <f aca="false">IF(C130="BUY",B130,IF(G129="IN",D129,""))</f>
        <v>52.53</v>
      </c>
      <c r="E130" s="14" t="str">
        <f aca="false">IF(C130="SELL",B130,"")</f>
        <v/>
      </c>
      <c r="F130" s="14" t="str">
        <f aca="false">IF(E130="","",(E130-D130)/D130*100)</f>
        <v/>
      </c>
      <c r="G130" s="0" t="str">
        <f aca="false">IF(C130="BUY","IN",IF(C130="SELL","OUT",IF(G129="IN","IN","OUT")))</f>
        <v>IN</v>
      </c>
      <c r="H130" s="14" t="n">
        <f aca="false">H129+IF(F130="",0,F130)</f>
        <v>4.59086078639746</v>
      </c>
      <c r="I130" s="14" t="n">
        <f aca="false">MAX(I129,H130)</f>
        <v>4.59086078639746</v>
      </c>
      <c r="J130" s="14" t="n">
        <f aca="false">I130-H130</f>
        <v>0</v>
      </c>
    </row>
    <row r="131" customFormat="false" ht="15" hidden="false" customHeight="false" outlineLevel="0" collapsed="false">
      <c r="A131" s="12" t="n">
        <f aca="false">Data!A131</f>
        <v>42194</v>
      </c>
      <c r="B131" s="14" t="n">
        <f aca="false">Data!B131</f>
        <v>52.78</v>
      </c>
      <c r="C131" s="0" t="str">
        <f aca="false">IF(Data!D131="","HOLD",IF(AND(G130&lt;&gt;"IN",Data!E131&lt;-5),"BUY",IF(AND(G130="IN",Data!E131&gt;0),"SELL","HOLD")))</f>
        <v>HOLD</v>
      </c>
      <c r="D131" s="14" t="n">
        <f aca="false">IF(C131="BUY",B131,IF(G130="IN",D130,""))</f>
        <v>52.53</v>
      </c>
      <c r="E131" s="14" t="str">
        <f aca="false">IF(C131="SELL",B131,"")</f>
        <v/>
      </c>
      <c r="F131" s="14" t="str">
        <f aca="false">IF(E131="","",(E131-D131)/D131*100)</f>
        <v/>
      </c>
      <c r="G131" s="0" t="str">
        <f aca="false">IF(C131="BUY","IN",IF(C131="SELL","OUT",IF(G130="IN","IN","OUT")))</f>
        <v>IN</v>
      </c>
      <c r="H131" s="14" t="n">
        <f aca="false">H130+IF(F131="",0,F131)</f>
        <v>4.59086078639746</v>
      </c>
      <c r="I131" s="14" t="n">
        <f aca="false">MAX(I130,H131)</f>
        <v>4.59086078639746</v>
      </c>
      <c r="J131" s="14" t="n">
        <f aca="false">I131-H131</f>
        <v>0</v>
      </c>
    </row>
    <row r="132" customFormat="false" ht="15" hidden="false" customHeight="false" outlineLevel="0" collapsed="false">
      <c r="A132" s="12" t="n">
        <f aca="false">Data!A132</f>
        <v>42195</v>
      </c>
      <c r="B132" s="14" t="n">
        <f aca="false">Data!B132</f>
        <v>52.74</v>
      </c>
      <c r="C132" s="0" t="str">
        <f aca="false">IF(Data!D132="","HOLD",IF(AND(G131&lt;&gt;"IN",Data!E132&lt;-5),"BUY",IF(AND(G131="IN",Data!E132&gt;0),"SELL","HOLD")))</f>
        <v>HOLD</v>
      </c>
      <c r="D132" s="14" t="n">
        <f aca="false">IF(C132="BUY",B132,IF(G131="IN",D131,""))</f>
        <v>52.53</v>
      </c>
      <c r="E132" s="14" t="str">
        <f aca="false">IF(C132="SELL",B132,"")</f>
        <v/>
      </c>
      <c r="F132" s="14" t="str">
        <f aca="false">IF(E132="","",(E132-D132)/D132*100)</f>
        <v/>
      </c>
      <c r="G132" s="0" t="str">
        <f aca="false">IF(C132="BUY","IN",IF(C132="SELL","OUT",IF(G131="IN","IN","OUT")))</f>
        <v>IN</v>
      </c>
      <c r="H132" s="14" t="n">
        <f aca="false">H131+IF(F132="",0,F132)</f>
        <v>4.59086078639746</v>
      </c>
      <c r="I132" s="14" t="n">
        <f aca="false">MAX(I131,H132)</f>
        <v>4.59086078639746</v>
      </c>
      <c r="J132" s="14" t="n">
        <f aca="false">I132-H132</f>
        <v>0</v>
      </c>
    </row>
    <row r="133" customFormat="false" ht="15" hidden="false" customHeight="false" outlineLevel="0" collapsed="false">
      <c r="A133" s="12" t="n">
        <f aca="false">Data!A133</f>
        <v>42198</v>
      </c>
      <c r="B133" s="14" t="n">
        <f aca="false">Data!B133</f>
        <v>52.2</v>
      </c>
      <c r="C133" s="0" t="str">
        <f aca="false">IF(Data!D133="","HOLD",IF(AND(G132&lt;&gt;"IN",Data!E133&lt;-5),"BUY",IF(AND(G132="IN",Data!E133&gt;0),"SELL","HOLD")))</f>
        <v>HOLD</v>
      </c>
      <c r="D133" s="14" t="n">
        <f aca="false">IF(C133="BUY",B133,IF(G132="IN",D132,""))</f>
        <v>52.53</v>
      </c>
      <c r="E133" s="14" t="str">
        <f aca="false">IF(C133="SELL",B133,"")</f>
        <v/>
      </c>
      <c r="F133" s="14" t="str">
        <f aca="false">IF(E133="","",(E133-D133)/D133*100)</f>
        <v/>
      </c>
      <c r="G133" s="0" t="str">
        <f aca="false">IF(C133="BUY","IN",IF(C133="SELL","OUT",IF(G132="IN","IN","OUT")))</f>
        <v>IN</v>
      </c>
      <c r="H133" s="14" t="n">
        <f aca="false">H132+IF(F133="",0,F133)</f>
        <v>4.59086078639746</v>
      </c>
      <c r="I133" s="14" t="n">
        <f aca="false">MAX(I132,H133)</f>
        <v>4.59086078639746</v>
      </c>
      <c r="J133" s="14" t="n">
        <f aca="false">I133-H133</f>
        <v>0</v>
      </c>
    </row>
    <row r="134" customFormat="false" ht="15" hidden="false" customHeight="false" outlineLevel="0" collapsed="false">
      <c r="A134" s="12" t="n">
        <f aca="false">Data!A134</f>
        <v>42199</v>
      </c>
      <c r="B134" s="14" t="n">
        <f aca="false">Data!B134</f>
        <v>53.04</v>
      </c>
      <c r="C134" s="0" t="str">
        <f aca="false">IF(Data!D134="","HOLD",IF(AND(G133&lt;&gt;"IN",Data!E134&lt;-5),"BUY",IF(AND(G133="IN",Data!E134&gt;0),"SELL","HOLD")))</f>
        <v>HOLD</v>
      </c>
      <c r="D134" s="14" t="n">
        <f aca="false">IF(C134="BUY",B134,IF(G133="IN",D133,""))</f>
        <v>52.53</v>
      </c>
      <c r="E134" s="14" t="str">
        <f aca="false">IF(C134="SELL",B134,"")</f>
        <v/>
      </c>
      <c r="F134" s="14" t="str">
        <f aca="false">IF(E134="","",(E134-D134)/D134*100)</f>
        <v/>
      </c>
      <c r="G134" s="0" t="str">
        <f aca="false">IF(C134="BUY","IN",IF(C134="SELL","OUT",IF(G133="IN","IN","OUT")))</f>
        <v>IN</v>
      </c>
      <c r="H134" s="14" t="n">
        <f aca="false">H133+IF(F134="",0,F134)</f>
        <v>4.59086078639746</v>
      </c>
      <c r="I134" s="14" t="n">
        <f aca="false">MAX(I133,H134)</f>
        <v>4.59086078639746</v>
      </c>
      <c r="J134" s="14" t="n">
        <f aca="false">I134-H134</f>
        <v>0</v>
      </c>
    </row>
    <row r="135" customFormat="false" ht="15" hidden="false" customHeight="false" outlineLevel="0" collapsed="false">
      <c r="A135" s="12" t="n">
        <f aca="false">Data!A135</f>
        <v>42200</v>
      </c>
      <c r="B135" s="14" t="n">
        <f aca="false">Data!B135</f>
        <v>51.41</v>
      </c>
      <c r="C135" s="0" t="str">
        <f aca="false">IF(Data!D135="","HOLD",IF(AND(G134&lt;&gt;"IN",Data!E135&lt;-5),"BUY",IF(AND(G134="IN",Data!E135&gt;0),"SELL","HOLD")))</f>
        <v>HOLD</v>
      </c>
      <c r="D135" s="14" t="n">
        <f aca="false">IF(C135="BUY",B135,IF(G134="IN",D134,""))</f>
        <v>52.53</v>
      </c>
      <c r="E135" s="14" t="str">
        <f aca="false">IF(C135="SELL",B135,"")</f>
        <v/>
      </c>
      <c r="F135" s="14" t="str">
        <f aca="false">IF(E135="","",(E135-D135)/D135*100)</f>
        <v/>
      </c>
      <c r="G135" s="0" t="str">
        <f aca="false">IF(C135="BUY","IN",IF(C135="SELL","OUT",IF(G134="IN","IN","OUT")))</f>
        <v>IN</v>
      </c>
      <c r="H135" s="14" t="n">
        <f aca="false">H134+IF(F135="",0,F135)</f>
        <v>4.59086078639746</v>
      </c>
      <c r="I135" s="14" t="n">
        <f aca="false">MAX(I134,H135)</f>
        <v>4.59086078639746</v>
      </c>
      <c r="J135" s="14" t="n">
        <f aca="false">I135-H135</f>
        <v>0</v>
      </c>
    </row>
    <row r="136" customFormat="false" ht="15" hidden="false" customHeight="false" outlineLevel="0" collapsed="false">
      <c r="A136" s="12" t="n">
        <f aca="false">Data!A136</f>
        <v>42201</v>
      </c>
      <c r="B136" s="14" t="n">
        <f aca="false">Data!B136</f>
        <v>50.91</v>
      </c>
      <c r="C136" s="0" t="str">
        <f aca="false">IF(Data!D136="","HOLD",IF(AND(G135&lt;&gt;"IN",Data!E136&lt;-5),"BUY",IF(AND(G135="IN",Data!E136&gt;0),"SELL","HOLD")))</f>
        <v>HOLD</v>
      </c>
      <c r="D136" s="14" t="n">
        <f aca="false">IF(C136="BUY",B136,IF(G135="IN",D135,""))</f>
        <v>52.53</v>
      </c>
      <c r="E136" s="14" t="str">
        <f aca="false">IF(C136="SELL",B136,"")</f>
        <v/>
      </c>
      <c r="F136" s="14" t="str">
        <f aca="false">IF(E136="","",(E136-D136)/D136*100)</f>
        <v/>
      </c>
      <c r="G136" s="0" t="str">
        <f aca="false">IF(C136="BUY","IN",IF(C136="SELL","OUT",IF(G135="IN","IN","OUT")))</f>
        <v>IN</v>
      </c>
      <c r="H136" s="14" t="n">
        <f aca="false">H135+IF(F136="",0,F136)</f>
        <v>4.59086078639746</v>
      </c>
      <c r="I136" s="14" t="n">
        <f aca="false">MAX(I135,H136)</f>
        <v>4.59086078639746</v>
      </c>
      <c r="J136" s="14" t="n">
        <f aca="false">I136-H136</f>
        <v>0</v>
      </c>
    </row>
    <row r="137" customFormat="false" ht="15" hidden="false" customHeight="false" outlineLevel="0" collapsed="false">
      <c r="A137" s="12" t="n">
        <f aca="false">Data!A137</f>
        <v>42202</v>
      </c>
      <c r="B137" s="14" t="n">
        <f aca="false">Data!B137</f>
        <v>50.89</v>
      </c>
      <c r="C137" s="0" t="str">
        <f aca="false">IF(Data!D137="","HOLD",IF(AND(G136&lt;&gt;"IN",Data!E137&lt;-5),"BUY",IF(AND(G136="IN",Data!E137&gt;0),"SELL","HOLD")))</f>
        <v>HOLD</v>
      </c>
      <c r="D137" s="14" t="n">
        <f aca="false">IF(C137="BUY",B137,IF(G136="IN",D136,""))</f>
        <v>52.53</v>
      </c>
      <c r="E137" s="14" t="str">
        <f aca="false">IF(C137="SELL",B137,"")</f>
        <v/>
      </c>
      <c r="F137" s="14" t="str">
        <f aca="false">IF(E137="","",(E137-D137)/D137*100)</f>
        <v/>
      </c>
      <c r="G137" s="0" t="str">
        <f aca="false">IF(C137="BUY","IN",IF(C137="SELL","OUT",IF(G136="IN","IN","OUT")))</f>
        <v>IN</v>
      </c>
      <c r="H137" s="14" t="n">
        <f aca="false">H136+IF(F137="",0,F137)</f>
        <v>4.59086078639746</v>
      </c>
      <c r="I137" s="14" t="n">
        <f aca="false">MAX(I136,H137)</f>
        <v>4.59086078639746</v>
      </c>
      <c r="J137" s="14" t="n">
        <f aca="false">I137-H137</f>
        <v>0</v>
      </c>
    </row>
    <row r="138" customFormat="false" ht="15" hidden="false" customHeight="false" outlineLevel="0" collapsed="false">
      <c r="A138" s="12" t="n">
        <f aca="false">Data!A138</f>
        <v>42205</v>
      </c>
      <c r="B138" s="14" t="n">
        <f aca="false">Data!B138</f>
        <v>50.15</v>
      </c>
      <c r="C138" s="0" t="str">
        <f aca="false">IF(Data!D138="","HOLD",IF(AND(G137&lt;&gt;"IN",Data!E138&lt;-5),"BUY",IF(AND(G137="IN",Data!E138&gt;0),"SELL","HOLD")))</f>
        <v>HOLD</v>
      </c>
      <c r="D138" s="14" t="n">
        <f aca="false">IF(C138="BUY",B138,IF(G137="IN",D137,""))</f>
        <v>52.53</v>
      </c>
      <c r="E138" s="14" t="str">
        <f aca="false">IF(C138="SELL",B138,"")</f>
        <v/>
      </c>
      <c r="F138" s="14" t="str">
        <f aca="false">IF(E138="","",(E138-D138)/D138*100)</f>
        <v/>
      </c>
      <c r="G138" s="0" t="str">
        <f aca="false">IF(C138="BUY","IN",IF(C138="SELL","OUT",IF(G137="IN","IN","OUT")))</f>
        <v>IN</v>
      </c>
      <c r="H138" s="14" t="n">
        <f aca="false">H137+IF(F138="",0,F138)</f>
        <v>4.59086078639746</v>
      </c>
      <c r="I138" s="14" t="n">
        <f aca="false">MAX(I137,H138)</f>
        <v>4.59086078639746</v>
      </c>
      <c r="J138" s="14" t="n">
        <f aca="false">I138-H138</f>
        <v>0</v>
      </c>
    </row>
    <row r="139" customFormat="false" ht="15" hidden="false" customHeight="false" outlineLevel="0" collapsed="false">
      <c r="A139" s="12" t="n">
        <f aca="false">Data!A139</f>
        <v>42206</v>
      </c>
      <c r="B139" s="14" t="n">
        <f aca="false">Data!B139</f>
        <v>50.36</v>
      </c>
      <c r="C139" s="0" t="str">
        <f aca="false">IF(Data!D139="","HOLD",IF(AND(G138&lt;&gt;"IN",Data!E139&lt;-5),"BUY",IF(AND(G138="IN",Data!E139&gt;0),"SELL","HOLD")))</f>
        <v>HOLD</v>
      </c>
      <c r="D139" s="14" t="n">
        <f aca="false">IF(C139="BUY",B139,IF(G138="IN",D138,""))</f>
        <v>52.53</v>
      </c>
      <c r="E139" s="14" t="str">
        <f aca="false">IF(C139="SELL",B139,"")</f>
        <v/>
      </c>
      <c r="F139" s="14" t="str">
        <f aca="false">IF(E139="","",(E139-D139)/D139*100)</f>
        <v/>
      </c>
      <c r="G139" s="0" t="str">
        <f aca="false">IF(C139="BUY","IN",IF(C139="SELL","OUT",IF(G138="IN","IN","OUT")))</f>
        <v>IN</v>
      </c>
      <c r="H139" s="14" t="n">
        <f aca="false">H138+IF(F139="",0,F139)</f>
        <v>4.59086078639746</v>
      </c>
      <c r="I139" s="14" t="n">
        <f aca="false">MAX(I138,H139)</f>
        <v>4.59086078639746</v>
      </c>
      <c r="J139" s="14" t="n">
        <f aca="false">I139-H139</f>
        <v>0</v>
      </c>
    </row>
    <row r="140" customFormat="false" ht="15" hidden="false" customHeight="false" outlineLevel="0" collapsed="false">
      <c r="A140" s="12" t="n">
        <f aca="false">Data!A140</f>
        <v>42207</v>
      </c>
      <c r="B140" s="14" t="n">
        <f aca="false">Data!B140</f>
        <v>49.19</v>
      </c>
      <c r="C140" s="0" t="str">
        <f aca="false">IF(Data!D140="","HOLD",IF(AND(G139&lt;&gt;"IN",Data!E140&lt;-5),"BUY",IF(AND(G139="IN",Data!E140&gt;0),"SELL","HOLD")))</f>
        <v>HOLD</v>
      </c>
      <c r="D140" s="14" t="n">
        <f aca="false">IF(C140="BUY",B140,IF(G139="IN",D139,""))</f>
        <v>52.53</v>
      </c>
      <c r="E140" s="14" t="str">
        <f aca="false">IF(C140="SELL",B140,"")</f>
        <v/>
      </c>
      <c r="F140" s="14" t="str">
        <f aca="false">IF(E140="","",(E140-D140)/D140*100)</f>
        <v/>
      </c>
      <c r="G140" s="0" t="str">
        <f aca="false">IF(C140="BUY","IN",IF(C140="SELL","OUT",IF(G139="IN","IN","OUT")))</f>
        <v>IN</v>
      </c>
      <c r="H140" s="14" t="n">
        <f aca="false">H139+IF(F140="",0,F140)</f>
        <v>4.59086078639746</v>
      </c>
      <c r="I140" s="14" t="n">
        <f aca="false">MAX(I139,H140)</f>
        <v>4.59086078639746</v>
      </c>
      <c r="J140" s="14" t="n">
        <f aca="false">I140-H140</f>
        <v>0</v>
      </c>
    </row>
    <row r="141" customFormat="false" ht="15" hidden="false" customHeight="false" outlineLevel="0" collapsed="false">
      <c r="A141" s="12" t="n">
        <f aca="false">Data!A141</f>
        <v>42208</v>
      </c>
      <c r="B141" s="14" t="n">
        <f aca="false">Data!B141</f>
        <v>48.45</v>
      </c>
      <c r="C141" s="0" t="str">
        <f aca="false">IF(Data!D141="","HOLD",IF(AND(G140&lt;&gt;"IN",Data!E141&lt;-5),"BUY",IF(AND(G140="IN",Data!E141&gt;0),"SELL","HOLD")))</f>
        <v>HOLD</v>
      </c>
      <c r="D141" s="14" t="n">
        <f aca="false">IF(C141="BUY",B141,IF(G140="IN",D140,""))</f>
        <v>52.53</v>
      </c>
      <c r="E141" s="14" t="str">
        <f aca="false">IF(C141="SELL",B141,"")</f>
        <v/>
      </c>
      <c r="F141" s="14" t="str">
        <f aca="false">IF(E141="","",(E141-D141)/D141*100)</f>
        <v/>
      </c>
      <c r="G141" s="0" t="str">
        <f aca="false">IF(C141="BUY","IN",IF(C141="SELL","OUT",IF(G140="IN","IN","OUT")))</f>
        <v>IN</v>
      </c>
      <c r="H141" s="14" t="n">
        <f aca="false">H140+IF(F141="",0,F141)</f>
        <v>4.59086078639746</v>
      </c>
      <c r="I141" s="14" t="n">
        <f aca="false">MAX(I140,H141)</f>
        <v>4.59086078639746</v>
      </c>
      <c r="J141" s="14" t="n">
        <f aca="false">I141-H141</f>
        <v>0</v>
      </c>
    </row>
    <row r="142" customFormat="false" ht="15" hidden="false" customHeight="false" outlineLevel="0" collapsed="false">
      <c r="A142" s="12" t="n">
        <f aca="false">Data!A142</f>
        <v>42209</v>
      </c>
      <c r="B142" s="14" t="n">
        <f aca="false">Data!B142</f>
        <v>48.14</v>
      </c>
      <c r="C142" s="0" t="str">
        <f aca="false">IF(Data!D142="","HOLD",IF(AND(G141&lt;&gt;"IN",Data!E142&lt;-5),"BUY",IF(AND(G141="IN",Data!E142&gt;0),"SELL","HOLD")))</f>
        <v>HOLD</v>
      </c>
      <c r="D142" s="14" t="n">
        <f aca="false">IF(C142="BUY",B142,IF(G141="IN",D141,""))</f>
        <v>52.53</v>
      </c>
      <c r="E142" s="14" t="str">
        <f aca="false">IF(C142="SELL",B142,"")</f>
        <v/>
      </c>
      <c r="F142" s="14" t="str">
        <f aca="false">IF(E142="","",(E142-D142)/D142*100)</f>
        <v/>
      </c>
      <c r="G142" s="0" t="str">
        <f aca="false">IF(C142="BUY","IN",IF(C142="SELL","OUT",IF(G141="IN","IN","OUT")))</f>
        <v>IN</v>
      </c>
      <c r="H142" s="14" t="n">
        <f aca="false">H141+IF(F142="",0,F142)</f>
        <v>4.59086078639746</v>
      </c>
      <c r="I142" s="14" t="n">
        <f aca="false">MAX(I141,H142)</f>
        <v>4.59086078639746</v>
      </c>
      <c r="J142" s="14" t="n">
        <f aca="false">I142-H142</f>
        <v>0</v>
      </c>
    </row>
    <row r="143" customFormat="false" ht="15" hidden="false" customHeight="false" outlineLevel="0" collapsed="false">
      <c r="A143" s="12" t="n">
        <f aca="false">Data!A143</f>
        <v>42212</v>
      </c>
      <c r="B143" s="14" t="n">
        <f aca="false">Data!B143</f>
        <v>47.39</v>
      </c>
      <c r="C143" s="0" t="str">
        <f aca="false">IF(Data!D143="","HOLD",IF(AND(G142&lt;&gt;"IN",Data!E143&lt;-5),"BUY",IF(AND(G142="IN",Data!E143&gt;0),"SELL","HOLD")))</f>
        <v>HOLD</v>
      </c>
      <c r="D143" s="14" t="n">
        <f aca="false">IF(C143="BUY",B143,IF(G142="IN",D142,""))</f>
        <v>52.53</v>
      </c>
      <c r="E143" s="14" t="str">
        <f aca="false">IF(C143="SELL",B143,"")</f>
        <v/>
      </c>
      <c r="F143" s="14" t="str">
        <f aca="false">IF(E143="","",(E143-D143)/D143*100)</f>
        <v/>
      </c>
      <c r="G143" s="0" t="str">
        <f aca="false">IF(C143="BUY","IN",IF(C143="SELL","OUT",IF(G142="IN","IN","OUT")))</f>
        <v>IN</v>
      </c>
      <c r="H143" s="14" t="n">
        <f aca="false">H142+IF(F143="",0,F143)</f>
        <v>4.59086078639746</v>
      </c>
      <c r="I143" s="14" t="n">
        <f aca="false">MAX(I142,H143)</f>
        <v>4.59086078639746</v>
      </c>
      <c r="J143" s="14" t="n">
        <f aca="false">I143-H143</f>
        <v>0</v>
      </c>
    </row>
    <row r="144" customFormat="false" ht="15" hidden="false" customHeight="false" outlineLevel="0" collapsed="false">
      <c r="A144" s="12" t="n">
        <f aca="false">Data!A144</f>
        <v>42213</v>
      </c>
      <c r="B144" s="14" t="n">
        <f aca="false">Data!B144</f>
        <v>47.98</v>
      </c>
      <c r="C144" s="0" t="str">
        <f aca="false">IF(Data!D144="","HOLD",IF(AND(G143&lt;&gt;"IN",Data!E144&lt;-5),"BUY",IF(AND(G143="IN",Data!E144&gt;0),"SELL","HOLD")))</f>
        <v>HOLD</v>
      </c>
      <c r="D144" s="14" t="n">
        <f aca="false">IF(C144="BUY",B144,IF(G143="IN",D143,""))</f>
        <v>52.53</v>
      </c>
      <c r="E144" s="14" t="str">
        <f aca="false">IF(C144="SELL",B144,"")</f>
        <v/>
      </c>
      <c r="F144" s="14" t="str">
        <f aca="false">IF(E144="","",(E144-D144)/D144*100)</f>
        <v/>
      </c>
      <c r="G144" s="0" t="str">
        <f aca="false">IF(C144="BUY","IN",IF(C144="SELL","OUT",IF(G143="IN","IN","OUT")))</f>
        <v>IN</v>
      </c>
      <c r="H144" s="14" t="n">
        <f aca="false">H143+IF(F144="",0,F144)</f>
        <v>4.59086078639746</v>
      </c>
      <c r="I144" s="14" t="n">
        <f aca="false">MAX(I143,H144)</f>
        <v>4.59086078639746</v>
      </c>
      <c r="J144" s="14" t="n">
        <f aca="false">I144-H144</f>
        <v>0</v>
      </c>
    </row>
    <row r="145" customFormat="false" ht="15" hidden="false" customHeight="false" outlineLevel="0" collapsed="false">
      <c r="A145" s="12" t="n">
        <f aca="false">Data!A145</f>
        <v>42214</v>
      </c>
      <c r="B145" s="14" t="n">
        <f aca="false">Data!B145</f>
        <v>48.79</v>
      </c>
      <c r="C145" s="0" t="str">
        <f aca="false">IF(Data!D145="","HOLD",IF(AND(G144&lt;&gt;"IN",Data!E145&lt;-5),"BUY",IF(AND(G144="IN",Data!E145&gt;0),"SELL","HOLD")))</f>
        <v>HOLD</v>
      </c>
      <c r="D145" s="14" t="n">
        <f aca="false">IF(C145="BUY",B145,IF(G144="IN",D144,""))</f>
        <v>52.53</v>
      </c>
      <c r="E145" s="14" t="str">
        <f aca="false">IF(C145="SELL",B145,"")</f>
        <v/>
      </c>
      <c r="F145" s="14" t="str">
        <f aca="false">IF(E145="","",(E145-D145)/D145*100)</f>
        <v/>
      </c>
      <c r="G145" s="0" t="str">
        <f aca="false">IF(C145="BUY","IN",IF(C145="SELL","OUT",IF(G144="IN","IN","OUT")))</f>
        <v>IN</v>
      </c>
      <c r="H145" s="14" t="n">
        <f aca="false">H144+IF(F145="",0,F145)</f>
        <v>4.59086078639746</v>
      </c>
      <c r="I145" s="14" t="n">
        <f aca="false">MAX(I144,H145)</f>
        <v>4.59086078639746</v>
      </c>
      <c r="J145" s="14" t="n">
        <f aca="false">I145-H145</f>
        <v>0</v>
      </c>
    </row>
    <row r="146" customFormat="false" ht="15" hidden="false" customHeight="false" outlineLevel="0" collapsed="false">
      <c r="A146" s="12" t="n">
        <f aca="false">Data!A146</f>
        <v>42215</v>
      </c>
      <c r="B146" s="14" t="n">
        <f aca="false">Data!B146</f>
        <v>48.52</v>
      </c>
      <c r="C146" s="0" t="str">
        <f aca="false">IF(Data!D146="","HOLD",IF(AND(G145&lt;&gt;"IN",Data!E146&lt;-5),"BUY",IF(AND(G145="IN",Data!E146&gt;0),"SELL","HOLD")))</f>
        <v>HOLD</v>
      </c>
      <c r="D146" s="14" t="n">
        <f aca="false">IF(C146="BUY",B146,IF(G145="IN",D145,""))</f>
        <v>52.53</v>
      </c>
      <c r="E146" s="14" t="str">
        <f aca="false">IF(C146="SELL",B146,"")</f>
        <v/>
      </c>
      <c r="F146" s="14" t="str">
        <f aca="false">IF(E146="","",(E146-D146)/D146*100)</f>
        <v/>
      </c>
      <c r="G146" s="0" t="str">
        <f aca="false">IF(C146="BUY","IN",IF(C146="SELL","OUT",IF(G145="IN","IN","OUT")))</f>
        <v>IN</v>
      </c>
      <c r="H146" s="14" t="n">
        <f aca="false">H145+IF(F146="",0,F146)</f>
        <v>4.59086078639746</v>
      </c>
      <c r="I146" s="14" t="n">
        <f aca="false">MAX(I145,H146)</f>
        <v>4.59086078639746</v>
      </c>
      <c r="J146" s="14" t="n">
        <f aca="false">I146-H146</f>
        <v>0</v>
      </c>
    </row>
    <row r="147" customFormat="false" ht="15" hidden="false" customHeight="false" outlineLevel="0" collapsed="false">
      <c r="A147" s="12" t="n">
        <f aca="false">Data!A147</f>
        <v>42216</v>
      </c>
      <c r="B147" s="14" t="n">
        <f aca="false">Data!B147</f>
        <v>47.12</v>
      </c>
      <c r="C147" s="0" t="str">
        <f aca="false">IF(Data!D147="","HOLD",IF(AND(G146&lt;&gt;"IN",Data!E147&lt;-5),"BUY",IF(AND(G146="IN",Data!E147&gt;0),"SELL","HOLD")))</f>
        <v>HOLD</v>
      </c>
      <c r="D147" s="14" t="n">
        <f aca="false">IF(C147="BUY",B147,IF(G146="IN",D146,""))</f>
        <v>52.53</v>
      </c>
      <c r="E147" s="14" t="str">
        <f aca="false">IF(C147="SELL",B147,"")</f>
        <v/>
      </c>
      <c r="F147" s="14" t="str">
        <f aca="false">IF(E147="","",(E147-D147)/D147*100)</f>
        <v/>
      </c>
      <c r="G147" s="0" t="str">
        <f aca="false">IF(C147="BUY","IN",IF(C147="SELL","OUT",IF(G146="IN","IN","OUT")))</f>
        <v>IN</v>
      </c>
      <c r="H147" s="14" t="n">
        <f aca="false">H146+IF(F147="",0,F147)</f>
        <v>4.59086078639746</v>
      </c>
      <c r="I147" s="14" t="n">
        <f aca="false">MAX(I146,H147)</f>
        <v>4.59086078639746</v>
      </c>
      <c r="J147" s="14" t="n">
        <f aca="false">I147-H147</f>
        <v>0</v>
      </c>
    </row>
    <row r="148" customFormat="false" ht="15" hidden="false" customHeight="false" outlineLevel="0" collapsed="false">
      <c r="A148" s="12" t="n">
        <f aca="false">Data!A148</f>
        <v>42219</v>
      </c>
      <c r="B148" s="14" t="n">
        <f aca="false">Data!B148</f>
        <v>45.17</v>
      </c>
      <c r="C148" s="0" t="str">
        <f aca="false">IF(Data!D148="","HOLD",IF(AND(G147&lt;&gt;"IN",Data!E148&lt;-5),"BUY",IF(AND(G147="IN",Data!E148&gt;0),"SELL","HOLD")))</f>
        <v>HOLD</v>
      </c>
      <c r="D148" s="14" t="n">
        <f aca="false">IF(C148="BUY",B148,IF(G147="IN",D147,""))</f>
        <v>52.53</v>
      </c>
      <c r="E148" s="14" t="str">
        <f aca="false">IF(C148="SELL",B148,"")</f>
        <v/>
      </c>
      <c r="F148" s="14" t="str">
        <f aca="false">IF(E148="","",(E148-D148)/D148*100)</f>
        <v/>
      </c>
      <c r="G148" s="0" t="str">
        <f aca="false">IF(C148="BUY","IN",IF(C148="SELL","OUT",IF(G147="IN","IN","OUT")))</f>
        <v>IN</v>
      </c>
      <c r="H148" s="14" t="n">
        <f aca="false">H147+IF(F148="",0,F148)</f>
        <v>4.59086078639746</v>
      </c>
      <c r="I148" s="14" t="n">
        <f aca="false">MAX(I147,H148)</f>
        <v>4.59086078639746</v>
      </c>
      <c r="J148" s="14" t="n">
        <f aca="false">I148-H148</f>
        <v>0</v>
      </c>
    </row>
    <row r="149" customFormat="false" ht="15" hidden="false" customHeight="false" outlineLevel="0" collapsed="false">
      <c r="A149" s="12" t="n">
        <f aca="false">Data!A149</f>
        <v>42220</v>
      </c>
      <c r="B149" s="14" t="n">
        <f aca="false">Data!B149</f>
        <v>45.74</v>
      </c>
      <c r="C149" s="0" t="str">
        <f aca="false">IF(Data!D149="","HOLD",IF(AND(G148&lt;&gt;"IN",Data!E149&lt;-5),"BUY",IF(AND(G148="IN",Data!E149&gt;0),"SELL","HOLD")))</f>
        <v>HOLD</v>
      </c>
      <c r="D149" s="14" t="n">
        <f aca="false">IF(C149="BUY",B149,IF(G148="IN",D148,""))</f>
        <v>52.53</v>
      </c>
      <c r="E149" s="14" t="str">
        <f aca="false">IF(C149="SELL",B149,"")</f>
        <v/>
      </c>
      <c r="F149" s="14" t="str">
        <f aca="false">IF(E149="","",(E149-D149)/D149*100)</f>
        <v/>
      </c>
      <c r="G149" s="0" t="str">
        <f aca="false">IF(C149="BUY","IN",IF(C149="SELL","OUT",IF(G148="IN","IN","OUT")))</f>
        <v>IN</v>
      </c>
      <c r="H149" s="14" t="n">
        <f aca="false">H148+IF(F149="",0,F149)</f>
        <v>4.59086078639746</v>
      </c>
      <c r="I149" s="14" t="n">
        <f aca="false">MAX(I148,H149)</f>
        <v>4.59086078639746</v>
      </c>
      <c r="J149" s="14" t="n">
        <f aca="false">I149-H149</f>
        <v>0</v>
      </c>
    </row>
    <row r="150" customFormat="false" ht="15" hidden="false" customHeight="false" outlineLevel="0" collapsed="false">
      <c r="A150" s="12" t="n">
        <f aca="false">Data!A150</f>
        <v>42221</v>
      </c>
      <c r="B150" s="14" t="n">
        <f aca="false">Data!B150</f>
        <v>45.15</v>
      </c>
      <c r="C150" s="0" t="str">
        <f aca="false">IF(Data!D150="","HOLD",IF(AND(G149&lt;&gt;"IN",Data!E150&lt;-5),"BUY",IF(AND(G149="IN",Data!E150&gt;0),"SELL","HOLD")))</f>
        <v>HOLD</v>
      </c>
      <c r="D150" s="14" t="n">
        <f aca="false">IF(C150="BUY",B150,IF(G149="IN",D149,""))</f>
        <v>52.53</v>
      </c>
      <c r="E150" s="14" t="str">
        <f aca="false">IF(C150="SELL",B150,"")</f>
        <v/>
      </c>
      <c r="F150" s="14" t="str">
        <f aca="false">IF(E150="","",(E150-D150)/D150*100)</f>
        <v/>
      </c>
      <c r="G150" s="0" t="str">
        <f aca="false">IF(C150="BUY","IN",IF(C150="SELL","OUT",IF(G149="IN","IN","OUT")))</f>
        <v>IN</v>
      </c>
      <c r="H150" s="14" t="n">
        <f aca="false">H149+IF(F150="",0,F150)</f>
        <v>4.59086078639746</v>
      </c>
      <c r="I150" s="14" t="n">
        <f aca="false">MAX(I149,H150)</f>
        <v>4.59086078639746</v>
      </c>
      <c r="J150" s="14" t="n">
        <f aca="false">I150-H150</f>
        <v>0</v>
      </c>
    </row>
    <row r="151" customFormat="false" ht="15" hidden="false" customHeight="false" outlineLevel="0" collapsed="false">
      <c r="A151" s="12" t="n">
        <f aca="false">Data!A151</f>
        <v>42222</v>
      </c>
      <c r="B151" s="14" t="n">
        <f aca="false">Data!B151</f>
        <v>44.66</v>
      </c>
      <c r="C151" s="0" t="str">
        <f aca="false">IF(Data!D151="","HOLD",IF(AND(G150&lt;&gt;"IN",Data!E151&lt;-5),"BUY",IF(AND(G150="IN",Data!E151&gt;0),"SELL","HOLD")))</f>
        <v>HOLD</v>
      </c>
      <c r="D151" s="14" t="n">
        <f aca="false">IF(C151="BUY",B151,IF(G150="IN",D150,""))</f>
        <v>52.53</v>
      </c>
      <c r="E151" s="14" t="str">
        <f aca="false">IF(C151="SELL",B151,"")</f>
        <v/>
      </c>
      <c r="F151" s="14" t="str">
        <f aca="false">IF(E151="","",(E151-D151)/D151*100)</f>
        <v/>
      </c>
      <c r="G151" s="0" t="str">
        <f aca="false">IF(C151="BUY","IN",IF(C151="SELL","OUT",IF(G150="IN","IN","OUT")))</f>
        <v>IN</v>
      </c>
      <c r="H151" s="14" t="n">
        <f aca="false">H150+IF(F151="",0,F151)</f>
        <v>4.59086078639746</v>
      </c>
      <c r="I151" s="14" t="n">
        <f aca="false">MAX(I150,H151)</f>
        <v>4.59086078639746</v>
      </c>
      <c r="J151" s="14" t="n">
        <f aca="false">I151-H151</f>
        <v>0</v>
      </c>
    </row>
    <row r="152" customFormat="false" ht="15" hidden="false" customHeight="false" outlineLevel="0" collapsed="false">
      <c r="A152" s="12" t="n">
        <f aca="false">Data!A152</f>
        <v>42223</v>
      </c>
      <c r="B152" s="14" t="n">
        <f aca="false">Data!B152</f>
        <v>43.87</v>
      </c>
      <c r="C152" s="0" t="str">
        <f aca="false">IF(Data!D152="","HOLD",IF(AND(G151&lt;&gt;"IN",Data!E152&lt;-5),"BUY",IF(AND(G151="IN",Data!E152&gt;0),"SELL","HOLD")))</f>
        <v>HOLD</v>
      </c>
      <c r="D152" s="14" t="n">
        <f aca="false">IF(C152="BUY",B152,IF(G151="IN",D151,""))</f>
        <v>52.53</v>
      </c>
      <c r="E152" s="14" t="str">
        <f aca="false">IF(C152="SELL",B152,"")</f>
        <v/>
      </c>
      <c r="F152" s="14" t="str">
        <f aca="false">IF(E152="","",(E152-D152)/D152*100)</f>
        <v/>
      </c>
      <c r="G152" s="0" t="str">
        <f aca="false">IF(C152="BUY","IN",IF(C152="SELL","OUT",IF(G151="IN","IN","OUT")))</f>
        <v>IN</v>
      </c>
      <c r="H152" s="14" t="n">
        <f aca="false">H151+IF(F152="",0,F152)</f>
        <v>4.59086078639746</v>
      </c>
      <c r="I152" s="14" t="n">
        <f aca="false">MAX(I151,H152)</f>
        <v>4.59086078639746</v>
      </c>
      <c r="J152" s="14" t="n">
        <f aca="false">I152-H152</f>
        <v>0</v>
      </c>
    </row>
    <row r="153" customFormat="false" ht="15" hidden="false" customHeight="false" outlineLevel="0" collapsed="false">
      <c r="A153" s="12" t="n">
        <f aca="false">Data!A153</f>
        <v>42226</v>
      </c>
      <c r="B153" s="14" t="n">
        <f aca="false">Data!B153</f>
        <v>44.96</v>
      </c>
      <c r="C153" s="0" t="str">
        <f aca="false">IF(Data!D153="","HOLD",IF(AND(G152&lt;&gt;"IN",Data!E153&lt;-5),"BUY",IF(AND(G152="IN",Data!E153&gt;0),"SELL","HOLD")))</f>
        <v>HOLD</v>
      </c>
      <c r="D153" s="14" t="n">
        <f aca="false">IF(C153="BUY",B153,IF(G152="IN",D152,""))</f>
        <v>52.53</v>
      </c>
      <c r="E153" s="14" t="str">
        <f aca="false">IF(C153="SELL",B153,"")</f>
        <v/>
      </c>
      <c r="F153" s="14" t="str">
        <f aca="false">IF(E153="","",(E153-D153)/D153*100)</f>
        <v/>
      </c>
      <c r="G153" s="0" t="str">
        <f aca="false">IF(C153="BUY","IN",IF(C153="SELL","OUT",IF(G152="IN","IN","OUT")))</f>
        <v>IN</v>
      </c>
      <c r="H153" s="14" t="n">
        <f aca="false">H152+IF(F153="",0,F153)</f>
        <v>4.59086078639746</v>
      </c>
      <c r="I153" s="14" t="n">
        <f aca="false">MAX(I152,H153)</f>
        <v>4.59086078639746</v>
      </c>
      <c r="J153" s="14" t="n">
        <f aca="false">I153-H153</f>
        <v>0</v>
      </c>
    </row>
    <row r="154" customFormat="false" ht="15" hidden="false" customHeight="false" outlineLevel="0" collapsed="false">
      <c r="A154" s="12" t="n">
        <f aca="false">Data!A154</f>
        <v>42227</v>
      </c>
      <c r="B154" s="14" t="n">
        <f aca="false">Data!B154</f>
        <v>43.08</v>
      </c>
      <c r="C154" s="0" t="str">
        <f aca="false">IF(Data!D154="","HOLD",IF(AND(G153&lt;&gt;"IN",Data!E154&lt;-5),"BUY",IF(AND(G153="IN",Data!E154&gt;0),"SELL","HOLD")))</f>
        <v>HOLD</v>
      </c>
      <c r="D154" s="14" t="n">
        <f aca="false">IF(C154="BUY",B154,IF(G153="IN",D153,""))</f>
        <v>52.53</v>
      </c>
      <c r="E154" s="14" t="str">
        <f aca="false">IF(C154="SELL",B154,"")</f>
        <v/>
      </c>
      <c r="F154" s="14" t="str">
        <f aca="false">IF(E154="","",(E154-D154)/D154*100)</f>
        <v/>
      </c>
      <c r="G154" s="0" t="str">
        <f aca="false">IF(C154="BUY","IN",IF(C154="SELL","OUT",IF(G153="IN","IN","OUT")))</f>
        <v>IN</v>
      </c>
      <c r="H154" s="14" t="n">
        <f aca="false">H153+IF(F154="",0,F154)</f>
        <v>4.59086078639746</v>
      </c>
      <c r="I154" s="14" t="n">
        <f aca="false">MAX(I153,H154)</f>
        <v>4.59086078639746</v>
      </c>
      <c r="J154" s="14" t="n">
        <f aca="false">I154-H154</f>
        <v>0</v>
      </c>
    </row>
    <row r="155" customFormat="false" ht="15" hidden="false" customHeight="false" outlineLevel="0" collapsed="false">
      <c r="A155" s="12" t="n">
        <f aca="false">Data!A155</f>
        <v>42228</v>
      </c>
      <c r="B155" s="14" t="n">
        <f aca="false">Data!B155</f>
        <v>43.3</v>
      </c>
      <c r="C155" s="0" t="str">
        <f aca="false">IF(Data!D155="","HOLD",IF(AND(G154&lt;&gt;"IN",Data!E155&lt;-5),"BUY",IF(AND(G154="IN",Data!E155&gt;0),"SELL","HOLD")))</f>
        <v>HOLD</v>
      </c>
      <c r="D155" s="14" t="n">
        <f aca="false">IF(C155="BUY",B155,IF(G154="IN",D154,""))</f>
        <v>52.53</v>
      </c>
      <c r="E155" s="14" t="str">
        <f aca="false">IF(C155="SELL",B155,"")</f>
        <v/>
      </c>
      <c r="F155" s="14" t="str">
        <f aca="false">IF(E155="","",(E155-D155)/D155*100)</f>
        <v/>
      </c>
      <c r="G155" s="0" t="str">
        <f aca="false">IF(C155="BUY","IN",IF(C155="SELL","OUT",IF(G154="IN","IN","OUT")))</f>
        <v>IN</v>
      </c>
      <c r="H155" s="14" t="n">
        <f aca="false">H154+IF(F155="",0,F155)</f>
        <v>4.59086078639746</v>
      </c>
      <c r="I155" s="14" t="n">
        <f aca="false">MAX(I154,H155)</f>
        <v>4.59086078639746</v>
      </c>
      <c r="J155" s="14" t="n">
        <f aca="false">I155-H155</f>
        <v>0</v>
      </c>
    </row>
    <row r="156" customFormat="false" ht="15" hidden="false" customHeight="false" outlineLevel="0" collapsed="false">
      <c r="A156" s="12" t="n">
        <f aca="false">Data!A156</f>
        <v>42229</v>
      </c>
      <c r="B156" s="14" t="n">
        <f aca="false">Data!B156</f>
        <v>42.23</v>
      </c>
      <c r="C156" s="0" t="str">
        <f aca="false">IF(Data!D156="","HOLD",IF(AND(G155&lt;&gt;"IN",Data!E156&lt;-5),"BUY",IF(AND(G155="IN",Data!E156&gt;0),"SELL","HOLD")))</f>
        <v>HOLD</v>
      </c>
      <c r="D156" s="14" t="n">
        <f aca="false">IF(C156="BUY",B156,IF(G155="IN",D155,""))</f>
        <v>52.53</v>
      </c>
      <c r="E156" s="14" t="str">
        <f aca="false">IF(C156="SELL",B156,"")</f>
        <v/>
      </c>
      <c r="F156" s="14" t="str">
        <f aca="false">IF(E156="","",(E156-D156)/D156*100)</f>
        <v/>
      </c>
      <c r="G156" s="0" t="str">
        <f aca="false">IF(C156="BUY","IN",IF(C156="SELL","OUT",IF(G155="IN","IN","OUT")))</f>
        <v>IN</v>
      </c>
      <c r="H156" s="14" t="n">
        <f aca="false">H155+IF(F156="",0,F156)</f>
        <v>4.59086078639746</v>
      </c>
      <c r="I156" s="14" t="n">
        <f aca="false">MAX(I155,H156)</f>
        <v>4.59086078639746</v>
      </c>
      <c r="J156" s="14" t="n">
        <f aca="false">I156-H156</f>
        <v>0</v>
      </c>
    </row>
    <row r="157" customFormat="false" ht="15" hidden="false" customHeight="false" outlineLevel="0" collapsed="false">
      <c r="A157" s="12" t="n">
        <f aca="false">Data!A157</f>
        <v>42230</v>
      </c>
      <c r="B157" s="14" t="n">
        <f aca="false">Data!B157</f>
        <v>42.5</v>
      </c>
      <c r="C157" s="0" t="str">
        <f aca="false">IF(Data!D157="","HOLD",IF(AND(G156&lt;&gt;"IN",Data!E157&lt;-5),"BUY",IF(AND(G156="IN",Data!E157&gt;0),"SELL","HOLD")))</f>
        <v>HOLD</v>
      </c>
      <c r="D157" s="14" t="n">
        <f aca="false">IF(C157="BUY",B157,IF(G156="IN",D156,""))</f>
        <v>52.53</v>
      </c>
      <c r="E157" s="14" t="str">
        <f aca="false">IF(C157="SELL",B157,"")</f>
        <v/>
      </c>
      <c r="F157" s="14" t="str">
        <f aca="false">IF(E157="","",(E157-D157)/D157*100)</f>
        <v/>
      </c>
      <c r="G157" s="0" t="str">
        <f aca="false">IF(C157="BUY","IN",IF(C157="SELL","OUT",IF(G156="IN","IN","OUT")))</f>
        <v>IN</v>
      </c>
      <c r="H157" s="14" t="n">
        <f aca="false">H156+IF(F157="",0,F157)</f>
        <v>4.59086078639746</v>
      </c>
      <c r="I157" s="14" t="n">
        <f aca="false">MAX(I156,H157)</f>
        <v>4.59086078639746</v>
      </c>
      <c r="J157" s="14" t="n">
        <f aca="false">I157-H157</f>
        <v>0</v>
      </c>
    </row>
    <row r="158" customFormat="false" ht="15" hidden="false" customHeight="false" outlineLevel="0" collapsed="false">
      <c r="A158" s="12" t="n">
        <f aca="false">Data!A158</f>
        <v>42233</v>
      </c>
      <c r="B158" s="14" t="n">
        <f aca="false">Data!B158</f>
        <v>41.87</v>
      </c>
      <c r="C158" s="0" t="str">
        <f aca="false">IF(Data!D158="","HOLD",IF(AND(G157&lt;&gt;"IN",Data!E158&lt;-5),"BUY",IF(AND(G157="IN",Data!E158&gt;0),"SELL","HOLD")))</f>
        <v>HOLD</v>
      </c>
      <c r="D158" s="14" t="n">
        <f aca="false">IF(C158="BUY",B158,IF(G157="IN",D157,""))</f>
        <v>52.53</v>
      </c>
      <c r="E158" s="14" t="str">
        <f aca="false">IF(C158="SELL",B158,"")</f>
        <v/>
      </c>
      <c r="F158" s="14" t="str">
        <f aca="false">IF(E158="","",(E158-D158)/D158*100)</f>
        <v/>
      </c>
      <c r="G158" s="0" t="str">
        <f aca="false">IF(C158="BUY","IN",IF(C158="SELL","OUT",IF(G157="IN","IN","OUT")))</f>
        <v>IN</v>
      </c>
      <c r="H158" s="14" t="n">
        <f aca="false">H157+IF(F158="",0,F158)</f>
        <v>4.59086078639746</v>
      </c>
      <c r="I158" s="14" t="n">
        <f aca="false">MAX(I157,H158)</f>
        <v>4.59086078639746</v>
      </c>
      <c r="J158" s="14" t="n">
        <f aca="false">I158-H158</f>
        <v>0</v>
      </c>
    </row>
    <row r="159" customFormat="false" ht="15" hidden="false" customHeight="false" outlineLevel="0" collapsed="false">
      <c r="A159" s="12" t="n">
        <f aca="false">Data!A159</f>
        <v>42234</v>
      </c>
      <c r="B159" s="14" t="n">
        <f aca="false">Data!B159</f>
        <v>42.62</v>
      </c>
      <c r="C159" s="0" t="str">
        <f aca="false">IF(Data!D159="","HOLD",IF(AND(G158&lt;&gt;"IN",Data!E159&lt;-5),"BUY",IF(AND(G158="IN",Data!E159&gt;0),"SELL","HOLD")))</f>
        <v>HOLD</v>
      </c>
      <c r="D159" s="14" t="n">
        <f aca="false">IF(C159="BUY",B159,IF(G158="IN",D158,""))</f>
        <v>52.53</v>
      </c>
      <c r="E159" s="14" t="str">
        <f aca="false">IF(C159="SELL",B159,"")</f>
        <v/>
      </c>
      <c r="F159" s="14" t="str">
        <f aca="false">IF(E159="","",(E159-D159)/D159*100)</f>
        <v/>
      </c>
      <c r="G159" s="0" t="str">
        <f aca="false">IF(C159="BUY","IN",IF(C159="SELL","OUT",IF(G158="IN","IN","OUT")))</f>
        <v>IN</v>
      </c>
      <c r="H159" s="14" t="n">
        <f aca="false">H158+IF(F159="",0,F159)</f>
        <v>4.59086078639746</v>
      </c>
      <c r="I159" s="14" t="n">
        <f aca="false">MAX(I158,H159)</f>
        <v>4.59086078639746</v>
      </c>
      <c r="J159" s="14" t="n">
        <f aca="false">I159-H159</f>
        <v>0</v>
      </c>
    </row>
    <row r="160" customFormat="false" ht="15" hidden="false" customHeight="false" outlineLevel="0" collapsed="false">
      <c r="A160" s="12" t="n">
        <f aca="false">Data!A160</f>
        <v>42235</v>
      </c>
      <c r="B160" s="14" t="n">
        <f aca="false">Data!B160</f>
        <v>40.8</v>
      </c>
      <c r="C160" s="0" t="str">
        <f aca="false">IF(Data!D160="","HOLD",IF(AND(G159&lt;&gt;"IN",Data!E160&lt;-5),"BUY",IF(AND(G159="IN",Data!E160&gt;0),"SELL","HOLD")))</f>
        <v>HOLD</v>
      </c>
      <c r="D160" s="14" t="n">
        <f aca="false">IF(C160="BUY",B160,IF(G159="IN",D159,""))</f>
        <v>52.53</v>
      </c>
      <c r="E160" s="14" t="str">
        <f aca="false">IF(C160="SELL",B160,"")</f>
        <v/>
      </c>
      <c r="F160" s="14" t="str">
        <f aca="false">IF(E160="","",(E160-D160)/D160*100)</f>
        <v/>
      </c>
      <c r="G160" s="0" t="str">
        <f aca="false">IF(C160="BUY","IN",IF(C160="SELL","OUT",IF(G159="IN","IN","OUT")))</f>
        <v>IN</v>
      </c>
      <c r="H160" s="14" t="n">
        <f aca="false">H159+IF(F160="",0,F160)</f>
        <v>4.59086078639746</v>
      </c>
      <c r="I160" s="14" t="n">
        <f aca="false">MAX(I159,H160)</f>
        <v>4.59086078639746</v>
      </c>
      <c r="J160" s="14" t="n">
        <f aca="false">I160-H160</f>
        <v>0</v>
      </c>
    </row>
    <row r="161" customFormat="false" ht="15" hidden="false" customHeight="false" outlineLevel="0" collapsed="false">
      <c r="A161" s="12" t="n">
        <f aca="false">Data!A161</f>
        <v>42236</v>
      </c>
      <c r="B161" s="14" t="n">
        <f aca="false">Data!B161</f>
        <v>41.14</v>
      </c>
      <c r="C161" s="0" t="str">
        <f aca="false">IF(Data!D161="","HOLD",IF(AND(G160&lt;&gt;"IN",Data!E161&lt;-5),"BUY",IF(AND(G160="IN",Data!E161&gt;0),"SELL","HOLD")))</f>
        <v>HOLD</v>
      </c>
      <c r="D161" s="14" t="n">
        <f aca="false">IF(C161="BUY",B161,IF(G160="IN",D160,""))</f>
        <v>52.53</v>
      </c>
      <c r="E161" s="14" t="str">
        <f aca="false">IF(C161="SELL",B161,"")</f>
        <v/>
      </c>
      <c r="F161" s="14" t="str">
        <f aca="false">IF(E161="","",(E161-D161)/D161*100)</f>
        <v/>
      </c>
      <c r="G161" s="0" t="str">
        <f aca="false">IF(C161="BUY","IN",IF(C161="SELL","OUT",IF(G160="IN","IN","OUT")))</f>
        <v>IN</v>
      </c>
      <c r="H161" s="14" t="n">
        <f aca="false">H160+IF(F161="",0,F161)</f>
        <v>4.59086078639746</v>
      </c>
      <c r="I161" s="14" t="n">
        <f aca="false">MAX(I160,H161)</f>
        <v>4.59086078639746</v>
      </c>
      <c r="J161" s="14" t="n">
        <f aca="false">I161-H161</f>
        <v>0</v>
      </c>
    </row>
    <row r="162" customFormat="false" ht="15" hidden="false" customHeight="false" outlineLevel="0" collapsed="false">
      <c r="A162" s="12" t="n">
        <f aca="false">Data!A162</f>
        <v>42237</v>
      </c>
      <c r="B162" s="14" t="n">
        <f aca="false">Data!B162</f>
        <v>40.45</v>
      </c>
      <c r="C162" s="0" t="str">
        <f aca="false">IF(Data!D162="","HOLD",IF(AND(G161&lt;&gt;"IN",Data!E162&lt;-5),"BUY",IF(AND(G161="IN",Data!E162&gt;0),"SELL","HOLD")))</f>
        <v>HOLD</v>
      </c>
      <c r="D162" s="14" t="n">
        <f aca="false">IF(C162="BUY",B162,IF(G161="IN",D161,""))</f>
        <v>52.53</v>
      </c>
      <c r="E162" s="14" t="str">
        <f aca="false">IF(C162="SELL",B162,"")</f>
        <v/>
      </c>
      <c r="F162" s="14" t="str">
        <f aca="false">IF(E162="","",(E162-D162)/D162*100)</f>
        <v/>
      </c>
      <c r="G162" s="0" t="str">
        <f aca="false">IF(C162="BUY","IN",IF(C162="SELL","OUT",IF(G161="IN","IN","OUT")))</f>
        <v>IN</v>
      </c>
      <c r="H162" s="14" t="n">
        <f aca="false">H161+IF(F162="",0,F162)</f>
        <v>4.59086078639746</v>
      </c>
      <c r="I162" s="14" t="n">
        <f aca="false">MAX(I161,H162)</f>
        <v>4.59086078639746</v>
      </c>
      <c r="J162" s="14" t="n">
        <f aca="false">I162-H162</f>
        <v>0</v>
      </c>
    </row>
    <row r="163" customFormat="false" ht="15" hidden="false" customHeight="false" outlineLevel="0" collapsed="false">
      <c r="A163" s="12" t="n">
        <f aca="false">Data!A163</f>
        <v>42240</v>
      </c>
      <c r="B163" s="14" t="n">
        <f aca="false">Data!B163</f>
        <v>38.24</v>
      </c>
      <c r="C163" s="0" t="str">
        <f aca="false">IF(Data!D163="","HOLD",IF(AND(G162&lt;&gt;"IN",Data!E163&lt;-5),"BUY",IF(AND(G162="IN",Data!E163&gt;0),"SELL","HOLD")))</f>
        <v>HOLD</v>
      </c>
      <c r="D163" s="14" t="n">
        <f aca="false">IF(C163="BUY",B163,IF(G162="IN",D162,""))</f>
        <v>52.53</v>
      </c>
      <c r="E163" s="14" t="str">
        <f aca="false">IF(C163="SELL",B163,"")</f>
        <v/>
      </c>
      <c r="F163" s="14" t="str">
        <f aca="false">IF(E163="","",(E163-D163)/D163*100)</f>
        <v/>
      </c>
      <c r="G163" s="0" t="str">
        <f aca="false">IF(C163="BUY","IN",IF(C163="SELL","OUT",IF(G162="IN","IN","OUT")))</f>
        <v>IN</v>
      </c>
      <c r="H163" s="14" t="n">
        <f aca="false">H162+IF(F163="",0,F163)</f>
        <v>4.59086078639746</v>
      </c>
      <c r="I163" s="14" t="n">
        <f aca="false">MAX(I162,H163)</f>
        <v>4.59086078639746</v>
      </c>
      <c r="J163" s="14" t="n">
        <f aca="false">I163-H163</f>
        <v>0</v>
      </c>
    </row>
    <row r="164" customFormat="false" ht="15" hidden="false" customHeight="false" outlineLevel="0" collapsed="false">
      <c r="A164" s="12" t="n">
        <f aca="false">Data!A164</f>
        <v>42241</v>
      </c>
      <c r="B164" s="14" t="n">
        <f aca="false">Data!B164</f>
        <v>39.31</v>
      </c>
      <c r="C164" s="0" t="str">
        <f aca="false">IF(Data!D164="","HOLD",IF(AND(G163&lt;&gt;"IN",Data!E164&lt;-5),"BUY",IF(AND(G163="IN",Data!E164&gt;0),"SELL","HOLD")))</f>
        <v>HOLD</v>
      </c>
      <c r="D164" s="14" t="n">
        <f aca="false">IF(C164="BUY",B164,IF(G163="IN",D163,""))</f>
        <v>52.53</v>
      </c>
      <c r="E164" s="14" t="str">
        <f aca="false">IF(C164="SELL",B164,"")</f>
        <v/>
      </c>
      <c r="F164" s="14" t="str">
        <f aca="false">IF(E164="","",(E164-D164)/D164*100)</f>
        <v/>
      </c>
      <c r="G164" s="0" t="str">
        <f aca="false">IF(C164="BUY","IN",IF(C164="SELL","OUT",IF(G163="IN","IN","OUT")))</f>
        <v>IN</v>
      </c>
      <c r="H164" s="14" t="n">
        <f aca="false">H163+IF(F164="",0,F164)</f>
        <v>4.59086078639746</v>
      </c>
      <c r="I164" s="14" t="n">
        <f aca="false">MAX(I163,H164)</f>
        <v>4.59086078639746</v>
      </c>
      <c r="J164" s="14" t="n">
        <f aca="false">I164-H164</f>
        <v>0</v>
      </c>
    </row>
    <row r="165" customFormat="false" ht="15" hidden="false" customHeight="false" outlineLevel="0" collapsed="false">
      <c r="A165" s="12" t="n">
        <f aca="false">Data!A165</f>
        <v>42242</v>
      </c>
      <c r="B165" s="14" t="n">
        <f aca="false">Data!B165</f>
        <v>38.6</v>
      </c>
      <c r="C165" s="0" t="str">
        <f aca="false">IF(Data!D165="","HOLD",IF(AND(G164&lt;&gt;"IN",Data!E165&lt;-5),"BUY",IF(AND(G164="IN",Data!E165&gt;0),"SELL","HOLD")))</f>
        <v>HOLD</v>
      </c>
      <c r="D165" s="14" t="n">
        <f aca="false">IF(C165="BUY",B165,IF(G164="IN",D164,""))</f>
        <v>52.53</v>
      </c>
      <c r="E165" s="14" t="str">
        <f aca="false">IF(C165="SELL",B165,"")</f>
        <v/>
      </c>
      <c r="F165" s="14" t="str">
        <f aca="false">IF(E165="","",(E165-D165)/D165*100)</f>
        <v/>
      </c>
      <c r="G165" s="0" t="str">
        <f aca="false">IF(C165="BUY","IN",IF(C165="SELL","OUT",IF(G164="IN","IN","OUT")))</f>
        <v>IN</v>
      </c>
      <c r="H165" s="14" t="n">
        <f aca="false">H164+IF(F165="",0,F165)</f>
        <v>4.59086078639746</v>
      </c>
      <c r="I165" s="14" t="n">
        <f aca="false">MAX(I164,H165)</f>
        <v>4.59086078639746</v>
      </c>
      <c r="J165" s="14" t="n">
        <f aca="false">I165-H165</f>
        <v>0</v>
      </c>
    </row>
    <row r="166" customFormat="false" ht="15" hidden="false" customHeight="false" outlineLevel="0" collapsed="false">
      <c r="A166" s="12" t="n">
        <f aca="false">Data!A166</f>
        <v>42243</v>
      </c>
      <c r="B166" s="14" t="n">
        <f aca="false">Data!B166</f>
        <v>42.56</v>
      </c>
      <c r="C166" s="0" t="str">
        <f aca="false">IF(Data!D166="","HOLD",IF(AND(G165&lt;&gt;"IN",Data!E166&lt;-5),"BUY",IF(AND(G165="IN",Data!E166&gt;0),"SELL","HOLD")))</f>
        <v>HOLD</v>
      </c>
      <c r="D166" s="14" t="n">
        <f aca="false">IF(C166="BUY",B166,IF(G165="IN",D165,""))</f>
        <v>52.53</v>
      </c>
      <c r="E166" s="14" t="str">
        <f aca="false">IF(C166="SELL",B166,"")</f>
        <v/>
      </c>
      <c r="F166" s="14" t="str">
        <f aca="false">IF(E166="","",(E166-D166)/D166*100)</f>
        <v/>
      </c>
      <c r="G166" s="0" t="str">
        <f aca="false">IF(C166="BUY","IN",IF(C166="SELL","OUT",IF(G165="IN","IN","OUT")))</f>
        <v>IN</v>
      </c>
      <c r="H166" s="14" t="n">
        <f aca="false">H165+IF(F166="",0,F166)</f>
        <v>4.59086078639746</v>
      </c>
      <c r="I166" s="14" t="n">
        <f aca="false">MAX(I165,H166)</f>
        <v>4.59086078639746</v>
      </c>
      <c r="J166" s="14" t="n">
        <f aca="false">I166-H166</f>
        <v>0</v>
      </c>
    </row>
    <row r="167" customFormat="false" ht="15" hidden="false" customHeight="false" outlineLevel="0" collapsed="false">
      <c r="A167" s="12" t="n">
        <f aca="false">Data!A167</f>
        <v>42244</v>
      </c>
      <c r="B167" s="14" t="n">
        <f aca="false">Data!B167</f>
        <v>45.22</v>
      </c>
      <c r="C167" s="0" t="str">
        <f aca="false">IF(Data!D167="","HOLD",IF(AND(G166&lt;&gt;"IN",Data!E167&lt;-5),"BUY",IF(AND(G166="IN",Data!E167&gt;0),"SELL","HOLD")))</f>
        <v>SELL</v>
      </c>
      <c r="D167" s="14" t="n">
        <f aca="false">IF(C167="BUY",B167,IF(G166="IN",D166,""))</f>
        <v>52.53</v>
      </c>
      <c r="E167" s="14" t="n">
        <f aca="false">IF(C167="SELL",B167,"")</f>
        <v>45.22</v>
      </c>
      <c r="F167" s="14" t="n">
        <f aca="false">IF(E167="","",(E167-D167)/D167*100)</f>
        <v>-13.915857605178</v>
      </c>
      <c r="G167" s="0" t="str">
        <f aca="false">IF(C167="BUY","IN",IF(C167="SELL","OUT",IF(G166="IN","IN","OUT")))</f>
        <v>OUT</v>
      </c>
      <c r="H167" s="14" t="n">
        <f aca="false">H166+IF(F167="",0,F167)</f>
        <v>-9.32499681878054</v>
      </c>
      <c r="I167" s="14" t="n">
        <f aca="false">MAX(I166,H167)</f>
        <v>4.59086078639746</v>
      </c>
      <c r="J167" s="14" t="n">
        <f aca="false">I167-H167</f>
        <v>13.915857605178</v>
      </c>
    </row>
    <row r="168" customFormat="false" ht="15" hidden="false" customHeight="false" outlineLevel="0" collapsed="false">
      <c r="A168" s="12" t="n">
        <f aca="false">Data!A168</f>
        <v>42247</v>
      </c>
      <c r="B168" s="14" t="n">
        <f aca="false">Data!B168</f>
        <v>49.2</v>
      </c>
      <c r="C168" s="0" t="str">
        <f aca="false">IF(Data!D168="","HOLD",IF(AND(G167&lt;&gt;"IN",Data!E168&lt;-5),"BUY",IF(AND(G167="IN",Data!E168&gt;0),"SELL","HOLD")))</f>
        <v>HOLD</v>
      </c>
      <c r="D168" s="14" t="str">
        <f aca="false">IF(C168="BUY",B168,IF(G167="IN",D167,""))</f>
        <v/>
      </c>
      <c r="E168" s="14" t="str">
        <f aca="false">IF(C168="SELL",B168,"")</f>
        <v/>
      </c>
      <c r="F168" s="14" t="str">
        <f aca="false">IF(E168="","",(E168-D168)/D168*100)</f>
        <v/>
      </c>
      <c r="G168" s="0" t="str">
        <f aca="false">IF(C168="BUY","IN",IF(C168="SELL","OUT",IF(G167="IN","IN","OUT")))</f>
        <v>OUT</v>
      </c>
      <c r="H168" s="14" t="n">
        <f aca="false">H167+IF(F168="",0,F168)</f>
        <v>-9.32499681878054</v>
      </c>
      <c r="I168" s="14" t="n">
        <f aca="false">MAX(I167,H168)</f>
        <v>4.59086078639746</v>
      </c>
      <c r="J168" s="14" t="n">
        <f aca="false">I168-H168</f>
        <v>13.915857605178</v>
      </c>
    </row>
    <row r="169" customFormat="false" ht="15" hidden="false" customHeight="false" outlineLevel="0" collapsed="false">
      <c r="A169" s="12" t="n">
        <f aca="false">Data!A169</f>
        <v>42248</v>
      </c>
      <c r="B169" s="14" t="n">
        <f aca="false">Data!B169</f>
        <v>45.41</v>
      </c>
      <c r="C169" s="0" t="str">
        <f aca="false">IF(Data!D169="","HOLD",IF(AND(G168&lt;&gt;"IN",Data!E169&lt;-5),"BUY",IF(AND(G168="IN",Data!E169&gt;0),"SELL","HOLD")))</f>
        <v>HOLD</v>
      </c>
      <c r="D169" s="14" t="str">
        <f aca="false">IF(C169="BUY",B169,IF(G168="IN",D168,""))</f>
        <v/>
      </c>
      <c r="E169" s="14" t="str">
        <f aca="false">IF(C169="SELL",B169,"")</f>
        <v/>
      </c>
      <c r="F169" s="14" t="str">
        <f aca="false">IF(E169="","",(E169-D169)/D169*100)</f>
        <v/>
      </c>
      <c r="G169" s="0" t="str">
        <f aca="false">IF(C169="BUY","IN",IF(C169="SELL","OUT",IF(G168="IN","IN","OUT")))</f>
        <v>OUT</v>
      </c>
      <c r="H169" s="14" t="n">
        <f aca="false">H168+IF(F169="",0,F169)</f>
        <v>-9.32499681878054</v>
      </c>
      <c r="I169" s="14" t="n">
        <f aca="false">MAX(I168,H169)</f>
        <v>4.59086078639746</v>
      </c>
      <c r="J169" s="14" t="n">
        <f aca="false">I169-H169</f>
        <v>13.915857605178</v>
      </c>
    </row>
    <row r="170" customFormat="false" ht="15" hidden="false" customHeight="false" outlineLevel="0" collapsed="false">
      <c r="A170" s="12" t="n">
        <f aca="false">Data!A170</f>
        <v>42249</v>
      </c>
      <c r="B170" s="14" t="n">
        <f aca="false">Data!B170</f>
        <v>46.25</v>
      </c>
      <c r="C170" s="0" t="str">
        <f aca="false">IF(Data!D170="","HOLD",IF(AND(G169&lt;&gt;"IN",Data!E170&lt;-5),"BUY",IF(AND(G169="IN",Data!E170&gt;0),"SELL","HOLD")))</f>
        <v>HOLD</v>
      </c>
      <c r="D170" s="14" t="str">
        <f aca="false">IF(C170="BUY",B170,IF(G169="IN",D169,""))</f>
        <v/>
      </c>
      <c r="E170" s="14" t="str">
        <f aca="false">IF(C170="SELL",B170,"")</f>
        <v/>
      </c>
      <c r="F170" s="14" t="str">
        <f aca="false">IF(E170="","",(E170-D170)/D170*100)</f>
        <v/>
      </c>
      <c r="G170" s="0" t="str">
        <f aca="false">IF(C170="BUY","IN",IF(C170="SELL","OUT",IF(G169="IN","IN","OUT")))</f>
        <v>OUT</v>
      </c>
      <c r="H170" s="14" t="n">
        <f aca="false">H169+IF(F170="",0,F170)</f>
        <v>-9.32499681878054</v>
      </c>
      <c r="I170" s="14" t="n">
        <f aca="false">MAX(I169,H170)</f>
        <v>4.59086078639746</v>
      </c>
      <c r="J170" s="14" t="n">
        <f aca="false">I170-H170</f>
        <v>13.915857605178</v>
      </c>
    </row>
    <row r="171" customFormat="false" ht="15" hidden="false" customHeight="false" outlineLevel="0" collapsed="false">
      <c r="A171" s="12" t="n">
        <f aca="false">Data!A171</f>
        <v>42250</v>
      </c>
      <c r="B171" s="14" t="n">
        <f aca="false">Data!B171</f>
        <v>46.75</v>
      </c>
      <c r="C171" s="0" t="str">
        <f aca="false">IF(Data!D171="","HOLD",IF(AND(G170&lt;&gt;"IN",Data!E171&lt;-5),"BUY",IF(AND(G170="IN",Data!E171&gt;0),"SELL","HOLD")))</f>
        <v>HOLD</v>
      </c>
      <c r="D171" s="14" t="str">
        <f aca="false">IF(C171="BUY",B171,IF(G170="IN",D170,""))</f>
        <v/>
      </c>
      <c r="E171" s="14" t="str">
        <f aca="false">IF(C171="SELL",B171,"")</f>
        <v/>
      </c>
      <c r="F171" s="14" t="str">
        <f aca="false">IF(E171="","",(E171-D171)/D171*100)</f>
        <v/>
      </c>
      <c r="G171" s="0" t="str">
        <f aca="false">IF(C171="BUY","IN",IF(C171="SELL","OUT",IF(G170="IN","IN","OUT")))</f>
        <v>OUT</v>
      </c>
      <c r="H171" s="14" t="n">
        <f aca="false">H170+IF(F171="",0,F171)</f>
        <v>-9.32499681878054</v>
      </c>
      <c r="I171" s="14" t="n">
        <f aca="false">MAX(I170,H171)</f>
        <v>4.59086078639746</v>
      </c>
      <c r="J171" s="14" t="n">
        <f aca="false">I171-H171</f>
        <v>13.915857605178</v>
      </c>
    </row>
    <row r="172" customFormat="false" ht="15" hidden="false" customHeight="false" outlineLevel="0" collapsed="false">
      <c r="A172" s="12" t="n">
        <f aca="false">Data!A172</f>
        <v>42251</v>
      </c>
      <c r="B172" s="14" t="n">
        <f aca="false">Data!B172</f>
        <v>46.05</v>
      </c>
      <c r="C172" s="0" t="str">
        <f aca="false">IF(Data!D172="","HOLD",IF(AND(G171&lt;&gt;"IN",Data!E172&lt;-5),"BUY",IF(AND(G171="IN",Data!E172&gt;0),"SELL","HOLD")))</f>
        <v>HOLD</v>
      </c>
      <c r="D172" s="14" t="str">
        <f aca="false">IF(C172="BUY",B172,IF(G171="IN",D171,""))</f>
        <v/>
      </c>
      <c r="E172" s="14" t="str">
        <f aca="false">IF(C172="SELL",B172,"")</f>
        <v/>
      </c>
      <c r="F172" s="14" t="str">
        <f aca="false">IF(E172="","",(E172-D172)/D172*100)</f>
        <v/>
      </c>
      <c r="G172" s="0" t="str">
        <f aca="false">IF(C172="BUY","IN",IF(C172="SELL","OUT",IF(G171="IN","IN","OUT")))</f>
        <v>OUT</v>
      </c>
      <c r="H172" s="14" t="n">
        <f aca="false">H171+IF(F172="",0,F172)</f>
        <v>-9.32499681878054</v>
      </c>
      <c r="I172" s="14" t="n">
        <f aca="false">MAX(I171,H172)</f>
        <v>4.59086078639746</v>
      </c>
      <c r="J172" s="14" t="n">
        <f aca="false">I172-H172</f>
        <v>13.915857605178</v>
      </c>
    </row>
    <row r="173" customFormat="false" ht="15" hidden="false" customHeight="false" outlineLevel="0" collapsed="false">
      <c r="A173" s="12" t="n">
        <f aca="false">Data!A173</f>
        <v>42255</v>
      </c>
      <c r="B173" s="14" t="n">
        <f aca="false">Data!B173</f>
        <v>45.94</v>
      </c>
      <c r="C173" s="0" t="str">
        <f aca="false">IF(Data!D173="","HOLD",IF(AND(G172&lt;&gt;"IN",Data!E173&lt;-5),"BUY",IF(AND(G172="IN",Data!E173&gt;0),"SELL","HOLD")))</f>
        <v>HOLD</v>
      </c>
      <c r="D173" s="14" t="str">
        <f aca="false">IF(C173="BUY",B173,IF(G172="IN",D172,""))</f>
        <v/>
      </c>
      <c r="E173" s="14" t="str">
        <f aca="false">IF(C173="SELL",B173,"")</f>
        <v/>
      </c>
      <c r="F173" s="14" t="str">
        <f aca="false">IF(E173="","",(E173-D173)/D173*100)</f>
        <v/>
      </c>
      <c r="G173" s="0" t="str">
        <f aca="false">IF(C173="BUY","IN",IF(C173="SELL","OUT",IF(G172="IN","IN","OUT")))</f>
        <v>OUT</v>
      </c>
      <c r="H173" s="14" t="n">
        <f aca="false">H172+IF(F173="",0,F173)</f>
        <v>-9.32499681878054</v>
      </c>
      <c r="I173" s="14" t="n">
        <f aca="false">MAX(I172,H173)</f>
        <v>4.59086078639746</v>
      </c>
      <c r="J173" s="14" t="n">
        <f aca="false">I173-H173</f>
        <v>13.915857605178</v>
      </c>
    </row>
    <row r="174" customFormat="false" ht="15" hidden="false" customHeight="false" outlineLevel="0" collapsed="false">
      <c r="A174" s="12" t="n">
        <f aca="false">Data!A174</f>
        <v>42256</v>
      </c>
      <c r="B174" s="14" t="n">
        <f aca="false">Data!B174</f>
        <v>44.15</v>
      </c>
      <c r="C174" s="0" t="str">
        <f aca="false">IF(Data!D174="","HOLD",IF(AND(G173&lt;&gt;"IN",Data!E174&lt;-5),"BUY",IF(AND(G173="IN",Data!E174&gt;0),"SELL","HOLD")))</f>
        <v>HOLD</v>
      </c>
      <c r="D174" s="14" t="str">
        <f aca="false">IF(C174="BUY",B174,IF(G173="IN",D173,""))</f>
        <v/>
      </c>
      <c r="E174" s="14" t="str">
        <f aca="false">IF(C174="SELL",B174,"")</f>
        <v/>
      </c>
      <c r="F174" s="14" t="str">
        <f aca="false">IF(E174="","",(E174-D174)/D174*100)</f>
        <v/>
      </c>
      <c r="G174" s="0" t="str">
        <f aca="false">IF(C174="BUY","IN",IF(C174="SELL","OUT",IF(G173="IN","IN","OUT")))</f>
        <v>OUT</v>
      </c>
      <c r="H174" s="14" t="n">
        <f aca="false">H173+IF(F174="",0,F174)</f>
        <v>-9.32499681878054</v>
      </c>
      <c r="I174" s="14" t="n">
        <f aca="false">MAX(I173,H174)</f>
        <v>4.59086078639746</v>
      </c>
      <c r="J174" s="14" t="n">
        <f aca="false">I174-H174</f>
        <v>13.915857605178</v>
      </c>
    </row>
    <row r="175" customFormat="false" ht="15" hidden="false" customHeight="false" outlineLevel="0" collapsed="false">
      <c r="A175" s="12" t="n">
        <f aca="false">Data!A175</f>
        <v>42257</v>
      </c>
      <c r="B175" s="14" t="n">
        <f aca="false">Data!B175</f>
        <v>45.92</v>
      </c>
      <c r="C175" s="0" t="str">
        <f aca="false">IF(Data!D175="","HOLD",IF(AND(G174&lt;&gt;"IN",Data!E175&lt;-5),"BUY",IF(AND(G174="IN",Data!E175&gt;0),"SELL","HOLD")))</f>
        <v>HOLD</v>
      </c>
      <c r="D175" s="14" t="str">
        <f aca="false">IF(C175="BUY",B175,IF(G174="IN",D174,""))</f>
        <v/>
      </c>
      <c r="E175" s="14" t="str">
        <f aca="false">IF(C175="SELL",B175,"")</f>
        <v/>
      </c>
      <c r="F175" s="14" t="str">
        <f aca="false">IF(E175="","",(E175-D175)/D175*100)</f>
        <v/>
      </c>
      <c r="G175" s="0" t="str">
        <f aca="false">IF(C175="BUY","IN",IF(C175="SELL","OUT",IF(G174="IN","IN","OUT")))</f>
        <v>OUT</v>
      </c>
      <c r="H175" s="14" t="n">
        <f aca="false">H174+IF(F175="",0,F175)</f>
        <v>-9.32499681878054</v>
      </c>
      <c r="I175" s="14" t="n">
        <f aca="false">MAX(I174,H175)</f>
        <v>4.59086078639746</v>
      </c>
      <c r="J175" s="14" t="n">
        <f aca="false">I175-H175</f>
        <v>13.915857605178</v>
      </c>
    </row>
    <row r="176" customFormat="false" ht="15" hidden="false" customHeight="false" outlineLevel="0" collapsed="false">
      <c r="A176" s="12" t="n">
        <f aca="false">Data!A176</f>
        <v>42258</v>
      </c>
      <c r="B176" s="14" t="n">
        <f aca="false">Data!B176</f>
        <v>44.63</v>
      </c>
      <c r="C176" s="0" t="str">
        <f aca="false">IF(Data!D176="","HOLD",IF(AND(G175&lt;&gt;"IN",Data!E176&lt;-5),"BUY",IF(AND(G175="IN",Data!E176&gt;0),"SELL","HOLD")))</f>
        <v>HOLD</v>
      </c>
      <c r="D176" s="14" t="str">
        <f aca="false">IF(C176="BUY",B176,IF(G175="IN",D175,""))</f>
        <v/>
      </c>
      <c r="E176" s="14" t="str">
        <f aca="false">IF(C176="SELL",B176,"")</f>
        <v/>
      </c>
      <c r="F176" s="14" t="str">
        <f aca="false">IF(E176="","",(E176-D176)/D176*100)</f>
        <v/>
      </c>
      <c r="G176" s="0" t="str">
        <f aca="false">IF(C176="BUY","IN",IF(C176="SELL","OUT",IF(G175="IN","IN","OUT")))</f>
        <v>OUT</v>
      </c>
      <c r="H176" s="14" t="n">
        <f aca="false">H175+IF(F176="",0,F176)</f>
        <v>-9.32499681878054</v>
      </c>
      <c r="I176" s="14" t="n">
        <f aca="false">MAX(I175,H176)</f>
        <v>4.59086078639746</v>
      </c>
      <c r="J176" s="14" t="n">
        <f aca="false">I176-H176</f>
        <v>13.915857605178</v>
      </c>
    </row>
    <row r="177" customFormat="false" ht="15" hidden="false" customHeight="false" outlineLevel="0" collapsed="false">
      <c r="A177" s="12" t="n">
        <f aca="false">Data!A177</f>
        <v>42261</v>
      </c>
      <c r="B177" s="14" t="n">
        <f aca="false">Data!B177</f>
        <v>44</v>
      </c>
      <c r="C177" s="0" t="str">
        <f aca="false">IF(Data!D177="","HOLD",IF(AND(G176&lt;&gt;"IN",Data!E177&lt;-5),"BUY",IF(AND(G176="IN",Data!E177&gt;0),"SELL","HOLD")))</f>
        <v>HOLD</v>
      </c>
      <c r="D177" s="14" t="str">
        <f aca="false">IF(C177="BUY",B177,IF(G176="IN",D176,""))</f>
        <v/>
      </c>
      <c r="E177" s="14" t="str">
        <f aca="false">IF(C177="SELL",B177,"")</f>
        <v/>
      </c>
      <c r="F177" s="14" t="str">
        <f aca="false">IF(E177="","",(E177-D177)/D177*100)</f>
        <v/>
      </c>
      <c r="G177" s="0" t="str">
        <f aca="false">IF(C177="BUY","IN",IF(C177="SELL","OUT",IF(G176="IN","IN","OUT")))</f>
        <v>OUT</v>
      </c>
      <c r="H177" s="14" t="n">
        <f aca="false">H176+IF(F177="",0,F177)</f>
        <v>-9.32499681878054</v>
      </c>
      <c r="I177" s="14" t="n">
        <f aca="false">MAX(I176,H177)</f>
        <v>4.59086078639746</v>
      </c>
      <c r="J177" s="14" t="n">
        <f aca="false">I177-H177</f>
        <v>13.915857605178</v>
      </c>
    </row>
    <row r="178" customFormat="false" ht="15" hidden="false" customHeight="false" outlineLevel="0" collapsed="false">
      <c r="A178" s="12" t="n">
        <f aca="false">Data!A178</f>
        <v>42262</v>
      </c>
      <c r="B178" s="14" t="n">
        <f aca="false">Data!B178</f>
        <v>44.59</v>
      </c>
      <c r="C178" s="0" t="str">
        <f aca="false">IF(Data!D178="","HOLD",IF(AND(G177&lt;&gt;"IN",Data!E178&lt;-5),"BUY",IF(AND(G177="IN",Data!E178&gt;0),"SELL","HOLD")))</f>
        <v>HOLD</v>
      </c>
      <c r="D178" s="14" t="str">
        <f aca="false">IF(C178="BUY",B178,IF(G177="IN",D177,""))</f>
        <v/>
      </c>
      <c r="E178" s="14" t="str">
        <f aca="false">IF(C178="SELL",B178,"")</f>
        <v/>
      </c>
      <c r="F178" s="14" t="str">
        <f aca="false">IF(E178="","",(E178-D178)/D178*100)</f>
        <v/>
      </c>
      <c r="G178" s="0" t="str">
        <f aca="false">IF(C178="BUY","IN",IF(C178="SELL","OUT",IF(G177="IN","IN","OUT")))</f>
        <v>OUT</v>
      </c>
      <c r="H178" s="14" t="n">
        <f aca="false">H177+IF(F178="",0,F178)</f>
        <v>-9.32499681878054</v>
      </c>
      <c r="I178" s="14" t="n">
        <f aca="false">MAX(I177,H178)</f>
        <v>4.59086078639746</v>
      </c>
      <c r="J178" s="14" t="n">
        <f aca="false">I178-H178</f>
        <v>13.915857605178</v>
      </c>
    </row>
    <row r="179" customFormat="false" ht="15" hidden="false" customHeight="false" outlineLevel="0" collapsed="false">
      <c r="A179" s="12" t="n">
        <f aca="false">Data!A179</f>
        <v>42263</v>
      </c>
      <c r="B179" s="14" t="n">
        <f aca="false">Data!B179</f>
        <v>47.15</v>
      </c>
      <c r="C179" s="0" t="str">
        <f aca="false">IF(Data!D179="","HOLD",IF(AND(G178&lt;&gt;"IN",Data!E179&lt;-5),"BUY",IF(AND(G178="IN",Data!E179&gt;0),"SELL","HOLD")))</f>
        <v>HOLD</v>
      </c>
      <c r="D179" s="14" t="str">
        <f aca="false">IF(C179="BUY",B179,IF(G178="IN",D178,""))</f>
        <v/>
      </c>
      <c r="E179" s="14" t="str">
        <f aca="false">IF(C179="SELL",B179,"")</f>
        <v/>
      </c>
      <c r="F179" s="14" t="str">
        <f aca="false">IF(E179="","",(E179-D179)/D179*100)</f>
        <v/>
      </c>
      <c r="G179" s="0" t="str">
        <f aca="false">IF(C179="BUY","IN",IF(C179="SELL","OUT",IF(G178="IN","IN","OUT")))</f>
        <v>OUT</v>
      </c>
      <c r="H179" s="14" t="n">
        <f aca="false">H178+IF(F179="",0,F179)</f>
        <v>-9.32499681878054</v>
      </c>
      <c r="I179" s="14" t="n">
        <f aca="false">MAX(I178,H179)</f>
        <v>4.59086078639746</v>
      </c>
      <c r="J179" s="14" t="n">
        <f aca="false">I179-H179</f>
        <v>13.915857605178</v>
      </c>
    </row>
    <row r="180" customFormat="false" ht="15" hidden="false" customHeight="false" outlineLevel="0" collapsed="false">
      <c r="A180" s="12" t="n">
        <f aca="false">Data!A180</f>
        <v>42264</v>
      </c>
      <c r="B180" s="14" t="n">
        <f aca="false">Data!B180</f>
        <v>46.9</v>
      </c>
      <c r="C180" s="0" t="str">
        <f aca="false">IF(Data!D180="","HOLD",IF(AND(G179&lt;&gt;"IN",Data!E180&lt;-5),"BUY",IF(AND(G179="IN",Data!E180&gt;0),"SELL","HOLD")))</f>
        <v>HOLD</v>
      </c>
      <c r="D180" s="14" t="str">
        <f aca="false">IF(C180="BUY",B180,IF(G179="IN",D179,""))</f>
        <v/>
      </c>
      <c r="E180" s="14" t="str">
        <f aca="false">IF(C180="SELL",B180,"")</f>
        <v/>
      </c>
      <c r="F180" s="14" t="str">
        <f aca="false">IF(E180="","",(E180-D180)/D180*100)</f>
        <v/>
      </c>
      <c r="G180" s="0" t="str">
        <f aca="false">IF(C180="BUY","IN",IF(C180="SELL","OUT",IF(G179="IN","IN","OUT")))</f>
        <v>OUT</v>
      </c>
      <c r="H180" s="14" t="n">
        <f aca="false">H179+IF(F180="",0,F180)</f>
        <v>-9.32499681878054</v>
      </c>
      <c r="I180" s="14" t="n">
        <f aca="false">MAX(I179,H180)</f>
        <v>4.59086078639746</v>
      </c>
      <c r="J180" s="14" t="n">
        <f aca="false">I180-H180</f>
        <v>13.915857605178</v>
      </c>
    </row>
    <row r="181" customFormat="false" ht="15" hidden="false" customHeight="false" outlineLevel="0" collapsed="false">
      <c r="A181" s="12" t="n">
        <f aca="false">Data!A181</f>
        <v>42265</v>
      </c>
      <c r="B181" s="14" t="n">
        <f aca="false">Data!B181</f>
        <v>44.68</v>
      </c>
      <c r="C181" s="0" t="str">
        <f aca="false">IF(Data!D181="","HOLD",IF(AND(G180&lt;&gt;"IN",Data!E181&lt;-5),"BUY",IF(AND(G180="IN",Data!E181&gt;0),"SELL","HOLD")))</f>
        <v>HOLD</v>
      </c>
      <c r="D181" s="14" t="str">
        <f aca="false">IF(C181="BUY",B181,IF(G180="IN",D180,""))</f>
        <v/>
      </c>
      <c r="E181" s="14" t="str">
        <f aca="false">IF(C181="SELL",B181,"")</f>
        <v/>
      </c>
      <c r="F181" s="14" t="str">
        <f aca="false">IF(E181="","",(E181-D181)/D181*100)</f>
        <v/>
      </c>
      <c r="G181" s="0" t="str">
        <f aca="false">IF(C181="BUY","IN",IF(C181="SELL","OUT",IF(G180="IN","IN","OUT")))</f>
        <v>OUT</v>
      </c>
      <c r="H181" s="14" t="n">
        <f aca="false">H180+IF(F181="",0,F181)</f>
        <v>-9.32499681878054</v>
      </c>
      <c r="I181" s="14" t="n">
        <f aca="false">MAX(I180,H181)</f>
        <v>4.59086078639746</v>
      </c>
      <c r="J181" s="14" t="n">
        <f aca="false">I181-H181</f>
        <v>13.915857605178</v>
      </c>
    </row>
    <row r="182" customFormat="false" ht="15" hidden="false" customHeight="false" outlineLevel="0" collapsed="false">
      <c r="A182" s="12" t="n">
        <f aca="false">Data!A182</f>
        <v>42268</v>
      </c>
      <c r="B182" s="14" t="n">
        <f aca="false">Data!B182</f>
        <v>46.68</v>
      </c>
      <c r="C182" s="0" t="str">
        <f aca="false">IF(Data!D182="","HOLD",IF(AND(G181&lt;&gt;"IN",Data!E182&lt;-5),"BUY",IF(AND(G181="IN",Data!E182&gt;0),"SELL","HOLD")))</f>
        <v>HOLD</v>
      </c>
      <c r="D182" s="14" t="str">
        <f aca="false">IF(C182="BUY",B182,IF(G181="IN",D181,""))</f>
        <v/>
      </c>
      <c r="E182" s="14" t="str">
        <f aca="false">IF(C182="SELL",B182,"")</f>
        <v/>
      </c>
      <c r="F182" s="14" t="str">
        <f aca="false">IF(E182="","",(E182-D182)/D182*100)</f>
        <v/>
      </c>
      <c r="G182" s="0" t="str">
        <f aca="false">IF(C182="BUY","IN",IF(C182="SELL","OUT",IF(G181="IN","IN","OUT")))</f>
        <v>OUT</v>
      </c>
      <c r="H182" s="14" t="n">
        <f aca="false">H181+IF(F182="",0,F182)</f>
        <v>-9.32499681878054</v>
      </c>
      <c r="I182" s="14" t="n">
        <f aca="false">MAX(I181,H182)</f>
        <v>4.59086078639746</v>
      </c>
      <c r="J182" s="14" t="n">
        <f aca="false">I182-H182</f>
        <v>13.915857605178</v>
      </c>
    </row>
    <row r="183" customFormat="false" ht="15" hidden="false" customHeight="false" outlineLevel="0" collapsed="false">
      <c r="A183" s="12" t="n">
        <f aca="false">Data!A183</f>
        <v>42269</v>
      </c>
      <c r="B183" s="14" t="n">
        <f aca="false">Data!B183</f>
        <v>45.83</v>
      </c>
      <c r="C183" s="0" t="str">
        <f aca="false">IF(Data!D183="","HOLD",IF(AND(G182&lt;&gt;"IN",Data!E183&lt;-5),"BUY",IF(AND(G182="IN",Data!E183&gt;0),"SELL","HOLD")))</f>
        <v>HOLD</v>
      </c>
      <c r="D183" s="14" t="str">
        <f aca="false">IF(C183="BUY",B183,IF(G182="IN",D182,""))</f>
        <v/>
      </c>
      <c r="E183" s="14" t="str">
        <f aca="false">IF(C183="SELL",B183,"")</f>
        <v/>
      </c>
      <c r="F183" s="14" t="str">
        <f aca="false">IF(E183="","",(E183-D183)/D183*100)</f>
        <v/>
      </c>
      <c r="G183" s="0" t="str">
        <f aca="false">IF(C183="BUY","IN",IF(C183="SELL","OUT",IF(G182="IN","IN","OUT")))</f>
        <v>OUT</v>
      </c>
      <c r="H183" s="14" t="n">
        <f aca="false">H182+IF(F183="",0,F183)</f>
        <v>-9.32499681878054</v>
      </c>
      <c r="I183" s="14" t="n">
        <f aca="false">MAX(I182,H183)</f>
        <v>4.59086078639746</v>
      </c>
      <c r="J183" s="14" t="n">
        <f aca="false">I183-H183</f>
        <v>13.915857605178</v>
      </c>
    </row>
    <row r="184" customFormat="false" ht="15" hidden="false" customHeight="false" outlineLevel="0" collapsed="false">
      <c r="A184" s="12" t="n">
        <f aca="false">Data!A184</f>
        <v>42270</v>
      </c>
      <c r="B184" s="14" t="n">
        <f aca="false">Data!B184</f>
        <v>44.48</v>
      </c>
      <c r="C184" s="0" t="str">
        <f aca="false">IF(Data!D184="","HOLD",IF(AND(G183&lt;&gt;"IN",Data!E184&lt;-5),"BUY",IF(AND(G183="IN",Data!E184&gt;0),"SELL","HOLD")))</f>
        <v>HOLD</v>
      </c>
      <c r="D184" s="14" t="str">
        <f aca="false">IF(C184="BUY",B184,IF(G183="IN",D183,""))</f>
        <v/>
      </c>
      <c r="E184" s="14" t="str">
        <f aca="false">IF(C184="SELL",B184,"")</f>
        <v/>
      </c>
      <c r="F184" s="14" t="str">
        <f aca="false">IF(E184="","",(E184-D184)/D184*100)</f>
        <v/>
      </c>
      <c r="G184" s="0" t="str">
        <f aca="false">IF(C184="BUY","IN",IF(C184="SELL","OUT",IF(G183="IN","IN","OUT")))</f>
        <v>OUT</v>
      </c>
      <c r="H184" s="14" t="n">
        <f aca="false">H183+IF(F184="",0,F184)</f>
        <v>-9.32499681878054</v>
      </c>
      <c r="I184" s="14" t="n">
        <f aca="false">MAX(I183,H184)</f>
        <v>4.59086078639746</v>
      </c>
      <c r="J184" s="14" t="n">
        <f aca="false">I184-H184</f>
        <v>13.915857605178</v>
      </c>
    </row>
    <row r="185" customFormat="false" ht="15" hidden="false" customHeight="false" outlineLevel="0" collapsed="false">
      <c r="A185" s="12" t="n">
        <f aca="false">Data!A185</f>
        <v>42271</v>
      </c>
      <c r="B185" s="14" t="n">
        <f aca="false">Data!B185</f>
        <v>44.91</v>
      </c>
      <c r="C185" s="0" t="str">
        <f aca="false">IF(Data!D185="","HOLD",IF(AND(G184&lt;&gt;"IN",Data!E185&lt;-5),"BUY",IF(AND(G184="IN",Data!E185&gt;0),"SELL","HOLD")))</f>
        <v>HOLD</v>
      </c>
      <c r="D185" s="14" t="str">
        <f aca="false">IF(C185="BUY",B185,IF(G184="IN",D184,""))</f>
        <v/>
      </c>
      <c r="E185" s="14" t="str">
        <f aca="false">IF(C185="SELL",B185,"")</f>
        <v/>
      </c>
      <c r="F185" s="14" t="str">
        <f aca="false">IF(E185="","",(E185-D185)/D185*100)</f>
        <v/>
      </c>
      <c r="G185" s="0" t="str">
        <f aca="false">IF(C185="BUY","IN",IF(C185="SELL","OUT",IF(G184="IN","IN","OUT")))</f>
        <v>OUT</v>
      </c>
      <c r="H185" s="14" t="n">
        <f aca="false">H184+IF(F185="",0,F185)</f>
        <v>-9.32499681878054</v>
      </c>
      <c r="I185" s="14" t="n">
        <f aca="false">MAX(I184,H185)</f>
        <v>4.59086078639746</v>
      </c>
      <c r="J185" s="14" t="n">
        <f aca="false">I185-H185</f>
        <v>13.915857605178</v>
      </c>
    </row>
    <row r="186" customFormat="false" ht="15" hidden="false" customHeight="false" outlineLevel="0" collapsed="false">
      <c r="A186" s="12" t="n">
        <f aca="false">Data!A186</f>
        <v>42272</v>
      </c>
      <c r="B186" s="14" t="n">
        <f aca="false">Data!B186</f>
        <v>45.7</v>
      </c>
      <c r="C186" s="0" t="str">
        <f aca="false">IF(Data!D186="","HOLD",IF(AND(G185&lt;&gt;"IN",Data!E186&lt;-5),"BUY",IF(AND(G185="IN",Data!E186&gt;0),"SELL","HOLD")))</f>
        <v>HOLD</v>
      </c>
      <c r="D186" s="14" t="str">
        <f aca="false">IF(C186="BUY",B186,IF(G185="IN",D185,""))</f>
        <v/>
      </c>
      <c r="E186" s="14" t="str">
        <f aca="false">IF(C186="SELL",B186,"")</f>
        <v/>
      </c>
      <c r="F186" s="14" t="str">
        <f aca="false">IF(E186="","",(E186-D186)/D186*100)</f>
        <v/>
      </c>
      <c r="G186" s="0" t="str">
        <f aca="false">IF(C186="BUY","IN",IF(C186="SELL","OUT",IF(G185="IN","IN","OUT")))</f>
        <v>OUT</v>
      </c>
      <c r="H186" s="14" t="n">
        <f aca="false">H185+IF(F186="",0,F186)</f>
        <v>-9.32499681878054</v>
      </c>
      <c r="I186" s="14" t="n">
        <f aca="false">MAX(I185,H186)</f>
        <v>4.59086078639746</v>
      </c>
      <c r="J186" s="14" t="n">
        <f aca="false">I186-H186</f>
        <v>13.915857605178</v>
      </c>
    </row>
    <row r="187" customFormat="false" ht="15" hidden="false" customHeight="false" outlineLevel="0" collapsed="false">
      <c r="A187" s="12" t="n">
        <f aca="false">Data!A187</f>
        <v>42275</v>
      </c>
      <c r="B187" s="14" t="n">
        <f aca="false">Data!B187</f>
        <v>44.43</v>
      </c>
      <c r="C187" s="0" t="str">
        <f aca="false">IF(Data!D187="","HOLD",IF(AND(G186&lt;&gt;"IN",Data!E187&lt;-5),"BUY",IF(AND(G186="IN",Data!E187&gt;0),"SELL","HOLD")))</f>
        <v>HOLD</v>
      </c>
      <c r="D187" s="14" t="str">
        <f aca="false">IF(C187="BUY",B187,IF(G186="IN",D186,""))</f>
        <v/>
      </c>
      <c r="E187" s="14" t="str">
        <f aca="false">IF(C187="SELL",B187,"")</f>
        <v/>
      </c>
      <c r="F187" s="14" t="str">
        <f aca="false">IF(E187="","",(E187-D187)/D187*100)</f>
        <v/>
      </c>
      <c r="G187" s="0" t="str">
        <f aca="false">IF(C187="BUY","IN",IF(C187="SELL","OUT",IF(G186="IN","IN","OUT")))</f>
        <v>OUT</v>
      </c>
      <c r="H187" s="14" t="n">
        <f aca="false">H186+IF(F187="",0,F187)</f>
        <v>-9.32499681878054</v>
      </c>
      <c r="I187" s="14" t="n">
        <f aca="false">MAX(I186,H187)</f>
        <v>4.59086078639746</v>
      </c>
      <c r="J187" s="14" t="n">
        <f aca="false">I187-H187</f>
        <v>13.915857605178</v>
      </c>
    </row>
    <row r="188" customFormat="false" ht="15" hidden="false" customHeight="false" outlineLevel="0" collapsed="false">
      <c r="A188" s="12" t="n">
        <f aca="false">Data!A188</f>
        <v>42276</v>
      </c>
      <c r="B188" s="14" t="n">
        <f aca="false">Data!B188</f>
        <v>45.23</v>
      </c>
      <c r="C188" s="0" t="str">
        <f aca="false">IF(Data!D188="","HOLD",IF(AND(G187&lt;&gt;"IN",Data!E188&lt;-5),"BUY",IF(AND(G187="IN",Data!E188&gt;0),"SELL","HOLD")))</f>
        <v>HOLD</v>
      </c>
      <c r="D188" s="14" t="str">
        <f aca="false">IF(C188="BUY",B188,IF(G187="IN",D187,""))</f>
        <v/>
      </c>
      <c r="E188" s="14" t="str">
        <f aca="false">IF(C188="SELL",B188,"")</f>
        <v/>
      </c>
      <c r="F188" s="14" t="str">
        <f aca="false">IF(E188="","",(E188-D188)/D188*100)</f>
        <v/>
      </c>
      <c r="G188" s="0" t="str">
        <f aca="false">IF(C188="BUY","IN",IF(C188="SELL","OUT",IF(G187="IN","IN","OUT")))</f>
        <v>OUT</v>
      </c>
      <c r="H188" s="14" t="n">
        <f aca="false">H187+IF(F188="",0,F188)</f>
        <v>-9.32499681878054</v>
      </c>
      <c r="I188" s="14" t="n">
        <f aca="false">MAX(I187,H188)</f>
        <v>4.59086078639746</v>
      </c>
      <c r="J188" s="14" t="n">
        <f aca="false">I188-H188</f>
        <v>13.915857605178</v>
      </c>
    </row>
    <row r="189" customFormat="false" ht="15" hidden="false" customHeight="false" outlineLevel="0" collapsed="false">
      <c r="A189" s="12" t="n">
        <f aca="false">Data!A189</f>
        <v>42277</v>
      </c>
      <c r="B189" s="14" t="n">
        <f aca="false">Data!B189</f>
        <v>45.09</v>
      </c>
      <c r="C189" s="0" t="str">
        <f aca="false">IF(Data!D189="","HOLD",IF(AND(G188&lt;&gt;"IN",Data!E189&lt;-5),"BUY",IF(AND(G188="IN",Data!E189&gt;0),"SELL","HOLD")))</f>
        <v>HOLD</v>
      </c>
      <c r="D189" s="14" t="str">
        <f aca="false">IF(C189="BUY",B189,IF(G188="IN",D188,""))</f>
        <v/>
      </c>
      <c r="E189" s="14" t="str">
        <f aca="false">IF(C189="SELL",B189,"")</f>
        <v/>
      </c>
      <c r="F189" s="14" t="str">
        <f aca="false">IF(E189="","",(E189-D189)/D189*100)</f>
        <v/>
      </c>
      <c r="G189" s="0" t="str">
        <f aca="false">IF(C189="BUY","IN",IF(C189="SELL","OUT",IF(G188="IN","IN","OUT")))</f>
        <v>OUT</v>
      </c>
      <c r="H189" s="14" t="n">
        <f aca="false">H188+IF(F189="",0,F189)</f>
        <v>-9.32499681878054</v>
      </c>
      <c r="I189" s="14" t="n">
        <f aca="false">MAX(I188,H189)</f>
        <v>4.59086078639746</v>
      </c>
      <c r="J189" s="14" t="n">
        <f aca="false">I189-H189</f>
        <v>13.915857605178</v>
      </c>
    </row>
    <row r="190" customFormat="false" ht="15" hidden="false" customHeight="false" outlineLevel="0" collapsed="false">
      <c r="A190" s="12" t="n">
        <f aca="false">Data!A190</f>
        <v>42278</v>
      </c>
      <c r="B190" s="14" t="n">
        <f aca="false">Data!B190</f>
        <v>44.74</v>
      </c>
      <c r="C190" s="0" t="str">
        <f aca="false">IF(Data!D190="","HOLD",IF(AND(G189&lt;&gt;"IN",Data!E190&lt;-5),"BUY",IF(AND(G189="IN",Data!E190&gt;0),"SELL","HOLD")))</f>
        <v>HOLD</v>
      </c>
      <c r="D190" s="14" t="str">
        <f aca="false">IF(C190="BUY",B190,IF(G189="IN",D189,""))</f>
        <v/>
      </c>
      <c r="E190" s="14" t="str">
        <f aca="false">IF(C190="SELL",B190,"")</f>
        <v/>
      </c>
      <c r="F190" s="14" t="str">
        <f aca="false">IF(E190="","",(E190-D190)/D190*100)</f>
        <v/>
      </c>
      <c r="G190" s="0" t="str">
        <f aca="false">IF(C190="BUY","IN",IF(C190="SELL","OUT",IF(G189="IN","IN","OUT")))</f>
        <v>OUT</v>
      </c>
      <c r="H190" s="14" t="n">
        <f aca="false">H189+IF(F190="",0,F190)</f>
        <v>-9.32499681878054</v>
      </c>
      <c r="I190" s="14" t="n">
        <f aca="false">MAX(I189,H190)</f>
        <v>4.59086078639746</v>
      </c>
      <c r="J190" s="14" t="n">
        <f aca="false">I190-H190</f>
        <v>13.915857605178</v>
      </c>
    </row>
    <row r="191" customFormat="false" ht="15" hidden="false" customHeight="false" outlineLevel="0" collapsed="false">
      <c r="A191" s="12" t="n">
        <f aca="false">Data!A191</f>
        <v>42279</v>
      </c>
      <c r="B191" s="14" t="n">
        <f aca="false">Data!B191</f>
        <v>45.54</v>
      </c>
      <c r="C191" s="0" t="str">
        <f aca="false">IF(Data!D191="","HOLD",IF(AND(G190&lt;&gt;"IN",Data!E191&lt;-5),"BUY",IF(AND(G190="IN",Data!E191&gt;0),"SELL","HOLD")))</f>
        <v>HOLD</v>
      </c>
      <c r="D191" s="14" t="str">
        <f aca="false">IF(C191="BUY",B191,IF(G190="IN",D190,""))</f>
        <v/>
      </c>
      <c r="E191" s="14" t="str">
        <f aca="false">IF(C191="SELL",B191,"")</f>
        <v/>
      </c>
      <c r="F191" s="14" t="str">
        <f aca="false">IF(E191="","",(E191-D191)/D191*100)</f>
        <v/>
      </c>
      <c r="G191" s="0" t="str">
        <f aca="false">IF(C191="BUY","IN",IF(C191="SELL","OUT",IF(G190="IN","IN","OUT")))</f>
        <v>OUT</v>
      </c>
      <c r="H191" s="14" t="n">
        <f aca="false">H190+IF(F191="",0,F191)</f>
        <v>-9.32499681878054</v>
      </c>
      <c r="I191" s="14" t="n">
        <f aca="false">MAX(I190,H191)</f>
        <v>4.59086078639746</v>
      </c>
      <c r="J191" s="14" t="n">
        <f aca="false">I191-H191</f>
        <v>13.915857605178</v>
      </c>
    </row>
    <row r="192" customFormat="false" ht="15" hidden="false" customHeight="false" outlineLevel="0" collapsed="false">
      <c r="A192" s="12" t="n">
        <f aca="false">Data!A192</f>
        <v>42282</v>
      </c>
      <c r="B192" s="14" t="n">
        <f aca="false">Data!B192</f>
        <v>46.26</v>
      </c>
      <c r="C192" s="0" t="str">
        <f aca="false">IF(Data!D192="","HOLD",IF(AND(G191&lt;&gt;"IN",Data!E192&lt;-5),"BUY",IF(AND(G191="IN",Data!E192&gt;0),"SELL","HOLD")))</f>
        <v>HOLD</v>
      </c>
      <c r="D192" s="14" t="str">
        <f aca="false">IF(C192="BUY",B192,IF(G191="IN",D191,""))</f>
        <v/>
      </c>
      <c r="E192" s="14" t="str">
        <f aca="false">IF(C192="SELL",B192,"")</f>
        <v/>
      </c>
      <c r="F192" s="14" t="str">
        <f aca="false">IF(E192="","",(E192-D192)/D192*100)</f>
        <v/>
      </c>
      <c r="G192" s="0" t="str">
        <f aca="false">IF(C192="BUY","IN",IF(C192="SELL","OUT",IF(G191="IN","IN","OUT")))</f>
        <v>OUT</v>
      </c>
      <c r="H192" s="14" t="n">
        <f aca="false">H191+IF(F192="",0,F192)</f>
        <v>-9.32499681878054</v>
      </c>
      <c r="I192" s="14" t="n">
        <f aca="false">MAX(I191,H192)</f>
        <v>4.59086078639746</v>
      </c>
      <c r="J192" s="14" t="n">
        <f aca="false">I192-H192</f>
        <v>13.915857605178</v>
      </c>
    </row>
    <row r="193" customFormat="false" ht="15" hidden="false" customHeight="false" outlineLevel="0" collapsed="false">
      <c r="A193" s="12" t="n">
        <f aca="false">Data!A193</f>
        <v>42283</v>
      </c>
      <c r="B193" s="14" t="n">
        <f aca="false">Data!B193</f>
        <v>48.53</v>
      </c>
      <c r="C193" s="0" t="str">
        <f aca="false">IF(Data!D193="","HOLD",IF(AND(G192&lt;&gt;"IN",Data!E193&lt;-5),"BUY",IF(AND(G192="IN",Data!E193&gt;0),"SELL","HOLD")))</f>
        <v>HOLD</v>
      </c>
      <c r="D193" s="14" t="str">
        <f aca="false">IF(C193="BUY",B193,IF(G192="IN",D192,""))</f>
        <v/>
      </c>
      <c r="E193" s="14" t="str">
        <f aca="false">IF(C193="SELL",B193,"")</f>
        <v/>
      </c>
      <c r="F193" s="14" t="str">
        <f aca="false">IF(E193="","",(E193-D193)/D193*100)</f>
        <v/>
      </c>
      <c r="G193" s="0" t="str">
        <f aca="false">IF(C193="BUY","IN",IF(C193="SELL","OUT",IF(G192="IN","IN","OUT")))</f>
        <v>OUT</v>
      </c>
      <c r="H193" s="14" t="n">
        <f aca="false">H192+IF(F193="",0,F193)</f>
        <v>-9.32499681878054</v>
      </c>
      <c r="I193" s="14" t="n">
        <f aca="false">MAX(I192,H193)</f>
        <v>4.59086078639746</v>
      </c>
      <c r="J193" s="14" t="n">
        <f aca="false">I193-H193</f>
        <v>13.915857605178</v>
      </c>
    </row>
    <row r="194" customFormat="false" ht="15" hidden="false" customHeight="false" outlineLevel="0" collapsed="false">
      <c r="A194" s="12" t="n">
        <f aca="false">Data!A194</f>
        <v>42284</v>
      </c>
      <c r="B194" s="14" t="n">
        <f aca="false">Data!B194</f>
        <v>47.81</v>
      </c>
      <c r="C194" s="0" t="str">
        <f aca="false">IF(Data!D194="","HOLD",IF(AND(G193&lt;&gt;"IN",Data!E194&lt;-5),"BUY",IF(AND(G193="IN",Data!E194&gt;0),"SELL","HOLD")))</f>
        <v>HOLD</v>
      </c>
      <c r="D194" s="14" t="str">
        <f aca="false">IF(C194="BUY",B194,IF(G193="IN",D193,""))</f>
        <v/>
      </c>
      <c r="E194" s="14" t="str">
        <f aca="false">IF(C194="SELL",B194,"")</f>
        <v/>
      </c>
      <c r="F194" s="14" t="str">
        <f aca="false">IF(E194="","",(E194-D194)/D194*100)</f>
        <v/>
      </c>
      <c r="G194" s="0" t="str">
        <f aca="false">IF(C194="BUY","IN",IF(C194="SELL","OUT",IF(G193="IN","IN","OUT")))</f>
        <v>OUT</v>
      </c>
      <c r="H194" s="14" t="n">
        <f aca="false">H193+IF(F194="",0,F194)</f>
        <v>-9.32499681878054</v>
      </c>
      <c r="I194" s="14" t="n">
        <f aca="false">MAX(I193,H194)</f>
        <v>4.59086078639746</v>
      </c>
      <c r="J194" s="14" t="n">
        <f aca="false">I194-H194</f>
        <v>13.915857605178</v>
      </c>
    </row>
    <row r="195" customFormat="false" ht="15" hidden="false" customHeight="false" outlineLevel="0" collapsed="false">
      <c r="A195" s="12" t="n">
        <f aca="false">Data!A195</f>
        <v>42285</v>
      </c>
      <c r="B195" s="14" t="n">
        <f aca="false">Data!B195</f>
        <v>49.43</v>
      </c>
      <c r="C195" s="0" t="str">
        <f aca="false">IF(Data!D195="","HOLD",IF(AND(G194&lt;&gt;"IN",Data!E195&lt;-5),"BUY",IF(AND(G194="IN",Data!E195&gt;0),"SELL","HOLD")))</f>
        <v>HOLD</v>
      </c>
      <c r="D195" s="14" t="str">
        <f aca="false">IF(C195="BUY",B195,IF(G194="IN",D194,""))</f>
        <v/>
      </c>
      <c r="E195" s="14" t="str">
        <f aca="false">IF(C195="SELL",B195,"")</f>
        <v/>
      </c>
      <c r="F195" s="14" t="str">
        <f aca="false">IF(E195="","",(E195-D195)/D195*100)</f>
        <v/>
      </c>
      <c r="G195" s="0" t="str">
        <f aca="false">IF(C195="BUY","IN",IF(C195="SELL","OUT",IF(G194="IN","IN","OUT")))</f>
        <v>OUT</v>
      </c>
      <c r="H195" s="14" t="n">
        <f aca="false">H194+IF(F195="",0,F195)</f>
        <v>-9.32499681878054</v>
      </c>
      <c r="I195" s="14" t="n">
        <f aca="false">MAX(I194,H195)</f>
        <v>4.59086078639746</v>
      </c>
      <c r="J195" s="14" t="n">
        <f aca="false">I195-H195</f>
        <v>13.915857605178</v>
      </c>
    </row>
    <row r="196" customFormat="false" ht="15" hidden="false" customHeight="false" outlineLevel="0" collapsed="false">
      <c r="A196" s="12" t="n">
        <f aca="false">Data!A196</f>
        <v>42286</v>
      </c>
      <c r="B196" s="14" t="n">
        <f aca="false">Data!B196</f>
        <v>49.63</v>
      </c>
      <c r="C196" s="0" t="str">
        <f aca="false">IF(Data!D196="","HOLD",IF(AND(G195&lt;&gt;"IN",Data!E196&lt;-5),"BUY",IF(AND(G195="IN",Data!E196&gt;0),"SELL","HOLD")))</f>
        <v>HOLD</v>
      </c>
      <c r="D196" s="14" t="str">
        <f aca="false">IF(C196="BUY",B196,IF(G195="IN",D195,""))</f>
        <v/>
      </c>
      <c r="E196" s="14" t="str">
        <f aca="false">IF(C196="SELL",B196,"")</f>
        <v/>
      </c>
      <c r="F196" s="14" t="str">
        <f aca="false">IF(E196="","",(E196-D196)/D196*100)</f>
        <v/>
      </c>
      <c r="G196" s="0" t="str">
        <f aca="false">IF(C196="BUY","IN",IF(C196="SELL","OUT",IF(G195="IN","IN","OUT")))</f>
        <v>OUT</v>
      </c>
      <c r="H196" s="14" t="n">
        <f aca="false">H195+IF(F196="",0,F196)</f>
        <v>-9.32499681878054</v>
      </c>
      <c r="I196" s="14" t="n">
        <f aca="false">MAX(I195,H196)</f>
        <v>4.59086078639746</v>
      </c>
      <c r="J196" s="14" t="n">
        <f aca="false">I196-H196</f>
        <v>13.915857605178</v>
      </c>
    </row>
    <row r="197" customFormat="false" ht="15" hidden="false" customHeight="false" outlineLevel="0" collapsed="false">
      <c r="A197" s="12" t="n">
        <f aca="false">Data!A197</f>
        <v>42289</v>
      </c>
      <c r="B197" s="14" t="n">
        <f aca="false">Data!B197</f>
        <v>47.1</v>
      </c>
      <c r="C197" s="0" t="str">
        <f aca="false">IF(Data!D197="","HOLD",IF(AND(G196&lt;&gt;"IN",Data!E197&lt;-5),"BUY",IF(AND(G196="IN",Data!E197&gt;0),"SELL","HOLD")))</f>
        <v>HOLD</v>
      </c>
      <c r="D197" s="14" t="str">
        <f aca="false">IF(C197="BUY",B197,IF(G196="IN",D196,""))</f>
        <v/>
      </c>
      <c r="E197" s="14" t="str">
        <f aca="false">IF(C197="SELL",B197,"")</f>
        <v/>
      </c>
      <c r="F197" s="14" t="str">
        <f aca="false">IF(E197="","",(E197-D197)/D197*100)</f>
        <v/>
      </c>
      <c r="G197" s="0" t="str">
        <f aca="false">IF(C197="BUY","IN",IF(C197="SELL","OUT",IF(G196="IN","IN","OUT")))</f>
        <v>OUT</v>
      </c>
      <c r="H197" s="14" t="n">
        <f aca="false">H196+IF(F197="",0,F197)</f>
        <v>-9.32499681878054</v>
      </c>
      <c r="I197" s="14" t="n">
        <f aca="false">MAX(I196,H197)</f>
        <v>4.59086078639746</v>
      </c>
      <c r="J197" s="14" t="n">
        <f aca="false">I197-H197</f>
        <v>13.915857605178</v>
      </c>
    </row>
    <row r="198" customFormat="false" ht="15" hidden="false" customHeight="false" outlineLevel="0" collapsed="false">
      <c r="A198" s="12" t="n">
        <f aca="false">Data!A198</f>
        <v>42290</v>
      </c>
      <c r="B198" s="14" t="n">
        <f aca="false">Data!B198</f>
        <v>46.66</v>
      </c>
      <c r="C198" s="0" t="str">
        <f aca="false">IF(Data!D198="","HOLD",IF(AND(G197&lt;&gt;"IN",Data!E198&lt;-5),"BUY",IF(AND(G197="IN",Data!E198&gt;0),"SELL","HOLD")))</f>
        <v>HOLD</v>
      </c>
      <c r="D198" s="14" t="str">
        <f aca="false">IF(C198="BUY",B198,IF(G197="IN",D197,""))</f>
        <v/>
      </c>
      <c r="E198" s="14" t="str">
        <f aca="false">IF(C198="SELL",B198,"")</f>
        <v/>
      </c>
      <c r="F198" s="14" t="str">
        <f aca="false">IF(E198="","",(E198-D198)/D198*100)</f>
        <v/>
      </c>
      <c r="G198" s="0" t="str">
        <f aca="false">IF(C198="BUY","IN",IF(C198="SELL","OUT",IF(G197="IN","IN","OUT")))</f>
        <v>OUT</v>
      </c>
      <c r="H198" s="14" t="n">
        <f aca="false">H197+IF(F198="",0,F198)</f>
        <v>-9.32499681878054</v>
      </c>
      <c r="I198" s="14" t="n">
        <f aca="false">MAX(I197,H198)</f>
        <v>4.59086078639746</v>
      </c>
      <c r="J198" s="14" t="n">
        <f aca="false">I198-H198</f>
        <v>13.915857605178</v>
      </c>
    </row>
    <row r="199" customFormat="false" ht="15" hidden="false" customHeight="false" outlineLevel="0" collapsed="false">
      <c r="A199" s="12" t="n">
        <f aca="false">Data!A199</f>
        <v>42291</v>
      </c>
      <c r="B199" s="14" t="n">
        <f aca="false">Data!B199</f>
        <v>46.64</v>
      </c>
      <c r="C199" s="0" t="str">
        <f aca="false">IF(Data!D199="","HOLD",IF(AND(G198&lt;&gt;"IN",Data!E199&lt;-5),"BUY",IF(AND(G198="IN",Data!E199&gt;0),"SELL","HOLD")))</f>
        <v>HOLD</v>
      </c>
      <c r="D199" s="14" t="str">
        <f aca="false">IF(C199="BUY",B199,IF(G198="IN",D198,""))</f>
        <v/>
      </c>
      <c r="E199" s="14" t="str">
        <f aca="false">IF(C199="SELL",B199,"")</f>
        <v/>
      </c>
      <c r="F199" s="14" t="str">
        <f aca="false">IF(E199="","",(E199-D199)/D199*100)</f>
        <v/>
      </c>
      <c r="G199" s="0" t="str">
        <f aca="false">IF(C199="BUY","IN",IF(C199="SELL","OUT",IF(G198="IN","IN","OUT")))</f>
        <v>OUT</v>
      </c>
      <c r="H199" s="14" t="n">
        <f aca="false">H198+IF(F199="",0,F199)</f>
        <v>-9.32499681878054</v>
      </c>
      <c r="I199" s="14" t="n">
        <f aca="false">MAX(I198,H199)</f>
        <v>4.59086078639746</v>
      </c>
      <c r="J199" s="14" t="n">
        <f aca="false">I199-H199</f>
        <v>13.915857605178</v>
      </c>
    </row>
    <row r="200" customFormat="false" ht="15" hidden="false" customHeight="false" outlineLevel="0" collapsed="false">
      <c r="A200" s="12" t="n">
        <f aca="false">Data!A200</f>
        <v>42292</v>
      </c>
      <c r="B200" s="14" t="n">
        <f aca="false">Data!B200</f>
        <v>46.38</v>
      </c>
      <c r="C200" s="0" t="str">
        <f aca="false">IF(Data!D200="","HOLD",IF(AND(G199&lt;&gt;"IN",Data!E200&lt;-5),"BUY",IF(AND(G199="IN",Data!E200&gt;0),"SELL","HOLD")))</f>
        <v>HOLD</v>
      </c>
      <c r="D200" s="14" t="str">
        <f aca="false">IF(C200="BUY",B200,IF(G199="IN",D199,""))</f>
        <v/>
      </c>
      <c r="E200" s="14" t="str">
        <f aca="false">IF(C200="SELL",B200,"")</f>
        <v/>
      </c>
      <c r="F200" s="14" t="str">
        <f aca="false">IF(E200="","",(E200-D200)/D200*100)</f>
        <v/>
      </c>
      <c r="G200" s="0" t="str">
        <f aca="false">IF(C200="BUY","IN",IF(C200="SELL","OUT",IF(G199="IN","IN","OUT")))</f>
        <v>OUT</v>
      </c>
      <c r="H200" s="14" t="n">
        <f aca="false">H199+IF(F200="",0,F200)</f>
        <v>-9.32499681878054</v>
      </c>
      <c r="I200" s="14" t="n">
        <f aca="false">MAX(I199,H200)</f>
        <v>4.59086078639746</v>
      </c>
      <c r="J200" s="14" t="n">
        <f aca="false">I200-H200</f>
        <v>13.915857605178</v>
      </c>
    </row>
    <row r="201" customFormat="false" ht="15" hidden="false" customHeight="false" outlineLevel="0" collapsed="false">
      <c r="A201" s="12" t="n">
        <f aca="false">Data!A201</f>
        <v>42293</v>
      </c>
      <c r="B201" s="14" t="n">
        <f aca="false">Data!B201</f>
        <v>47.26</v>
      </c>
      <c r="C201" s="0" t="str">
        <f aca="false">IF(Data!D201="","HOLD",IF(AND(G200&lt;&gt;"IN",Data!E201&lt;-5),"BUY",IF(AND(G200="IN",Data!E201&gt;0),"SELL","HOLD")))</f>
        <v>HOLD</v>
      </c>
      <c r="D201" s="14" t="str">
        <f aca="false">IF(C201="BUY",B201,IF(G200="IN",D200,""))</f>
        <v/>
      </c>
      <c r="E201" s="14" t="str">
        <f aca="false">IF(C201="SELL",B201,"")</f>
        <v/>
      </c>
      <c r="F201" s="14" t="str">
        <f aca="false">IF(E201="","",(E201-D201)/D201*100)</f>
        <v/>
      </c>
      <c r="G201" s="0" t="str">
        <f aca="false">IF(C201="BUY","IN",IF(C201="SELL","OUT",IF(G200="IN","IN","OUT")))</f>
        <v>OUT</v>
      </c>
      <c r="H201" s="14" t="n">
        <f aca="false">H200+IF(F201="",0,F201)</f>
        <v>-9.32499681878054</v>
      </c>
      <c r="I201" s="14" t="n">
        <f aca="false">MAX(I200,H201)</f>
        <v>4.59086078639746</v>
      </c>
      <c r="J201" s="14" t="n">
        <f aca="false">I201-H201</f>
        <v>13.915857605178</v>
      </c>
    </row>
    <row r="202" customFormat="false" ht="15" hidden="false" customHeight="false" outlineLevel="0" collapsed="false">
      <c r="A202" s="12" t="n">
        <f aca="false">Data!A202</f>
        <v>42296</v>
      </c>
      <c r="B202" s="14" t="n">
        <f aca="false">Data!B202</f>
        <v>45.89</v>
      </c>
      <c r="C202" s="0" t="str">
        <f aca="false">IF(Data!D202="","HOLD",IF(AND(G201&lt;&gt;"IN",Data!E202&lt;-5),"BUY",IF(AND(G201="IN",Data!E202&gt;0),"SELL","HOLD")))</f>
        <v>HOLD</v>
      </c>
      <c r="D202" s="14" t="str">
        <f aca="false">IF(C202="BUY",B202,IF(G201="IN",D201,""))</f>
        <v/>
      </c>
      <c r="E202" s="14" t="str">
        <f aca="false">IF(C202="SELL",B202,"")</f>
        <v/>
      </c>
      <c r="F202" s="14" t="str">
        <f aca="false">IF(E202="","",(E202-D202)/D202*100)</f>
        <v/>
      </c>
      <c r="G202" s="0" t="str">
        <f aca="false">IF(C202="BUY","IN",IF(C202="SELL","OUT",IF(G201="IN","IN","OUT")))</f>
        <v>OUT</v>
      </c>
      <c r="H202" s="14" t="n">
        <f aca="false">H201+IF(F202="",0,F202)</f>
        <v>-9.32499681878054</v>
      </c>
      <c r="I202" s="14" t="n">
        <f aca="false">MAX(I201,H202)</f>
        <v>4.59086078639746</v>
      </c>
      <c r="J202" s="14" t="n">
        <f aca="false">I202-H202</f>
        <v>13.915857605178</v>
      </c>
    </row>
    <row r="203" customFormat="false" ht="15" hidden="false" customHeight="false" outlineLevel="0" collapsed="false">
      <c r="A203" s="12" t="n">
        <f aca="false">Data!A203</f>
        <v>42297</v>
      </c>
      <c r="B203" s="14" t="n">
        <f aca="false">Data!B203</f>
        <v>45.55</v>
      </c>
      <c r="C203" s="0" t="str">
        <f aca="false">IF(Data!D203="","HOLD",IF(AND(G202&lt;&gt;"IN",Data!E203&lt;-5),"BUY",IF(AND(G202="IN",Data!E203&gt;0),"SELL","HOLD")))</f>
        <v>HOLD</v>
      </c>
      <c r="D203" s="14" t="str">
        <f aca="false">IF(C203="BUY",B203,IF(G202="IN",D202,""))</f>
        <v/>
      </c>
      <c r="E203" s="14" t="str">
        <f aca="false">IF(C203="SELL",B203,"")</f>
        <v/>
      </c>
      <c r="F203" s="14" t="str">
        <f aca="false">IF(E203="","",(E203-D203)/D203*100)</f>
        <v/>
      </c>
      <c r="G203" s="0" t="str">
        <f aca="false">IF(C203="BUY","IN",IF(C203="SELL","OUT",IF(G202="IN","IN","OUT")))</f>
        <v>OUT</v>
      </c>
      <c r="H203" s="14" t="n">
        <f aca="false">H202+IF(F203="",0,F203)</f>
        <v>-9.32499681878054</v>
      </c>
      <c r="I203" s="14" t="n">
        <f aca="false">MAX(I202,H203)</f>
        <v>4.59086078639746</v>
      </c>
      <c r="J203" s="14" t="n">
        <f aca="false">I203-H203</f>
        <v>13.915857605178</v>
      </c>
    </row>
    <row r="204" customFormat="false" ht="15" hidden="false" customHeight="false" outlineLevel="0" collapsed="false">
      <c r="A204" s="12" t="n">
        <f aca="false">Data!A204</f>
        <v>42298</v>
      </c>
      <c r="B204" s="14" t="n">
        <f aca="false">Data!B204</f>
        <v>45.2</v>
      </c>
      <c r="C204" s="0" t="str">
        <f aca="false">IF(Data!D204="","HOLD",IF(AND(G203&lt;&gt;"IN",Data!E204&lt;-5),"BUY",IF(AND(G203="IN",Data!E204&gt;0),"SELL","HOLD")))</f>
        <v>HOLD</v>
      </c>
      <c r="D204" s="14" t="str">
        <f aca="false">IF(C204="BUY",B204,IF(G203="IN",D203,""))</f>
        <v/>
      </c>
      <c r="E204" s="14" t="str">
        <f aca="false">IF(C204="SELL",B204,"")</f>
        <v/>
      </c>
      <c r="F204" s="14" t="str">
        <f aca="false">IF(E204="","",(E204-D204)/D204*100)</f>
        <v/>
      </c>
      <c r="G204" s="0" t="str">
        <f aca="false">IF(C204="BUY","IN",IF(C204="SELL","OUT",IF(G203="IN","IN","OUT")))</f>
        <v>OUT</v>
      </c>
      <c r="H204" s="14" t="n">
        <f aca="false">H203+IF(F204="",0,F204)</f>
        <v>-9.32499681878054</v>
      </c>
      <c r="I204" s="14" t="n">
        <f aca="false">MAX(I203,H204)</f>
        <v>4.59086078639746</v>
      </c>
      <c r="J204" s="14" t="n">
        <f aca="false">I204-H204</f>
        <v>13.915857605178</v>
      </c>
    </row>
    <row r="205" customFormat="false" ht="15" hidden="false" customHeight="false" outlineLevel="0" collapsed="false">
      <c r="A205" s="12" t="n">
        <f aca="false">Data!A205</f>
        <v>42299</v>
      </c>
      <c r="B205" s="14" t="n">
        <f aca="false">Data!B205</f>
        <v>45.38</v>
      </c>
      <c r="C205" s="0" t="str">
        <f aca="false">IF(Data!D205="","HOLD",IF(AND(G204&lt;&gt;"IN",Data!E205&lt;-5),"BUY",IF(AND(G204="IN",Data!E205&gt;0),"SELL","HOLD")))</f>
        <v>HOLD</v>
      </c>
      <c r="D205" s="14" t="str">
        <f aca="false">IF(C205="BUY",B205,IF(G204="IN",D204,""))</f>
        <v/>
      </c>
      <c r="E205" s="14" t="str">
        <f aca="false">IF(C205="SELL",B205,"")</f>
        <v/>
      </c>
      <c r="F205" s="14" t="str">
        <f aca="false">IF(E205="","",(E205-D205)/D205*100)</f>
        <v/>
      </c>
      <c r="G205" s="0" t="str">
        <f aca="false">IF(C205="BUY","IN",IF(C205="SELL","OUT",IF(G204="IN","IN","OUT")))</f>
        <v>OUT</v>
      </c>
      <c r="H205" s="14" t="n">
        <f aca="false">H204+IF(F205="",0,F205)</f>
        <v>-9.32499681878054</v>
      </c>
      <c r="I205" s="14" t="n">
        <f aca="false">MAX(I204,H205)</f>
        <v>4.59086078639746</v>
      </c>
      <c r="J205" s="14" t="n">
        <f aca="false">I205-H205</f>
        <v>13.915857605178</v>
      </c>
    </row>
    <row r="206" customFormat="false" ht="15" hidden="false" customHeight="false" outlineLevel="0" collapsed="false">
      <c r="A206" s="12" t="n">
        <f aca="false">Data!A206</f>
        <v>42300</v>
      </c>
      <c r="B206" s="14" t="n">
        <f aca="false">Data!B206</f>
        <v>44.6</v>
      </c>
      <c r="C206" s="0" t="str">
        <f aca="false">IF(Data!D206="","HOLD",IF(AND(G205&lt;&gt;"IN",Data!E206&lt;-5),"BUY",IF(AND(G205="IN",Data!E206&gt;0),"SELL","HOLD")))</f>
        <v>HOLD</v>
      </c>
      <c r="D206" s="14" t="str">
        <f aca="false">IF(C206="BUY",B206,IF(G205="IN",D205,""))</f>
        <v/>
      </c>
      <c r="E206" s="14" t="str">
        <f aca="false">IF(C206="SELL",B206,"")</f>
        <v/>
      </c>
      <c r="F206" s="14" t="str">
        <f aca="false">IF(E206="","",(E206-D206)/D206*100)</f>
        <v/>
      </c>
      <c r="G206" s="0" t="str">
        <f aca="false">IF(C206="BUY","IN",IF(C206="SELL","OUT",IF(G205="IN","IN","OUT")))</f>
        <v>OUT</v>
      </c>
      <c r="H206" s="14" t="n">
        <f aca="false">H205+IF(F206="",0,F206)</f>
        <v>-9.32499681878054</v>
      </c>
      <c r="I206" s="14" t="n">
        <f aca="false">MAX(I205,H206)</f>
        <v>4.59086078639746</v>
      </c>
      <c r="J206" s="14" t="n">
        <f aca="false">I206-H206</f>
        <v>13.915857605178</v>
      </c>
    </row>
    <row r="207" customFormat="false" ht="15" hidden="false" customHeight="false" outlineLevel="0" collapsed="false">
      <c r="A207" s="12" t="n">
        <f aca="false">Data!A207</f>
        <v>42303</v>
      </c>
      <c r="B207" s="14" t="n">
        <f aca="false">Data!B207</f>
        <v>43.98</v>
      </c>
      <c r="C207" s="0" t="str">
        <f aca="false">IF(Data!D207="","HOLD",IF(AND(G206&lt;&gt;"IN",Data!E207&lt;-5),"BUY",IF(AND(G206="IN",Data!E207&gt;0),"SELL","HOLD")))</f>
        <v>BUY</v>
      </c>
      <c r="D207" s="14" t="n">
        <f aca="false">IF(C207="BUY",B207,IF(G206="IN",D206,""))</f>
        <v>43.98</v>
      </c>
      <c r="E207" s="14" t="str">
        <f aca="false">IF(C207="SELL",B207,"")</f>
        <v/>
      </c>
      <c r="F207" s="14" t="str">
        <f aca="false">IF(E207="","",(E207-D207)/D207*100)</f>
        <v/>
      </c>
      <c r="G207" s="0" t="str">
        <f aca="false">IF(C207="BUY","IN",IF(C207="SELL","OUT",IF(G206="IN","IN","OUT")))</f>
        <v>IN</v>
      </c>
      <c r="H207" s="14" t="n">
        <f aca="false">H206+IF(F207="",0,F207)</f>
        <v>-9.32499681878054</v>
      </c>
      <c r="I207" s="14" t="n">
        <f aca="false">MAX(I206,H207)</f>
        <v>4.59086078639746</v>
      </c>
      <c r="J207" s="14" t="n">
        <f aca="false">I207-H207</f>
        <v>13.915857605178</v>
      </c>
    </row>
    <row r="208" customFormat="false" ht="15" hidden="false" customHeight="false" outlineLevel="0" collapsed="false">
      <c r="A208" s="12" t="n">
        <f aca="false">Data!A208</f>
        <v>42304</v>
      </c>
      <c r="B208" s="14" t="n">
        <f aca="false">Data!B208</f>
        <v>43.2</v>
      </c>
      <c r="C208" s="0" t="str">
        <f aca="false">IF(Data!D208="","HOLD",IF(AND(G207&lt;&gt;"IN",Data!E208&lt;-5),"BUY",IF(AND(G207="IN",Data!E208&gt;0),"SELL","HOLD")))</f>
        <v>HOLD</v>
      </c>
      <c r="D208" s="14" t="n">
        <f aca="false">IF(C208="BUY",B208,IF(G207="IN",D207,""))</f>
        <v>43.98</v>
      </c>
      <c r="E208" s="14" t="str">
        <f aca="false">IF(C208="SELL",B208,"")</f>
        <v/>
      </c>
      <c r="F208" s="14" t="str">
        <f aca="false">IF(E208="","",(E208-D208)/D208*100)</f>
        <v/>
      </c>
      <c r="G208" s="0" t="str">
        <f aca="false">IF(C208="BUY","IN",IF(C208="SELL","OUT",IF(G207="IN","IN","OUT")))</f>
        <v>IN</v>
      </c>
      <c r="H208" s="14" t="n">
        <f aca="false">H207+IF(F208="",0,F208)</f>
        <v>-9.32499681878054</v>
      </c>
      <c r="I208" s="14" t="n">
        <f aca="false">MAX(I207,H208)</f>
        <v>4.59086078639746</v>
      </c>
      <c r="J208" s="14" t="n">
        <f aca="false">I208-H208</f>
        <v>13.915857605178</v>
      </c>
    </row>
    <row r="209" customFormat="false" ht="15" hidden="false" customHeight="false" outlineLevel="0" collapsed="false">
      <c r="A209" s="12" t="n">
        <f aca="false">Data!A209</f>
        <v>42305</v>
      </c>
      <c r="B209" s="14" t="n">
        <f aca="false">Data!B209</f>
        <v>45.94</v>
      </c>
      <c r="C209" s="0" t="str">
        <f aca="false">IF(Data!D209="","HOLD",IF(AND(G208&lt;&gt;"IN",Data!E209&lt;-5),"BUY",IF(AND(G208="IN",Data!E209&gt;0),"SELL","HOLD")))</f>
        <v>HOLD</v>
      </c>
      <c r="D209" s="14" t="n">
        <f aca="false">IF(C209="BUY",B209,IF(G208="IN",D208,""))</f>
        <v>43.98</v>
      </c>
      <c r="E209" s="14" t="str">
        <f aca="false">IF(C209="SELL",B209,"")</f>
        <v/>
      </c>
      <c r="F209" s="14" t="str">
        <f aca="false">IF(E209="","",(E209-D209)/D209*100)</f>
        <v/>
      </c>
      <c r="G209" s="0" t="str">
        <f aca="false">IF(C209="BUY","IN",IF(C209="SELL","OUT",IF(G208="IN","IN","OUT")))</f>
        <v>IN</v>
      </c>
      <c r="H209" s="14" t="n">
        <f aca="false">H208+IF(F209="",0,F209)</f>
        <v>-9.32499681878054</v>
      </c>
      <c r="I209" s="14" t="n">
        <f aca="false">MAX(I208,H209)</f>
        <v>4.59086078639746</v>
      </c>
      <c r="J209" s="14" t="n">
        <f aca="false">I209-H209</f>
        <v>13.915857605178</v>
      </c>
    </row>
    <row r="210" customFormat="false" ht="15" hidden="false" customHeight="false" outlineLevel="0" collapsed="false">
      <c r="A210" s="12" t="n">
        <f aca="false">Data!A210</f>
        <v>42306</v>
      </c>
      <c r="B210" s="14" t="n">
        <f aca="false">Data!B210</f>
        <v>46.06</v>
      </c>
      <c r="C210" s="0" t="str">
        <f aca="false">IF(Data!D210="","HOLD",IF(AND(G209&lt;&gt;"IN",Data!E210&lt;-5),"BUY",IF(AND(G209="IN",Data!E210&gt;0),"SELL","HOLD")))</f>
        <v>HOLD</v>
      </c>
      <c r="D210" s="14" t="n">
        <f aca="false">IF(C210="BUY",B210,IF(G209="IN",D209,""))</f>
        <v>43.98</v>
      </c>
      <c r="E210" s="14" t="str">
        <f aca="false">IF(C210="SELL",B210,"")</f>
        <v/>
      </c>
      <c r="F210" s="14" t="str">
        <f aca="false">IF(E210="","",(E210-D210)/D210*100)</f>
        <v/>
      </c>
      <c r="G210" s="0" t="str">
        <f aca="false">IF(C210="BUY","IN",IF(C210="SELL","OUT",IF(G209="IN","IN","OUT")))</f>
        <v>IN</v>
      </c>
      <c r="H210" s="14" t="n">
        <f aca="false">H209+IF(F210="",0,F210)</f>
        <v>-9.32499681878054</v>
      </c>
      <c r="I210" s="14" t="n">
        <f aca="false">MAX(I209,H210)</f>
        <v>4.59086078639746</v>
      </c>
      <c r="J210" s="14" t="n">
        <f aca="false">I210-H210</f>
        <v>13.915857605178</v>
      </c>
    </row>
    <row r="211" customFormat="false" ht="15" hidden="false" customHeight="false" outlineLevel="0" collapsed="false">
      <c r="A211" s="12" t="n">
        <f aca="false">Data!A211</f>
        <v>42307</v>
      </c>
      <c r="B211" s="14" t="n">
        <f aca="false">Data!B211</f>
        <v>46.59</v>
      </c>
      <c r="C211" s="0" t="str">
        <f aca="false">IF(Data!D211="","HOLD",IF(AND(G210&lt;&gt;"IN",Data!E211&lt;-5),"BUY",IF(AND(G210="IN",Data!E211&gt;0),"SELL","HOLD")))</f>
        <v>SELL</v>
      </c>
      <c r="D211" s="14" t="n">
        <f aca="false">IF(C211="BUY",B211,IF(G210="IN",D210,""))</f>
        <v>43.98</v>
      </c>
      <c r="E211" s="14" t="n">
        <f aca="false">IF(C211="SELL",B211,"")</f>
        <v>46.59</v>
      </c>
      <c r="F211" s="14" t="n">
        <f aca="false">IF(E211="","",(E211-D211)/D211*100)</f>
        <v>5.93451568894954</v>
      </c>
      <c r="G211" s="0" t="str">
        <f aca="false">IF(C211="BUY","IN",IF(C211="SELL","OUT",IF(G210="IN","IN","OUT")))</f>
        <v>OUT</v>
      </c>
      <c r="H211" s="14" t="n">
        <f aca="false">H210+IF(F211="",0,F211)</f>
        <v>-3.390481129831</v>
      </c>
      <c r="I211" s="14" t="n">
        <f aca="false">MAX(I210,H211)</f>
        <v>4.59086078639746</v>
      </c>
      <c r="J211" s="14" t="n">
        <f aca="false">I211-H211</f>
        <v>7.98134191622846</v>
      </c>
    </row>
    <row r="212" customFormat="false" ht="15" hidden="false" customHeight="false" outlineLevel="0" collapsed="false">
      <c r="A212" s="12" t="n">
        <f aca="false">Data!A212</f>
        <v>42310</v>
      </c>
      <c r="B212" s="14" t="n">
        <f aca="false">Data!B212</f>
        <v>46.14</v>
      </c>
      <c r="C212" s="0" t="str">
        <f aca="false">IF(Data!D212="","HOLD",IF(AND(G211&lt;&gt;"IN",Data!E212&lt;-5),"BUY",IF(AND(G211="IN",Data!E212&gt;0),"SELL","HOLD")))</f>
        <v>HOLD</v>
      </c>
      <c r="D212" s="14" t="str">
        <f aca="false">IF(C212="BUY",B212,IF(G211="IN",D211,""))</f>
        <v/>
      </c>
      <c r="E212" s="14" t="str">
        <f aca="false">IF(C212="SELL",B212,"")</f>
        <v/>
      </c>
      <c r="F212" s="14" t="str">
        <f aca="false">IF(E212="","",(E212-D212)/D212*100)</f>
        <v/>
      </c>
      <c r="G212" s="0" t="str">
        <f aca="false">IF(C212="BUY","IN",IF(C212="SELL","OUT",IF(G211="IN","IN","OUT")))</f>
        <v>OUT</v>
      </c>
      <c r="H212" s="14" t="n">
        <f aca="false">H211+IF(F212="",0,F212)</f>
        <v>-3.390481129831</v>
      </c>
      <c r="I212" s="14" t="n">
        <f aca="false">MAX(I211,H212)</f>
        <v>4.59086078639746</v>
      </c>
      <c r="J212" s="14" t="n">
        <f aca="false">I212-H212</f>
        <v>7.98134191622846</v>
      </c>
    </row>
    <row r="213" customFormat="false" ht="15" hidden="false" customHeight="false" outlineLevel="0" collapsed="false">
      <c r="A213" s="12" t="n">
        <f aca="false">Data!A213</f>
        <v>42311</v>
      </c>
      <c r="B213" s="14" t="n">
        <f aca="false">Data!B213</f>
        <v>47.9</v>
      </c>
      <c r="C213" s="0" t="str">
        <f aca="false">IF(Data!D213="","HOLD",IF(AND(G212&lt;&gt;"IN",Data!E213&lt;-5),"BUY",IF(AND(G212="IN",Data!E213&gt;0),"SELL","HOLD")))</f>
        <v>HOLD</v>
      </c>
      <c r="D213" s="14" t="str">
        <f aca="false">IF(C213="BUY",B213,IF(G212="IN",D212,""))</f>
        <v/>
      </c>
      <c r="E213" s="14" t="str">
        <f aca="false">IF(C213="SELL",B213,"")</f>
        <v/>
      </c>
      <c r="F213" s="14" t="str">
        <f aca="false">IF(E213="","",(E213-D213)/D213*100)</f>
        <v/>
      </c>
      <c r="G213" s="0" t="str">
        <f aca="false">IF(C213="BUY","IN",IF(C213="SELL","OUT",IF(G212="IN","IN","OUT")))</f>
        <v>OUT</v>
      </c>
      <c r="H213" s="14" t="n">
        <f aca="false">H212+IF(F213="",0,F213)</f>
        <v>-3.390481129831</v>
      </c>
      <c r="I213" s="14" t="n">
        <f aca="false">MAX(I212,H213)</f>
        <v>4.59086078639746</v>
      </c>
      <c r="J213" s="14" t="n">
        <f aca="false">I213-H213</f>
        <v>7.98134191622846</v>
      </c>
    </row>
    <row r="214" customFormat="false" ht="15" hidden="false" customHeight="false" outlineLevel="0" collapsed="false">
      <c r="A214" s="12" t="n">
        <f aca="false">Data!A214</f>
        <v>42312</v>
      </c>
      <c r="B214" s="14" t="n">
        <f aca="false">Data!B214</f>
        <v>46.32</v>
      </c>
      <c r="C214" s="0" t="str">
        <f aca="false">IF(Data!D214="","HOLD",IF(AND(G213&lt;&gt;"IN",Data!E214&lt;-5),"BUY",IF(AND(G213="IN",Data!E214&gt;0),"SELL","HOLD")))</f>
        <v>HOLD</v>
      </c>
      <c r="D214" s="14" t="str">
        <f aca="false">IF(C214="BUY",B214,IF(G213="IN",D213,""))</f>
        <v/>
      </c>
      <c r="E214" s="14" t="str">
        <f aca="false">IF(C214="SELL",B214,"")</f>
        <v/>
      </c>
      <c r="F214" s="14" t="str">
        <f aca="false">IF(E214="","",(E214-D214)/D214*100)</f>
        <v/>
      </c>
      <c r="G214" s="0" t="str">
        <f aca="false">IF(C214="BUY","IN",IF(C214="SELL","OUT",IF(G213="IN","IN","OUT")))</f>
        <v>OUT</v>
      </c>
      <c r="H214" s="14" t="n">
        <f aca="false">H213+IF(F214="",0,F214)</f>
        <v>-3.390481129831</v>
      </c>
      <c r="I214" s="14" t="n">
        <f aca="false">MAX(I213,H214)</f>
        <v>4.59086078639746</v>
      </c>
      <c r="J214" s="14" t="n">
        <f aca="false">I214-H214</f>
        <v>7.98134191622846</v>
      </c>
    </row>
    <row r="215" customFormat="false" ht="15" hidden="false" customHeight="false" outlineLevel="0" collapsed="false">
      <c r="A215" s="12" t="n">
        <f aca="false">Data!A215</f>
        <v>42313</v>
      </c>
      <c r="B215" s="14" t="n">
        <f aca="false">Data!B215</f>
        <v>45.2</v>
      </c>
      <c r="C215" s="0" t="str">
        <f aca="false">IF(Data!D215="","HOLD",IF(AND(G214&lt;&gt;"IN",Data!E215&lt;-5),"BUY",IF(AND(G214="IN",Data!E215&gt;0),"SELL","HOLD")))</f>
        <v>HOLD</v>
      </c>
      <c r="D215" s="14" t="str">
        <f aca="false">IF(C215="BUY",B215,IF(G214="IN",D214,""))</f>
        <v/>
      </c>
      <c r="E215" s="14" t="str">
        <f aca="false">IF(C215="SELL",B215,"")</f>
        <v/>
      </c>
      <c r="F215" s="14" t="str">
        <f aca="false">IF(E215="","",(E215-D215)/D215*100)</f>
        <v/>
      </c>
      <c r="G215" s="0" t="str">
        <f aca="false">IF(C215="BUY","IN",IF(C215="SELL","OUT",IF(G214="IN","IN","OUT")))</f>
        <v>OUT</v>
      </c>
      <c r="H215" s="14" t="n">
        <f aca="false">H214+IF(F215="",0,F215)</f>
        <v>-3.390481129831</v>
      </c>
      <c r="I215" s="14" t="n">
        <f aca="false">MAX(I214,H215)</f>
        <v>4.59086078639746</v>
      </c>
      <c r="J215" s="14" t="n">
        <f aca="false">I215-H215</f>
        <v>7.98134191622846</v>
      </c>
    </row>
    <row r="216" customFormat="false" ht="15" hidden="false" customHeight="false" outlineLevel="0" collapsed="false">
      <c r="A216" s="12" t="n">
        <f aca="false">Data!A216</f>
        <v>42314</v>
      </c>
      <c r="B216" s="14" t="n">
        <f aca="false">Data!B216</f>
        <v>44.29</v>
      </c>
      <c r="C216" s="0" t="str">
        <f aca="false">IF(Data!D216="","HOLD",IF(AND(G215&lt;&gt;"IN",Data!E216&lt;-5),"BUY",IF(AND(G215="IN",Data!E216&gt;0),"SELL","HOLD")))</f>
        <v>HOLD</v>
      </c>
      <c r="D216" s="14" t="str">
        <f aca="false">IF(C216="BUY",B216,IF(G215="IN",D215,""))</f>
        <v/>
      </c>
      <c r="E216" s="14" t="str">
        <f aca="false">IF(C216="SELL",B216,"")</f>
        <v/>
      </c>
      <c r="F216" s="14" t="str">
        <f aca="false">IF(E216="","",(E216-D216)/D216*100)</f>
        <v/>
      </c>
      <c r="G216" s="0" t="str">
        <f aca="false">IF(C216="BUY","IN",IF(C216="SELL","OUT",IF(G215="IN","IN","OUT")))</f>
        <v>OUT</v>
      </c>
      <c r="H216" s="14" t="n">
        <f aca="false">H215+IF(F216="",0,F216)</f>
        <v>-3.390481129831</v>
      </c>
      <c r="I216" s="14" t="n">
        <f aca="false">MAX(I215,H216)</f>
        <v>4.59086078639746</v>
      </c>
      <c r="J216" s="14" t="n">
        <f aca="false">I216-H216</f>
        <v>7.98134191622846</v>
      </c>
    </row>
    <row r="217" customFormat="false" ht="15" hidden="false" customHeight="false" outlineLevel="0" collapsed="false">
      <c r="A217" s="12" t="n">
        <f aca="false">Data!A217</f>
        <v>42317</v>
      </c>
      <c r="B217" s="14" t="n">
        <f aca="false">Data!B217</f>
        <v>43.87</v>
      </c>
      <c r="C217" s="0" t="str">
        <f aca="false">IF(Data!D217="","HOLD",IF(AND(G216&lt;&gt;"IN",Data!E217&lt;-5),"BUY",IF(AND(G216="IN",Data!E217&gt;0),"SELL","HOLD")))</f>
        <v>HOLD</v>
      </c>
      <c r="D217" s="14" t="str">
        <f aca="false">IF(C217="BUY",B217,IF(G216="IN",D216,""))</f>
        <v/>
      </c>
      <c r="E217" s="14" t="str">
        <f aca="false">IF(C217="SELL",B217,"")</f>
        <v/>
      </c>
      <c r="F217" s="14" t="str">
        <f aca="false">IF(E217="","",(E217-D217)/D217*100)</f>
        <v/>
      </c>
      <c r="G217" s="0" t="str">
        <f aca="false">IF(C217="BUY","IN",IF(C217="SELL","OUT",IF(G216="IN","IN","OUT")))</f>
        <v>OUT</v>
      </c>
      <c r="H217" s="14" t="n">
        <f aca="false">H216+IF(F217="",0,F217)</f>
        <v>-3.390481129831</v>
      </c>
      <c r="I217" s="14" t="n">
        <f aca="false">MAX(I216,H217)</f>
        <v>4.59086078639746</v>
      </c>
      <c r="J217" s="14" t="n">
        <f aca="false">I217-H217</f>
        <v>7.98134191622846</v>
      </c>
    </row>
    <row r="218" customFormat="false" ht="15" hidden="false" customHeight="false" outlineLevel="0" collapsed="false">
      <c r="A218" s="12" t="n">
        <f aca="false">Data!A218</f>
        <v>42318</v>
      </c>
      <c r="B218" s="14" t="n">
        <f aca="false">Data!B218</f>
        <v>44.21</v>
      </c>
      <c r="C218" s="0" t="str">
        <f aca="false">IF(Data!D218="","HOLD",IF(AND(G217&lt;&gt;"IN",Data!E218&lt;-5),"BUY",IF(AND(G217="IN",Data!E218&gt;0),"SELL","HOLD")))</f>
        <v>HOLD</v>
      </c>
      <c r="D218" s="14" t="str">
        <f aca="false">IF(C218="BUY",B218,IF(G217="IN",D217,""))</f>
        <v/>
      </c>
      <c r="E218" s="14" t="str">
        <f aca="false">IF(C218="SELL",B218,"")</f>
        <v/>
      </c>
      <c r="F218" s="14" t="str">
        <f aca="false">IF(E218="","",(E218-D218)/D218*100)</f>
        <v/>
      </c>
      <c r="G218" s="0" t="str">
        <f aca="false">IF(C218="BUY","IN",IF(C218="SELL","OUT",IF(G217="IN","IN","OUT")))</f>
        <v>OUT</v>
      </c>
      <c r="H218" s="14" t="n">
        <f aca="false">H217+IF(F218="",0,F218)</f>
        <v>-3.390481129831</v>
      </c>
      <c r="I218" s="14" t="n">
        <f aca="false">MAX(I217,H218)</f>
        <v>4.59086078639746</v>
      </c>
      <c r="J218" s="14" t="n">
        <f aca="false">I218-H218</f>
        <v>7.98134191622846</v>
      </c>
    </row>
    <row r="219" customFormat="false" ht="15" hidden="false" customHeight="false" outlineLevel="0" collapsed="false">
      <c r="A219" s="12" t="n">
        <f aca="false">Data!A219</f>
        <v>42319</v>
      </c>
      <c r="B219" s="14" t="n">
        <f aca="false">Data!B219</f>
        <v>42.93</v>
      </c>
      <c r="C219" s="0" t="str">
        <f aca="false">IF(Data!D219="","HOLD",IF(AND(G218&lt;&gt;"IN",Data!E219&lt;-5),"BUY",IF(AND(G218="IN",Data!E219&gt;0),"SELL","HOLD")))</f>
        <v>BUY</v>
      </c>
      <c r="D219" s="14" t="n">
        <f aca="false">IF(C219="BUY",B219,IF(G218="IN",D218,""))</f>
        <v>42.93</v>
      </c>
      <c r="E219" s="14" t="str">
        <f aca="false">IF(C219="SELL",B219,"")</f>
        <v/>
      </c>
      <c r="F219" s="14" t="str">
        <f aca="false">IF(E219="","",(E219-D219)/D219*100)</f>
        <v/>
      </c>
      <c r="G219" s="0" t="str">
        <f aca="false">IF(C219="BUY","IN",IF(C219="SELL","OUT",IF(G218="IN","IN","OUT")))</f>
        <v>IN</v>
      </c>
      <c r="H219" s="14" t="n">
        <f aca="false">H218+IF(F219="",0,F219)</f>
        <v>-3.390481129831</v>
      </c>
      <c r="I219" s="14" t="n">
        <f aca="false">MAX(I218,H219)</f>
        <v>4.59086078639746</v>
      </c>
      <c r="J219" s="14" t="n">
        <f aca="false">I219-H219</f>
        <v>7.98134191622846</v>
      </c>
    </row>
    <row r="220" customFormat="false" ht="15" hidden="false" customHeight="false" outlineLevel="0" collapsed="false">
      <c r="A220" s="12" t="n">
        <f aca="false">Data!A220</f>
        <v>42320</v>
      </c>
      <c r="B220" s="14" t="n">
        <f aca="false">Data!B220</f>
        <v>41.75</v>
      </c>
      <c r="C220" s="0" t="str">
        <f aca="false">IF(Data!D220="","HOLD",IF(AND(G219&lt;&gt;"IN",Data!E220&lt;-5),"BUY",IF(AND(G219="IN",Data!E220&gt;0),"SELL","HOLD")))</f>
        <v>HOLD</v>
      </c>
      <c r="D220" s="14" t="n">
        <f aca="false">IF(C220="BUY",B220,IF(G219="IN",D219,""))</f>
        <v>42.93</v>
      </c>
      <c r="E220" s="14" t="str">
        <f aca="false">IF(C220="SELL",B220,"")</f>
        <v/>
      </c>
      <c r="F220" s="14" t="str">
        <f aca="false">IF(E220="","",(E220-D220)/D220*100)</f>
        <v/>
      </c>
      <c r="G220" s="0" t="str">
        <f aca="false">IF(C220="BUY","IN",IF(C220="SELL","OUT",IF(G219="IN","IN","OUT")))</f>
        <v>IN</v>
      </c>
      <c r="H220" s="14" t="n">
        <f aca="false">H219+IF(F220="",0,F220)</f>
        <v>-3.390481129831</v>
      </c>
      <c r="I220" s="14" t="n">
        <f aca="false">MAX(I219,H220)</f>
        <v>4.59086078639746</v>
      </c>
      <c r="J220" s="14" t="n">
        <f aca="false">I220-H220</f>
        <v>7.98134191622846</v>
      </c>
    </row>
    <row r="221" customFormat="false" ht="15" hidden="false" customHeight="false" outlineLevel="0" collapsed="false">
      <c r="A221" s="12" t="n">
        <f aca="false">Data!A221</f>
        <v>42321</v>
      </c>
      <c r="B221" s="14" t="n">
        <f aca="false">Data!B221</f>
        <v>40.74</v>
      </c>
      <c r="C221" s="0" t="str">
        <f aca="false">IF(Data!D221="","HOLD",IF(AND(G220&lt;&gt;"IN",Data!E221&lt;-5),"BUY",IF(AND(G220="IN",Data!E221&gt;0),"SELL","HOLD")))</f>
        <v>HOLD</v>
      </c>
      <c r="D221" s="14" t="n">
        <f aca="false">IF(C221="BUY",B221,IF(G220="IN",D220,""))</f>
        <v>42.93</v>
      </c>
      <c r="E221" s="14" t="str">
        <f aca="false">IF(C221="SELL",B221,"")</f>
        <v/>
      </c>
      <c r="F221" s="14" t="str">
        <f aca="false">IF(E221="","",(E221-D221)/D221*100)</f>
        <v/>
      </c>
      <c r="G221" s="0" t="str">
        <f aca="false">IF(C221="BUY","IN",IF(C221="SELL","OUT",IF(G220="IN","IN","OUT")))</f>
        <v>IN</v>
      </c>
      <c r="H221" s="14" t="n">
        <f aca="false">H220+IF(F221="",0,F221)</f>
        <v>-3.390481129831</v>
      </c>
      <c r="I221" s="14" t="n">
        <f aca="false">MAX(I220,H221)</f>
        <v>4.59086078639746</v>
      </c>
      <c r="J221" s="14" t="n">
        <f aca="false">I221-H221</f>
        <v>7.98134191622846</v>
      </c>
    </row>
    <row r="222" customFormat="false" ht="15" hidden="false" customHeight="false" outlineLevel="0" collapsed="false">
      <c r="A222" s="12" t="n">
        <f aca="false">Data!A222</f>
        <v>42324</v>
      </c>
      <c r="B222" s="14" t="n">
        <f aca="false">Data!B222</f>
        <v>41.74</v>
      </c>
      <c r="C222" s="0" t="str">
        <f aca="false">IF(Data!D222="","HOLD",IF(AND(G221&lt;&gt;"IN",Data!E222&lt;-5),"BUY",IF(AND(G221="IN",Data!E222&gt;0),"SELL","HOLD")))</f>
        <v>HOLD</v>
      </c>
      <c r="D222" s="14" t="n">
        <f aca="false">IF(C222="BUY",B222,IF(G221="IN",D221,""))</f>
        <v>42.93</v>
      </c>
      <c r="E222" s="14" t="str">
        <f aca="false">IF(C222="SELL",B222,"")</f>
        <v/>
      </c>
      <c r="F222" s="14" t="str">
        <f aca="false">IF(E222="","",(E222-D222)/D222*100)</f>
        <v/>
      </c>
      <c r="G222" s="0" t="str">
        <f aca="false">IF(C222="BUY","IN",IF(C222="SELL","OUT",IF(G221="IN","IN","OUT")))</f>
        <v>IN</v>
      </c>
      <c r="H222" s="14" t="n">
        <f aca="false">H221+IF(F222="",0,F222)</f>
        <v>-3.390481129831</v>
      </c>
      <c r="I222" s="14" t="n">
        <f aca="false">MAX(I221,H222)</f>
        <v>4.59086078639746</v>
      </c>
      <c r="J222" s="14" t="n">
        <f aca="false">I222-H222</f>
        <v>7.98134191622846</v>
      </c>
    </row>
    <row r="223" customFormat="false" ht="15" hidden="false" customHeight="false" outlineLevel="0" collapsed="false">
      <c r="A223" s="12" t="n">
        <f aca="false">Data!A223</f>
        <v>42325</v>
      </c>
      <c r="B223" s="14" t="n">
        <f aca="false">Data!B223</f>
        <v>40.67</v>
      </c>
      <c r="C223" s="0" t="str">
        <f aca="false">IF(Data!D223="","HOLD",IF(AND(G222&lt;&gt;"IN",Data!E223&lt;-5),"BUY",IF(AND(G222="IN",Data!E223&gt;0),"SELL","HOLD")))</f>
        <v>HOLD</v>
      </c>
      <c r="D223" s="14" t="n">
        <f aca="false">IF(C223="BUY",B223,IF(G222="IN",D222,""))</f>
        <v>42.93</v>
      </c>
      <c r="E223" s="14" t="str">
        <f aca="false">IF(C223="SELL",B223,"")</f>
        <v/>
      </c>
      <c r="F223" s="14" t="str">
        <f aca="false">IF(E223="","",(E223-D223)/D223*100)</f>
        <v/>
      </c>
      <c r="G223" s="0" t="str">
        <f aca="false">IF(C223="BUY","IN",IF(C223="SELL","OUT",IF(G222="IN","IN","OUT")))</f>
        <v>IN</v>
      </c>
      <c r="H223" s="14" t="n">
        <f aca="false">H222+IF(F223="",0,F223)</f>
        <v>-3.390481129831</v>
      </c>
      <c r="I223" s="14" t="n">
        <f aca="false">MAX(I222,H223)</f>
        <v>4.59086078639746</v>
      </c>
      <c r="J223" s="14" t="n">
        <f aca="false">I223-H223</f>
        <v>7.98134191622846</v>
      </c>
    </row>
    <row r="224" customFormat="false" ht="15" hidden="false" customHeight="false" outlineLevel="0" collapsed="false">
      <c r="A224" s="12" t="n">
        <f aca="false">Data!A224</f>
        <v>42326</v>
      </c>
      <c r="B224" s="14" t="n">
        <f aca="false">Data!B224</f>
        <v>40.75</v>
      </c>
      <c r="C224" s="0" t="str">
        <f aca="false">IF(Data!D224="","HOLD",IF(AND(G223&lt;&gt;"IN",Data!E224&lt;-5),"BUY",IF(AND(G223="IN",Data!E224&gt;0),"SELL","HOLD")))</f>
        <v>HOLD</v>
      </c>
      <c r="D224" s="14" t="n">
        <f aca="false">IF(C224="BUY",B224,IF(G223="IN",D223,""))</f>
        <v>42.93</v>
      </c>
      <c r="E224" s="14" t="str">
        <f aca="false">IF(C224="SELL",B224,"")</f>
        <v/>
      </c>
      <c r="F224" s="14" t="str">
        <f aca="false">IF(E224="","",(E224-D224)/D224*100)</f>
        <v/>
      </c>
      <c r="G224" s="0" t="str">
        <f aca="false">IF(C224="BUY","IN",IF(C224="SELL","OUT",IF(G223="IN","IN","OUT")))</f>
        <v>IN</v>
      </c>
      <c r="H224" s="14" t="n">
        <f aca="false">H223+IF(F224="",0,F224)</f>
        <v>-3.390481129831</v>
      </c>
      <c r="I224" s="14" t="n">
        <f aca="false">MAX(I223,H224)</f>
        <v>4.59086078639746</v>
      </c>
      <c r="J224" s="14" t="n">
        <f aca="false">I224-H224</f>
        <v>7.98134191622846</v>
      </c>
    </row>
    <row r="225" customFormat="false" ht="15" hidden="false" customHeight="false" outlineLevel="0" collapsed="false">
      <c r="A225" s="12" t="n">
        <f aca="false">Data!A225</f>
        <v>42327</v>
      </c>
      <c r="B225" s="14" t="n">
        <f aca="false">Data!B225</f>
        <v>40.54</v>
      </c>
      <c r="C225" s="0" t="str">
        <f aca="false">IF(Data!D225="","HOLD",IF(AND(G224&lt;&gt;"IN",Data!E225&lt;-5),"BUY",IF(AND(G224="IN",Data!E225&gt;0),"SELL","HOLD")))</f>
        <v>HOLD</v>
      </c>
      <c r="D225" s="14" t="n">
        <f aca="false">IF(C225="BUY",B225,IF(G224="IN",D224,""))</f>
        <v>42.93</v>
      </c>
      <c r="E225" s="14" t="str">
        <f aca="false">IF(C225="SELL",B225,"")</f>
        <v/>
      </c>
      <c r="F225" s="14" t="str">
        <f aca="false">IF(E225="","",(E225-D225)/D225*100)</f>
        <v/>
      </c>
      <c r="G225" s="0" t="str">
        <f aca="false">IF(C225="BUY","IN",IF(C225="SELL","OUT",IF(G224="IN","IN","OUT")))</f>
        <v>IN</v>
      </c>
      <c r="H225" s="14" t="n">
        <f aca="false">H224+IF(F225="",0,F225)</f>
        <v>-3.390481129831</v>
      </c>
      <c r="I225" s="14" t="n">
        <f aca="false">MAX(I224,H225)</f>
        <v>4.59086078639746</v>
      </c>
      <c r="J225" s="14" t="n">
        <f aca="false">I225-H225</f>
        <v>7.98134191622846</v>
      </c>
    </row>
    <row r="226" customFormat="false" ht="15" hidden="false" customHeight="false" outlineLevel="0" collapsed="false">
      <c r="A226" s="12" t="n">
        <f aca="false">Data!A226</f>
        <v>42328</v>
      </c>
      <c r="B226" s="14" t="n">
        <f aca="false">Data!B226</f>
        <v>40.39</v>
      </c>
      <c r="C226" s="0" t="str">
        <f aca="false">IF(Data!D226="","HOLD",IF(AND(G225&lt;&gt;"IN",Data!E226&lt;-5),"BUY",IF(AND(G225="IN",Data!E226&gt;0),"SELL","HOLD")))</f>
        <v>HOLD</v>
      </c>
      <c r="D226" s="14" t="n">
        <f aca="false">IF(C226="BUY",B226,IF(G225="IN",D225,""))</f>
        <v>42.93</v>
      </c>
      <c r="E226" s="14" t="str">
        <f aca="false">IF(C226="SELL",B226,"")</f>
        <v/>
      </c>
      <c r="F226" s="14" t="str">
        <f aca="false">IF(E226="","",(E226-D226)/D226*100)</f>
        <v/>
      </c>
      <c r="G226" s="0" t="str">
        <f aca="false">IF(C226="BUY","IN",IF(C226="SELL","OUT",IF(G225="IN","IN","OUT")))</f>
        <v>IN</v>
      </c>
      <c r="H226" s="14" t="n">
        <f aca="false">H225+IF(F226="",0,F226)</f>
        <v>-3.390481129831</v>
      </c>
      <c r="I226" s="14" t="n">
        <f aca="false">MAX(I225,H226)</f>
        <v>4.59086078639746</v>
      </c>
      <c r="J226" s="14" t="n">
        <f aca="false">I226-H226</f>
        <v>7.98134191622846</v>
      </c>
    </row>
    <row r="227" customFormat="false" ht="15" hidden="false" customHeight="false" outlineLevel="0" collapsed="false">
      <c r="A227" s="12" t="n">
        <f aca="false">Data!A227</f>
        <v>42331</v>
      </c>
      <c r="B227" s="14" t="n">
        <f aca="false">Data!B227</f>
        <v>41.75</v>
      </c>
      <c r="C227" s="0" t="str">
        <f aca="false">IF(Data!D227="","HOLD",IF(AND(G226&lt;&gt;"IN",Data!E227&lt;-5),"BUY",IF(AND(G226="IN",Data!E227&gt;0),"SELL","HOLD")))</f>
        <v>HOLD</v>
      </c>
      <c r="D227" s="14" t="n">
        <f aca="false">IF(C227="BUY",B227,IF(G226="IN",D226,""))</f>
        <v>42.93</v>
      </c>
      <c r="E227" s="14" t="str">
        <f aca="false">IF(C227="SELL",B227,"")</f>
        <v/>
      </c>
      <c r="F227" s="14" t="str">
        <f aca="false">IF(E227="","",(E227-D227)/D227*100)</f>
        <v/>
      </c>
      <c r="G227" s="0" t="str">
        <f aca="false">IF(C227="BUY","IN",IF(C227="SELL","OUT",IF(G226="IN","IN","OUT")))</f>
        <v>IN</v>
      </c>
      <c r="H227" s="14" t="n">
        <f aca="false">H226+IF(F227="",0,F227)</f>
        <v>-3.390481129831</v>
      </c>
      <c r="I227" s="14" t="n">
        <f aca="false">MAX(I226,H227)</f>
        <v>4.59086078639746</v>
      </c>
      <c r="J227" s="14" t="n">
        <f aca="false">I227-H227</f>
        <v>7.98134191622846</v>
      </c>
    </row>
    <row r="228" customFormat="false" ht="15" hidden="false" customHeight="false" outlineLevel="0" collapsed="false">
      <c r="A228" s="12" t="n">
        <f aca="false">Data!A228</f>
        <v>42332</v>
      </c>
      <c r="B228" s="14" t="n">
        <f aca="false">Data!B228</f>
        <v>42.87</v>
      </c>
      <c r="C228" s="0" t="str">
        <f aca="false">IF(Data!D228="","HOLD",IF(AND(G227&lt;&gt;"IN",Data!E228&lt;-5),"BUY",IF(AND(G227="IN",Data!E228&gt;0),"SELL","HOLD")))</f>
        <v>HOLD</v>
      </c>
      <c r="D228" s="14" t="n">
        <f aca="false">IF(C228="BUY",B228,IF(G227="IN",D227,""))</f>
        <v>42.93</v>
      </c>
      <c r="E228" s="14" t="str">
        <f aca="false">IF(C228="SELL",B228,"")</f>
        <v/>
      </c>
      <c r="F228" s="14" t="str">
        <f aca="false">IF(E228="","",(E228-D228)/D228*100)</f>
        <v/>
      </c>
      <c r="G228" s="0" t="str">
        <f aca="false">IF(C228="BUY","IN",IF(C228="SELL","OUT",IF(G227="IN","IN","OUT")))</f>
        <v>IN</v>
      </c>
      <c r="H228" s="14" t="n">
        <f aca="false">H227+IF(F228="",0,F228)</f>
        <v>-3.390481129831</v>
      </c>
      <c r="I228" s="14" t="n">
        <f aca="false">MAX(I227,H228)</f>
        <v>4.59086078639746</v>
      </c>
      <c r="J228" s="14" t="n">
        <f aca="false">I228-H228</f>
        <v>7.98134191622846</v>
      </c>
    </row>
    <row r="229" customFormat="false" ht="15" hidden="false" customHeight="false" outlineLevel="0" collapsed="false">
      <c r="A229" s="12" t="n">
        <f aca="false">Data!A229</f>
        <v>42333</v>
      </c>
      <c r="B229" s="14" t="n">
        <f aca="false">Data!B229</f>
        <v>43.04</v>
      </c>
      <c r="C229" s="0" t="str">
        <f aca="false">IF(Data!D229="","HOLD",IF(AND(G228&lt;&gt;"IN",Data!E229&lt;-5),"BUY",IF(AND(G228="IN",Data!E229&gt;0),"SELL","HOLD")))</f>
        <v>HOLD</v>
      </c>
      <c r="D229" s="14" t="n">
        <f aca="false">IF(C229="BUY",B229,IF(G228="IN",D228,""))</f>
        <v>42.93</v>
      </c>
      <c r="E229" s="14" t="str">
        <f aca="false">IF(C229="SELL",B229,"")</f>
        <v/>
      </c>
      <c r="F229" s="14" t="str">
        <f aca="false">IF(E229="","",(E229-D229)/D229*100)</f>
        <v/>
      </c>
      <c r="G229" s="0" t="str">
        <f aca="false">IF(C229="BUY","IN",IF(C229="SELL","OUT",IF(G228="IN","IN","OUT")))</f>
        <v>IN</v>
      </c>
      <c r="H229" s="14" t="n">
        <f aca="false">H228+IF(F229="",0,F229)</f>
        <v>-3.390481129831</v>
      </c>
      <c r="I229" s="14" t="n">
        <f aca="false">MAX(I228,H229)</f>
        <v>4.59086078639746</v>
      </c>
      <c r="J229" s="14" t="n">
        <f aca="false">I229-H229</f>
        <v>7.98134191622846</v>
      </c>
    </row>
    <row r="230" customFormat="false" ht="15" hidden="false" customHeight="false" outlineLevel="0" collapsed="false">
      <c r="A230" s="12" t="n">
        <f aca="false">Data!A230</f>
        <v>42335</v>
      </c>
      <c r="B230" s="14" t="n">
        <f aca="false">Data!B230</f>
        <v>41.71</v>
      </c>
      <c r="C230" s="0" t="str">
        <f aca="false">IF(Data!D230="","HOLD",IF(AND(G229&lt;&gt;"IN",Data!E230&lt;-5),"BUY",IF(AND(G229="IN",Data!E230&gt;0),"SELL","HOLD")))</f>
        <v>HOLD</v>
      </c>
      <c r="D230" s="14" t="n">
        <f aca="false">IF(C230="BUY",B230,IF(G229="IN",D229,""))</f>
        <v>42.93</v>
      </c>
      <c r="E230" s="14" t="str">
        <f aca="false">IF(C230="SELL",B230,"")</f>
        <v/>
      </c>
      <c r="F230" s="14" t="str">
        <f aca="false">IF(E230="","",(E230-D230)/D230*100)</f>
        <v/>
      </c>
      <c r="G230" s="0" t="str">
        <f aca="false">IF(C230="BUY","IN",IF(C230="SELL","OUT",IF(G229="IN","IN","OUT")))</f>
        <v>IN</v>
      </c>
      <c r="H230" s="14" t="n">
        <f aca="false">H229+IF(F230="",0,F230)</f>
        <v>-3.390481129831</v>
      </c>
      <c r="I230" s="14" t="n">
        <f aca="false">MAX(I229,H230)</f>
        <v>4.59086078639746</v>
      </c>
      <c r="J230" s="14" t="n">
        <f aca="false">I230-H230</f>
        <v>7.98134191622846</v>
      </c>
    </row>
    <row r="231" customFormat="false" ht="15" hidden="false" customHeight="false" outlineLevel="0" collapsed="false">
      <c r="A231" s="12" t="n">
        <f aca="false">Data!A231</f>
        <v>42338</v>
      </c>
      <c r="B231" s="14" t="n">
        <f aca="false">Data!B231</f>
        <v>41.65</v>
      </c>
      <c r="C231" s="0" t="str">
        <f aca="false">IF(Data!D231="","HOLD",IF(AND(G230&lt;&gt;"IN",Data!E231&lt;-5),"BUY",IF(AND(G230="IN",Data!E231&gt;0),"SELL","HOLD")))</f>
        <v>HOLD</v>
      </c>
      <c r="D231" s="14" t="n">
        <f aca="false">IF(C231="BUY",B231,IF(G230="IN",D230,""))</f>
        <v>42.93</v>
      </c>
      <c r="E231" s="14" t="str">
        <f aca="false">IF(C231="SELL",B231,"")</f>
        <v/>
      </c>
      <c r="F231" s="14" t="str">
        <f aca="false">IF(E231="","",(E231-D231)/D231*100)</f>
        <v/>
      </c>
      <c r="G231" s="0" t="str">
        <f aca="false">IF(C231="BUY","IN",IF(C231="SELL","OUT",IF(G230="IN","IN","OUT")))</f>
        <v>IN</v>
      </c>
      <c r="H231" s="14" t="n">
        <f aca="false">H230+IF(F231="",0,F231)</f>
        <v>-3.390481129831</v>
      </c>
      <c r="I231" s="14" t="n">
        <f aca="false">MAX(I230,H231)</f>
        <v>4.59086078639746</v>
      </c>
      <c r="J231" s="14" t="n">
        <f aca="false">I231-H231</f>
        <v>7.98134191622846</v>
      </c>
    </row>
    <row r="232" customFormat="false" ht="15" hidden="false" customHeight="false" outlineLevel="0" collapsed="false">
      <c r="A232" s="12" t="n">
        <f aca="false">Data!A232</f>
        <v>42339</v>
      </c>
      <c r="B232" s="14" t="n">
        <f aca="false">Data!B232</f>
        <v>41.85</v>
      </c>
      <c r="C232" s="0" t="str">
        <f aca="false">IF(Data!D232="","HOLD",IF(AND(G231&lt;&gt;"IN",Data!E232&lt;-5),"BUY",IF(AND(G231="IN",Data!E232&gt;0),"SELL","HOLD")))</f>
        <v>HOLD</v>
      </c>
      <c r="D232" s="14" t="n">
        <f aca="false">IF(C232="BUY",B232,IF(G231="IN",D231,""))</f>
        <v>42.93</v>
      </c>
      <c r="E232" s="14" t="str">
        <f aca="false">IF(C232="SELL",B232,"")</f>
        <v/>
      </c>
      <c r="F232" s="14" t="str">
        <f aca="false">IF(E232="","",(E232-D232)/D232*100)</f>
        <v/>
      </c>
      <c r="G232" s="0" t="str">
        <f aca="false">IF(C232="BUY","IN",IF(C232="SELL","OUT",IF(G231="IN","IN","OUT")))</f>
        <v>IN</v>
      </c>
      <c r="H232" s="14" t="n">
        <f aca="false">H231+IF(F232="",0,F232)</f>
        <v>-3.390481129831</v>
      </c>
      <c r="I232" s="14" t="n">
        <f aca="false">MAX(I231,H232)</f>
        <v>4.59086078639746</v>
      </c>
      <c r="J232" s="14" t="n">
        <f aca="false">I232-H232</f>
        <v>7.98134191622846</v>
      </c>
    </row>
    <row r="233" customFormat="false" ht="15" hidden="false" customHeight="false" outlineLevel="0" collapsed="false">
      <c r="A233" s="12" t="n">
        <f aca="false">Data!A233</f>
        <v>42340</v>
      </c>
      <c r="B233" s="14" t="n">
        <f aca="false">Data!B233</f>
        <v>39.94</v>
      </c>
      <c r="C233" s="0" t="str">
        <f aca="false">IF(Data!D233="","HOLD",IF(AND(G232&lt;&gt;"IN",Data!E233&lt;-5),"BUY",IF(AND(G232="IN",Data!E233&gt;0),"SELL","HOLD")))</f>
        <v>HOLD</v>
      </c>
      <c r="D233" s="14" t="n">
        <f aca="false">IF(C233="BUY",B233,IF(G232="IN",D232,""))</f>
        <v>42.93</v>
      </c>
      <c r="E233" s="14" t="str">
        <f aca="false">IF(C233="SELL",B233,"")</f>
        <v/>
      </c>
      <c r="F233" s="14" t="str">
        <f aca="false">IF(E233="","",(E233-D233)/D233*100)</f>
        <v/>
      </c>
      <c r="G233" s="0" t="str">
        <f aca="false">IF(C233="BUY","IN",IF(C233="SELL","OUT",IF(G232="IN","IN","OUT")))</f>
        <v>IN</v>
      </c>
      <c r="H233" s="14" t="n">
        <f aca="false">H232+IF(F233="",0,F233)</f>
        <v>-3.390481129831</v>
      </c>
      <c r="I233" s="14" t="n">
        <f aca="false">MAX(I232,H233)</f>
        <v>4.59086078639746</v>
      </c>
      <c r="J233" s="14" t="n">
        <f aca="false">I233-H233</f>
        <v>7.98134191622846</v>
      </c>
    </row>
    <row r="234" customFormat="false" ht="15" hidden="false" customHeight="false" outlineLevel="0" collapsed="false">
      <c r="A234" s="12" t="n">
        <f aca="false">Data!A234</f>
        <v>42341</v>
      </c>
      <c r="B234" s="14" t="n">
        <f aca="false">Data!B234</f>
        <v>41.08</v>
      </c>
      <c r="C234" s="0" t="str">
        <f aca="false">IF(Data!D234="","HOLD",IF(AND(G233&lt;&gt;"IN",Data!E234&lt;-5),"BUY",IF(AND(G233="IN",Data!E234&gt;0),"SELL","HOLD")))</f>
        <v>HOLD</v>
      </c>
      <c r="D234" s="14" t="n">
        <f aca="false">IF(C234="BUY",B234,IF(G233="IN",D233,""))</f>
        <v>42.93</v>
      </c>
      <c r="E234" s="14" t="str">
        <f aca="false">IF(C234="SELL",B234,"")</f>
        <v/>
      </c>
      <c r="F234" s="14" t="str">
        <f aca="false">IF(E234="","",(E234-D234)/D234*100)</f>
        <v/>
      </c>
      <c r="G234" s="0" t="str">
        <f aca="false">IF(C234="BUY","IN",IF(C234="SELL","OUT",IF(G233="IN","IN","OUT")))</f>
        <v>IN</v>
      </c>
      <c r="H234" s="14" t="n">
        <f aca="false">H233+IF(F234="",0,F234)</f>
        <v>-3.390481129831</v>
      </c>
      <c r="I234" s="14" t="n">
        <f aca="false">MAX(I233,H234)</f>
        <v>4.59086078639746</v>
      </c>
      <c r="J234" s="14" t="n">
        <f aca="false">I234-H234</f>
        <v>7.98134191622846</v>
      </c>
    </row>
    <row r="235" customFormat="false" ht="15" hidden="false" customHeight="false" outlineLevel="0" collapsed="false">
      <c r="A235" s="12" t="n">
        <f aca="false">Data!A235</f>
        <v>42342</v>
      </c>
      <c r="B235" s="14" t="n">
        <f aca="false">Data!B235</f>
        <v>39.97</v>
      </c>
      <c r="C235" s="0" t="str">
        <f aca="false">IF(Data!D235="","HOLD",IF(AND(G234&lt;&gt;"IN",Data!E235&lt;-5),"BUY",IF(AND(G234="IN",Data!E235&gt;0),"SELL","HOLD")))</f>
        <v>HOLD</v>
      </c>
      <c r="D235" s="14" t="n">
        <f aca="false">IF(C235="BUY",B235,IF(G234="IN",D234,""))</f>
        <v>42.93</v>
      </c>
      <c r="E235" s="14" t="str">
        <f aca="false">IF(C235="SELL",B235,"")</f>
        <v/>
      </c>
      <c r="F235" s="14" t="str">
        <f aca="false">IF(E235="","",(E235-D235)/D235*100)</f>
        <v/>
      </c>
      <c r="G235" s="0" t="str">
        <f aca="false">IF(C235="BUY","IN",IF(C235="SELL","OUT",IF(G234="IN","IN","OUT")))</f>
        <v>IN</v>
      </c>
      <c r="H235" s="14" t="n">
        <f aca="false">H234+IF(F235="",0,F235)</f>
        <v>-3.390481129831</v>
      </c>
      <c r="I235" s="14" t="n">
        <f aca="false">MAX(I234,H235)</f>
        <v>4.59086078639746</v>
      </c>
      <c r="J235" s="14" t="n">
        <f aca="false">I235-H235</f>
        <v>7.98134191622846</v>
      </c>
    </row>
    <row r="236" customFormat="false" ht="15" hidden="false" customHeight="false" outlineLevel="0" collapsed="false">
      <c r="A236" s="12" t="n">
        <f aca="false">Data!A236</f>
        <v>42345</v>
      </c>
      <c r="B236" s="14" t="n">
        <f aca="false">Data!B236</f>
        <v>37.65</v>
      </c>
      <c r="C236" s="0" t="str">
        <f aca="false">IF(Data!D236="","HOLD",IF(AND(G235&lt;&gt;"IN",Data!E236&lt;-5),"BUY",IF(AND(G235="IN",Data!E236&gt;0),"SELL","HOLD")))</f>
        <v>HOLD</v>
      </c>
      <c r="D236" s="14" t="n">
        <f aca="false">IF(C236="BUY",B236,IF(G235="IN",D235,""))</f>
        <v>42.93</v>
      </c>
      <c r="E236" s="14" t="str">
        <f aca="false">IF(C236="SELL",B236,"")</f>
        <v/>
      </c>
      <c r="F236" s="14" t="str">
        <f aca="false">IF(E236="","",(E236-D236)/D236*100)</f>
        <v/>
      </c>
      <c r="G236" s="0" t="str">
        <f aca="false">IF(C236="BUY","IN",IF(C236="SELL","OUT",IF(G235="IN","IN","OUT")))</f>
        <v>IN</v>
      </c>
      <c r="H236" s="14" t="n">
        <f aca="false">H235+IF(F236="",0,F236)</f>
        <v>-3.390481129831</v>
      </c>
      <c r="I236" s="14" t="n">
        <f aca="false">MAX(I235,H236)</f>
        <v>4.59086078639746</v>
      </c>
      <c r="J236" s="14" t="n">
        <f aca="false">I236-H236</f>
        <v>7.98134191622846</v>
      </c>
    </row>
    <row r="237" customFormat="false" ht="15" hidden="false" customHeight="false" outlineLevel="0" collapsed="false">
      <c r="A237" s="12" t="n">
        <f aca="false">Data!A237</f>
        <v>42346</v>
      </c>
      <c r="B237" s="14" t="n">
        <f aca="false">Data!B237</f>
        <v>37.51</v>
      </c>
      <c r="C237" s="0" t="str">
        <f aca="false">IF(Data!D237="","HOLD",IF(AND(G236&lt;&gt;"IN",Data!E237&lt;-5),"BUY",IF(AND(G236="IN",Data!E237&gt;0),"SELL","HOLD")))</f>
        <v>HOLD</v>
      </c>
      <c r="D237" s="14" t="n">
        <f aca="false">IF(C237="BUY",B237,IF(G236="IN",D236,""))</f>
        <v>42.93</v>
      </c>
      <c r="E237" s="14" t="str">
        <f aca="false">IF(C237="SELL",B237,"")</f>
        <v/>
      </c>
      <c r="F237" s="14" t="str">
        <f aca="false">IF(E237="","",(E237-D237)/D237*100)</f>
        <v/>
      </c>
      <c r="G237" s="0" t="str">
        <f aca="false">IF(C237="BUY","IN",IF(C237="SELL","OUT",IF(G236="IN","IN","OUT")))</f>
        <v>IN</v>
      </c>
      <c r="H237" s="14" t="n">
        <f aca="false">H236+IF(F237="",0,F237)</f>
        <v>-3.390481129831</v>
      </c>
      <c r="I237" s="14" t="n">
        <f aca="false">MAX(I236,H237)</f>
        <v>4.59086078639746</v>
      </c>
      <c r="J237" s="14" t="n">
        <f aca="false">I237-H237</f>
        <v>7.98134191622846</v>
      </c>
    </row>
    <row r="238" customFormat="false" ht="15" hidden="false" customHeight="false" outlineLevel="0" collapsed="false">
      <c r="A238" s="12" t="n">
        <f aca="false">Data!A238</f>
        <v>42347</v>
      </c>
      <c r="B238" s="14" t="n">
        <f aca="false">Data!B238</f>
        <v>37.16</v>
      </c>
      <c r="C238" s="0" t="str">
        <f aca="false">IF(Data!D238="","HOLD",IF(AND(G237&lt;&gt;"IN",Data!E238&lt;-5),"BUY",IF(AND(G237="IN",Data!E238&gt;0),"SELL","HOLD")))</f>
        <v>HOLD</v>
      </c>
      <c r="D238" s="14" t="n">
        <f aca="false">IF(C238="BUY",B238,IF(G237="IN",D237,""))</f>
        <v>42.93</v>
      </c>
      <c r="E238" s="14" t="str">
        <f aca="false">IF(C238="SELL",B238,"")</f>
        <v/>
      </c>
      <c r="F238" s="14" t="str">
        <f aca="false">IF(E238="","",(E238-D238)/D238*100)</f>
        <v/>
      </c>
      <c r="G238" s="0" t="str">
        <f aca="false">IF(C238="BUY","IN",IF(C238="SELL","OUT",IF(G237="IN","IN","OUT")))</f>
        <v>IN</v>
      </c>
      <c r="H238" s="14" t="n">
        <f aca="false">H237+IF(F238="",0,F238)</f>
        <v>-3.390481129831</v>
      </c>
      <c r="I238" s="14" t="n">
        <f aca="false">MAX(I237,H238)</f>
        <v>4.59086078639746</v>
      </c>
      <c r="J238" s="14" t="n">
        <f aca="false">I238-H238</f>
        <v>7.98134191622846</v>
      </c>
    </row>
    <row r="239" customFormat="false" ht="15" hidden="false" customHeight="false" outlineLevel="0" collapsed="false">
      <c r="A239" s="12" t="n">
        <f aca="false">Data!A239</f>
        <v>42348</v>
      </c>
      <c r="B239" s="14" t="n">
        <f aca="false">Data!B239</f>
        <v>36.76</v>
      </c>
      <c r="C239" s="0" t="str">
        <f aca="false">IF(Data!D239="","HOLD",IF(AND(G238&lt;&gt;"IN",Data!E239&lt;-5),"BUY",IF(AND(G238="IN",Data!E239&gt;0),"SELL","HOLD")))</f>
        <v>HOLD</v>
      </c>
      <c r="D239" s="14" t="n">
        <f aca="false">IF(C239="BUY",B239,IF(G238="IN",D238,""))</f>
        <v>42.93</v>
      </c>
      <c r="E239" s="14" t="str">
        <f aca="false">IF(C239="SELL",B239,"")</f>
        <v/>
      </c>
      <c r="F239" s="14" t="str">
        <f aca="false">IF(E239="","",(E239-D239)/D239*100)</f>
        <v/>
      </c>
      <c r="G239" s="0" t="str">
        <f aca="false">IF(C239="BUY","IN",IF(C239="SELL","OUT",IF(G238="IN","IN","OUT")))</f>
        <v>IN</v>
      </c>
      <c r="H239" s="14" t="n">
        <f aca="false">H238+IF(F239="",0,F239)</f>
        <v>-3.390481129831</v>
      </c>
      <c r="I239" s="14" t="n">
        <f aca="false">MAX(I238,H239)</f>
        <v>4.59086078639746</v>
      </c>
      <c r="J239" s="14" t="n">
        <f aca="false">I239-H239</f>
        <v>7.98134191622846</v>
      </c>
    </row>
    <row r="240" customFormat="false" ht="15" hidden="false" customHeight="false" outlineLevel="0" collapsed="false">
      <c r="A240" s="12" t="n">
        <f aca="false">Data!A240</f>
        <v>42349</v>
      </c>
      <c r="B240" s="14" t="n">
        <f aca="false">Data!B240</f>
        <v>35.62</v>
      </c>
      <c r="C240" s="0" t="str">
        <f aca="false">IF(Data!D240="","HOLD",IF(AND(G239&lt;&gt;"IN",Data!E240&lt;-5),"BUY",IF(AND(G239="IN",Data!E240&gt;0),"SELL","HOLD")))</f>
        <v>HOLD</v>
      </c>
      <c r="D240" s="14" t="n">
        <f aca="false">IF(C240="BUY",B240,IF(G239="IN",D239,""))</f>
        <v>42.93</v>
      </c>
      <c r="E240" s="14" t="str">
        <f aca="false">IF(C240="SELL",B240,"")</f>
        <v/>
      </c>
      <c r="F240" s="14" t="str">
        <f aca="false">IF(E240="","",(E240-D240)/D240*100)</f>
        <v/>
      </c>
      <c r="G240" s="0" t="str">
        <f aca="false">IF(C240="BUY","IN",IF(C240="SELL","OUT",IF(G239="IN","IN","OUT")))</f>
        <v>IN</v>
      </c>
      <c r="H240" s="14" t="n">
        <f aca="false">H239+IF(F240="",0,F240)</f>
        <v>-3.390481129831</v>
      </c>
      <c r="I240" s="14" t="n">
        <f aca="false">MAX(I239,H240)</f>
        <v>4.59086078639746</v>
      </c>
      <c r="J240" s="14" t="n">
        <f aca="false">I240-H240</f>
        <v>7.98134191622846</v>
      </c>
    </row>
    <row r="241" customFormat="false" ht="15" hidden="false" customHeight="false" outlineLevel="0" collapsed="false">
      <c r="A241" s="12" t="n">
        <f aca="false">Data!A241</f>
        <v>42352</v>
      </c>
      <c r="B241" s="14" t="n">
        <f aca="false">Data!B241</f>
        <v>36.31</v>
      </c>
      <c r="C241" s="0" t="str">
        <f aca="false">IF(Data!D241="","HOLD",IF(AND(G240&lt;&gt;"IN",Data!E241&lt;-5),"BUY",IF(AND(G240="IN",Data!E241&gt;0),"SELL","HOLD")))</f>
        <v>HOLD</v>
      </c>
      <c r="D241" s="14" t="n">
        <f aca="false">IF(C241="BUY",B241,IF(G240="IN",D240,""))</f>
        <v>42.93</v>
      </c>
      <c r="E241" s="14" t="str">
        <f aca="false">IF(C241="SELL",B241,"")</f>
        <v/>
      </c>
      <c r="F241" s="14" t="str">
        <f aca="false">IF(E241="","",(E241-D241)/D241*100)</f>
        <v/>
      </c>
      <c r="G241" s="0" t="str">
        <f aca="false">IF(C241="BUY","IN",IF(C241="SELL","OUT",IF(G240="IN","IN","OUT")))</f>
        <v>IN</v>
      </c>
      <c r="H241" s="14" t="n">
        <f aca="false">H240+IF(F241="",0,F241)</f>
        <v>-3.390481129831</v>
      </c>
      <c r="I241" s="14" t="n">
        <f aca="false">MAX(I240,H241)</f>
        <v>4.59086078639746</v>
      </c>
      <c r="J241" s="14" t="n">
        <f aca="false">I241-H241</f>
        <v>7.98134191622846</v>
      </c>
    </row>
    <row r="242" customFormat="false" ht="15" hidden="false" customHeight="false" outlineLevel="0" collapsed="false">
      <c r="A242" s="12" t="n">
        <f aca="false">Data!A242</f>
        <v>42353</v>
      </c>
      <c r="B242" s="14" t="n">
        <f aca="false">Data!B242</f>
        <v>37.35</v>
      </c>
      <c r="C242" s="0" t="str">
        <f aca="false">IF(Data!D242="","HOLD",IF(AND(G241&lt;&gt;"IN",Data!E242&lt;-5),"BUY",IF(AND(G241="IN",Data!E242&gt;0),"SELL","HOLD")))</f>
        <v>HOLD</v>
      </c>
      <c r="D242" s="14" t="n">
        <f aca="false">IF(C242="BUY",B242,IF(G241="IN",D241,""))</f>
        <v>42.93</v>
      </c>
      <c r="E242" s="14" t="str">
        <f aca="false">IF(C242="SELL",B242,"")</f>
        <v/>
      </c>
      <c r="F242" s="14" t="str">
        <f aca="false">IF(E242="","",(E242-D242)/D242*100)</f>
        <v/>
      </c>
      <c r="G242" s="0" t="str">
        <f aca="false">IF(C242="BUY","IN",IF(C242="SELL","OUT",IF(G241="IN","IN","OUT")))</f>
        <v>IN</v>
      </c>
      <c r="H242" s="14" t="n">
        <f aca="false">H241+IF(F242="",0,F242)</f>
        <v>-3.390481129831</v>
      </c>
      <c r="I242" s="14" t="n">
        <f aca="false">MAX(I241,H242)</f>
        <v>4.59086078639746</v>
      </c>
      <c r="J242" s="14" t="n">
        <f aca="false">I242-H242</f>
        <v>7.98134191622846</v>
      </c>
    </row>
    <row r="243" customFormat="false" ht="15" hidden="false" customHeight="false" outlineLevel="0" collapsed="false">
      <c r="A243" s="12" t="n">
        <f aca="false">Data!A243</f>
        <v>42354</v>
      </c>
      <c r="B243" s="14" t="n">
        <f aca="false">Data!B243</f>
        <v>35.52</v>
      </c>
      <c r="C243" s="0" t="str">
        <f aca="false">IF(Data!D243="","HOLD",IF(AND(G242&lt;&gt;"IN",Data!E243&lt;-5),"BUY",IF(AND(G242="IN",Data!E243&gt;0),"SELL","HOLD")))</f>
        <v>HOLD</v>
      </c>
      <c r="D243" s="14" t="n">
        <f aca="false">IF(C243="BUY",B243,IF(G242="IN",D242,""))</f>
        <v>42.93</v>
      </c>
      <c r="E243" s="14" t="str">
        <f aca="false">IF(C243="SELL",B243,"")</f>
        <v/>
      </c>
      <c r="F243" s="14" t="str">
        <f aca="false">IF(E243="","",(E243-D243)/D243*100)</f>
        <v/>
      </c>
      <c r="G243" s="0" t="str">
        <f aca="false">IF(C243="BUY","IN",IF(C243="SELL","OUT",IF(G242="IN","IN","OUT")))</f>
        <v>IN</v>
      </c>
      <c r="H243" s="14" t="n">
        <f aca="false">H242+IF(F243="",0,F243)</f>
        <v>-3.390481129831</v>
      </c>
      <c r="I243" s="14" t="n">
        <f aca="false">MAX(I242,H243)</f>
        <v>4.59086078639746</v>
      </c>
      <c r="J243" s="14" t="n">
        <f aca="false">I243-H243</f>
        <v>7.98134191622846</v>
      </c>
    </row>
    <row r="244" customFormat="false" ht="15" hidden="false" customHeight="false" outlineLevel="0" collapsed="false">
      <c r="A244" s="12" t="n">
        <f aca="false">Data!A244</f>
        <v>42355</v>
      </c>
      <c r="B244" s="14" t="n">
        <f aca="false">Data!B244</f>
        <v>34.95</v>
      </c>
      <c r="C244" s="0" t="str">
        <f aca="false">IF(Data!D244="","HOLD",IF(AND(G243&lt;&gt;"IN",Data!E244&lt;-5),"BUY",IF(AND(G243="IN",Data!E244&gt;0),"SELL","HOLD")))</f>
        <v>HOLD</v>
      </c>
      <c r="D244" s="14" t="n">
        <f aca="false">IF(C244="BUY",B244,IF(G243="IN",D243,""))</f>
        <v>42.93</v>
      </c>
      <c r="E244" s="14" t="str">
        <f aca="false">IF(C244="SELL",B244,"")</f>
        <v/>
      </c>
      <c r="F244" s="14" t="str">
        <f aca="false">IF(E244="","",(E244-D244)/D244*100)</f>
        <v/>
      </c>
      <c r="G244" s="0" t="str">
        <f aca="false">IF(C244="BUY","IN",IF(C244="SELL","OUT",IF(G243="IN","IN","OUT")))</f>
        <v>IN</v>
      </c>
      <c r="H244" s="14" t="n">
        <f aca="false">H243+IF(F244="",0,F244)</f>
        <v>-3.390481129831</v>
      </c>
      <c r="I244" s="14" t="n">
        <f aca="false">MAX(I243,H244)</f>
        <v>4.59086078639746</v>
      </c>
      <c r="J244" s="14" t="n">
        <f aca="false">I244-H244</f>
        <v>7.98134191622846</v>
      </c>
    </row>
    <row r="245" customFormat="false" ht="15" hidden="false" customHeight="false" outlineLevel="0" collapsed="false">
      <c r="A245" s="12" t="n">
        <f aca="false">Data!A245</f>
        <v>42356</v>
      </c>
      <c r="B245" s="14" t="n">
        <f aca="false">Data!B245</f>
        <v>34.73</v>
      </c>
      <c r="C245" s="0" t="str">
        <f aca="false">IF(Data!D245="","HOLD",IF(AND(G244&lt;&gt;"IN",Data!E245&lt;-5),"BUY",IF(AND(G244="IN",Data!E245&gt;0),"SELL","HOLD")))</f>
        <v>HOLD</v>
      </c>
      <c r="D245" s="14" t="n">
        <f aca="false">IF(C245="BUY",B245,IF(G244="IN",D244,""))</f>
        <v>42.93</v>
      </c>
      <c r="E245" s="14" t="str">
        <f aca="false">IF(C245="SELL",B245,"")</f>
        <v/>
      </c>
      <c r="F245" s="14" t="str">
        <f aca="false">IF(E245="","",(E245-D245)/D245*100)</f>
        <v/>
      </c>
      <c r="G245" s="0" t="str">
        <f aca="false">IF(C245="BUY","IN",IF(C245="SELL","OUT",IF(G244="IN","IN","OUT")))</f>
        <v>IN</v>
      </c>
      <c r="H245" s="14" t="n">
        <f aca="false">H244+IF(F245="",0,F245)</f>
        <v>-3.390481129831</v>
      </c>
      <c r="I245" s="14" t="n">
        <f aca="false">MAX(I244,H245)</f>
        <v>4.59086078639746</v>
      </c>
      <c r="J245" s="14" t="n">
        <f aca="false">I245-H245</f>
        <v>7.98134191622846</v>
      </c>
    </row>
    <row r="246" customFormat="false" ht="15" hidden="false" customHeight="false" outlineLevel="0" collapsed="false">
      <c r="A246" s="12" t="n">
        <f aca="false">Data!A246</f>
        <v>42359</v>
      </c>
      <c r="B246" s="14" t="n">
        <f aca="false">Data!B246</f>
        <v>34.74</v>
      </c>
      <c r="C246" s="0" t="str">
        <f aca="false">IF(Data!D246="","HOLD",IF(AND(G245&lt;&gt;"IN",Data!E246&lt;-5),"BUY",IF(AND(G245="IN",Data!E246&gt;0),"SELL","HOLD")))</f>
        <v>HOLD</v>
      </c>
      <c r="D246" s="14" t="n">
        <f aca="false">IF(C246="BUY",B246,IF(G245="IN",D245,""))</f>
        <v>42.93</v>
      </c>
      <c r="E246" s="14" t="str">
        <f aca="false">IF(C246="SELL",B246,"")</f>
        <v/>
      </c>
      <c r="F246" s="14" t="str">
        <f aca="false">IF(E246="","",(E246-D246)/D246*100)</f>
        <v/>
      </c>
      <c r="G246" s="0" t="str">
        <f aca="false">IF(C246="BUY","IN",IF(C246="SELL","OUT",IF(G245="IN","IN","OUT")))</f>
        <v>IN</v>
      </c>
      <c r="H246" s="14" t="n">
        <f aca="false">H245+IF(F246="",0,F246)</f>
        <v>-3.390481129831</v>
      </c>
      <c r="I246" s="14" t="n">
        <f aca="false">MAX(I245,H246)</f>
        <v>4.59086078639746</v>
      </c>
      <c r="J246" s="14" t="n">
        <f aca="false">I246-H246</f>
        <v>7.98134191622846</v>
      </c>
    </row>
    <row r="247" customFormat="false" ht="15" hidden="false" customHeight="false" outlineLevel="0" collapsed="false">
      <c r="A247" s="12" t="n">
        <f aca="false">Data!A247</f>
        <v>42360</v>
      </c>
      <c r="B247" s="14" t="n">
        <f aca="false">Data!B247</f>
        <v>36.14</v>
      </c>
      <c r="C247" s="0" t="str">
        <f aca="false">IF(Data!D247="","HOLD",IF(AND(G246&lt;&gt;"IN",Data!E247&lt;-5),"BUY",IF(AND(G246="IN",Data!E247&gt;0),"SELL","HOLD")))</f>
        <v>HOLD</v>
      </c>
      <c r="D247" s="14" t="n">
        <f aca="false">IF(C247="BUY",B247,IF(G246="IN",D246,""))</f>
        <v>42.93</v>
      </c>
      <c r="E247" s="14" t="str">
        <f aca="false">IF(C247="SELL",B247,"")</f>
        <v/>
      </c>
      <c r="F247" s="14" t="str">
        <f aca="false">IF(E247="","",(E247-D247)/D247*100)</f>
        <v/>
      </c>
      <c r="G247" s="0" t="str">
        <f aca="false">IF(C247="BUY","IN",IF(C247="SELL","OUT",IF(G246="IN","IN","OUT")))</f>
        <v>IN</v>
      </c>
      <c r="H247" s="14" t="n">
        <f aca="false">H246+IF(F247="",0,F247)</f>
        <v>-3.390481129831</v>
      </c>
      <c r="I247" s="14" t="n">
        <f aca="false">MAX(I246,H247)</f>
        <v>4.59086078639746</v>
      </c>
      <c r="J247" s="14" t="n">
        <f aca="false">I247-H247</f>
        <v>7.98134191622846</v>
      </c>
    </row>
    <row r="248" customFormat="false" ht="15" hidden="false" customHeight="false" outlineLevel="0" collapsed="false">
      <c r="A248" s="12" t="n">
        <f aca="false">Data!A248</f>
        <v>42361</v>
      </c>
      <c r="B248" s="14" t="n">
        <f aca="false">Data!B248</f>
        <v>37.5</v>
      </c>
      <c r="C248" s="0" t="str">
        <f aca="false">IF(Data!D248="","HOLD",IF(AND(G247&lt;&gt;"IN",Data!E248&lt;-5),"BUY",IF(AND(G247="IN",Data!E248&gt;0),"SELL","HOLD")))</f>
        <v>HOLD</v>
      </c>
      <c r="D248" s="14" t="n">
        <f aca="false">IF(C248="BUY",B248,IF(G247="IN",D247,""))</f>
        <v>42.93</v>
      </c>
      <c r="E248" s="14" t="str">
        <f aca="false">IF(C248="SELL",B248,"")</f>
        <v/>
      </c>
      <c r="F248" s="14" t="str">
        <f aca="false">IF(E248="","",(E248-D248)/D248*100)</f>
        <v/>
      </c>
      <c r="G248" s="0" t="str">
        <f aca="false">IF(C248="BUY","IN",IF(C248="SELL","OUT",IF(G247="IN","IN","OUT")))</f>
        <v>IN</v>
      </c>
      <c r="H248" s="14" t="n">
        <f aca="false">H247+IF(F248="",0,F248)</f>
        <v>-3.390481129831</v>
      </c>
      <c r="I248" s="14" t="n">
        <f aca="false">MAX(I247,H248)</f>
        <v>4.59086078639746</v>
      </c>
      <c r="J248" s="14" t="n">
        <f aca="false">I248-H248</f>
        <v>7.98134191622846</v>
      </c>
    </row>
    <row r="249" customFormat="false" ht="15" hidden="false" customHeight="false" outlineLevel="0" collapsed="false">
      <c r="A249" s="12" t="n">
        <f aca="false">Data!A249</f>
        <v>42362</v>
      </c>
      <c r="B249" s="14" t="n">
        <f aca="false">Data!B249</f>
        <v>38.1</v>
      </c>
      <c r="C249" s="0" t="str">
        <f aca="false">IF(Data!D249="","HOLD",IF(AND(G248&lt;&gt;"IN",Data!E249&lt;-5),"BUY",IF(AND(G248="IN",Data!E249&gt;0),"SELL","HOLD")))</f>
        <v>SELL</v>
      </c>
      <c r="D249" s="14" t="n">
        <f aca="false">IF(C249="BUY",B249,IF(G248="IN",D248,""))</f>
        <v>42.93</v>
      </c>
      <c r="E249" s="14" t="n">
        <f aca="false">IF(C249="SELL",B249,"")</f>
        <v>38.1</v>
      </c>
      <c r="F249" s="14" t="n">
        <f aca="false">IF(E249="","",(E249-D249)/D249*100)</f>
        <v>-11.2508735150245</v>
      </c>
      <c r="G249" s="0" t="str">
        <f aca="false">IF(C249="BUY","IN",IF(C249="SELL","OUT",IF(G248="IN","IN","OUT")))</f>
        <v>OUT</v>
      </c>
      <c r="H249" s="14" t="n">
        <f aca="false">H248+IF(F249="",0,F249)</f>
        <v>-14.6413546448555</v>
      </c>
      <c r="I249" s="14" t="n">
        <f aca="false">MAX(I248,H249)</f>
        <v>4.59086078639746</v>
      </c>
      <c r="J249" s="14" t="n">
        <f aca="false">I249-H249</f>
        <v>19.2322154312529</v>
      </c>
    </row>
    <row r="250" customFormat="false" ht="15" hidden="false" customHeight="false" outlineLevel="0" collapsed="false">
      <c r="A250" s="12" t="n">
        <f aca="false">Data!A250</f>
        <v>42366</v>
      </c>
      <c r="B250" s="14" t="n">
        <f aca="false">Data!B250</f>
        <v>36.81</v>
      </c>
      <c r="C250" s="0" t="str">
        <f aca="false">IF(Data!D250="","HOLD",IF(AND(G249&lt;&gt;"IN",Data!E250&lt;-5),"BUY",IF(AND(G249="IN",Data!E250&gt;0),"SELL","HOLD")))</f>
        <v>HOLD</v>
      </c>
      <c r="D250" s="14" t="str">
        <f aca="false">IF(C250="BUY",B250,IF(G249="IN",D249,""))</f>
        <v/>
      </c>
      <c r="E250" s="14" t="str">
        <f aca="false">IF(C250="SELL",B250,"")</f>
        <v/>
      </c>
      <c r="F250" s="14" t="str">
        <f aca="false">IF(E250="","",(E250-D250)/D250*100)</f>
        <v/>
      </c>
      <c r="G250" s="0" t="str">
        <f aca="false">IF(C250="BUY","IN",IF(C250="SELL","OUT",IF(G249="IN","IN","OUT")))</f>
        <v>OUT</v>
      </c>
      <c r="H250" s="14" t="n">
        <f aca="false">H249+IF(F250="",0,F250)</f>
        <v>-14.6413546448555</v>
      </c>
      <c r="I250" s="14" t="n">
        <f aca="false">MAX(I249,H250)</f>
        <v>4.59086078639746</v>
      </c>
      <c r="J250" s="14" t="n">
        <f aca="false">I250-H250</f>
        <v>19.2322154312529</v>
      </c>
    </row>
    <row r="251" customFormat="false" ht="15" hidden="false" customHeight="false" outlineLevel="0" collapsed="false">
      <c r="A251" s="12" t="n">
        <f aca="false">Data!A251</f>
        <v>42367</v>
      </c>
      <c r="B251" s="14" t="n">
        <f aca="false">Data!B251</f>
        <v>37.87</v>
      </c>
      <c r="C251" s="0" t="str">
        <f aca="false">IF(Data!D251="","HOLD",IF(AND(G250&lt;&gt;"IN",Data!E251&lt;-5),"BUY",IF(AND(G250="IN",Data!E251&gt;0),"SELL","HOLD")))</f>
        <v>HOLD</v>
      </c>
      <c r="D251" s="14" t="str">
        <f aca="false">IF(C251="BUY",B251,IF(G250="IN",D250,""))</f>
        <v/>
      </c>
      <c r="E251" s="14" t="str">
        <f aca="false">IF(C251="SELL",B251,"")</f>
        <v/>
      </c>
      <c r="F251" s="14" t="str">
        <f aca="false">IF(E251="","",(E251-D251)/D251*100)</f>
        <v/>
      </c>
      <c r="G251" s="0" t="str">
        <f aca="false">IF(C251="BUY","IN",IF(C251="SELL","OUT",IF(G250="IN","IN","OUT")))</f>
        <v>OUT</v>
      </c>
      <c r="H251" s="14" t="n">
        <f aca="false">H250+IF(F251="",0,F251)</f>
        <v>-14.6413546448555</v>
      </c>
      <c r="I251" s="14" t="n">
        <f aca="false">MAX(I250,H251)</f>
        <v>4.59086078639746</v>
      </c>
      <c r="J251" s="14" t="n">
        <f aca="false">I251-H251</f>
        <v>19.2322154312529</v>
      </c>
    </row>
    <row r="252" customFormat="false" ht="15" hidden="false" customHeight="false" outlineLevel="0" collapsed="false">
      <c r="A252" s="12" t="n">
        <f aca="false">Data!A252</f>
        <v>42368</v>
      </c>
      <c r="B252" s="14" t="n">
        <f aca="false">Data!B252</f>
        <v>36.6</v>
      </c>
      <c r="C252" s="0" t="str">
        <f aca="false">IF(Data!D252="","HOLD",IF(AND(G251&lt;&gt;"IN",Data!E252&lt;-5),"BUY",IF(AND(G251="IN",Data!E252&gt;0),"SELL","HOLD")))</f>
        <v>HOLD</v>
      </c>
      <c r="D252" s="14" t="str">
        <f aca="false">IF(C252="BUY",B252,IF(G251="IN",D251,""))</f>
        <v/>
      </c>
      <c r="E252" s="14" t="str">
        <f aca="false">IF(C252="SELL",B252,"")</f>
        <v/>
      </c>
      <c r="F252" s="14" t="str">
        <f aca="false">IF(E252="","",(E252-D252)/D252*100)</f>
        <v/>
      </c>
      <c r="G252" s="0" t="str">
        <f aca="false">IF(C252="BUY","IN",IF(C252="SELL","OUT",IF(G251="IN","IN","OUT")))</f>
        <v>OUT</v>
      </c>
      <c r="H252" s="14" t="n">
        <f aca="false">H251+IF(F252="",0,F252)</f>
        <v>-14.6413546448555</v>
      </c>
      <c r="I252" s="14" t="n">
        <f aca="false">MAX(I251,H252)</f>
        <v>4.59086078639746</v>
      </c>
      <c r="J252" s="14" t="n">
        <f aca="false">I252-H252</f>
        <v>19.2322154312529</v>
      </c>
    </row>
    <row r="253" customFormat="false" ht="15" hidden="false" customHeight="false" outlineLevel="0" collapsed="false">
      <c r="A253" s="12" t="n">
        <f aca="false">Data!A253</f>
        <v>42369</v>
      </c>
      <c r="B253" s="14" t="n">
        <f aca="false">Data!B253</f>
        <v>37.04</v>
      </c>
      <c r="C253" s="0" t="str">
        <f aca="false">IF(Data!D253="","HOLD",IF(AND(G252&lt;&gt;"IN",Data!E253&lt;-5),"BUY",IF(AND(G252="IN",Data!E253&gt;0),"SELL","HOLD")))</f>
        <v>HOLD</v>
      </c>
      <c r="D253" s="14" t="str">
        <f aca="false">IF(C253="BUY",B253,IF(G252="IN",D252,""))</f>
        <v/>
      </c>
      <c r="E253" s="14" t="str">
        <f aca="false">IF(C253="SELL",B253,"")</f>
        <v/>
      </c>
      <c r="F253" s="14" t="str">
        <f aca="false">IF(E253="","",(E253-D253)/D253*100)</f>
        <v/>
      </c>
      <c r="G253" s="0" t="str">
        <f aca="false">IF(C253="BUY","IN",IF(C253="SELL","OUT",IF(G252="IN","IN","OUT")))</f>
        <v>OUT</v>
      </c>
      <c r="H253" s="14" t="n">
        <f aca="false">H252+IF(F253="",0,F253)</f>
        <v>-14.6413546448555</v>
      </c>
      <c r="I253" s="14" t="n">
        <f aca="false">MAX(I252,H253)</f>
        <v>4.59086078639746</v>
      </c>
      <c r="J253" s="14" t="n">
        <f aca="false">I253-H253</f>
        <v>19.2322154312529</v>
      </c>
    </row>
    <row r="254" customFormat="false" ht="15" hidden="false" customHeight="false" outlineLevel="0" collapsed="false">
      <c r="A254" s="12" t="n">
        <f aca="false">Data!A254</f>
        <v>42373</v>
      </c>
      <c r="B254" s="14" t="n">
        <f aca="false">Data!B254</f>
        <v>36.76</v>
      </c>
      <c r="C254" s="0" t="str">
        <f aca="false">IF(Data!D254="","HOLD",IF(AND(G253&lt;&gt;"IN",Data!E254&lt;-5),"BUY",IF(AND(G253="IN",Data!E254&gt;0),"SELL","HOLD")))</f>
        <v>HOLD</v>
      </c>
      <c r="D254" s="14" t="str">
        <f aca="false">IF(C254="BUY",B254,IF(G253="IN",D253,""))</f>
        <v/>
      </c>
      <c r="E254" s="14" t="str">
        <f aca="false">IF(C254="SELL",B254,"")</f>
        <v/>
      </c>
      <c r="F254" s="14" t="str">
        <f aca="false">IF(E254="","",(E254-D254)/D254*100)</f>
        <v/>
      </c>
      <c r="G254" s="0" t="str">
        <f aca="false">IF(C254="BUY","IN",IF(C254="SELL","OUT",IF(G253="IN","IN","OUT")))</f>
        <v>OUT</v>
      </c>
      <c r="H254" s="14" t="n">
        <f aca="false">H253+IF(F254="",0,F254)</f>
        <v>-14.6413546448555</v>
      </c>
      <c r="I254" s="14" t="n">
        <f aca="false">MAX(I253,H254)</f>
        <v>4.59086078639746</v>
      </c>
      <c r="J254" s="14" t="n">
        <f aca="false">I254-H254</f>
        <v>19.2322154312529</v>
      </c>
    </row>
    <row r="255" customFormat="false" ht="15" hidden="false" customHeight="false" outlineLevel="0" collapsed="false">
      <c r="A255" s="12" t="n">
        <f aca="false">Data!A255</f>
        <v>42374</v>
      </c>
      <c r="B255" s="14" t="n">
        <f aca="false">Data!B255</f>
        <v>35.97</v>
      </c>
      <c r="C255" s="0" t="str">
        <f aca="false">IF(Data!D255="","HOLD",IF(AND(G254&lt;&gt;"IN",Data!E255&lt;-5),"BUY",IF(AND(G254="IN",Data!E255&gt;0),"SELL","HOLD")))</f>
        <v>HOLD</v>
      </c>
      <c r="D255" s="14" t="str">
        <f aca="false">IF(C255="BUY",B255,IF(G254="IN",D254,""))</f>
        <v/>
      </c>
      <c r="E255" s="14" t="str">
        <f aca="false">IF(C255="SELL",B255,"")</f>
        <v/>
      </c>
      <c r="F255" s="14" t="str">
        <f aca="false">IF(E255="","",(E255-D255)/D255*100)</f>
        <v/>
      </c>
      <c r="G255" s="0" t="str">
        <f aca="false">IF(C255="BUY","IN",IF(C255="SELL","OUT",IF(G254="IN","IN","OUT")))</f>
        <v>OUT</v>
      </c>
      <c r="H255" s="14" t="n">
        <f aca="false">H254+IF(F255="",0,F255)</f>
        <v>-14.6413546448555</v>
      </c>
      <c r="I255" s="14" t="n">
        <f aca="false">MAX(I254,H255)</f>
        <v>4.59086078639746</v>
      </c>
      <c r="J255" s="14" t="n">
        <f aca="false">I255-H255</f>
        <v>19.2322154312529</v>
      </c>
    </row>
    <row r="256" customFormat="false" ht="15" hidden="false" customHeight="false" outlineLevel="0" collapsed="false">
      <c r="A256" s="12" t="n">
        <f aca="false">Data!A256</f>
        <v>42375</v>
      </c>
      <c r="B256" s="14" t="n">
        <f aca="false">Data!B256</f>
        <v>33.97</v>
      </c>
      <c r="C256" s="0" t="str">
        <f aca="false">IF(Data!D256="","HOLD",IF(AND(G255&lt;&gt;"IN",Data!E256&lt;-5),"BUY",IF(AND(G255="IN",Data!E256&gt;0),"SELL","HOLD")))</f>
        <v>BUY</v>
      </c>
      <c r="D256" s="14" t="n">
        <f aca="false">IF(C256="BUY",B256,IF(G255="IN",D255,""))</f>
        <v>33.97</v>
      </c>
      <c r="E256" s="14" t="str">
        <f aca="false">IF(C256="SELL",B256,"")</f>
        <v/>
      </c>
      <c r="F256" s="14" t="str">
        <f aca="false">IF(E256="","",(E256-D256)/D256*100)</f>
        <v/>
      </c>
      <c r="G256" s="0" t="str">
        <f aca="false">IF(C256="BUY","IN",IF(C256="SELL","OUT",IF(G255="IN","IN","OUT")))</f>
        <v>IN</v>
      </c>
      <c r="H256" s="14" t="n">
        <f aca="false">H255+IF(F256="",0,F256)</f>
        <v>-14.6413546448555</v>
      </c>
      <c r="I256" s="14" t="n">
        <f aca="false">MAX(I255,H256)</f>
        <v>4.59086078639746</v>
      </c>
      <c r="J256" s="14" t="n">
        <f aca="false">I256-H256</f>
        <v>19.2322154312529</v>
      </c>
    </row>
    <row r="257" customFormat="false" ht="15" hidden="false" customHeight="false" outlineLevel="0" collapsed="false">
      <c r="A257" s="12" t="n">
        <f aca="false">Data!A257</f>
        <v>42376</v>
      </c>
      <c r="B257" s="14" t="n">
        <f aca="false">Data!B257</f>
        <v>33.27</v>
      </c>
      <c r="C257" s="0" t="str">
        <f aca="false">IF(Data!D257="","HOLD",IF(AND(G256&lt;&gt;"IN",Data!E257&lt;-5),"BUY",IF(AND(G256="IN",Data!E257&gt;0),"SELL","HOLD")))</f>
        <v>HOLD</v>
      </c>
      <c r="D257" s="14" t="n">
        <f aca="false">IF(C257="BUY",B257,IF(G256="IN",D256,""))</f>
        <v>33.97</v>
      </c>
      <c r="E257" s="14" t="str">
        <f aca="false">IF(C257="SELL",B257,"")</f>
        <v/>
      </c>
      <c r="F257" s="14" t="str">
        <f aca="false">IF(E257="","",(E257-D257)/D257*100)</f>
        <v/>
      </c>
      <c r="G257" s="0" t="str">
        <f aca="false">IF(C257="BUY","IN",IF(C257="SELL","OUT",IF(G256="IN","IN","OUT")))</f>
        <v>IN</v>
      </c>
      <c r="H257" s="14" t="n">
        <f aca="false">H256+IF(F257="",0,F257)</f>
        <v>-14.6413546448555</v>
      </c>
      <c r="I257" s="14" t="n">
        <f aca="false">MAX(I256,H257)</f>
        <v>4.59086078639746</v>
      </c>
      <c r="J257" s="14" t="n">
        <f aca="false">I257-H257</f>
        <v>19.2322154312529</v>
      </c>
    </row>
    <row r="258" customFormat="false" ht="15" hidden="false" customHeight="false" outlineLevel="0" collapsed="false">
      <c r="A258" s="12" t="n">
        <f aca="false">Data!A258</f>
        <v>42377</v>
      </c>
      <c r="B258" s="14" t="n">
        <f aca="false">Data!B258</f>
        <v>33.16</v>
      </c>
      <c r="C258" s="0" t="str">
        <f aca="false">IF(Data!D258="","HOLD",IF(AND(G257&lt;&gt;"IN",Data!E258&lt;-5),"BUY",IF(AND(G257="IN",Data!E258&gt;0),"SELL","HOLD")))</f>
        <v>HOLD</v>
      </c>
      <c r="D258" s="14" t="n">
        <f aca="false">IF(C258="BUY",B258,IF(G257="IN",D257,""))</f>
        <v>33.97</v>
      </c>
      <c r="E258" s="14" t="str">
        <f aca="false">IF(C258="SELL",B258,"")</f>
        <v/>
      </c>
      <c r="F258" s="14" t="str">
        <f aca="false">IF(E258="","",(E258-D258)/D258*100)</f>
        <v/>
      </c>
      <c r="G258" s="0" t="str">
        <f aca="false">IF(C258="BUY","IN",IF(C258="SELL","OUT",IF(G257="IN","IN","OUT")))</f>
        <v>IN</v>
      </c>
      <c r="H258" s="14" t="n">
        <f aca="false">H257+IF(F258="",0,F258)</f>
        <v>-14.6413546448555</v>
      </c>
      <c r="I258" s="14" t="n">
        <f aca="false">MAX(I257,H258)</f>
        <v>4.59086078639746</v>
      </c>
      <c r="J258" s="14" t="n">
        <f aca="false">I258-H258</f>
        <v>19.2322154312529</v>
      </c>
    </row>
    <row r="259" customFormat="false" ht="15" hidden="false" customHeight="false" outlineLevel="0" collapsed="false">
      <c r="A259" s="12" t="n">
        <f aca="false">Data!A259</f>
        <v>42380</v>
      </c>
      <c r="B259" s="14" t="n">
        <f aca="false">Data!B259</f>
        <v>31.41</v>
      </c>
      <c r="C259" s="0" t="str">
        <f aca="false">IF(Data!D259="","HOLD",IF(AND(G258&lt;&gt;"IN",Data!E259&lt;-5),"BUY",IF(AND(G258="IN",Data!E259&gt;0),"SELL","HOLD")))</f>
        <v>HOLD</v>
      </c>
      <c r="D259" s="14" t="n">
        <f aca="false">IF(C259="BUY",B259,IF(G258="IN",D258,""))</f>
        <v>33.97</v>
      </c>
      <c r="E259" s="14" t="str">
        <f aca="false">IF(C259="SELL",B259,"")</f>
        <v/>
      </c>
      <c r="F259" s="14" t="str">
        <f aca="false">IF(E259="","",(E259-D259)/D259*100)</f>
        <v/>
      </c>
      <c r="G259" s="0" t="str">
        <f aca="false">IF(C259="BUY","IN",IF(C259="SELL","OUT",IF(G258="IN","IN","OUT")))</f>
        <v>IN</v>
      </c>
      <c r="H259" s="14" t="n">
        <f aca="false">H258+IF(F259="",0,F259)</f>
        <v>-14.6413546448555</v>
      </c>
      <c r="I259" s="14" t="n">
        <f aca="false">MAX(I258,H259)</f>
        <v>4.59086078639746</v>
      </c>
      <c r="J259" s="14" t="n">
        <f aca="false">I259-H259</f>
        <v>19.2322154312529</v>
      </c>
    </row>
    <row r="260" customFormat="false" ht="15" hidden="false" customHeight="false" outlineLevel="0" collapsed="false">
      <c r="A260" s="12" t="n">
        <f aca="false">Data!A260</f>
        <v>42381</v>
      </c>
      <c r="B260" s="14" t="n">
        <f aca="false">Data!B260</f>
        <v>30.44</v>
      </c>
      <c r="C260" s="0" t="str">
        <f aca="false">IF(Data!D260="","HOLD",IF(AND(G259&lt;&gt;"IN",Data!E260&lt;-5),"BUY",IF(AND(G259="IN",Data!E260&gt;0),"SELL","HOLD")))</f>
        <v>HOLD</v>
      </c>
      <c r="D260" s="14" t="n">
        <f aca="false">IF(C260="BUY",B260,IF(G259="IN",D259,""))</f>
        <v>33.97</v>
      </c>
      <c r="E260" s="14" t="str">
        <f aca="false">IF(C260="SELL",B260,"")</f>
        <v/>
      </c>
      <c r="F260" s="14" t="str">
        <f aca="false">IF(E260="","",(E260-D260)/D260*100)</f>
        <v/>
      </c>
      <c r="G260" s="0" t="str">
        <f aca="false">IF(C260="BUY","IN",IF(C260="SELL","OUT",IF(G259="IN","IN","OUT")))</f>
        <v>IN</v>
      </c>
      <c r="H260" s="14" t="n">
        <f aca="false">H259+IF(F260="",0,F260)</f>
        <v>-14.6413546448555</v>
      </c>
      <c r="I260" s="14" t="n">
        <f aca="false">MAX(I259,H260)</f>
        <v>4.59086078639746</v>
      </c>
      <c r="J260" s="14" t="n">
        <f aca="false">I260-H260</f>
        <v>19.2322154312529</v>
      </c>
    </row>
    <row r="261" customFormat="false" ht="15" hidden="false" customHeight="false" outlineLevel="0" collapsed="false">
      <c r="A261" s="12" t="n">
        <f aca="false">Data!A261</f>
        <v>42382</v>
      </c>
      <c r="B261" s="14" t="n">
        <f aca="false">Data!B261</f>
        <v>30.48</v>
      </c>
      <c r="C261" s="0" t="str">
        <f aca="false">IF(Data!D261="","HOLD",IF(AND(G260&lt;&gt;"IN",Data!E261&lt;-5),"BUY",IF(AND(G260="IN",Data!E261&gt;0),"SELL","HOLD")))</f>
        <v>HOLD</v>
      </c>
      <c r="D261" s="14" t="n">
        <f aca="false">IF(C261="BUY",B261,IF(G260="IN",D260,""))</f>
        <v>33.97</v>
      </c>
      <c r="E261" s="14" t="str">
        <f aca="false">IF(C261="SELL",B261,"")</f>
        <v/>
      </c>
      <c r="F261" s="14" t="str">
        <f aca="false">IF(E261="","",(E261-D261)/D261*100)</f>
        <v/>
      </c>
      <c r="G261" s="0" t="str">
        <f aca="false">IF(C261="BUY","IN",IF(C261="SELL","OUT",IF(G260="IN","IN","OUT")))</f>
        <v>IN</v>
      </c>
      <c r="H261" s="14" t="n">
        <f aca="false">H260+IF(F261="",0,F261)</f>
        <v>-14.6413546448555</v>
      </c>
      <c r="I261" s="14" t="n">
        <f aca="false">MAX(I260,H261)</f>
        <v>4.59086078639746</v>
      </c>
      <c r="J261" s="14" t="n">
        <f aca="false">I261-H261</f>
        <v>19.2322154312529</v>
      </c>
    </row>
    <row r="262" customFormat="false" ht="15" hidden="false" customHeight="false" outlineLevel="0" collapsed="false">
      <c r="A262" s="12" t="n">
        <f aca="false">Data!A262</f>
        <v>42383</v>
      </c>
      <c r="B262" s="14" t="n">
        <f aca="false">Data!B262</f>
        <v>31.2</v>
      </c>
      <c r="C262" s="0" t="str">
        <f aca="false">IF(Data!D262="","HOLD",IF(AND(G261&lt;&gt;"IN",Data!E262&lt;-5),"BUY",IF(AND(G261="IN",Data!E262&gt;0),"SELL","HOLD")))</f>
        <v>HOLD</v>
      </c>
      <c r="D262" s="14" t="n">
        <f aca="false">IF(C262="BUY",B262,IF(G261="IN",D261,""))</f>
        <v>33.97</v>
      </c>
      <c r="E262" s="14" t="str">
        <f aca="false">IF(C262="SELL",B262,"")</f>
        <v/>
      </c>
      <c r="F262" s="14" t="str">
        <f aca="false">IF(E262="","",(E262-D262)/D262*100)</f>
        <v/>
      </c>
      <c r="G262" s="0" t="str">
        <f aca="false">IF(C262="BUY","IN",IF(C262="SELL","OUT",IF(G261="IN","IN","OUT")))</f>
        <v>IN</v>
      </c>
      <c r="H262" s="14" t="n">
        <f aca="false">H261+IF(F262="",0,F262)</f>
        <v>-14.6413546448555</v>
      </c>
      <c r="I262" s="14" t="n">
        <f aca="false">MAX(I261,H262)</f>
        <v>4.59086078639746</v>
      </c>
      <c r="J262" s="14" t="n">
        <f aca="false">I262-H262</f>
        <v>19.2322154312529</v>
      </c>
    </row>
    <row r="263" customFormat="false" ht="15" hidden="false" customHeight="false" outlineLevel="0" collapsed="false">
      <c r="A263" s="12" t="n">
        <f aca="false">Data!A263</f>
        <v>42384</v>
      </c>
      <c r="B263" s="14" t="n">
        <f aca="false">Data!B263</f>
        <v>29.42</v>
      </c>
      <c r="C263" s="0" t="str">
        <f aca="false">IF(Data!D263="","HOLD",IF(AND(G262&lt;&gt;"IN",Data!E263&lt;-5),"BUY",IF(AND(G262="IN",Data!E263&gt;0),"SELL","HOLD")))</f>
        <v>HOLD</v>
      </c>
      <c r="D263" s="14" t="n">
        <f aca="false">IF(C263="BUY",B263,IF(G262="IN",D262,""))</f>
        <v>33.97</v>
      </c>
      <c r="E263" s="14" t="str">
        <f aca="false">IF(C263="SELL",B263,"")</f>
        <v/>
      </c>
      <c r="F263" s="14" t="str">
        <f aca="false">IF(E263="","",(E263-D263)/D263*100)</f>
        <v/>
      </c>
      <c r="G263" s="0" t="str">
        <f aca="false">IF(C263="BUY","IN",IF(C263="SELL","OUT",IF(G262="IN","IN","OUT")))</f>
        <v>IN</v>
      </c>
      <c r="H263" s="14" t="n">
        <f aca="false">H262+IF(F263="",0,F263)</f>
        <v>-14.6413546448555</v>
      </c>
      <c r="I263" s="14" t="n">
        <f aca="false">MAX(I262,H263)</f>
        <v>4.59086078639746</v>
      </c>
      <c r="J263" s="14" t="n">
        <f aca="false">I263-H263</f>
        <v>19.2322154312529</v>
      </c>
    </row>
    <row r="264" customFormat="false" ht="15" hidden="false" customHeight="false" outlineLevel="0" collapsed="false">
      <c r="A264" s="12" t="n">
        <f aca="false">Data!A264</f>
        <v>42388</v>
      </c>
      <c r="B264" s="14" t="n">
        <f aca="false">Data!B264</f>
        <v>28.46</v>
      </c>
      <c r="C264" s="0" t="str">
        <f aca="false">IF(Data!D264="","HOLD",IF(AND(G263&lt;&gt;"IN",Data!E264&lt;-5),"BUY",IF(AND(G263="IN",Data!E264&gt;0),"SELL","HOLD")))</f>
        <v>HOLD</v>
      </c>
      <c r="D264" s="14" t="n">
        <f aca="false">IF(C264="BUY",B264,IF(G263="IN",D263,""))</f>
        <v>33.97</v>
      </c>
      <c r="E264" s="14" t="str">
        <f aca="false">IF(C264="SELL",B264,"")</f>
        <v/>
      </c>
      <c r="F264" s="14" t="str">
        <f aca="false">IF(E264="","",(E264-D264)/D264*100)</f>
        <v/>
      </c>
      <c r="G264" s="0" t="str">
        <f aca="false">IF(C264="BUY","IN",IF(C264="SELL","OUT",IF(G263="IN","IN","OUT")))</f>
        <v>IN</v>
      </c>
      <c r="H264" s="14" t="n">
        <f aca="false">H263+IF(F264="",0,F264)</f>
        <v>-14.6413546448555</v>
      </c>
      <c r="I264" s="14" t="n">
        <f aca="false">MAX(I263,H264)</f>
        <v>4.59086078639746</v>
      </c>
      <c r="J264" s="14" t="n">
        <f aca="false">I264-H264</f>
        <v>19.2322154312529</v>
      </c>
    </row>
    <row r="265" customFormat="false" ht="15" hidden="false" customHeight="false" outlineLevel="0" collapsed="false">
      <c r="A265" s="12" t="n">
        <f aca="false">Data!A265</f>
        <v>42389</v>
      </c>
      <c r="B265" s="14" t="n">
        <f aca="false">Data!B265</f>
        <v>26.55</v>
      </c>
      <c r="C265" s="0" t="str">
        <f aca="false">IF(Data!D265="","HOLD",IF(AND(G264&lt;&gt;"IN",Data!E265&lt;-5),"BUY",IF(AND(G264="IN",Data!E265&gt;0),"SELL","HOLD")))</f>
        <v>HOLD</v>
      </c>
      <c r="D265" s="14" t="n">
        <f aca="false">IF(C265="BUY",B265,IF(G264="IN",D264,""))</f>
        <v>33.97</v>
      </c>
      <c r="E265" s="14" t="str">
        <f aca="false">IF(C265="SELL",B265,"")</f>
        <v/>
      </c>
      <c r="F265" s="14" t="str">
        <f aca="false">IF(E265="","",(E265-D265)/D265*100)</f>
        <v/>
      </c>
      <c r="G265" s="0" t="str">
        <f aca="false">IF(C265="BUY","IN",IF(C265="SELL","OUT",IF(G264="IN","IN","OUT")))</f>
        <v>IN</v>
      </c>
      <c r="H265" s="14" t="n">
        <f aca="false">H264+IF(F265="",0,F265)</f>
        <v>-14.6413546448555</v>
      </c>
      <c r="I265" s="14" t="n">
        <f aca="false">MAX(I264,H265)</f>
        <v>4.59086078639746</v>
      </c>
      <c r="J265" s="14" t="n">
        <f aca="false">I265-H265</f>
        <v>19.2322154312529</v>
      </c>
    </row>
    <row r="266" customFormat="false" ht="15" hidden="false" customHeight="false" outlineLevel="0" collapsed="false">
      <c r="A266" s="12" t="n">
        <f aca="false">Data!A266</f>
        <v>42390</v>
      </c>
      <c r="B266" s="14" t="n">
        <f aca="false">Data!B266</f>
        <v>29.53</v>
      </c>
      <c r="C266" s="0" t="str">
        <f aca="false">IF(Data!D266="","HOLD",IF(AND(G265&lt;&gt;"IN",Data!E266&lt;-5),"BUY",IF(AND(G265="IN",Data!E266&gt;0),"SELL","HOLD")))</f>
        <v>HOLD</v>
      </c>
      <c r="D266" s="14" t="n">
        <f aca="false">IF(C266="BUY",B266,IF(G265="IN",D265,""))</f>
        <v>33.97</v>
      </c>
      <c r="E266" s="14" t="str">
        <f aca="false">IF(C266="SELL",B266,"")</f>
        <v/>
      </c>
      <c r="F266" s="14" t="str">
        <f aca="false">IF(E266="","",(E266-D266)/D266*100)</f>
        <v/>
      </c>
      <c r="G266" s="0" t="str">
        <f aca="false">IF(C266="BUY","IN",IF(C266="SELL","OUT",IF(G265="IN","IN","OUT")))</f>
        <v>IN</v>
      </c>
      <c r="H266" s="14" t="n">
        <f aca="false">H265+IF(F266="",0,F266)</f>
        <v>-14.6413546448555</v>
      </c>
      <c r="I266" s="14" t="n">
        <f aca="false">MAX(I265,H266)</f>
        <v>4.59086078639746</v>
      </c>
      <c r="J266" s="14" t="n">
        <f aca="false">I266-H266</f>
        <v>19.2322154312529</v>
      </c>
    </row>
    <row r="267" customFormat="false" ht="15" hidden="false" customHeight="false" outlineLevel="0" collapsed="false">
      <c r="A267" s="12" t="n">
        <f aca="false">Data!A267</f>
        <v>42391</v>
      </c>
      <c r="B267" s="14" t="n">
        <f aca="false">Data!B267</f>
        <v>32.19</v>
      </c>
      <c r="C267" s="0" t="str">
        <f aca="false">IF(Data!D267="","HOLD",IF(AND(G266&lt;&gt;"IN",Data!E267&lt;-5),"BUY",IF(AND(G266="IN",Data!E267&gt;0),"SELL","HOLD")))</f>
        <v>HOLD</v>
      </c>
      <c r="D267" s="14" t="n">
        <f aca="false">IF(C267="BUY",B267,IF(G266="IN",D266,""))</f>
        <v>33.97</v>
      </c>
      <c r="E267" s="14" t="str">
        <f aca="false">IF(C267="SELL",B267,"")</f>
        <v/>
      </c>
      <c r="F267" s="14" t="str">
        <f aca="false">IF(E267="","",(E267-D267)/D267*100)</f>
        <v/>
      </c>
      <c r="G267" s="0" t="str">
        <f aca="false">IF(C267="BUY","IN",IF(C267="SELL","OUT",IF(G266="IN","IN","OUT")))</f>
        <v>IN</v>
      </c>
      <c r="H267" s="14" t="n">
        <f aca="false">H266+IF(F267="",0,F267)</f>
        <v>-14.6413546448555</v>
      </c>
      <c r="I267" s="14" t="n">
        <f aca="false">MAX(I266,H267)</f>
        <v>4.59086078639746</v>
      </c>
      <c r="J267" s="14" t="n">
        <f aca="false">I267-H267</f>
        <v>19.2322154312529</v>
      </c>
    </row>
    <row r="268" customFormat="false" ht="15" hidden="false" customHeight="false" outlineLevel="0" collapsed="false">
      <c r="A268" s="12" t="n">
        <f aca="false">Data!A268</f>
        <v>42394</v>
      </c>
      <c r="B268" s="14" t="n">
        <f aca="false">Data!B268</f>
        <v>30.34</v>
      </c>
      <c r="C268" s="0" t="str">
        <f aca="false">IF(Data!D268="","HOLD",IF(AND(G267&lt;&gt;"IN",Data!E268&lt;-5),"BUY",IF(AND(G267="IN",Data!E268&gt;0),"SELL","HOLD")))</f>
        <v>HOLD</v>
      </c>
      <c r="D268" s="14" t="n">
        <f aca="false">IF(C268="BUY",B268,IF(G267="IN",D267,""))</f>
        <v>33.97</v>
      </c>
      <c r="E268" s="14" t="str">
        <f aca="false">IF(C268="SELL",B268,"")</f>
        <v/>
      </c>
      <c r="F268" s="14" t="str">
        <f aca="false">IF(E268="","",(E268-D268)/D268*100)</f>
        <v/>
      </c>
      <c r="G268" s="0" t="str">
        <f aca="false">IF(C268="BUY","IN",IF(C268="SELL","OUT",IF(G267="IN","IN","OUT")))</f>
        <v>IN</v>
      </c>
      <c r="H268" s="14" t="n">
        <f aca="false">H267+IF(F268="",0,F268)</f>
        <v>-14.6413546448555</v>
      </c>
      <c r="I268" s="14" t="n">
        <f aca="false">MAX(I267,H268)</f>
        <v>4.59086078639746</v>
      </c>
      <c r="J268" s="14" t="n">
        <f aca="false">I268-H268</f>
        <v>19.2322154312529</v>
      </c>
    </row>
    <row r="269" customFormat="false" ht="15" hidden="false" customHeight="false" outlineLevel="0" collapsed="false">
      <c r="A269" s="12" t="n">
        <f aca="false">Data!A269</f>
        <v>42395</v>
      </c>
      <c r="B269" s="14" t="n">
        <f aca="false">Data!B269</f>
        <v>31.45</v>
      </c>
      <c r="C269" s="0" t="str">
        <f aca="false">IF(Data!D269="","HOLD",IF(AND(G268&lt;&gt;"IN",Data!E269&lt;-5),"BUY",IF(AND(G268="IN",Data!E269&gt;0),"SELL","HOLD")))</f>
        <v>HOLD</v>
      </c>
      <c r="D269" s="14" t="n">
        <f aca="false">IF(C269="BUY",B269,IF(G268="IN",D268,""))</f>
        <v>33.97</v>
      </c>
      <c r="E269" s="14" t="str">
        <f aca="false">IF(C269="SELL",B269,"")</f>
        <v/>
      </c>
      <c r="F269" s="14" t="str">
        <f aca="false">IF(E269="","",(E269-D269)/D269*100)</f>
        <v/>
      </c>
      <c r="G269" s="0" t="str">
        <f aca="false">IF(C269="BUY","IN",IF(C269="SELL","OUT",IF(G268="IN","IN","OUT")))</f>
        <v>IN</v>
      </c>
      <c r="H269" s="14" t="n">
        <f aca="false">H268+IF(F269="",0,F269)</f>
        <v>-14.6413546448555</v>
      </c>
      <c r="I269" s="14" t="n">
        <f aca="false">MAX(I268,H269)</f>
        <v>4.59086078639746</v>
      </c>
      <c r="J269" s="14" t="n">
        <f aca="false">I269-H269</f>
        <v>19.2322154312529</v>
      </c>
    </row>
    <row r="270" customFormat="false" ht="15" hidden="false" customHeight="false" outlineLevel="0" collapsed="false">
      <c r="A270" s="12" t="n">
        <f aca="false">Data!A270</f>
        <v>42396</v>
      </c>
      <c r="B270" s="14" t="n">
        <f aca="false">Data!B270</f>
        <v>32.3</v>
      </c>
      <c r="C270" s="0" t="str">
        <f aca="false">IF(Data!D270="","HOLD",IF(AND(G269&lt;&gt;"IN",Data!E270&lt;-5),"BUY",IF(AND(G269="IN",Data!E270&gt;0),"SELL","HOLD")))</f>
        <v>HOLD</v>
      </c>
      <c r="D270" s="14" t="n">
        <f aca="false">IF(C270="BUY",B270,IF(G269="IN",D269,""))</f>
        <v>33.97</v>
      </c>
      <c r="E270" s="14" t="str">
        <f aca="false">IF(C270="SELL",B270,"")</f>
        <v/>
      </c>
      <c r="F270" s="14" t="str">
        <f aca="false">IF(E270="","",(E270-D270)/D270*100)</f>
        <v/>
      </c>
      <c r="G270" s="0" t="str">
        <f aca="false">IF(C270="BUY","IN",IF(C270="SELL","OUT",IF(G269="IN","IN","OUT")))</f>
        <v>IN</v>
      </c>
      <c r="H270" s="14" t="n">
        <f aca="false">H269+IF(F270="",0,F270)</f>
        <v>-14.6413546448555</v>
      </c>
      <c r="I270" s="14" t="n">
        <f aca="false">MAX(I269,H270)</f>
        <v>4.59086078639746</v>
      </c>
      <c r="J270" s="14" t="n">
        <f aca="false">I270-H270</f>
        <v>19.2322154312529</v>
      </c>
    </row>
    <row r="271" customFormat="false" ht="15" hidden="false" customHeight="false" outlineLevel="0" collapsed="false">
      <c r="A271" s="12" t="n">
        <f aca="false">Data!A271</f>
        <v>42397</v>
      </c>
      <c r="B271" s="14" t="n">
        <f aca="false">Data!B271</f>
        <v>33.22</v>
      </c>
      <c r="C271" s="0" t="str">
        <f aca="false">IF(Data!D271="","HOLD",IF(AND(G270&lt;&gt;"IN",Data!E271&lt;-5),"BUY",IF(AND(G270="IN",Data!E271&gt;0),"SELL","HOLD")))</f>
        <v>SELL</v>
      </c>
      <c r="D271" s="14" t="n">
        <f aca="false">IF(C271="BUY",B271,IF(G270="IN",D270,""))</f>
        <v>33.97</v>
      </c>
      <c r="E271" s="14" t="n">
        <f aca="false">IF(C271="SELL",B271,"")</f>
        <v>33.22</v>
      </c>
      <c r="F271" s="14" t="n">
        <f aca="false">IF(E271="","",(E271-D271)/D271*100)</f>
        <v>-2.20783043862231</v>
      </c>
      <c r="G271" s="0" t="str">
        <f aca="false">IF(C271="BUY","IN",IF(C271="SELL","OUT",IF(G270="IN","IN","OUT")))</f>
        <v>OUT</v>
      </c>
      <c r="H271" s="14" t="n">
        <f aca="false">H270+IF(F271="",0,F271)</f>
        <v>-16.8491850834778</v>
      </c>
      <c r="I271" s="14" t="n">
        <f aca="false">MAX(I270,H271)</f>
        <v>4.59086078639746</v>
      </c>
      <c r="J271" s="14" t="n">
        <f aca="false">I271-H271</f>
        <v>21.4400458698752</v>
      </c>
    </row>
    <row r="272" customFormat="false" ht="15" hidden="false" customHeight="false" outlineLevel="0" collapsed="false">
      <c r="A272" s="12" t="n">
        <f aca="false">Data!A272</f>
        <v>42398</v>
      </c>
      <c r="B272" s="14" t="n">
        <f aca="false">Data!B272</f>
        <v>33.62</v>
      </c>
      <c r="C272" s="0" t="str">
        <f aca="false">IF(Data!D272="","HOLD",IF(AND(G271&lt;&gt;"IN",Data!E272&lt;-5),"BUY",IF(AND(G271="IN",Data!E272&gt;0),"SELL","HOLD")))</f>
        <v>HOLD</v>
      </c>
      <c r="D272" s="14" t="str">
        <f aca="false">IF(C272="BUY",B272,IF(G271="IN",D271,""))</f>
        <v/>
      </c>
      <c r="E272" s="14" t="str">
        <f aca="false">IF(C272="SELL",B272,"")</f>
        <v/>
      </c>
      <c r="F272" s="14" t="str">
        <f aca="false">IF(E272="","",(E272-D272)/D272*100)</f>
        <v/>
      </c>
      <c r="G272" s="0" t="str">
        <f aca="false">IF(C272="BUY","IN",IF(C272="SELL","OUT",IF(G271="IN","IN","OUT")))</f>
        <v>OUT</v>
      </c>
      <c r="H272" s="14" t="n">
        <f aca="false">H271+IF(F272="",0,F272)</f>
        <v>-16.8491850834778</v>
      </c>
      <c r="I272" s="14" t="n">
        <f aca="false">MAX(I271,H272)</f>
        <v>4.59086078639746</v>
      </c>
      <c r="J272" s="14" t="n">
        <f aca="false">I272-H272</f>
        <v>21.4400458698752</v>
      </c>
    </row>
    <row r="273" customFormat="false" ht="15" hidden="false" customHeight="false" outlineLevel="0" collapsed="false">
      <c r="A273" s="12" t="n">
        <f aca="false">Data!A273</f>
        <v>42401</v>
      </c>
      <c r="B273" s="14" t="n">
        <f aca="false">Data!B273</f>
        <v>31.62</v>
      </c>
      <c r="C273" s="0" t="str">
        <f aca="false">IF(Data!D273="","HOLD",IF(AND(G272&lt;&gt;"IN",Data!E273&lt;-5),"BUY",IF(AND(G272="IN",Data!E273&gt;0),"SELL","HOLD")))</f>
        <v>HOLD</v>
      </c>
      <c r="D273" s="14" t="str">
        <f aca="false">IF(C273="BUY",B273,IF(G272="IN",D272,""))</f>
        <v/>
      </c>
      <c r="E273" s="14" t="str">
        <f aca="false">IF(C273="SELL",B273,"")</f>
        <v/>
      </c>
      <c r="F273" s="14" t="str">
        <f aca="false">IF(E273="","",(E273-D273)/D273*100)</f>
        <v/>
      </c>
      <c r="G273" s="0" t="str">
        <f aca="false">IF(C273="BUY","IN",IF(C273="SELL","OUT",IF(G272="IN","IN","OUT")))</f>
        <v>OUT</v>
      </c>
      <c r="H273" s="14" t="n">
        <f aca="false">H272+IF(F273="",0,F273)</f>
        <v>-16.8491850834778</v>
      </c>
      <c r="I273" s="14" t="n">
        <f aca="false">MAX(I272,H273)</f>
        <v>4.59086078639746</v>
      </c>
      <c r="J273" s="14" t="n">
        <f aca="false">I273-H273</f>
        <v>21.4400458698752</v>
      </c>
    </row>
    <row r="274" customFormat="false" ht="15" hidden="false" customHeight="false" outlineLevel="0" collapsed="false">
      <c r="A274" s="12" t="n">
        <f aca="false">Data!A274</f>
        <v>42402</v>
      </c>
      <c r="B274" s="14" t="n">
        <f aca="false">Data!B274</f>
        <v>29.88</v>
      </c>
      <c r="C274" s="0" t="str">
        <f aca="false">IF(Data!D274="","HOLD",IF(AND(G273&lt;&gt;"IN",Data!E274&lt;-5),"BUY",IF(AND(G273="IN",Data!E274&gt;0),"SELL","HOLD")))</f>
        <v>HOLD</v>
      </c>
      <c r="D274" s="14" t="str">
        <f aca="false">IF(C274="BUY",B274,IF(G273="IN",D273,""))</f>
        <v/>
      </c>
      <c r="E274" s="14" t="str">
        <f aca="false">IF(C274="SELL",B274,"")</f>
        <v/>
      </c>
      <c r="F274" s="14" t="str">
        <f aca="false">IF(E274="","",(E274-D274)/D274*100)</f>
        <v/>
      </c>
      <c r="G274" s="0" t="str">
        <f aca="false">IF(C274="BUY","IN",IF(C274="SELL","OUT",IF(G273="IN","IN","OUT")))</f>
        <v>OUT</v>
      </c>
      <c r="H274" s="14" t="n">
        <f aca="false">H273+IF(F274="",0,F274)</f>
        <v>-16.8491850834778</v>
      </c>
      <c r="I274" s="14" t="n">
        <f aca="false">MAX(I273,H274)</f>
        <v>4.59086078639746</v>
      </c>
      <c r="J274" s="14" t="n">
        <f aca="false">I274-H274</f>
        <v>21.4400458698752</v>
      </c>
    </row>
    <row r="275" customFormat="false" ht="15" hidden="false" customHeight="false" outlineLevel="0" collapsed="false">
      <c r="A275" s="12" t="n">
        <f aca="false">Data!A275</f>
        <v>42403</v>
      </c>
      <c r="B275" s="14" t="n">
        <f aca="false">Data!B275</f>
        <v>32.28</v>
      </c>
      <c r="C275" s="0" t="str">
        <f aca="false">IF(Data!D275="","HOLD",IF(AND(G274&lt;&gt;"IN",Data!E275&lt;-5),"BUY",IF(AND(G274="IN",Data!E275&gt;0),"SELL","HOLD")))</f>
        <v>HOLD</v>
      </c>
      <c r="D275" s="14" t="str">
        <f aca="false">IF(C275="BUY",B275,IF(G274="IN",D274,""))</f>
        <v/>
      </c>
      <c r="E275" s="14" t="str">
        <f aca="false">IF(C275="SELL",B275,"")</f>
        <v/>
      </c>
      <c r="F275" s="14" t="str">
        <f aca="false">IF(E275="","",(E275-D275)/D275*100)</f>
        <v/>
      </c>
      <c r="G275" s="0" t="str">
        <f aca="false">IF(C275="BUY","IN",IF(C275="SELL","OUT",IF(G274="IN","IN","OUT")))</f>
        <v>OUT</v>
      </c>
      <c r="H275" s="14" t="n">
        <f aca="false">H274+IF(F275="",0,F275)</f>
        <v>-16.8491850834778</v>
      </c>
      <c r="I275" s="14" t="n">
        <f aca="false">MAX(I274,H275)</f>
        <v>4.59086078639746</v>
      </c>
      <c r="J275" s="14" t="n">
        <f aca="false">I275-H275</f>
        <v>21.4400458698752</v>
      </c>
    </row>
    <row r="276" customFormat="false" ht="15" hidden="false" customHeight="false" outlineLevel="0" collapsed="false">
      <c r="A276" s="12" t="n">
        <f aca="false">Data!A276</f>
        <v>42404</v>
      </c>
      <c r="B276" s="14" t="n">
        <f aca="false">Data!B276</f>
        <v>31.72</v>
      </c>
      <c r="C276" s="0" t="str">
        <f aca="false">IF(Data!D276="","HOLD",IF(AND(G275&lt;&gt;"IN",Data!E276&lt;-5),"BUY",IF(AND(G275="IN",Data!E276&gt;0),"SELL","HOLD")))</f>
        <v>HOLD</v>
      </c>
      <c r="D276" s="14" t="str">
        <f aca="false">IF(C276="BUY",B276,IF(G275="IN",D275,""))</f>
        <v/>
      </c>
      <c r="E276" s="14" t="str">
        <f aca="false">IF(C276="SELL",B276,"")</f>
        <v/>
      </c>
      <c r="F276" s="14" t="str">
        <f aca="false">IF(E276="","",(E276-D276)/D276*100)</f>
        <v/>
      </c>
      <c r="G276" s="0" t="str">
        <f aca="false">IF(C276="BUY","IN",IF(C276="SELL","OUT",IF(G275="IN","IN","OUT")))</f>
        <v>OUT</v>
      </c>
      <c r="H276" s="14" t="n">
        <f aca="false">H275+IF(F276="",0,F276)</f>
        <v>-16.8491850834778</v>
      </c>
      <c r="I276" s="14" t="n">
        <f aca="false">MAX(I275,H276)</f>
        <v>4.59086078639746</v>
      </c>
      <c r="J276" s="14" t="n">
        <f aca="false">I276-H276</f>
        <v>21.4400458698752</v>
      </c>
    </row>
    <row r="277" customFormat="false" ht="15" hidden="false" customHeight="false" outlineLevel="0" collapsed="false">
      <c r="A277" s="12" t="n">
        <f aca="false">Data!A277</f>
        <v>42405</v>
      </c>
      <c r="B277" s="14" t="n">
        <f aca="false">Data!B277</f>
        <v>30.89</v>
      </c>
      <c r="C277" s="0" t="str">
        <f aca="false">IF(Data!D277="","HOLD",IF(AND(G276&lt;&gt;"IN",Data!E277&lt;-5),"BUY",IF(AND(G276="IN",Data!E277&gt;0),"SELL","HOLD")))</f>
        <v>HOLD</v>
      </c>
      <c r="D277" s="14" t="str">
        <f aca="false">IF(C277="BUY",B277,IF(G276="IN",D276,""))</f>
        <v/>
      </c>
      <c r="E277" s="14" t="str">
        <f aca="false">IF(C277="SELL",B277,"")</f>
        <v/>
      </c>
      <c r="F277" s="14" t="str">
        <f aca="false">IF(E277="","",(E277-D277)/D277*100)</f>
        <v/>
      </c>
      <c r="G277" s="0" t="str">
        <f aca="false">IF(C277="BUY","IN",IF(C277="SELL","OUT",IF(G276="IN","IN","OUT")))</f>
        <v>OUT</v>
      </c>
      <c r="H277" s="14" t="n">
        <f aca="false">H276+IF(F277="",0,F277)</f>
        <v>-16.8491850834778</v>
      </c>
      <c r="I277" s="14" t="n">
        <f aca="false">MAX(I276,H277)</f>
        <v>4.59086078639746</v>
      </c>
      <c r="J277" s="14" t="n">
        <f aca="false">I277-H277</f>
        <v>21.4400458698752</v>
      </c>
    </row>
    <row r="278" customFormat="false" ht="15" hidden="false" customHeight="false" outlineLevel="0" collapsed="false">
      <c r="A278" s="12" t="n">
        <f aca="false">Data!A278</f>
        <v>42408</v>
      </c>
      <c r="B278" s="14" t="n">
        <f aca="false">Data!B278</f>
        <v>29.69</v>
      </c>
      <c r="C278" s="0" t="str">
        <f aca="false">IF(Data!D278="","HOLD",IF(AND(G277&lt;&gt;"IN",Data!E278&lt;-5),"BUY",IF(AND(G277="IN",Data!E278&gt;0),"SELL","HOLD")))</f>
        <v>HOLD</v>
      </c>
      <c r="D278" s="14" t="str">
        <f aca="false">IF(C278="BUY",B278,IF(G277="IN",D277,""))</f>
        <v/>
      </c>
      <c r="E278" s="14" t="str">
        <f aca="false">IF(C278="SELL",B278,"")</f>
        <v/>
      </c>
      <c r="F278" s="14" t="str">
        <f aca="false">IF(E278="","",(E278-D278)/D278*100)</f>
        <v/>
      </c>
      <c r="G278" s="0" t="str">
        <f aca="false">IF(C278="BUY","IN",IF(C278="SELL","OUT",IF(G277="IN","IN","OUT")))</f>
        <v>OUT</v>
      </c>
      <c r="H278" s="14" t="n">
        <f aca="false">H277+IF(F278="",0,F278)</f>
        <v>-16.8491850834778</v>
      </c>
      <c r="I278" s="14" t="n">
        <f aca="false">MAX(I277,H278)</f>
        <v>4.59086078639746</v>
      </c>
      <c r="J278" s="14" t="n">
        <f aca="false">I278-H278</f>
        <v>21.4400458698752</v>
      </c>
    </row>
    <row r="279" customFormat="false" ht="15" hidden="false" customHeight="false" outlineLevel="0" collapsed="false">
      <c r="A279" s="12" t="n">
        <f aca="false">Data!A279</f>
        <v>42409</v>
      </c>
      <c r="B279" s="14" t="n">
        <f aca="false">Data!B279</f>
        <v>27.94</v>
      </c>
      <c r="C279" s="0" t="str">
        <f aca="false">IF(Data!D279="","HOLD",IF(AND(G278&lt;&gt;"IN",Data!E279&lt;-5),"BUY",IF(AND(G278="IN",Data!E279&gt;0),"SELL","HOLD")))</f>
        <v>BUY</v>
      </c>
      <c r="D279" s="14" t="n">
        <f aca="false">IF(C279="BUY",B279,IF(G278="IN",D278,""))</f>
        <v>27.94</v>
      </c>
      <c r="E279" s="14" t="str">
        <f aca="false">IF(C279="SELL",B279,"")</f>
        <v/>
      </c>
      <c r="F279" s="14" t="str">
        <f aca="false">IF(E279="","",(E279-D279)/D279*100)</f>
        <v/>
      </c>
      <c r="G279" s="0" t="str">
        <f aca="false">IF(C279="BUY","IN",IF(C279="SELL","OUT",IF(G278="IN","IN","OUT")))</f>
        <v>IN</v>
      </c>
      <c r="H279" s="14" t="n">
        <f aca="false">H278+IF(F279="",0,F279)</f>
        <v>-16.8491850834778</v>
      </c>
      <c r="I279" s="14" t="n">
        <f aca="false">MAX(I278,H279)</f>
        <v>4.59086078639746</v>
      </c>
      <c r="J279" s="14" t="n">
        <f aca="false">I279-H279</f>
        <v>21.4400458698752</v>
      </c>
    </row>
    <row r="280" customFormat="false" ht="15" hidden="false" customHeight="false" outlineLevel="0" collapsed="false">
      <c r="A280" s="12" t="n">
        <f aca="false">Data!A280</f>
        <v>42410</v>
      </c>
      <c r="B280" s="14" t="n">
        <f aca="false">Data!B280</f>
        <v>27.45</v>
      </c>
      <c r="C280" s="0" t="str">
        <f aca="false">IF(Data!D280="","HOLD",IF(AND(G279&lt;&gt;"IN",Data!E280&lt;-5),"BUY",IF(AND(G279="IN",Data!E280&gt;0),"SELL","HOLD")))</f>
        <v>HOLD</v>
      </c>
      <c r="D280" s="14" t="n">
        <f aca="false">IF(C280="BUY",B280,IF(G279="IN",D279,""))</f>
        <v>27.94</v>
      </c>
      <c r="E280" s="14" t="str">
        <f aca="false">IF(C280="SELL",B280,"")</f>
        <v/>
      </c>
      <c r="F280" s="14" t="str">
        <f aca="false">IF(E280="","",(E280-D280)/D280*100)</f>
        <v/>
      </c>
      <c r="G280" s="0" t="str">
        <f aca="false">IF(C280="BUY","IN",IF(C280="SELL","OUT",IF(G279="IN","IN","OUT")))</f>
        <v>IN</v>
      </c>
      <c r="H280" s="14" t="n">
        <f aca="false">H279+IF(F280="",0,F280)</f>
        <v>-16.8491850834778</v>
      </c>
      <c r="I280" s="14" t="n">
        <f aca="false">MAX(I279,H280)</f>
        <v>4.59086078639746</v>
      </c>
      <c r="J280" s="14" t="n">
        <f aca="false">I280-H280</f>
        <v>21.4400458698752</v>
      </c>
    </row>
    <row r="281" customFormat="false" ht="15" hidden="false" customHeight="false" outlineLevel="0" collapsed="false">
      <c r="A281" s="12" t="n">
        <f aca="false">Data!A281</f>
        <v>42411</v>
      </c>
      <c r="B281" s="14" t="n">
        <f aca="false">Data!B281</f>
        <v>26.21</v>
      </c>
      <c r="C281" s="0" t="str">
        <f aca="false">IF(Data!D281="","HOLD",IF(AND(G280&lt;&gt;"IN",Data!E281&lt;-5),"BUY",IF(AND(G280="IN",Data!E281&gt;0),"SELL","HOLD")))</f>
        <v>HOLD</v>
      </c>
      <c r="D281" s="14" t="n">
        <f aca="false">IF(C281="BUY",B281,IF(G280="IN",D280,""))</f>
        <v>27.94</v>
      </c>
      <c r="E281" s="14" t="str">
        <f aca="false">IF(C281="SELL",B281,"")</f>
        <v/>
      </c>
      <c r="F281" s="14" t="str">
        <f aca="false">IF(E281="","",(E281-D281)/D281*100)</f>
        <v/>
      </c>
      <c r="G281" s="0" t="str">
        <f aca="false">IF(C281="BUY","IN",IF(C281="SELL","OUT",IF(G280="IN","IN","OUT")))</f>
        <v>IN</v>
      </c>
      <c r="H281" s="14" t="n">
        <f aca="false">H280+IF(F281="",0,F281)</f>
        <v>-16.8491850834778</v>
      </c>
      <c r="I281" s="14" t="n">
        <f aca="false">MAX(I280,H281)</f>
        <v>4.59086078639746</v>
      </c>
      <c r="J281" s="14" t="n">
        <f aca="false">I281-H281</f>
        <v>21.4400458698752</v>
      </c>
    </row>
    <row r="282" customFormat="false" ht="15" hidden="false" customHeight="false" outlineLevel="0" collapsed="false">
      <c r="A282" s="12" t="n">
        <f aca="false">Data!A282</f>
        <v>42412</v>
      </c>
      <c r="B282" s="14" t="n">
        <f aca="false">Data!B282</f>
        <v>29.44</v>
      </c>
      <c r="C282" s="0" t="str">
        <f aca="false">IF(Data!D282="","HOLD",IF(AND(G281&lt;&gt;"IN",Data!E282&lt;-5),"BUY",IF(AND(G281="IN",Data!E282&gt;0),"SELL","HOLD")))</f>
        <v>HOLD</v>
      </c>
      <c r="D282" s="14" t="n">
        <f aca="false">IF(C282="BUY",B282,IF(G281="IN",D281,""))</f>
        <v>27.94</v>
      </c>
      <c r="E282" s="14" t="str">
        <f aca="false">IF(C282="SELL",B282,"")</f>
        <v/>
      </c>
      <c r="F282" s="14" t="str">
        <f aca="false">IF(E282="","",(E282-D282)/D282*100)</f>
        <v/>
      </c>
      <c r="G282" s="0" t="str">
        <f aca="false">IF(C282="BUY","IN",IF(C282="SELL","OUT",IF(G281="IN","IN","OUT")))</f>
        <v>IN</v>
      </c>
      <c r="H282" s="14" t="n">
        <f aca="false">H281+IF(F282="",0,F282)</f>
        <v>-16.8491850834778</v>
      </c>
      <c r="I282" s="14" t="n">
        <f aca="false">MAX(I281,H282)</f>
        <v>4.59086078639746</v>
      </c>
      <c r="J282" s="14" t="n">
        <f aca="false">I282-H282</f>
        <v>21.4400458698752</v>
      </c>
    </row>
    <row r="283" customFormat="false" ht="15" hidden="false" customHeight="false" outlineLevel="0" collapsed="false">
      <c r="A283" s="12" t="n">
        <f aca="false">Data!A283</f>
        <v>42416</v>
      </c>
      <c r="B283" s="14" t="n">
        <f aca="false">Data!B283</f>
        <v>29.04</v>
      </c>
      <c r="C283" s="0" t="str">
        <f aca="false">IF(Data!D283="","HOLD",IF(AND(G282&lt;&gt;"IN",Data!E283&lt;-5),"BUY",IF(AND(G282="IN",Data!E283&gt;0),"SELL","HOLD")))</f>
        <v>HOLD</v>
      </c>
      <c r="D283" s="14" t="n">
        <f aca="false">IF(C283="BUY",B283,IF(G282="IN",D282,""))</f>
        <v>27.94</v>
      </c>
      <c r="E283" s="14" t="str">
        <f aca="false">IF(C283="SELL",B283,"")</f>
        <v/>
      </c>
      <c r="F283" s="14" t="str">
        <f aca="false">IF(E283="","",(E283-D283)/D283*100)</f>
        <v/>
      </c>
      <c r="G283" s="0" t="str">
        <f aca="false">IF(C283="BUY","IN",IF(C283="SELL","OUT",IF(G282="IN","IN","OUT")))</f>
        <v>IN</v>
      </c>
      <c r="H283" s="14" t="n">
        <f aca="false">H282+IF(F283="",0,F283)</f>
        <v>-16.8491850834778</v>
      </c>
      <c r="I283" s="14" t="n">
        <f aca="false">MAX(I282,H283)</f>
        <v>4.59086078639746</v>
      </c>
      <c r="J283" s="14" t="n">
        <f aca="false">I283-H283</f>
        <v>21.4400458698752</v>
      </c>
    </row>
    <row r="284" customFormat="false" ht="15" hidden="false" customHeight="false" outlineLevel="0" collapsed="false">
      <c r="A284" s="12" t="n">
        <f aca="false">Data!A284</f>
        <v>42417</v>
      </c>
      <c r="B284" s="14" t="n">
        <f aca="false">Data!B284</f>
        <v>30.66</v>
      </c>
      <c r="C284" s="0" t="str">
        <f aca="false">IF(Data!D284="","HOLD",IF(AND(G283&lt;&gt;"IN",Data!E284&lt;-5),"BUY",IF(AND(G283="IN",Data!E284&gt;0),"SELL","HOLD")))</f>
        <v>SELL</v>
      </c>
      <c r="D284" s="14" t="n">
        <f aca="false">IF(C284="BUY",B284,IF(G283="IN",D283,""))</f>
        <v>27.94</v>
      </c>
      <c r="E284" s="14" t="n">
        <f aca="false">IF(C284="SELL",B284,"")</f>
        <v>30.66</v>
      </c>
      <c r="F284" s="14" t="n">
        <f aca="false">IF(E284="","",(E284-D284)/D284*100)</f>
        <v>9.73514674302076</v>
      </c>
      <c r="G284" s="0" t="str">
        <f aca="false">IF(C284="BUY","IN",IF(C284="SELL","OUT",IF(G283="IN","IN","OUT")))</f>
        <v>OUT</v>
      </c>
      <c r="H284" s="14" t="n">
        <f aca="false">H283+IF(F284="",0,F284)</f>
        <v>-7.11403834045702</v>
      </c>
      <c r="I284" s="14" t="n">
        <f aca="false">MAX(I283,H284)</f>
        <v>4.59086078639746</v>
      </c>
      <c r="J284" s="14" t="n">
        <f aca="false">I284-H284</f>
        <v>11.7048991268545</v>
      </c>
    </row>
    <row r="285" customFormat="false" ht="15" hidden="false" customHeight="false" outlineLevel="0" collapsed="false">
      <c r="A285" s="12" t="n">
        <f aca="false">Data!A285</f>
        <v>42418</v>
      </c>
      <c r="B285" s="14" t="n">
        <f aca="false">Data!B285</f>
        <v>30.77</v>
      </c>
      <c r="C285" s="0" t="str">
        <f aca="false">IF(Data!D285="","HOLD",IF(AND(G284&lt;&gt;"IN",Data!E285&lt;-5),"BUY",IF(AND(G284="IN",Data!E285&gt;0),"SELL","HOLD")))</f>
        <v>HOLD</v>
      </c>
      <c r="D285" s="14" t="str">
        <f aca="false">IF(C285="BUY",B285,IF(G284="IN",D284,""))</f>
        <v/>
      </c>
      <c r="E285" s="14" t="str">
        <f aca="false">IF(C285="SELL",B285,"")</f>
        <v/>
      </c>
      <c r="F285" s="14" t="str">
        <f aca="false">IF(E285="","",(E285-D285)/D285*100)</f>
        <v/>
      </c>
      <c r="G285" s="0" t="str">
        <f aca="false">IF(C285="BUY","IN",IF(C285="SELL","OUT",IF(G284="IN","IN","OUT")))</f>
        <v>OUT</v>
      </c>
      <c r="H285" s="14" t="n">
        <f aca="false">H284+IF(F285="",0,F285)</f>
        <v>-7.11403834045702</v>
      </c>
      <c r="I285" s="14" t="n">
        <f aca="false">MAX(I284,H285)</f>
        <v>4.59086078639746</v>
      </c>
      <c r="J285" s="14" t="n">
        <f aca="false">I285-H285</f>
        <v>11.7048991268545</v>
      </c>
    </row>
    <row r="286" customFormat="false" ht="15" hidden="false" customHeight="false" outlineLevel="0" collapsed="false">
      <c r="A286" s="12" t="n">
        <f aca="false">Data!A286</f>
        <v>42419</v>
      </c>
      <c r="B286" s="14" t="n">
        <f aca="false">Data!B286</f>
        <v>29.64</v>
      </c>
      <c r="C286" s="0" t="str">
        <f aca="false">IF(Data!D286="","HOLD",IF(AND(G285&lt;&gt;"IN",Data!E286&lt;-5),"BUY",IF(AND(G285="IN",Data!E286&gt;0),"SELL","HOLD")))</f>
        <v>HOLD</v>
      </c>
      <c r="D286" s="14" t="str">
        <f aca="false">IF(C286="BUY",B286,IF(G285="IN",D285,""))</f>
        <v/>
      </c>
      <c r="E286" s="14" t="str">
        <f aca="false">IF(C286="SELL",B286,"")</f>
        <v/>
      </c>
      <c r="F286" s="14" t="str">
        <f aca="false">IF(E286="","",(E286-D286)/D286*100)</f>
        <v/>
      </c>
      <c r="G286" s="0" t="str">
        <f aca="false">IF(C286="BUY","IN",IF(C286="SELL","OUT",IF(G285="IN","IN","OUT")))</f>
        <v>OUT</v>
      </c>
      <c r="H286" s="14" t="n">
        <f aca="false">H285+IF(F286="",0,F286)</f>
        <v>-7.11403834045702</v>
      </c>
      <c r="I286" s="14" t="n">
        <f aca="false">MAX(I285,H286)</f>
        <v>4.59086078639746</v>
      </c>
      <c r="J286" s="14" t="n">
        <f aca="false">I286-H286</f>
        <v>11.7048991268545</v>
      </c>
    </row>
    <row r="287" customFormat="false" ht="15" hidden="false" customHeight="false" outlineLevel="0" collapsed="false">
      <c r="A287" s="12" t="n">
        <f aca="false">Data!A287</f>
        <v>42422</v>
      </c>
      <c r="B287" s="14" t="n">
        <f aca="false">Data!B287</f>
        <v>31.48</v>
      </c>
      <c r="C287" s="0" t="str">
        <f aca="false">IF(Data!D287="","HOLD",IF(AND(G286&lt;&gt;"IN",Data!E287&lt;-5),"BUY",IF(AND(G286="IN",Data!E287&gt;0),"SELL","HOLD")))</f>
        <v>HOLD</v>
      </c>
      <c r="D287" s="14" t="str">
        <f aca="false">IF(C287="BUY",B287,IF(G286="IN",D286,""))</f>
        <v/>
      </c>
      <c r="E287" s="14" t="str">
        <f aca="false">IF(C287="SELL",B287,"")</f>
        <v/>
      </c>
      <c r="F287" s="14" t="str">
        <f aca="false">IF(E287="","",(E287-D287)/D287*100)</f>
        <v/>
      </c>
      <c r="G287" s="0" t="str">
        <f aca="false">IF(C287="BUY","IN",IF(C287="SELL","OUT",IF(G286="IN","IN","OUT")))</f>
        <v>OUT</v>
      </c>
      <c r="H287" s="14" t="n">
        <f aca="false">H286+IF(F287="",0,F287)</f>
        <v>-7.11403834045702</v>
      </c>
      <c r="I287" s="14" t="n">
        <f aca="false">MAX(I286,H287)</f>
        <v>4.59086078639746</v>
      </c>
      <c r="J287" s="14" t="n">
        <f aca="false">I287-H287</f>
        <v>11.7048991268545</v>
      </c>
    </row>
    <row r="288" customFormat="false" ht="15" hidden="false" customHeight="false" outlineLevel="0" collapsed="false">
      <c r="A288" s="12" t="n">
        <f aca="false">Data!A288</f>
        <v>42423</v>
      </c>
      <c r="B288" s="14" t="n">
        <f aca="false">Data!B288</f>
        <v>31.87</v>
      </c>
      <c r="C288" s="0" t="str">
        <f aca="false">IF(Data!D288="","HOLD",IF(AND(G287&lt;&gt;"IN",Data!E288&lt;-5),"BUY",IF(AND(G287="IN",Data!E288&gt;0),"SELL","HOLD")))</f>
        <v>HOLD</v>
      </c>
      <c r="D288" s="14" t="str">
        <f aca="false">IF(C288="BUY",B288,IF(G287="IN",D287,""))</f>
        <v/>
      </c>
      <c r="E288" s="14" t="str">
        <f aca="false">IF(C288="SELL",B288,"")</f>
        <v/>
      </c>
      <c r="F288" s="14" t="str">
        <f aca="false">IF(E288="","",(E288-D288)/D288*100)</f>
        <v/>
      </c>
      <c r="G288" s="0" t="str">
        <f aca="false">IF(C288="BUY","IN",IF(C288="SELL","OUT",IF(G287="IN","IN","OUT")))</f>
        <v>OUT</v>
      </c>
      <c r="H288" s="14" t="n">
        <f aca="false">H287+IF(F288="",0,F288)</f>
        <v>-7.11403834045702</v>
      </c>
      <c r="I288" s="14" t="n">
        <f aca="false">MAX(I287,H288)</f>
        <v>4.59086078639746</v>
      </c>
      <c r="J288" s="14" t="n">
        <f aca="false">I288-H288</f>
        <v>11.7048991268545</v>
      </c>
    </row>
    <row r="289" customFormat="false" ht="15" hidden="false" customHeight="false" outlineLevel="0" collapsed="false">
      <c r="A289" s="12" t="n">
        <f aca="false">Data!A289</f>
        <v>42424</v>
      </c>
      <c r="B289" s="14" t="n">
        <f aca="false">Data!B289</f>
        <v>32.15</v>
      </c>
      <c r="C289" s="0" t="str">
        <f aca="false">IF(Data!D289="","HOLD",IF(AND(G288&lt;&gt;"IN",Data!E289&lt;-5),"BUY",IF(AND(G288="IN",Data!E289&gt;0),"SELL","HOLD")))</f>
        <v>HOLD</v>
      </c>
      <c r="D289" s="14" t="str">
        <f aca="false">IF(C289="BUY",B289,IF(G288="IN",D288,""))</f>
        <v/>
      </c>
      <c r="E289" s="14" t="str">
        <f aca="false">IF(C289="SELL",B289,"")</f>
        <v/>
      </c>
      <c r="F289" s="14" t="str">
        <f aca="false">IF(E289="","",(E289-D289)/D289*100)</f>
        <v/>
      </c>
      <c r="G289" s="0" t="str">
        <f aca="false">IF(C289="BUY","IN",IF(C289="SELL","OUT",IF(G288="IN","IN","OUT")))</f>
        <v>OUT</v>
      </c>
      <c r="H289" s="14" t="n">
        <f aca="false">H288+IF(F289="",0,F289)</f>
        <v>-7.11403834045702</v>
      </c>
      <c r="I289" s="14" t="n">
        <f aca="false">MAX(I288,H289)</f>
        <v>4.59086078639746</v>
      </c>
      <c r="J289" s="14" t="n">
        <f aca="false">I289-H289</f>
        <v>11.7048991268545</v>
      </c>
    </row>
    <row r="290" customFormat="false" ht="15" hidden="false" customHeight="false" outlineLevel="0" collapsed="false">
      <c r="A290" s="12" t="n">
        <f aca="false">Data!A290</f>
        <v>42425</v>
      </c>
      <c r="B290" s="14" t="n">
        <f aca="false">Data!B290</f>
        <v>33.07</v>
      </c>
      <c r="C290" s="0" t="str">
        <f aca="false">IF(Data!D290="","HOLD",IF(AND(G289&lt;&gt;"IN",Data!E290&lt;-5),"BUY",IF(AND(G289="IN",Data!E290&gt;0),"SELL","HOLD")))</f>
        <v>HOLD</v>
      </c>
      <c r="D290" s="14" t="str">
        <f aca="false">IF(C290="BUY",B290,IF(G289="IN",D289,""))</f>
        <v/>
      </c>
      <c r="E290" s="14" t="str">
        <f aca="false">IF(C290="SELL",B290,"")</f>
        <v/>
      </c>
      <c r="F290" s="14" t="str">
        <f aca="false">IF(E290="","",(E290-D290)/D290*100)</f>
        <v/>
      </c>
      <c r="G290" s="0" t="str">
        <f aca="false">IF(C290="BUY","IN",IF(C290="SELL","OUT",IF(G289="IN","IN","OUT")))</f>
        <v>OUT</v>
      </c>
      <c r="H290" s="14" t="n">
        <f aca="false">H289+IF(F290="",0,F290)</f>
        <v>-7.11403834045702</v>
      </c>
      <c r="I290" s="14" t="n">
        <f aca="false">MAX(I289,H290)</f>
        <v>4.59086078639746</v>
      </c>
      <c r="J290" s="14" t="n">
        <f aca="false">I290-H290</f>
        <v>11.7048991268545</v>
      </c>
    </row>
    <row r="291" customFormat="false" ht="15" hidden="false" customHeight="false" outlineLevel="0" collapsed="false">
      <c r="A291" s="12" t="n">
        <f aca="false">Data!A291</f>
        <v>42426</v>
      </c>
      <c r="B291" s="14" t="n">
        <f aca="false">Data!B291</f>
        <v>32.78</v>
      </c>
      <c r="C291" s="0" t="str">
        <f aca="false">IF(Data!D291="","HOLD",IF(AND(G290&lt;&gt;"IN",Data!E291&lt;-5),"BUY",IF(AND(G290="IN",Data!E291&gt;0),"SELL","HOLD")))</f>
        <v>HOLD</v>
      </c>
      <c r="D291" s="14" t="str">
        <f aca="false">IF(C291="BUY",B291,IF(G290="IN",D290,""))</f>
        <v/>
      </c>
      <c r="E291" s="14" t="str">
        <f aca="false">IF(C291="SELL",B291,"")</f>
        <v/>
      </c>
      <c r="F291" s="14" t="str">
        <f aca="false">IF(E291="","",(E291-D291)/D291*100)</f>
        <v/>
      </c>
      <c r="G291" s="0" t="str">
        <f aca="false">IF(C291="BUY","IN",IF(C291="SELL","OUT",IF(G290="IN","IN","OUT")))</f>
        <v>OUT</v>
      </c>
      <c r="H291" s="14" t="n">
        <f aca="false">H290+IF(F291="",0,F291)</f>
        <v>-7.11403834045702</v>
      </c>
      <c r="I291" s="14" t="n">
        <f aca="false">MAX(I290,H291)</f>
        <v>4.59086078639746</v>
      </c>
      <c r="J291" s="14" t="n">
        <f aca="false">I291-H291</f>
        <v>11.7048991268545</v>
      </c>
    </row>
    <row r="292" customFormat="false" ht="15" hidden="false" customHeight="false" outlineLevel="0" collapsed="false">
      <c r="A292" s="12" t="n">
        <f aca="false">Data!A292</f>
        <v>42429</v>
      </c>
      <c r="B292" s="14" t="n">
        <f aca="false">Data!B292</f>
        <v>33.75</v>
      </c>
      <c r="C292" s="0" t="str">
        <f aca="false">IF(Data!D292="","HOLD",IF(AND(G291&lt;&gt;"IN",Data!E292&lt;-5),"BUY",IF(AND(G291="IN",Data!E292&gt;0),"SELL","HOLD")))</f>
        <v>HOLD</v>
      </c>
      <c r="D292" s="14" t="str">
        <f aca="false">IF(C292="BUY",B292,IF(G291="IN",D291,""))</f>
        <v/>
      </c>
      <c r="E292" s="14" t="str">
        <f aca="false">IF(C292="SELL",B292,"")</f>
        <v/>
      </c>
      <c r="F292" s="14" t="str">
        <f aca="false">IF(E292="","",(E292-D292)/D292*100)</f>
        <v/>
      </c>
      <c r="G292" s="0" t="str">
        <f aca="false">IF(C292="BUY","IN",IF(C292="SELL","OUT",IF(G291="IN","IN","OUT")))</f>
        <v>OUT</v>
      </c>
      <c r="H292" s="14" t="n">
        <f aca="false">H291+IF(F292="",0,F292)</f>
        <v>-7.11403834045702</v>
      </c>
      <c r="I292" s="14" t="n">
        <f aca="false">MAX(I291,H292)</f>
        <v>4.59086078639746</v>
      </c>
      <c r="J292" s="14" t="n">
        <f aca="false">I292-H292</f>
        <v>11.7048991268545</v>
      </c>
    </row>
    <row r="293" customFormat="false" ht="15" hidden="false" customHeight="false" outlineLevel="0" collapsed="false">
      <c r="A293" s="12" t="n">
        <f aca="false">Data!A293</f>
        <v>42430</v>
      </c>
      <c r="B293" s="14" t="n">
        <f aca="false">Data!B293</f>
        <v>34.4</v>
      </c>
      <c r="C293" s="0" t="str">
        <f aca="false">IF(Data!D293="","HOLD",IF(AND(G292&lt;&gt;"IN",Data!E293&lt;-5),"BUY",IF(AND(G292="IN",Data!E293&gt;0),"SELL","HOLD")))</f>
        <v>HOLD</v>
      </c>
      <c r="D293" s="14" t="str">
        <f aca="false">IF(C293="BUY",B293,IF(G292="IN",D292,""))</f>
        <v/>
      </c>
      <c r="E293" s="14" t="str">
        <f aca="false">IF(C293="SELL",B293,"")</f>
        <v/>
      </c>
      <c r="F293" s="14" t="str">
        <f aca="false">IF(E293="","",(E293-D293)/D293*100)</f>
        <v/>
      </c>
      <c r="G293" s="0" t="str">
        <f aca="false">IF(C293="BUY","IN",IF(C293="SELL","OUT",IF(G292="IN","IN","OUT")))</f>
        <v>OUT</v>
      </c>
      <c r="H293" s="14" t="n">
        <f aca="false">H292+IF(F293="",0,F293)</f>
        <v>-7.11403834045702</v>
      </c>
      <c r="I293" s="14" t="n">
        <f aca="false">MAX(I292,H293)</f>
        <v>4.59086078639746</v>
      </c>
      <c r="J293" s="14" t="n">
        <f aca="false">I293-H293</f>
        <v>11.7048991268545</v>
      </c>
    </row>
    <row r="294" customFormat="false" ht="15" hidden="false" customHeight="false" outlineLevel="0" collapsed="false">
      <c r="A294" s="12" t="n">
        <f aca="false">Data!A294</f>
        <v>42431</v>
      </c>
      <c r="B294" s="14" t="n">
        <f aca="false">Data!B294</f>
        <v>34.66</v>
      </c>
      <c r="C294" s="0" t="str">
        <f aca="false">IF(Data!D294="","HOLD",IF(AND(G293&lt;&gt;"IN",Data!E294&lt;-5),"BUY",IF(AND(G293="IN",Data!E294&gt;0),"SELL","HOLD")))</f>
        <v>HOLD</v>
      </c>
      <c r="D294" s="14" t="str">
        <f aca="false">IF(C294="BUY",B294,IF(G293="IN",D293,""))</f>
        <v/>
      </c>
      <c r="E294" s="14" t="str">
        <f aca="false">IF(C294="SELL",B294,"")</f>
        <v/>
      </c>
      <c r="F294" s="14" t="str">
        <f aca="false">IF(E294="","",(E294-D294)/D294*100)</f>
        <v/>
      </c>
      <c r="G294" s="0" t="str">
        <f aca="false">IF(C294="BUY","IN",IF(C294="SELL","OUT",IF(G293="IN","IN","OUT")))</f>
        <v>OUT</v>
      </c>
      <c r="H294" s="14" t="n">
        <f aca="false">H293+IF(F294="",0,F294)</f>
        <v>-7.11403834045702</v>
      </c>
      <c r="I294" s="14" t="n">
        <f aca="false">MAX(I293,H294)</f>
        <v>4.59086078639746</v>
      </c>
      <c r="J294" s="14" t="n">
        <f aca="false">I294-H294</f>
        <v>11.7048991268545</v>
      </c>
    </row>
    <row r="295" customFormat="false" ht="15" hidden="false" customHeight="false" outlineLevel="0" collapsed="false">
      <c r="A295" s="12" t="n">
        <f aca="false">Data!A295</f>
        <v>42432</v>
      </c>
      <c r="B295" s="14" t="n">
        <f aca="false">Data!B295</f>
        <v>34.57</v>
      </c>
      <c r="C295" s="0" t="str">
        <f aca="false">IF(Data!D295="","HOLD",IF(AND(G294&lt;&gt;"IN",Data!E295&lt;-5),"BUY",IF(AND(G294="IN",Data!E295&gt;0),"SELL","HOLD")))</f>
        <v>HOLD</v>
      </c>
      <c r="D295" s="14" t="str">
        <f aca="false">IF(C295="BUY",B295,IF(G294="IN",D294,""))</f>
        <v/>
      </c>
      <c r="E295" s="14" t="str">
        <f aca="false">IF(C295="SELL",B295,"")</f>
        <v/>
      </c>
      <c r="F295" s="14" t="str">
        <f aca="false">IF(E295="","",(E295-D295)/D295*100)</f>
        <v/>
      </c>
      <c r="G295" s="0" t="str">
        <f aca="false">IF(C295="BUY","IN",IF(C295="SELL","OUT",IF(G294="IN","IN","OUT")))</f>
        <v>OUT</v>
      </c>
      <c r="H295" s="14" t="n">
        <f aca="false">H294+IF(F295="",0,F295)</f>
        <v>-7.11403834045702</v>
      </c>
      <c r="I295" s="14" t="n">
        <f aca="false">MAX(I294,H295)</f>
        <v>4.59086078639746</v>
      </c>
      <c r="J295" s="14" t="n">
        <f aca="false">I295-H295</f>
        <v>11.7048991268545</v>
      </c>
    </row>
    <row r="296" customFormat="false" ht="15" hidden="false" customHeight="false" outlineLevel="0" collapsed="false">
      <c r="A296" s="12" t="n">
        <f aca="false">Data!A296</f>
        <v>42433</v>
      </c>
      <c r="B296" s="14" t="n">
        <f aca="false">Data!B296</f>
        <v>35.92</v>
      </c>
      <c r="C296" s="0" t="str">
        <f aca="false">IF(Data!D296="","HOLD",IF(AND(G295&lt;&gt;"IN",Data!E296&lt;-5),"BUY",IF(AND(G295="IN",Data!E296&gt;0),"SELL","HOLD")))</f>
        <v>HOLD</v>
      </c>
      <c r="D296" s="14" t="str">
        <f aca="false">IF(C296="BUY",B296,IF(G295="IN",D295,""))</f>
        <v/>
      </c>
      <c r="E296" s="14" t="str">
        <f aca="false">IF(C296="SELL",B296,"")</f>
        <v/>
      </c>
      <c r="F296" s="14" t="str">
        <f aca="false">IF(E296="","",(E296-D296)/D296*100)</f>
        <v/>
      </c>
      <c r="G296" s="0" t="str">
        <f aca="false">IF(C296="BUY","IN",IF(C296="SELL","OUT",IF(G295="IN","IN","OUT")))</f>
        <v>OUT</v>
      </c>
      <c r="H296" s="14" t="n">
        <f aca="false">H295+IF(F296="",0,F296)</f>
        <v>-7.11403834045702</v>
      </c>
      <c r="I296" s="14" t="n">
        <f aca="false">MAX(I295,H296)</f>
        <v>4.59086078639746</v>
      </c>
      <c r="J296" s="14" t="n">
        <f aca="false">I296-H296</f>
        <v>11.7048991268545</v>
      </c>
    </row>
    <row r="297" customFormat="false" ht="15" hidden="false" customHeight="false" outlineLevel="0" collapsed="false">
      <c r="A297" s="12" t="n">
        <f aca="false">Data!A297</f>
        <v>42436</v>
      </c>
      <c r="B297" s="14" t="n">
        <f aca="false">Data!B297</f>
        <v>37.9</v>
      </c>
      <c r="C297" s="0" t="str">
        <f aca="false">IF(Data!D297="","HOLD",IF(AND(G296&lt;&gt;"IN",Data!E297&lt;-5),"BUY",IF(AND(G296="IN",Data!E297&gt;0),"SELL","HOLD")))</f>
        <v>HOLD</v>
      </c>
      <c r="D297" s="14" t="str">
        <f aca="false">IF(C297="BUY",B297,IF(G296="IN",D296,""))</f>
        <v/>
      </c>
      <c r="E297" s="14" t="str">
        <f aca="false">IF(C297="SELL",B297,"")</f>
        <v/>
      </c>
      <c r="F297" s="14" t="str">
        <f aca="false">IF(E297="","",(E297-D297)/D297*100)</f>
        <v/>
      </c>
      <c r="G297" s="0" t="str">
        <f aca="false">IF(C297="BUY","IN",IF(C297="SELL","OUT",IF(G296="IN","IN","OUT")))</f>
        <v>OUT</v>
      </c>
      <c r="H297" s="14" t="n">
        <f aca="false">H296+IF(F297="",0,F297)</f>
        <v>-7.11403834045702</v>
      </c>
      <c r="I297" s="14" t="n">
        <f aca="false">MAX(I296,H297)</f>
        <v>4.59086078639746</v>
      </c>
      <c r="J297" s="14" t="n">
        <f aca="false">I297-H297</f>
        <v>11.7048991268545</v>
      </c>
    </row>
    <row r="298" customFormat="false" ht="15" hidden="false" customHeight="false" outlineLevel="0" collapsed="false">
      <c r="A298" s="12" t="n">
        <f aca="false">Data!A298</f>
        <v>42437</v>
      </c>
      <c r="B298" s="14" t="n">
        <f aca="false">Data!B298</f>
        <v>36.5</v>
      </c>
      <c r="C298" s="0" t="str">
        <f aca="false">IF(Data!D298="","HOLD",IF(AND(G297&lt;&gt;"IN",Data!E298&lt;-5),"BUY",IF(AND(G297="IN",Data!E298&gt;0),"SELL","HOLD")))</f>
        <v>HOLD</v>
      </c>
      <c r="D298" s="14" t="str">
        <f aca="false">IF(C298="BUY",B298,IF(G297="IN",D297,""))</f>
        <v/>
      </c>
      <c r="E298" s="14" t="str">
        <f aca="false">IF(C298="SELL",B298,"")</f>
        <v/>
      </c>
      <c r="F298" s="14" t="str">
        <f aca="false">IF(E298="","",(E298-D298)/D298*100)</f>
        <v/>
      </c>
      <c r="G298" s="0" t="str">
        <f aca="false">IF(C298="BUY","IN",IF(C298="SELL","OUT",IF(G297="IN","IN","OUT")))</f>
        <v>OUT</v>
      </c>
      <c r="H298" s="14" t="n">
        <f aca="false">H297+IF(F298="",0,F298)</f>
        <v>-7.11403834045702</v>
      </c>
      <c r="I298" s="14" t="n">
        <f aca="false">MAX(I297,H298)</f>
        <v>4.59086078639746</v>
      </c>
      <c r="J298" s="14" t="n">
        <f aca="false">I298-H298</f>
        <v>11.7048991268545</v>
      </c>
    </row>
    <row r="299" customFormat="false" ht="15" hidden="false" customHeight="false" outlineLevel="0" collapsed="false">
      <c r="A299" s="12" t="n">
        <f aca="false">Data!A299</f>
        <v>42438</v>
      </c>
      <c r="B299" s="14" t="n">
        <f aca="false">Data!B299</f>
        <v>38.29</v>
      </c>
      <c r="C299" s="0" t="str">
        <f aca="false">IF(Data!D299="","HOLD",IF(AND(G298&lt;&gt;"IN",Data!E299&lt;-5),"BUY",IF(AND(G298="IN",Data!E299&gt;0),"SELL","HOLD")))</f>
        <v>HOLD</v>
      </c>
      <c r="D299" s="14" t="str">
        <f aca="false">IF(C299="BUY",B299,IF(G298="IN",D298,""))</f>
        <v/>
      </c>
      <c r="E299" s="14" t="str">
        <f aca="false">IF(C299="SELL",B299,"")</f>
        <v/>
      </c>
      <c r="F299" s="14" t="str">
        <f aca="false">IF(E299="","",(E299-D299)/D299*100)</f>
        <v/>
      </c>
      <c r="G299" s="0" t="str">
        <f aca="false">IF(C299="BUY","IN",IF(C299="SELL","OUT",IF(G298="IN","IN","OUT")))</f>
        <v>OUT</v>
      </c>
      <c r="H299" s="14" t="n">
        <f aca="false">H298+IF(F299="",0,F299)</f>
        <v>-7.11403834045702</v>
      </c>
      <c r="I299" s="14" t="n">
        <f aca="false">MAX(I298,H299)</f>
        <v>4.59086078639746</v>
      </c>
      <c r="J299" s="14" t="n">
        <f aca="false">I299-H299</f>
        <v>11.7048991268545</v>
      </c>
    </row>
    <row r="300" customFormat="false" ht="15" hidden="false" customHeight="false" outlineLevel="0" collapsed="false">
      <c r="A300" s="12" t="n">
        <f aca="false">Data!A300</f>
        <v>42439</v>
      </c>
      <c r="B300" s="14" t="n">
        <f aca="false">Data!B300</f>
        <v>37.84</v>
      </c>
      <c r="C300" s="0" t="str">
        <f aca="false">IF(Data!D300="","HOLD",IF(AND(G299&lt;&gt;"IN",Data!E300&lt;-5),"BUY",IF(AND(G299="IN",Data!E300&gt;0),"SELL","HOLD")))</f>
        <v>HOLD</v>
      </c>
      <c r="D300" s="14" t="str">
        <f aca="false">IF(C300="BUY",B300,IF(G299="IN",D299,""))</f>
        <v/>
      </c>
      <c r="E300" s="14" t="str">
        <f aca="false">IF(C300="SELL",B300,"")</f>
        <v/>
      </c>
      <c r="F300" s="14" t="str">
        <f aca="false">IF(E300="","",(E300-D300)/D300*100)</f>
        <v/>
      </c>
      <c r="G300" s="0" t="str">
        <f aca="false">IF(C300="BUY","IN",IF(C300="SELL","OUT",IF(G299="IN","IN","OUT")))</f>
        <v>OUT</v>
      </c>
      <c r="H300" s="14" t="n">
        <f aca="false">H299+IF(F300="",0,F300)</f>
        <v>-7.11403834045702</v>
      </c>
      <c r="I300" s="14" t="n">
        <f aca="false">MAX(I299,H300)</f>
        <v>4.59086078639746</v>
      </c>
      <c r="J300" s="14" t="n">
        <f aca="false">I300-H300</f>
        <v>11.7048991268545</v>
      </c>
    </row>
    <row r="301" customFormat="false" ht="15" hidden="false" customHeight="false" outlineLevel="0" collapsed="false">
      <c r="A301" s="12" t="n">
        <f aca="false">Data!A301</f>
        <v>42440</v>
      </c>
      <c r="B301" s="14" t="n">
        <f aca="false">Data!B301</f>
        <v>38.5</v>
      </c>
      <c r="C301" s="0" t="str">
        <f aca="false">IF(Data!D301="","HOLD",IF(AND(G300&lt;&gt;"IN",Data!E301&lt;-5),"BUY",IF(AND(G300="IN",Data!E301&gt;0),"SELL","HOLD")))</f>
        <v>HOLD</v>
      </c>
      <c r="D301" s="14" t="str">
        <f aca="false">IF(C301="BUY",B301,IF(G300="IN",D300,""))</f>
        <v/>
      </c>
      <c r="E301" s="14" t="str">
        <f aca="false">IF(C301="SELL",B301,"")</f>
        <v/>
      </c>
      <c r="F301" s="14" t="str">
        <f aca="false">IF(E301="","",(E301-D301)/D301*100)</f>
        <v/>
      </c>
      <c r="G301" s="0" t="str">
        <f aca="false">IF(C301="BUY","IN",IF(C301="SELL","OUT",IF(G300="IN","IN","OUT")))</f>
        <v>OUT</v>
      </c>
      <c r="H301" s="14" t="n">
        <f aca="false">H300+IF(F301="",0,F301)</f>
        <v>-7.11403834045702</v>
      </c>
      <c r="I301" s="14" t="n">
        <f aca="false">MAX(I300,H301)</f>
        <v>4.59086078639746</v>
      </c>
      <c r="J301" s="14" t="n">
        <f aca="false">I301-H301</f>
        <v>11.7048991268545</v>
      </c>
    </row>
    <row r="302" customFormat="false" ht="15" hidden="false" customHeight="false" outlineLevel="0" collapsed="false">
      <c r="A302" s="12" t="n">
        <f aca="false">Data!A302</f>
        <v>42443</v>
      </c>
      <c r="B302" s="14" t="n">
        <f aca="false">Data!B302</f>
        <v>37.18</v>
      </c>
      <c r="C302" s="0" t="str">
        <f aca="false">IF(Data!D302="","HOLD",IF(AND(G301&lt;&gt;"IN",Data!E302&lt;-5),"BUY",IF(AND(G301="IN",Data!E302&gt;0),"SELL","HOLD")))</f>
        <v>HOLD</v>
      </c>
      <c r="D302" s="14" t="str">
        <f aca="false">IF(C302="BUY",B302,IF(G301="IN",D301,""))</f>
        <v/>
      </c>
      <c r="E302" s="14" t="str">
        <f aca="false">IF(C302="SELL",B302,"")</f>
        <v/>
      </c>
      <c r="F302" s="14" t="str">
        <f aca="false">IF(E302="","",(E302-D302)/D302*100)</f>
        <v/>
      </c>
      <c r="G302" s="0" t="str">
        <f aca="false">IF(C302="BUY","IN",IF(C302="SELL","OUT",IF(G301="IN","IN","OUT")))</f>
        <v>OUT</v>
      </c>
      <c r="H302" s="14" t="n">
        <f aca="false">H301+IF(F302="",0,F302)</f>
        <v>-7.11403834045702</v>
      </c>
      <c r="I302" s="14" t="n">
        <f aca="false">MAX(I301,H302)</f>
        <v>4.59086078639746</v>
      </c>
      <c r="J302" s="14" t="n">
        <f aca="false">I302-H302</f>
        <v>11.7048991268545</v>
      </c>
    </row>
    <row r="303" customFormat="false" ht="15" hidden="false" customHeight="false" outlineLevel="0" collapsed="false">
      <c r="A303" s="12" t="n">
        <f aca="false">Data!A303</f>
        <v>42444</v>
      </c>
      <c r="B303" s="14" t="n">
        <f aca="false">Data!B303</f>
        <v>36.34</v>
      </c>
      <c r="C303" s="0" t="str">
        <f aca="false">IF(Data!D303="","HOLD",IF(AND(G302&lt;&gt;"IN",Data!E303&lt;-5),"BUY",IF(AND(G302="IN",Data!E303&gt;0),"SELL","HOLD")))</f>
        <v>HOLD</v>
      </c>
      <c r="D303" s="14" t="str">
        <f aca="false">IF(C303="BUY",B303,IF(G302="IN",D302,""))</f>
        <v/>
      </c>
      <c r="E303" s="14" t="str">
        <f aca="false">IF(C303="SELL",B303,"")</f>
        <v/>
      </c>
      <c r="F303" s="14" t="str">
        <f aca="false">IF(E303="","",(E303-D303)/D303*100)</f>
        <v/>
      </c>
      <c r="G303" s="0" t="str">
        <f aca="false">IF(C303="BUY","IN",IF(C303="SELL","OUT",IF(G302="IN","IN","OUT")))</f>
        <v>OUT</v>
      </c>
      <c r="H303" s="14" t="n">
        <f aca="false">H302+IF(F303="",0,F303)</f>
        <v>-7.11403834045702</v>
      </c>
      <c r="I303" s="14" t="n">
        <f aca="false">MAX(I302,H303)</f>
        <v>4.59086078639746</v>
      </c>
      <c r="J303" s="14" t="n">
        <f aca="false">I303-H303</f>
        <v>11.7048991268545</v>
      </c>
    </row>
    <row r="304" customFormat="false" ht="15" hidden="false" customHeight="false" outlineLevel="0" collapsed="false">
      <c r="A304" s="12" t="n">
        <f aca="false">Data!A304</f>
        <v>42445</v>
      </c>
      <c r="B304" s="14" t="n">
        <f aca="false">Data!B304</f>
        <v>38.46</v>
      </c>
      <c r="C304" s="0" t="str">
        <f aca="false">IF(Data!D304="","HOLD",IF(AND(G303&lt;&gt;"IN",Data!E304&lt;-5),"BUY",IF(AND(G303="IN",Data!E304&gt;0),"SELL","HOLD")))</f>
        <v>HOLD</v>
      </c>
      <c r="D304" s="14" t="str">
        <f aca="false">IF(C304="BUY",B304,IF(G303="IN",D303,""))</f>
        <v/>
      </c>
      <c r="E304" s="14" t="str">
        <f aca="false">IF(C304="SELL",B304,"")</f>
        <v/>
      </c>
      <c r="F304" s="14" t="str">
        <f aca="false">IF(E304="","",(E304-D304)/D304*100)</f>
        <v/>
      </c>
      <c r="G304" s="0" t="str">
        <f aca="false">IF(C304="BUY","IN",IF(C304="SELL","OUT",IF(G303="IN","IN","OUT")))</f>
        <v>OUT</v>
      </c>
      <c r="H304" s="14" t="n">
        <f aca="false">H303+IF(F304="",0,F304)</f>
        <v>-7.11403834045702</v>
      </c>
      <c r="I304" s="14" t="n">
        <f aca="false">MAX(I303,H304)</f>
        <v>4.59086078639746</v>
      </c>
      <c r="J304" s="14" t="n">
        <f aca="false">I304-H304</f>
        <v>11.7048991268545</v>
      </c>
    </row>
    <row r="305" customFormat="false" ht="15" hidden="false" customHeight="false" outlineLevel="0" collapsed="false">
      <c r="A305" s="12" t="n">
        <f aca="false">Data!A305</f>
        <v>42446</v>
      </c>
      <c r="B305" s="14" t="n">
        <f aca="false">Data!B305</f>
        <v>40.2</v>
      </c>
      <c r="C305" s="0" t="str">
        <f aca="false">IF(Data!D305="","HOLD",IF(AND(G304&lt;&gt;"IN",Data!E305&lt;-5),"BUY",IF(AND(G304="IN",Data!E305&gt;0),"SELL","HOLD")))</f>
        <v>HOLD</v>
      </c>
      <c r="D305" s="14" t="str">
        <f aca="false">IF(C305="BUY",B305,IF(G304="IN",D304,""))</f>
        <v/>
      </c>
      <c r="E305" s="14" t="str">
        <f aca="false">IF(C305="SELL",B305,"")</f>
        <v/>
      </c>
      <c r="F305" s="14" t="str">
        <f aca="false">IF(E305="","",(E305-D305)/D305*100)</f>
        <v/>
      </c>
      <c r="G305" s="0" t="str">
        <f aca="false">IF(C305="BUY","IN",IF(C305="SELL","OUT",IF(G304="IN","IN","OUT")))</f>
        <v>OUT</v>
      </c>
      <c r="H305" s="14" t="n">
        <f aca="false">H304+IF(F305="",0,F305)</f>
        <v>-7.11403834045702</v>
      </c>
      <c r="I305" s="14" t="n">
        <f aca="false">MAX(I304,H305)</f>
        <v>4.59086078639746</v>
      </c>
      <c r="J305" s="14" t="n">
        <f aca="false">I305-H305</f>
        <v>11.7048991268545</v>
      </c>
    </row>
    <row r="306" customFormat="false" ht="15" hidden="false" customHeight="false" outlineLevel="0" collapsed="false">
      <c r="A306" s="12" t="n">
        <f aca="false">Data!A306</f>
        <v>42447</v>
      </c>
      <c r="B306" s="14" t="n">
        <f aca="false">Data!B306</f>
        <v>39.44</v>
      </c>
      <c r="C306" s="0" t="str">
        <f aca="false">IF(Data!D306="","HOLD",IF(AND(G305&lt;&gt;"IN",Data!E306&lt;-5),"BUY",IF(AND(G305="IN",Data!E306&gt;0),"SELL","HOLD")))</f>
        <v>HOLD</v>
      </c>
      <c r="D306" s="14" t="str">
        <f aca="false">IF(C306="BUY",B306,IF(G305="IN",D305,""))</f>
        <v/>
      </c>
      <c r="E306" s="14" t="str">
        <f aca="false">IF(C306="SELL",B306,"")</f>
        <v/>
      </c>
      <c r="F306" s="14" t="str">
        <f aca="false">IF(E306="","",(E306-D306)/D306*100)</f>
        <v/>
      </c>
      <c r="G306" s="0" t="str">
        <f aca="false">IF(C306="BUY","IN",IF(C306="SELL","OUT",IF(G305="IN","IN","OUT")))</f>
        <v>OUT</v>
      </c>
      <c r="H306" s="14" t="n">
        <f aca="false">H305+IF(F306="",0,F306)</f>
        <v>-7.11403834045702</v>
      </c>
      <c r="I306" s="14" t="n">
        <f aca="false">MAX(I305,H306)</f>
        <v>4.59086078639746</v>
      </c>
      <c r="J306" s="14" t="n">
        <f aca="false">I306-H306</f>
        <v>11.7048991268545</v>
      </c>
    </row>
    <row r="307" customFormat="false" ht="15" hidden="false" customHeight="false" outlineLevel="0" collapsed="false">
      <c r="A307" s="12" t="n">
        <f aca="false">Data!A307</f>
        <v>42450</v>
      </c>
      <c r="B307" s="14" t="n">
        <f aca="false">Data!B307</f>
        <v>39.91</v>
      </c>
      <c r="C307" s="0" t="str">
        <f aca="false">IF(Data!D307="","HOLD",IF(AND(G306&lt;&gt;"IN",Data!E307&lt;-5),"BUY",IF(AND(G306="IN",Data!E307&gt;0),"SELL","HOLD")))</f>
        <v>HOLD</v>
      </c>
      <c r="D307" s="14" t="str">
        <f aca="false">IF(C307="BUY",B307,IF(G306="IN",D306,""))</f>
        <v/>
      </c>
      <c r="E307" s="14" t="str">
        <f aca="false">IF(C307="SELL",B307,"")</f>
        <v/>
      </c>
      <c r="F307" s="14" t="str">
        <f aca="false">IF(E307="","",(E307-D307)/D307*100)</f>
        <v/>
      </c>
      <c r="G307" s="0" t="str">
        <f aca="false">IF(C307="BUY","IN",IF(C307="SELL","OUT",IF(G306="IN","IN","OUT")))</f>
        <v>OUT</v>
      </c>
      <c r="H307" s="14" t="n">
        <f aca="false">H306+IF(F307="",0,F307)</f>
        <v>-7.11403834045702</v>
      </c>
      <c r="I307" s="14" t="n">
        <f aca="false">MAX(I306,H307)</f>
        <v>4.59086078639746</v>
      </c>
      <c r="J307" s="14" t="n">
        <f aca="false">I307-H307</f>
        <v>11.7048991268545</v>
      </c>
    </row>
    <row r="308" customFormat="false" ht="15" hidden="false" customHeight="false" outlineLevel="0" collapsed="false">
      <c r="A308" s="12" t="n">
        <f aca="false">Data!A308</f>
        <v>42451</v>
      </c>
      <c r="B308" s="14" t="n">
        <f aca="false">Data!B308</f>
        <v>41.45</v>
      </c>
      <c r="C308" s="0" t="str">
        <f aca="false">IF(Data!D308="","HOLD",IF(AND(G307&lt;&gt;"IN",Data!E308&lt;-5),"BUY",IF(AND(G307="IN",Data!E308&gt;0),"SELL","HOLD")))</f>
        <v>HOLD</v>
      </c>
      <c r="D308" s="14" t="str">
        <f aca="false">IF(C308="BUY",B308,IF(G307="IN",D307,""))</f>
        <v/>
      </c>
      <c r="E308" s="14" t="str">
        <f aca="false">IF(C308="SELL",B308,"")</f>
        <v/>
      </c>
      <c r="F308" s="14" t="str">
        <f aca="false">IF(E308="","",(E308-D308)/D308*100)</f>
        <v/>
      </c>
      <c r="G308" s="0" t="str">
        <f aca="false">IF(C308="BUY","IN",IF(C308="SELL","OUT",IF(G307="IN","IN","OUT")))</f>
        <v>OUT</v>
      </c>
      <c r="H308" s="14" t="n">
        <f aca="false">H307+IF(F308="",0,F308)</f>
        <v>-7.11403834045702</v>
      </c>
      <c r="I308" s="14" t="n">
        <f aca="false">MAX(I307,H308)</f>
        <v>4.59086078639746</v>
      </c>
      <c r="J308" s="14" t="n">
        <f aca="false">I308-H308</f>
        <v>11.7048991268545</v>
      </c>
    </row>
    <row r="309" customFormat="false" ht="15" hidden="false" customHeight="false" outlineLevel="0" collapsed="false">
      <c r="A309" s="12" t="n">
        <f aca="false">Data!A309</f>
        <v>42452</v>
      </c>
      <c r="B309" s="14" t="n">
        <f aca="false">Data!B309</f>
        <v>39.79</v>
      </c>
      <c r="C309" s="0" t="str">
        <f aca="false">IF(Data!D309="","HOLD",IF(AND(G308&lt;&gt;"IN",Data!E309&lt;-5),"BUY",IF(AND(G308="IN",Data!E309&gt;0),"SELL","HOLD")))</f>
        <v>HOLD</v>
      </c>
      <c r="D309" s="14" t="str">
        <f aca="false">IF(C309="BUY",B309,IF(G308="IN",D308,""))</f>
        <v/>
      </c>
      <c r="E309" s="14" t="str">
        <f aca="false">IF(C309="SELL",B309,"")</f>
        <v/>
      </c>
      <c r="F309" s="14" t="str">
        <f aca="false">IF(E309="","",(E309-D309)/D309*100)</f>
        <v/>
      </c>
      <c r="G309" s="0" t="str">
        <f aca="false">IF(C309="BUY","IN",IF(C309="SELL","OUT",IF(G308="IN","IN","OUT")))</f>
        <v>OUT</v>
      </c>
      <c r="H309" s="14" t="n">
        <f aca="false">H308+IF(F309="",0,F309)</f>
        <v>-7.11403834045702</v>
      </c>
      <c r="I309" s="14" t="n">
        <f aca="false">MAX(I308,H309)</f>
        <v>4.59086078639746</v>
      </c>
      <c r="J309" s="14" t="n">
        <f aca="false">I309-H309</f>
        <v>11.7048991268545</v>
      </c>
    </row>
    <row r="310" customFormat="false" ht="15" hidden="false" customHeight="false" outlineLevel="0" collapsed="false">
      <c r="A310" s="12" t="n">
        <f aca="false">Data!A310</f>
        <v>42453</v>
      </c>
      <c r="B310" s="14" t="n">
        <f aca="false">Data!B310</f>
        <v>39.46</v>
      </c>
      <c r="C310" s="0" t="str">
        <f aca="false">IF(Data!D310="","HOLD",IF(AND(G309&lt;&gt;"IN",Data!E310&lt;-5),"BUY",IF(AND(G309="IN",Data!E310&gt;0),"SELL","HOLD")))</f>
        <v>HOLD</v>
      </c>
      <c r="D310" s="14" t="str">
        <f aca="false">IF(C310="BUY",B310,IF(G309="IN",D309,""))</f>
        <v/>
      </c>
      <c r="E310" s="14" t="str">
        <f aca="false">IF(C310="SELL",B310,"")</f>
        <v/>
      </c>
      <c r="F310" s="14" t="str">
        <f aca="false">IF(E310="","",(E310-D310)/D310*100)</f>
        <v/>
      </c>
      <c r="G310" s="0" t="str">
        <f aca="false">IF(C310="BUY","IN",IF(C310="SELL","OUT",IF(G309="IN","IN","OUT")))</f>
        <v>OUT</v>
      </c>
      <c r="H310" s="14" t="n">
        <f aca="false">H309+IF(F310="",0,F310)</f>
        <v>-7.11403834045702</v>
      </c>
      <c r="I310" s="14" t="n">
        <f aca="false">MAX(I309,H310)</f>
        <v>4.59086078639746</v>
      </c>
      <c r="J310" s="14" t="n">
        <f aca="false">I310-H310</f>
        <v>11.7048991268545</v>
      </c>
    </row>
    <row r="311" customFormat="false" ht="15" hidden="false" customHeight="false" outlineLevel="0" collapsed="false">
      <c r="A311" s="12" t="n">
        <f aca="false">Data!A311</f>
        <v>42457</v>
      </c>
      <c r="B311" s="14" t="n">
        <f aca="false">Data!B311</f>
        <v>39.39</v>
      </c>
      <c r="C311" s="0" t="str">
        <f aca="false">IF(Data!D311="","HOLD",IF(AND(G310&lt;&gt;"IN",Data!E311&lt;-5),"BUY",IF(AND(G310="IN",Data!E311&gt;0),"SELL","HOLD")))</f>
        <v>HOLD</v>
      </c>
      <c r="D311" s="14" t="str">
        <f aca="false">IF(C311="BUY",B311,IF(G310="IN",D310,""))</f>
        <v/>
      </c>
      <c r="E311" s="14" t="str">
        <f aca="false">IF(C311="SELL",B311,"")</f>
        <v/>
      </c>
      <c r="F311" s="14" t="str">
        <f aca="false">IF(E311="","",(E311-D311)/D311*100)</f>
        <v/>
      </c>
      <c r="G311" s="0" t="str">
        <f aca="false">IF(C311="BUY","IN",IF(C311="SELL","OUT",IF(G310="IN","IN","OUT")))</f>
        <v>OUT</v>
      </c>
      <c r="H311" s="14" t="n">
        <f aca="false">H310+IF(F311="",0,F311)</f>
        <v>-7.11403834045702</v>
      </c>
      <c r="I311" s="14" t="n">
        <f aca="false">MAX(I310,H311)</f>
        <v>4.59086078639746</v>
      </c>
      <c r="J311" s="14" t="n">
        <f aca="false">I311-H311</f>
        <v>11.7048991268545</v>
      </c>
    </row>
    <row r="312" customFormat="false" ht="15" hidden="false" customHeight="false" outlineLevel="0" collapsed="false">
      <c r="A312" s="12" t="n">
        <f aca="false">Data!A312</f>
        <v>42458</v>
      </c>
      <c r="B312" s="14" t="n">
        <f aca="false">Data!B312</f>
        <v>38.28</v>
      </c>
      <c r="C312" s="0" t="str">
        <f aca="false">IF(Data!D312="","HOLD",IF(AND(G311&lt;&gt;"IN",Data!E312&lt;-5),"BUY",IF(AND(G311="IN",Data!E312&gt;0),"SELL","HOLD")))</f>
        <v>HOLD</v>
      </c>
      <c r="D312" s="14" t="str">
        <f aca="false">IF(C312="BUY",B312,IF(G311="IN",D311,""))</f>
        <v/>
      </c>
      <c r="E312" s="14" t="str">
        <f aca="false">IF(C312="SELL",B312,"")</f>
        <v/>
      </c>
      <c r="F312" s="14" t="str">
        <f aca="false">IF(E312="","",(E312-D312)/D312*100)</f>
        <v/>
      </c>
      <c r="G312" s="0" t="str">
        <f aca="false">IF(C312="BUY","IN",IF(C312="SELL","OUT",IF(G311="IN","IN","OUT")))</f>
        <v>OUT</v>
      </c>
      <c r="H312" s="14" t="n">
        <f aca="false">H311+IF(F312="",0,F312)</f>
        <v>-7.11403834045702</v>
      </c>
      <c r="I312" s="14" t="n">
        <f aca="false">MAX(I311,H312)</f>
        <v>4.59086078639746</v>
      </c>
      <c r="J312" s="14" t="n">
        <f aca="false">I312-H312</f>
        <v>11.7048991268545</v>
      </c>
    </row>
    <row r="313" customFormat="false" ht="15" hidden="false" customHeight="false" outlineLevel="0" collapsed="false">
      <c r="A313" s="12" t="n">
        <f aca="false">Data!A313</f>
        <v>42459</v>
      </c>
      <c r="B313" s="14" t="n">
        <f aca="false">Data!B313</f>
        <v>38.32</v>
      </c>
      <c r="C313" s="0" t="str">
        <f aca="false">IF(Data!D313="","HOLD",IF(AND(G312&lt;&gt;"IN",Data!E313&lt;-5),"BUY",IF(AND(G312="IN",Data!E313&gt;0),"SELL","HOLD")))</f>
        <v>HOLD</v>
      </c>
      <c r="D313" s="14" t="str">
        <f aca="false">IF(C313="BUY",B313,IF(G312="IN",D312,""))</f>
        <v/>
      </c>
      <c r="E313" s="14" t="str">
        <f aca="false">IF(C313="SELL",B313,"")</f>
        <v/>
      </c>
      <c r="F313" s="14" t="str">
        <f aca="false">IF(E313="","",(E313-D313)/D313*100)</f>
        <v/>
      </c>
      <c r="G313" s="0" t="str">
        <f aca="false">IF(C313="BUY","IN",IF(C313="SELL","OUT",IF(G312="IN","IN","OUT")))</f>
        <v>OUT</v>
      </c>
      <c r="H313" s="14" t="n">
        <f aca="false">H312+IF(F313="",0,F313)</f>
        <v>-7.11403834045702</v>
      </c>
      <c r="I313" s="14" t="n">
        <f aca="false">MAX(I312,H313)</f>
        <v>4.59086078639746</v>
      </c>
      <c r="J313" s="14" t="n">
        <f aca="false">I313-H313</f>
        <v>11.7048991268545</v>
      </c>
    </row>
    <row r="314" customFormat="false" ht="15" hidden="false" customHeight="false" outlineLevel="0" collapsed="false">
      <c r="A314" s="12" t="n">
        <f aca="false">Data!A314</f>
        <v>42460</v>
      </c>
      <c r="B314" s="14" t="n">
        <f aca="false">Data!B314</f>
        <v>38.34</v>
      </c>
      <c r="C314" s="0" t="str">
        <f aca="false">IF(Data!D314="","HOLD",IF(AND(G313&lt;&gt;"IN",Data!E314&lt;-5),"BUY",IF(AND(G313="IN",Data!E314&gt;0),"SELL","HOLD")))</f>
        <v>HOLD</v>
      </c>
      <c r="D314" s="14" t="str">
        <f aca="false">IF(C314="BUY",B314,IF(G313="IN",D313,""))</f>
        <v/>
      </c>
      <c r="E314" s="14" t="str">
        <f aca="false">IF(C314="SELL",B314,"")</f>
        <v/>
      </c>
      <c r="F314" s="14" t="str">
        <f aca="false">IF(E314="","",(E314-D314)/D314*100)</f>
        <v/>
      </c>
      <c r="G314" s="0" t="str">
        <f aca="false">IF(C314="BUY","IN",IF(C314="SELL","OUT",IF(G313="IN","IN","OUT")))</f>
        <v>OUT</v>
      </c>
      <c r="H314" s="14" t="n">
        <f aca="false">H313+IF(F314="",0,F314)</f>
        <v>-7.11403834045702</v>
      </c>
      <c r="I314" s="14" t="n">
        <f aca="false">MAX(I313,H314)</f>
        <v>4.59086078639746</v>
      </c>
      <c r="J314" s="14" t="n">
        <f aca="false">I314-H314</f>
        <v>11.7048991268545</v>
      </c>
    </row>
    <row r="315" customFormat="false" ht="15" hidden="false" customHeight="false" outlineLevel="0" collapsed="false">
      <c r="A315" s="12" t="n">
        <f aca="false">Data!A315</f>
        <v>42461</v>
      </c>
      <c r="B315" s="14" t="n">
        <f aca="false">Data!B315</f>
        <v>36.79</v>
      </c>
      <c r="C315" s="0" t="str">
        <f aca="false">IF(Data!D315="","HOLD",IF(AND(G314&lt;&gt;"IN",Data!E315&lt;-5),"BUY",IF(AND(G314="IN",Data!E315&gt;0),"SELL","HOLD")))</f>
        <v>HOLD</v>
      </c>
      <c r="D315" s="14" t="str">
        <f aca="false">IF(C315="BUY",B315,IF(G314="IN",D314,""))</f>
        <v/>
      </c>
      <c r="E315" s="14" t="str">
        <f aca="false">IF(C315="SELL",B315,"")</f>
        <v/>
      </c>
      <c r="F315" s="14" t="str">
        <f aca="false">IF(E315="","",(E315-D315)/D315*100)</f>
        <v/>
      </c>
      <c r="G315" s="0" t="str">
        <f aca="false">IF(C315="BUY","IN",IF(C315="SELL","OUT",IF(G314="IN","IN","OUT")))</f>
        <v>OUT</v>
      </c>
      <c r="H315" s="14" t="n">
        <f aca="false">H314+IF(F315="",0,F315)</f>
        <v>-7.11403834045702</v>
      </c>
      <c r="I315" s="14" t="n">
        <f aca="false">MAX(I314,H315)</f>
        <v>4.59086078639746</v>
      </c>
      <c r="J315" s="14" t="n">
        <f aca="false">I315-H315</f>
        <v>11.7048991268545</v>
      </c>
    </row>
    <row r="316" customFormat="false" ht="15" hidden="false" customHeight="false" outlineLevel="0" collapsed="false">
      <c r="A316" s="12" t="n">
        <f aca="false">Data!A316</f>
        <v>42464</v>
      </c>
      <c r="B316" s="14" t="n">
        <f aca="false">Data!B316</f>
        <v>35.7</v>
      </c>
      <c r="C316" s="0" t="str">
        <f aca="false">IF(Data!D316="","HOLD",IF(AND(G315&lt;&gt;"IN",Data!E316&lt;-5),"BUY",IF(AND(G315="IN",Data!E316&gt;0),"SELL","HOLD")))</f>
        <v>BUY</v>
      </c>
      <c r="D316" s="14" t="n">
        <f aca="false">IF(C316="BUY",B316,IF(G315="IN",D315,""))</f>
        <v>35.7</v>
      </c>
      <c r="E316" s="14" t="str">
        <f aca="false">IF(C316="SELL",B316,"")</f>
        <v/>
      </c>
      <c r="F316" s="14" t="str">
        <f aca="false">IF(E316="","",(E316-D316)/D316*100)</f>
        <v/>
      </c>
      <c r="G316" s="0" t="str">
        <f aca="false">IF(C316="BUY","IN",IF(C316="SELL","OUT",IF(G315="IN","IN","OUT")))</f>
        <v>IN</v>
      </c>
      <c r="H316" s="14" t="n">
        <f aca="false">H315+IF(F316="",0,F316)</f>
        <v>-7.11403834045702</v>
      </c>
      <c r="I316" s="14" t="n">
        <f aca="false">MAX(I315,H316)</f>
        <v>4.59086078639746</v>
      </c>
      <c r="J316" s="14" t="n">
        <f aca="false">I316-H316</f>
        <v>11.7048991268545</v>
      </c>
    </row>
    <row r="317" customFormat="false" ht="15" hidden="false" customHeight="false" outlineLevel="0" collapsed="false">
      <c r="A317" s="12" t="n">
        <f aca="false">Data!A317</f>
        <v>42465</v>
      </c>
      <c r="B317" s="14" t="n">
        <f aca="false">Data!B317</f>
        <v>35.89</v>
      </c>
      <c r="C317" s="0" t="str">
        <f aca="false">IF(Data!D317="","HOLD",IF(AND(G316&lt;&gt;"IN",Data!E317&lt;-5),"BUY",IF(AND(G316="IN",Data!E317&gt;0),"SELL","HOLD")))</f>
        <v>HOLD</v>
      </c>
      <c r="D317" s="14" t="n">
        <f aca="false">IF(C317="BUY",B317,IF(G316="IN",D316,""))</f>
        <v>35.7</v>
      </c>
      <c r="E317" s="14" t="str">
        <f aca="false">IF(C317="SELL",B317,"")</f>
        <v/>
      </c>
      <c r="F317" s="14" t="str">
        <f aca="false">IF(E317="","",(E317-D317)/D317*100)</f>
        <v/>
      </c>
      <c r="G317" s="0" t="str">
        <f aca="false">IF(C317="BUY","IN",IF(C317="SELL","OUT",IF(G316="IN","IN","OUT")))</f>
        <v>IN</v>
      </c>
      <c r="H317" s="14" t="n">
        <f aca="false">H316+IF(F317="",0,F317)</f>
        <v>-7.11403834045702</v>
      </c>
      <c r="I317" s="14" t="n">
        <f aca="false">MAX(I316,H317)</f>
        <v>4.59086078639746</v>
      </c>
      <c r="J317" s="14" t="n">
        <f aca="false">I317-H317</f>
        <v>11.7048991268545</v>
      </c>
    </row>
    <row r="318" customFormat="false" ht="15" hidden="false" customHeight="false" outlineLevel="0" collapsed="false">
      <c r="A318" s="12" t="n">
        <f aca="false">Data!A318</f>
        <v>42466</v>
      </c>
      <c r="B318" s="14" t="n">
        <f aca="false">Data!B318</f>
        <v>37.75</v>
      </c>
      <c r="C318" s="0" t="str">
        <f aca="false">IF(Data!D318="","HOLD",IF(AND(G317&lt;&gt;"IN",Data!E318&lt;-5),"BUY",IF(AND(G317="IN",Data!E318&gt;0),"SELL","HOLD")))</f>
        <v>HOLD</v>
      </c>
      <c r="D318" s="14" t="n">
        <f aca="false">IF(C318="BUY",B318,IF(G317="IN",D317,""))</f>
        <v>35.7</v>
      </c>
      <c r="E318" s="14" t="str">
        <f aca="false">IF(C318="SELL",B318,"")</f>
        <v/>
      </c>
      <c r="F318" s="14" t="str">
        <f aca="false">IF(E318="","",(E318-D318)/D318*100)</f>
        <v/>
      </c>
      <c r="G318" s="0" t="str">
        <f aca="false">IF(C318="BUY","IN",IF(C318="SELL","OUT",IF(G317="IN","IN","OUT")))</f>
        <v>IN</v>
      </c>
      <c r="H318" s="14" t="n">
        <f aca="false">H317+IF(F318="",0,F318)</f>
        <v>-7.11403834045702</v>
      </c>
      <c r="I318" s="14" t="n">
        <f aca="false">MAX(I317,H318)</f>
        <v>4.59086078639746</v>
      </c>
      <c r="J318" s="14" t="n">
        <f aca="false">I318-H318</f>
        <v>11.7048991268545</v>
      </c>
    </row>
    <row r="319" customFormat="false" ht="15" hidden="false" customHeight="false" outlineLevel="0" collapsed="false">
      <c r="A319" s="12" t="n">
        <f aca="false">Data!A319</f>
        <v>42467</v>
      </c>
      <c r="B319" s="14" t="n">
        <f aca="false">Data!B319</f>
        <v>37.26</v>
      </c>
      <c r="C319" s="0" t="str">
        <f aca="false">IF(Data!D319="","HOLD",IF(AND(G318&lt;&gt;"IN",Data!E319&lt;-5),"BUY",IF(AND(G318="IN",Data!E319&gt;0),"SELL","HOLD")))</f>
        <v>HOLD</v>
      </c>
      <c r="D319" s="14" t="n">
        <f aca="false">IF(C319="BUY",B319,IF(G318="IN",D318,""))</f>
        <v>35.7</v>
      </c>
      <c r="E319" s="14" t="str">
        <f aca="false">IF(C319="SELL",B319,"")</f>
        <v/>
      </c>
      <c r="F319" s="14" t="str">
        <f aca="false">IF(E319="","",(E319-D319)/D319*100)</f>
        <v/>
      </c>
      <c r="G319" s="0" t="str">
        <f aca="false">IF(C319="BUY","IN",IF(C319="SELL","OUT",IF(G318="IN","IN","OUT")))</f>
        <v>IN</v>
      </c>
      <c r="H319" s="14" t="n">
        <f aca="false">H318+IF(F319="",0,F319)</f>
        <v>-7.11403834045702</v>
      </c>
      <c r="I319" s="14" t="n">
        <f aca="false">MAX(I318,H319)</f>
        <v>4.59086078639746</v>
      </c>
      <c r="J319" s="14" t="n">
        <f aca="false">I319-H319</f>
        <v>11.7048991268545</v>
      </c>
    </row>
    <row r="320" customFormat="false" ht="15" hidden="false" customHeight="false" outlineLevel="0" collapsed="false">
      <c r="A320" s="12" t="n">
        <f aca="false">Data!A320</f>
        <v>42468</v>
      </c>
      <c r="B320" s="14" t="n">
        <f aca="false">Data!B320</f>
        <v>39.72</v>
      </c>
      <c r="C320" s="0" t="str">
        <f aca="false">IF(Data!D320="","HOLD",IF(AND(G319&lt;&gt;"IN",Data!E320&lt;-5),"BUY",IF(AND(G319="IN",Data!E320&gt;0),"SELL","HOLD")))</f>
        <v>SELL</v>
      </c>
      <c r="D320" s="14" t="n">
        <f aca="false">IF(C320="BUY",B320,IF(G319="IN",D319,""))</f>
        <v>35.7</v>
      </c>
      <c r="E320" s="14" t="n">
        <f aca="false">IF(C320="SELL",B320,"")</f>
        <v>39.72</v>
      </c>
      <c r="F320" s="14" t="n">
        <f aca="false">IF(E320="","",(E320-D320)/D320*100)</f>
        <v>11.2605042016807</v>
      </c>
      <c r="G320" s="0" t="str">
        <f aca="false">IF(C320="BUY","IN",IF(C320="SELL","OUT",IF(G319="IN","IN","OUT")))</f>
        <v>OUT</v>
      </c>
      <c r="H320" s="14" t="n">
        <f aca="false">H319+IF(F320="",0,F320)</f>
        <v>4.14646586122364</v>
      </c>
      <c r="I320" s="14" t="n">
        <f aca="false">MAX(I319,H320)</f>
        <v>4.59086078639746</v>
      </c>
      <c r="J320" s="14" t="n">
        <f aca="false">I320-H320</f>
        <v>0.444394925173813</v>
      </c>
    </row>
    <row r="321" customFormat="false" ht="15" hidden="false" customHeight="false" outlineLevel="0" collapsed="false">
      <c r="A321" s="12" t="n">
        <f aca="false">Data!A321</f>
        <v>42471</v>
      </c>
      <c r="B321" s="14" t="n">
        <f aca="false">Data!B321</f>
        <v>40.36</v>
      </c>
      <c r="C321" s="0" t="str">
        <f aca="false">IF(Data!D321="","HOLD",IF(AND(G320&lt;&gt;"IN",Data!E321&lt;-5),"BUY",IF(AND(G320="IN",Data!E321&gt;0),"SELL","HOLD")))</f>
        <v>HOLD</v>
      </c>
      <c r="D321" s="14" t="str">
        <f aca="false">IF(C321="BUY",B321,IF(G320="IN",D320,""))</f>
        <v/>
      </c>
      <c r="E321" s="14" t="str">
        <f aca="false">IF(C321="SELL",B321,"")</f>
        <v/>
      </c>
      <c r="F321" s="14" t="str">
        <f aca="false">IF(E321="","",(E321-D321)/D321*100)</f>
        <v/>
      </c>
      <c r="G321" s="0" t="str">
        <f aca="false">IF(C321="BUY","IN",IF(C321="SELL","OUT",IF(G320="IN","IN","OUT")))</f>
        <v>OUT</v>
      </c>
      <c r="H321" s="14" t="n">
        <f aca="false">H320+IF(F321="",0,F321)</f>
        <v>4.14646586122364</v>
      </c>
      <c r="I321" s="14" t="n">
        <f aca="false">MAX(I320,H321)</f>
        <v>4.59086078639746</v>
      </c>
      <c r="J321" s="14" t="n">
        <f aca="false">I321-H321</f>
        <v>0.444394925173813</v>
      </c>
    </row>
    <row r="322" customFormat="false" ht="15" hidden="false" customHeight="false" outlineLevel="0" collapsed="false">
      <c r="A322" s="12" t="n">
        <f aca="false">Data!A322</f>
        <v>42472</v>
      </c>
      <c r="B322" s="14" t="n">
        <f aca="false">Data!B322</f>
        <v>42.17</v>
      </c>
      <c r="C322" s="0" t="str">
        <f aca="false">IF(Data!D322="","HOLD",IF(AND(G321&lt;&gt;"IN",Data!E322&lt;-5),"BUY",IF(AND(G321="IN",Data!E322&gt;0),"SELL","HOLD")))</f>
        <v>HOLD</v>
      </c>
      <c r="D322" s="14" t="str">
        <f aca="false">IF(C322="BUY",B322,IF(G321="IN",D321,""))</f>
        <v/>
      </c>
      <c r="E322" s="14" t="str">
        <f aca="false">IF(C322="SELL",B322,"")</f>
        <v/>
      </c>
      <c r="F322" s="14" t="str">
        <f aca="false">IF(E322="","",(E322-D322)/D322*100)</f>
        <v/>
      </c>
      <c r="G322" s="0" t="str">
        <f aca="false">IF(C322="BUY","IN",IF(C322="SELL","OUT",IF(G321="IN","IN","OUT")))</f>
        <v>OUT</v>
      </c>
      <c r="H322" s="14" t="n">
        <f aca="false">H321+IF(F322="",0,F322)</f>
        <v>4.14646586122364</v>
      </c>
      <c r="I322" s="14" t="n">
        <f aca="false">MAX(I321,H322)</f>
        <v>4.59086078639746</v>
      </c>
      <c r="J322" s="14" t="n">
        <f aca="false">I322-H322</f>
        <v>0.444394925173813</v>
      </c>
    </row>
    <row r="323" customFormat="false" ht="15" hidden="false" customHeight="false" outlineLevel="0" collapsed="false">
      <c r="A323" s="12" t="n">
        <f aca="false">Data!A323</f>
        <v>42473</v>
      </c>
      <c r="B323" s="14" t="n">
        <f aca="false">Data!B323</f>
        <v>41.76</v>
      </c>
      <c r="C323" s="0" t="str">
        <f aca="false">IF(Data!D323="","HOLD",IF(AND(G322&lt;&gt;"IN",Data!E323&lt;-5),"BUY",IF(AND(G322="IN",Data!E323&gt;0),"SELL","HOLD")))</f>
        <v>HOLD</v>
      </c>
      <c r="D323" s="14" t="str">
        <f aca="false">IF(C323="BUY",B323,IF(G322="IN",D322,""))</f>
        <v/>
      </c>
      <c r="E323" s="14" t="str">
        <f aca="false">IF(C323="SELL",B323,"")</f>
        <v/>
      </c>
      <c r="F323" s="14" t="str">
        <f aca="false">IF(E323="","",(E323-D323)/D323*100)</f>
        <v/>
      </c>
      <c r="G323" s="0" t="str">
        <f aca="false">IF(C323="BUY","IN",IF(C323="SELL","OUT",IF(G322="IN","IN","OUT")))</f>
        <v>OUT</v>
      </c>
      <c r="H323" s="14" t="n">
        <f aca="false">H322+IF(F323="",0,F323)</f>
        <v>4.14646586122364</v>
      </c>
      <c r="I323" s="14" t="n">
        <f aca="false">MAX(I322,H323)</f>
        <v>4.59086078639746</v>
      </c>
      <c r="J323" s="14" t="n">
        <f aca="false">I323-H323</f>
        <v>0.444394925173813</v>
      </c>
    </row>
    <row r="324" customFormat="false" ht="15" hidden="false" customHeight="false" outlineLevel="0" collapsed="false">
      <c r="A324" s="12" t="n">
        <f aca="false">Data!A324</f>
        <v>42474</v>
      </c>
      <c r="B324" s="14" t="n">
        <f aca="false">Data!B324</f>
        <v>41.5</v>
      </c>
      <c r="C324" s="0" t="str">
        <f aca="false">IF(Data!D324="","HOLD",IF(AND(G323&lt;&gt;"IN",Data!E324&lt;-5),"BUY",IF(AND(G323="IN",Data!E324&gt;0),"SELL","HOLD")))</f>
        <v>HOLD</v>
      </c>
      <c r="D324" s="14" t="str">
        <f aca="false">IF(C324="BUY",B324,IF(G323="IN",D323,""))</f>
        <v/>
      </c>
      <c r="E324" s="14" t="str">
        <f aca="false">IF(C324="SELL",B324,"")</f>
        <v/>
      </c>
      <c r="F324" s="14" t="str">
        <f aca="false">IF(E324="","",(E324-D324)/D324*100)</f>
        <v/>
      </c>
      <c r="G324" s="0" t="str">
        <f aca="false">IF(C324="BUY","IN",IF(C324="SELL","OUT",IF(G323="IN","IN","OUT")))</f>
        <v>OUT</v>
      </c>
      <c r="H324" s="14" t="n">
        <f aca="false">H323+IF(F324="",0,F324)</f>
        <v>4.14646586122364</v>
      </c>
      <c r="I324" s="14" t="n">
        <f aca="false">MAX(I323,H324)</f>
        <v>4.59086078639746</v>
      </c>
      <c r="J324" s="14" t="n">
        <f aca="false">I324-H324</f>
        <v>0.444394925173813</v>
      </c>
    </row>
    <row r="325" customFormat="false" ht="15" hidden="false" customHeight="false" outlineLevel="0" collapsed="false">
      <c r="A325" s="12" t="n">
        <f aca="false">Data!A325</f>
        <v>42475</v>
      </c>
      <c r="B325" s="14" t="n">
        <f aca="false">Data!B325</f>
        <v>40.36</v>
      </c>
      <c r="C325" s="0" t="str">
        <f aca="false">IF(Data!D325="","HOLD",IF(AND(G324&lt;&gt;"IN",Data!E325&lt;-5),"BUY",IF(AND(G324="IN",Data!E325&gt;0),"SELL","HOLD")))</f>
        <v>HOLD</v>
      </c>
      <c r="D325" s="14" t="str">
        <f aca="false">IF(C325="BUY",B325,IF(G324="IN",D324,""))</f>
        <v/>
      </c>
      <c r="E325" s="14" t="str">
        <f aca="false">IF(C325="SELL",B325,"")</f>
        <v/>
      </c>
      <c r="F325" s="14" t="str">
        <f aca="false">IF(E325="","",(E325-D325)/D325*100)</f>
        <v/>
      </c>
      <c r="G325" s="0" t="str">
        <f aca="false">IF(C325="BUY","IN",IF(C325="SELL","OUT",IF(G324="IN","IN","OUT")))</f>
        <v>OUT</v>
      </c>
      <c r="H325" s="14" t="n">
        <f aca="false">H324+IF(F325="",0,F325)</f>
        <v>4.14646586122364</v>
      </c>
      <c r="I325" s="14" t="n">
        <f aca="false">MAX(I324,H325)</f>
        <v>4.59086078639746</v>
      </c>
      <c r="J325" s="14" t="n">
        <f aca="false">I325-H325</f>
        <v>0.444394925173813</v>
      </c>
    </row>
    <row r="326" customFormat="false" ht="15" hidden="false" customHeight="false" outlineLevel="0" collapsed="false">
      <c r="A326" s="12" t="n">
        <f aca="false">Data!A326</f>
        <v>42478</v>
      </c>
      <c r="B326" s="14" t="n">
        <f aca="false">Data!B326</f>
        <v>39.78</v>
      </c>
      <c r="C326" s="0" t="str">
        <f aca="false">IF(Data!D326="","HOLD",IF(AND(G325&lt;&gt;"IN",Data!E326&lt;-5),"BUY",IF(AND(G325="IN",Data!E326&gt;0),"SELL","HOLD")))</f>
        <v>HOLD</v>
      </c>
      <c r="D326" s="14" t="str">
        <f aca="false">IF(C326="BUY",B326,IF(G325="IN",D325,""))</f>
        <v/>
      </c>
      <c r="E326" s="14" t="str">
        <f aca="false">IF(C326="SELL",B326,"")</f>
        <v/>
      </c>
      <c r="F326" s="14" t="str">
        <f aca="false">IF(E326="","",(E326-D326)/D326*100)</f>
        <v/>
      </c>
      <c r="G326" s="0" t="str">
        <f aca="false">IF(C326="BUY","IN",IF(C326="SELL","OUT",IF(G325="IN","IN","OUT")))</f>
        <v>OUT</v>
      </c>
      <c r="H326" s="14" t="n">
        <f aca="false">H325+IF(F326="",0,F326)</f>
        <v>4.14646586122364</v>
      </c>
      <c r="I326" s="14" t="n">
        <f aca="false">MAX(I325,H326)</f>
        <v>4.59086078639746</v>
      </c>
      <c r="J326" s="14" t="n">
        <f aca="false">I326-H326</f>
        <v>0.444394925173813</v>
      </c>
    </row>
    <row r="327" customFormat="false" ht="15" hidden="false" customHeight="false" outlineLevel="0" collapsed="false">
      <c r="A327" s="12" t="n">
        <f aca="false">Data!A327</f>
        <v>42479</v>
      </c>
      <c r="B327" s="14" t="n">
        <f aca="false">Data!B327</f>
        <v>41.08</v>
      </c>
      <c r="C327" s="0" t="str">
        <f aca="false">IF(Data!D327="","HOLD",IF(AND(G326&lt;&gt;"IN",Data!E327&lt;-5),"BUY",IF(AND(G326="IN",Data!E327&gt;0),"SELL","HOLD")))</f>
        <v>HOLD</v>
      </c>
      <c r="D327" s="14" t="str">
        <f aca="false">IF(C327="BUY",B327,IF(G326="IN",D326,""))</f>
        <v/>
      </c>
      <c r="E327" s="14" t="str">
        <f aca="false">IF(C327="SELL",B327,"")</f>
        <v/>
      </c>
      <c r="F327" s="14" t="str">
        <f aca="false">IF(E327="","",(E327-D327)/D327*100)</f>
        <v/>
      </c>
      <c r="G327" s="0" t="str">
        <f aca="false">IF(C327="BUY","IN",IF(C327="SELL","OUT",IF(G326="IN","IN","OUT")))</f>
        <v>OUT</v>
      </c>
      <c r="H327" s="14" t="n">
        <f aca="false">H326+IF(F327="",0,F327)</f>
        <v>4.14646586122364</v>
      </c>
      <c r="I327" s="14" t="n">
        <f aca="false">MAX(I326,H327)</f>
        <v>4.59086078639746</v>
      </c>
      <c r="J327" s="14" t="n">
        <f aca="false">I327-H327</f>
        <v>0.444394925173813</v>
      </c>
    </row>
    <row r="328" customFormat="false" ht="15" hidden="false" customHeight="false" outlineLevel="0" collapsed="false">
      <c r="A328" s="12" t="n">
        <f aca="false">Data!A328</f>
        <v>42480</v>
      </c>
      <c r="B328" s="14" t="n">
        <f aca="false">Data!B328</f>
        <v>42.63</v>
      </c>
      <c r="C328" s="0" t="str">
        <f aca="false">IF(Data!D328="","HOLD",IF(AND(G327&lt;&gt;"IN",Data!E328&lt;-5),"BUY",IF(AND(G327="IN",Data!E328&gt;0),"SELL","HOLD")))</f>
        <v>HOLD</v>
      </c>
      <c r="D328" s="14" t="str">
        <f aca="false">IF(C328="BUY",B328,IF(G327="IN",D327,""))</f>
        <v/>
      </c>
      <c r="E328" s="14" t="str">
        <f aca="false">IF(C328="SELL",B328,"")</f>
        <v/>
      </c>
      <c r="F328" s="14" t="str">
        <f aca="false">IF(E328="","",(E328-D328)/D328*100)</f>
        <v/>
      </c>
      <c r="G328" s="0" t="str">
        <f aca="false">IF(C328="BUY","IN",IF(C328="SELL","OUT",IF(G327="IN","IN","OUT")))</f>
        <v>OUT</v>
      </c>
      <c r="H328" s="14" t="n">
        <f aca="false">H327+IF(F328="",0,F328)</f>
        <v>4.14646586122364</v>
      </c>
      <c r="I328" s="14" t="n">
        <f aca="false">MAX(I327,H328)</f>
        <v>4.59086078639746</v>
      </c>
      <c r="J328" s="14" t="n">
        <f aca="false">I328-H328</f>
        <v>0.444394925173813</v>
      </c>
    </row>
    <row r="329" customFormat="false" ht="15" hidden="false" customHeight="false" outlineLevel="0" collapsed="false">
      <c r="A329" s="12" t="n">
        <f aca="false">Data!A329</f>
        <v>42481</v>
      </c>
      <c r="B329" s="14" t="n">
        <f aca="false">Data!B329</f>
        <v>43.18</v>
      </c>
      <c r="C329" s="0" t="str">
        <f aca="false">IF(Data!D329="","HOLD",IF(AND(G328&lt;&gt;"IN",Data!E329&lt;-5),"BUY",IF(AND(G328="IN",Data!E329&gt;0),"SELL","HOLD")))</f>
        <v>HOLD</v>
      </c>
      <c r="D329" s="14" t="str">
        <f aca="false">IF(C329="BUY",B329,IF(G328="IN",D328,""))</f>
        <v/>
      </c>
      <c r="E329" s="14" t="str">
        <f aca="false">IF(C329="SELL",B329,"")</f>
        <v/>
      </c>
      <c r="F329" s="14" t="str">
        <f aca="false">IF(E329="","",(E329-D329)/D329*100)</f>
        <v/>
      </c>
      <c r="G329" s="0" t="str">
        <f aca="false">IF(C329="BUY","IN",IF(C329="SELL","OUT",IF(G328="IN","IN","OUT")))</f>
        <v>OUT</v>
      </c>
      <c r="H329" s="14" t="n">
        <f aca="false">H328+IF(F329="",0,F329)</f>
        <v>4.14646586122364</v>
      </c>
      <c r="I329" s="14" t="n">
        <f aca="false">MAX(I328,H329)</f>
        <v>4.59086078639746</v>
      </c>
      <c r="J329" s="14" t="n">
        <f aca="false">I329-H329</f>
        <v>0.444394925173813</v>
      </c>
    </row>
    <row r="330" customFormat="false" ht="15" hidden="false" customHeight="false" outlineLevel="0" collapsed="false">
      <c r="A330" s="12" t="n">
        <f aca="false">Data!A330</f>
        <v>42482</v>
      </c>
      <c r="B330" s="14" t="n">
        <f aca="false">Data!B330</f>
        <v>43.73</v>
      </c>
      <c r="C330" s="0" t="str">
        <f aca="false">IF(Data!D330="","HOLD",IF(AND(G329&lt;&gt;"IN",Data!E330&lt;-5),"BUY",IF(AND(G329="IN",Data!E330&gt;0),"SELL","HOLD")))</f>
        <v>HOLD</v>
      </c>
      <c r="D330" s="14" t="str">
        <f aca="false">IF(C330="BUY",B330,IF(G329="IN",D329,""))</f>
        <v/>
      </c>
      <c r="E330" s="14" t="str">
        <f aca="false">IF(C330="SELL",B330,"")</f>
        <v/>
      </c>
      <c r="F330" s="14" t="str">
        <f aca="false">IF(E330="","",(E330-D330)/D330*100)</f>
        <v/>
      </c>
      <c r="G330" s="0" t="str">
        <f aca="false">IF(C330="BUY","IN",IF(C330="SELL","OUT",IF(G329="IN","IN","OUT")))</f>
        <v>OUT</v>
      </c>
      <c r="H330" s="14" t="n">
        <f aca="false">H329+IF(F330="",0,F330)</f>
        <v>4.14646586122364</v>
      </c>
      <c r="I330" s="14" t="n">
        <f aca="false">MAX(I329,H330)</f>
        <v>4.59086078639746</v>
      </c>
      <c r="J330" s="14" t="n">
        <f aca="false">I330-H330</f>
        <v>0.444394925173813</v>
      </c>
    </row>
    <row r="331" customFormat="false" ht="15" hidden="false" customHeight="false" outlineLevel="0" collapsed="false">
      <c r="A331" s="12" t="n">
        <f aca="false">Data!A331</f>
        <v>42485</v>
      </c>
      <c r="B331" s="14" t="n">
        <f aca="false">Data!B331</f>
        <v>42.64</v>
      </c>
      <c r="C331" s="0" t="str">
        <f aca="false">IF(Data!D331="","HOLD",IF(AND(G330&lt;&gt;"IN",Data!E331&lt;-5),"BUY",IF(AND(G330="IN",Data!E331&gt;0),"SELL","HOLD")))</f>
        <v>HOLD</v>
      </c>
      <c r="D331" s="14" t="str">
        <f aca="false">IF(C331="BUY",B331,IF(G330="IN",D330,""))</f>
        <v/>
      </c>
      <c r="E331" s="14" t="str">
        <f aca="false">IF(C331="SELL",B331,"")</f>
        <v/>
      </c>
      <c r="F331" s="14" t="str">
        <f aca="false">IF(E331="","",(E331-D331)/D331*100)</f>
        <v/>
      </c>
      <c r="G331" s="0" t="str">
        <f aca="false">IF(C331="BUY","IN",IF(C331="SELL","OUT",IF(G330="IN","IN","OUT")))</f>
        <v>OUT</v>
      </c>
      <c r="H331" s="14" t="n">
        <f aca="false">H330+IF(F331="",0,F331)</f>
        <v>4.14646586122364</v>
      </c>
      <c r="I331" s="14" t="n">
        <f aca="false">MAX(I330,H331)</f>
        <v>4.59086078639746</v>
      </c>
      <c r="J331" s="14" t="n">
        <f aca="false">I331-H331</f>
        <v>0.444394925173813</v>
      </c>
    </row>
    <row r="332" customFormat="false" ht="15" hidden="false" customHeight="false" outlineLevel="0" collapsed="false">
      <c r="A332" s="12" t="n">
        <f aca="false">Data!A332</f>
        <v>42486</v>
      </c>
      <c r="B332" s="14" t="n">
        <f aca="false">Data!B332</f>
        <v>44.04</v>
      </c>
      <c r="C332" s="0" t="str">
        <f aca="false">IF(Data!D332="","HOLD",IF(AND(G331&lt;&gt;"IN",Data!E332&lt;-5),"BUY",IF(AND(G331="IN",Data!E332&gt;0),"SELL","HOLD")))</f>
        <v>HOLD</v>
      </c>
      <c r="D332" s="14" t="str">
        <f aca="false">IF(C332="BUY",B332,IF(G331="IN",D331,""))</f>
        <v/>
      </c>
      <c r="E332" s="14" t="str">
        <f aca="false">IF(C332="SELL",B332,"")</f>
        <v/>
      </c>
      <c r="F332" s="14" t="str">
        <f aca="false">IF(E332="","",(E332-D332)/D332*100)</f>
        <v/>
      </c>
      <c r="G332" s="0" t="str">
        <f aca="false">IF(C332="BUY","IN",IF(C332="SELL","OUT",IF(G331="IN","IN","OUT")))</f>
        <v>OUT</v>
      </c>
      <c r="H332" s="14" t="n">
        <f aca="false">H331+IF(F332="",0,F332)</f>
        <v>4.14646586122364</v>
      </c>
      <c r="I332" s="14" t="n">
        <f aca="false">MAX(I331,H332)</f>
        <v>4.59086078639746</v>
      </c>
      <c r="J332" s="14" t="n">
        <f aca="false">I332-H332</f>
        <v>0.444394925173813</v>
      </c>
    </row>
    <row r="333" customFormat="false" ht="15" hidden="false" customHeight="false" outlineLevel="0" collapsed="false">
      <c r="A333" s="12" t="n">
        <f aca="false">Data!A333</f>
        <v>42487</v>
      </c>
      <c r="B333" s="14" t="n">
        <f aca="false">Data!B333</f>
        <v>45.33</v>
      </c>
      <c r="C333" s="0" t="str">
        <f aca="false">IF(Data!D333="","HOLD",IF(AND(G332&lt;&gt;"IN",Data!E333&lt;-5),"BUY",IF(AND(G332="IN",Data!E333&gt;0),"SELL","HOLD")))</f>
        <v>HOLD</v>
      </c>
      <c r="D333" s="14" t="str">
        <f aca="false">IF(C333="BUY",B333,IF(G332="IN",D332,""))</f>
        <v/>
      </c>
      <c r="E333" s="14" t="str">
        <f aca="false">IF(C333="SELL",B333,"")</f>
        <v/>
      </c>
      <c r="F333" s="14" t="str">
        <f aca="false">IF(E333="","",(E333-D333)/D333*100)</f>
        <v/>
      </c>
      <c r="G333" s="0" t="str">
        <f aca="false">IF(C333="BUY","IN",IF(C333="SELL","OUT",IF(G332="IN","IN","OUT")))</f>
        <v>OUT</v>
      </c>
      <c r="H333" s="14" t="n">
        <f aca="false">H332+IF(F333="",0,F333)</f>
        <v>4.14646586122364</v>
      </c>
      <c r="I333" s="14" t="n">
        <f aca="false">MAX(I332,H333)</f>
        <v>4.59086078639746</v>
      </c>
      <c r="J333" s="14" t="n">
        <f aca="false">I333-H333</f>
        <v>0.444394925173813</v>
      </c>
    </row>
    <row r="334" customFormat="false" ht="15" hidden="false" customHeight="false" outlineLevel="0" collapsed="false">
      <c r="A334" s="12" t="n">
        <f aca="false">Data!A334</f>
        <v>42488</v>
      </c>
      <c r="B334" s="14" t="n">
        <f aca="false">Data!B334</f>
        <v>46.03</v>
      </c>
      <c r="C334" s="0" t="str">
        <f aca="false">IF(Data!D334="","HOLD",IF(AND(G333&lt;&gt;"IN",Data!E334&lt;-5),"BUY",IF(AND(G333="IN",Data!E334&gt;0),"SELL","HOLD")))</f>
        <v>HOLD</v>
      </c>
      <c r="D334" s="14" t="str">
        <f aca="false">IF(C334="BUY",B334,IF(G333="IN",D333,""))</f>
        <v/>
      </c>
      <c r="E334" s="14" t="str">
        <f aca="false">IF(C334="SELL",B334,"")</f>
        <v/>
      </c>
      <c r="F334" s="14" t="str">
        <f aca="false">IF(E334="","",(E334-D334)/D334*100)</f>
        <v/>
      </c>
      <c r="G334" s="0" t="str">
        <f aca="false">IF(C334="BUY","IN",IF(C334="SELL","OUT",IF(G333="IN","IN","OUT")))</f>
        <v>OUT</v>
      </c>
      <c r="H334" s="14" t="n">
        <f aca="false">H333+IF(F334="",0,F334)</f>
        <v>4.14646586122364</v>
      </c>
      <c r="I334" s="14" t="n">
        <f aca="false">MAX(I333,H334)</f>
        <v>4.59086078639746</v>
      </c>
      <c r="J334" s="14" t="n">
        <f aca="false">I334-H334</f>
        <v>0.444394925173813</v>
      </c>
    </row>
    <row r="335" customFormat="false" ht="15" hidden="false" customHeight="false" outlineLevel="0" collapsed="false">
      <c r="A335" s="12" t="n">
        <f aca="false">Data!A335</f>
        <v>42489</v>
      </c>
      <c r="B335" s="14" t="n">
        <f aca="false">Data!B335</f>
        <v>45.92</v>
      </c>
      <c r="C335" s="0" t="str">
        <f aca="false">IF(Data!D335="","HOLD",IF(AND(G334&lt;&gt;"IN",Data!E335&lt;-5),"BUY",IF(AND(G334="IN",Data!E335&gt;0),"SELL","HOLD")))</f>
        <v>HOLD</v>
      </c>
      <c r="D335" s="14" t="str">
        <f aca="false">IF(C335="BUY",B335,IF(G334="IN",D334,""))</f>
        <v/>
      </c>
      <c r="E335" s="14" t="str">
        <f aca="false">IF(C335="SELL",B335,"")</f>
        <v/>
      </c>
      <c r="F335" s="14" t="str">
        <f aca="false">IF(E335="","",(E335-D335)/D335*100)</f>
        <v/>
      </c>
      <c r="G335" s="0" t="str">
        <f aca="false">IF(C335="BUY","IN",IF(C335="SELL","OUT",IF(G334="IN","IN","OUT")))</f>
        <v>OUT</v>
      </c>
      <c r="H335" s="14" t="n">
        <f aca="false">H334+IF(F335="",0,F335)</f>
        <v>4.14646586122364</v>
      </c>
      <c r="I335" s="14" t="n">
        <f aca="false">MAX(I334,H335)</f>
        <v>4.59086078639746</v>
      </c>
      <c r="J335" s="14" t="n">
        <f aca="false">I335-H335</f>
        <v>0.444394925173813</v>
      </c>
    </row>
    <row r="336" customFormat="false" ht="15" hidden="false" customHeight="false" outlineLevel="0" collapsed="false">
      <c r="A336" s="12" t="n">
        <f aca="false">Data!A336</f>
        <v>42492</v>
      </c>
      <c r="B336" s="14" t="n">
        <f aca="false">Data!B336</f>
        <v>44.78</v>
      </c>
      <c r="C336" s="0" t="str">
        <f aca="false">IF(Data!D336="","HOLD",IF(AND(G335&lt;&gt;"IN",Data!E336&lt;-5),"BUY",IF(AND(G335="IN",Data!E336&gt;0),"SELL","HOLD")))</f>
        <v>HOLD</v>
      </c>
      <c r="D336" s="14" t="str">
        <f aca="false">IF(C336="BUY",B336,IF(G335="IN",D335,""))</f>
        <v/>
      </c>
      <c r="E336" s="14" t="str">
        <f aca="false">IF(C336="SELL",B336,"")</f>
        <v/>
      </c>
      <c r="F336" s="14" t="str">
        <f aca="false">IF(E336="","",(E336-D336)/D336*100)</f>
        <v/>
      </c>
      <c r="G336" s="0" t="str">
        <f aca="false">IF(C336="BUY","IN",IF(C336="SELL","OUT",IF(G335="IN","IN","OUT")))</f>
        <v>OUT</v>
      </c>
      <c r="H336" s="14" t="n">
        <f aca="false">H335+IF(F336="",0,F336)</f>
        <v>4.14646586122364</v>
      </c>
      <c r="I336" s="14" t="n">
        <f aca="false">MAX(I335,H336)</f>
        <v>4.59086078639746</v>
      </c>
      <c r="J336" s="14" t="n">
        <f aca="false">I336-H336</f>
        <v>0.444394925173813</v>
      </c>
    </row>
    <row r="337" customFormat="false" ht="15" hidden="false" customHeight="false" outlineLevel="0" collapsed="false">
      <c r="A337" s="12" t="n">
        <f aca="false">Data!A337</f>
        <v>42493</v>
      </c>
      <c r="B337" s="14" t="n">
        <f aca="false">Data!B337</f>
        <v>43.65</v>
      </c>
      <c r="C337" s="0" t="str">
        <f aca="false">IF(Data!D337="","HOLD",IF(AND(G336&lt;&gt;"IN",Data!E337&lt;-5),"BUY",IF(AND(G336="IN",Data!E337&gt;0),"SELL","HOLD")))</f>
        <v>HOLD</v>
      </c>
      <c r="D337" s="14" t="str">
        <f aca="false">IF(C337="BUY",B337,IF(G336="IN",D336,""))</f>
        <v/>
      </c>
      <c r="E337" s="14" t="str">
        <f aca="false">IF(C337="SELL",B337,"")</f>
        <v/>
      </c>
      <c r="F337" s="14" t="str">
        <f aca="false">IF(E337="","",(E337-D337)/D337*100)</f>
        <v/>
      </c>
      <c r="G337" s="0" t="str">
        <f aca="false">IF(C337="BUY","IN",IF(C337="SELL","OUT",IF(G336="IN","IN","OUT")))</f>
        <v>OUT</v>
      </c>
      <c r="H337" s="14" t="n">
        <f aca="false">H336+IF(F337="",0,F337)</f>
        <v>4.14646586122364</v>
      </c>
      <c r="I337" s="14" t="n">
        <f aca="false">MAX(I336,H337)</f>
        <v>4.59086078639746</v>
      </c>
      <c r="J337" s="14" t="n">
        <f aca="false">I337-H337</f>
        <v>0.444394925173813</v>
      </c>
    </row>
    <row r="338" customFormat="false" ht="15" hidden="false" customHeight="false" outlineLevel="0" collapsed="false">
      <c r="A338" s="12" t="n">
        <f aca="false">Data!A338</f>
        <v>42494</v>
      </c>
      <c r="B338" s="14" t="n">
        <f aca="false">Data!B338</f>
        <v>43.78</v>
      </c>
      <c r="C338" s="0" t="str">
        <f aca="false">IF(Data!D338="","HOLD",IF(AND(G337&lt;&gt;"IN",Data!E338&lt;-5),"BUY",IF(AND(G337="IN",Data!E338&gt;0),"SELL","HOLD")))</f>
        <v>HOLD</v>
      </c>
      <c r="D338" s="14" t="str">
        <f aca="false">IF(C338="BUY",B338,IF(G337="IN",D337,""))</f>
        <v/>
      </c>
      <c r="E338" s="14" t="str">
        <f aca="false">IF(C338="SELL",B338,"")</f>
        <v/>
      </c>
      <c r="F338" s="14" t="str">
        <f aca="false">IF(E338="","",(E338-D338)/D338*100)</f>
        <v/>
      </c>
      <c r="G338" s="0" t="str">
        <f aca="false">IF(C338="BUY","IN",IF(C338="SELL","OUT",IF(G337="IN","IN","OUT")))</f>
        <v>OUT</v>
      </c>
      <c r="H338" s="14" t="n">
        <f aca="false">H337+IF(F338="",0,F338)</f>
        <v>4.14646586122364</v>
      </c>
      <c r="I338" s="14" t="n">
        <f aca="false">MAX(I337,H338)</f>
        <v>4.59086078639746</v>
      </c>
      <c r="J338" s="14" t="n">
        <f aca="false">I338-H338</f>
        <v>0.444394925173813</v>
      </c>
    </row>
    <row r="339" customFormat="false" ht="15" hidden="false" customHeight="false" outlineLevel="0" collapsed="false">
      <c r="A339" s="12" t="n">
        <f aca="false">Data!A339</f>
        <v>42495</v>
      </c>
      <c r="B339" s="14" t="n">
        <f aca="false">Data!B339</f>
        <v>44.32</v>
      </c>
      <c r="C339" s="0" t="str">
        <f aca="false">IF(Data!D339="","HOLD",IF(AND(G338&lt;&gt;"IN",Data!E339&lt;-5),"BUY",IF(AND(G338="IN",Data!E339&gt;0),"SELL","HOLD")))</f>
        <v>HOLD</v>
      </c>
      <c r="D339" s="14" t="str">
        <f aca="false">IF(C339="BUY",B339,IF(G338="IN",D338,""))</f>
        <v/>
      </c>
      <c r="E339" s="14" t="str">
        <f aca="false">IF(C339="SELL",B339,"")</f>
        <v/>
      </c>
      <c r="F339" s="14" t="str">
        <f aca="false">IF(E339="","",(E339-D339)/D339*100)</f>
        <v/>
      </c>
      <c r="G339" s="0" t="str">
        <f aca="false">IF(C339="BUY","IN",IF(C339="SELL","OUT",IF(G338="IN","IN","OUT")))</f>
        <v>OUT</v>
      </c>
      <c r="H339" s="14" t="n">
        <f aca="false">H338+IF(F339="",0,F339)</f>
        <v>4.14646586122364</v>
      </c>
      <c r="I339" s="14" t="n">
        <f aca="false">MAX(I338,H339)</f>
        <v>4.59086078639746</v>
      </c>
      <c r="J339" s="14" t="n">
        <f aca="false">I339-H339</f>
        <v>0.444394925173813</v>
      </c>
    </row>
    <row r="340" customFormat="false" ht="15" hidden="false" customHeight="false" outlineLevel="0" collapsed="false">
      <c r="A340" s="12" t="n">
        <f aca="false">Data!A340</f>
        <v>42496</v>
      </c>
      <c r="B340" s="14" t="n">
        <f aca="false">Data!B340</f>
        <v>44.66</v>
      </c>
      <c r="C340" s="0" t="str">
        <f aca="false">IF(Data!D340="","HOLD",IF(AND(G339&lt;&gt;"IN",Data!E340&lt;-5),"BUY",IF(AND(G339="IN",Data!E340&gt;0),"SELL","HOLD")))</f>
        <v>HOLD</v>
      </c>
      <c r="D340" s="14" t="str">
        <f aca="false">IF(C340="BUY",B340,IF(G339="IN",D339,""))</f>
        <v/>
      </c>
      <c r="E340" s="14" t="str">
        <f aca="false">IF(C340="SELL",B340,"")</f>
        <v/>
      </c>
      <c r="F340" s="14" t="str">
        <f aca="false">IF(E340="","",(E340-D340)/D340*100)</f>
        <v/>
      </c>
      <c r="G340" s="0" t="str">
        <f aca="false">IF(C340="BUY","IN",IF(C340="SELL","OUT",IF(G339="IN","IN","OUT")))</f>
        <v>OUT</v>
      </c>
      <c r="H340" s="14" t="n">
        <f aca="false">H339+IF(F340="",0,F340)</f>
        <v>4.14646586122364</v>
      </c>
      <c r="I340" s="14" t="n">
        <f aca="false">MAX(I339,H340)</f>
        <v>4.59086078639746</v>
      </c>
      <c r="J340" s="14" t="n">
        <f aca="false">I340-H340</f>
        <v>0.444394925173813</v>
      </c>
    </row>
    <row r="341" customFormat="false" ht="15" hidden="false" customHeight="false" outlineLevel="0" collapsed="false">
      <c r="A341" s="12" t="n">
        <f aca="false">Data!A341</f>
        <v>42499</v>
      </c>
      <c r="B341" s="14" t="n">
        <f aca="false">Data!B341</f>
        <v>43.44</v>
      </c>
      <c r="C341" s="0" t="str">
        <f aca="false">IF(Data!D341="","HOLD",IF(AND(G340&lt;&gt;"IN",Data!E341&lt;-5),"BUY",IF(AND(G340="IN",Data!E341&gt;0),"SELL","HOLD")))</f>
        <v>HOLD</v>
      </c>
      <c r="D341" s="14" t="str">
        <f aca="false">IF(C341="BUY",B341,IF(G340="IN",D340,""))</f>
        <v/>
      </c>
      <c r="E341" s="14" t="str">
        <f aca="false">IF(C341="SELL",B341,"")</f>
        <v/>
      </c>
      <c r="F341" s="14" t="str">
        <f aca="false">IF(E341="","",(E341-D341)/D341*100)</f>
        <v/>
      </c>
      <c r="G341" s="0" t="str">
        <f aca="false">IF(C341="BUY","IN",IF(C341="SELL","OUT",IF(G340="IN","IN","OUT")))</f>
        <v>OUT</v>
      </c>
      <c r="H341" s="14" t="n">
        <f aca="false">H340+IF(F341="",0,F341)</f>
        <v>4.14646586122364</v>
      </c>
      <c r="I341" s="14" t="n">
        <f aca="false">MAX(I340,H341)</f>
        <v>4.59086078639746</v>
      </c>
      <c r="J341" s="14" t="n">
        <f aca="false">I341-H341</f>
        <v>0.444394925173813</v>
      </c>
    </row>
    <row r="342" customFormat="false" ht="15" hidden="false" customHeight="false" outlineLevel="0" collapsed="false">
      <c r="A342" s="12" t="n">
        <f aca="false">Data!A342</f>
        <v>42500</v>
      </c>
      <c r="B342" s="14" t="n">
        <f aca="false">Data!B342</f>
        <v>44.66</v>
      </c>
      <c r="C342" s="0" t="str">
        <f aca="false">IF(Data!D342="","HOLD",IF(AND(G341&lt;&gt;"IN",Data!E342&lt;-5),"BUY",IF(AND(G341="IN",Data!E342&gt;0),"SELL","HOLD")))</f>
        <v>HOLD</v>
      </c>
      <c r="D342" s="14" t="str">
        <f aca="false">IF(C342="BUY",B342,IF(G341="IN",D341,""))</f>
        <v/>
      </c>
      <c r="E342" s="14" t="str">
        <f aca="false">IF(C342="SELL",B342,"")</f>
        <v/>
      </c>
      <c r="F342" s="14" t="str">
        <f aca="false">IF(E342="","",(E342-D342)/D342*100)</f>
        <v/>
      </c>
      <c r="G342" s="0" t="str">
        <f aca="false">IF(C342="BUY","IN",IF(C342="SELL","OUT",IF(G341="IN","IN","OUT")))</f>
        <v>OUT</v>
      </c>
      <c r="H342" s="14" t="n">
        <f aca="false">H341+IF(F342="",0,F342)</f>
        <v>4.14646586122364</v>
      </c>
      <c r="I342" s="14" t="n">
        <f aca="false">MAX(I341,H342)</f>
        <v>4.59086078639746</v>
      </c>
      <c r="J342" s="14" t="n">
        <f aca="false">I342-H342</f>
        <v>0.444394925173813</v>
      </c>
    </row>
    <row r="343" customFormat="false" ht="15" hidden="false" customHeight="false" outlineLevel="0" collapsed="false">
      <c r="A343" s="12" t="n">
        <f aca="false">Data!A343</f>
        <v>42501</v>
      </c>
      <c r="B343" s="14" t="n">
        <f aca="false">Data!B343</f>
        <v>46.23</v>
      </c>
      <c r="C343" s="0" t="str">
        <f aca="false">IF(Data!D343="","HOLD",IF(AND(G342&lt;&gt;"IN",Data!E343&lt;-5),"BUY",IF(AND(G342="IN",Data!E343&gt;0),"SELL","HOLD")))</f>
        <v>HOLD</v>
      </c>
      <c r="D343" s="14" t="str">
        <f aca="false">IF(C343="BUY",B343,IF(G342="IN",D342,""))</f>
        <v/>
      </c>
      <c r="E343" s="14" t="str">
        <f aca="false">IF(C343="SELL",B343,"")</f>
        <v/>
      </c>
      <c r="F343" s="14" t="str">
        <f aca="false">IF(E343="","",(E343-D343)/D343*100)</f>
        <v/>
      </c>
      <c r="G343" s="0" t="str">
        <f aca="false">IF(C343="BUY","IN",IF(C343="SELL","OUT",IF(G342="IN","IN","OUT")))</f>
        <v>OUT</v>
      </c>
      <c r="H343" s="14" t="n">
        <f aca="false">H342+IF(F343="",0,F343)</f>
        <v>4.14646586122364</v>
      </c>
      <c r="I343" s="14" t="n">
        <f aca="false">MAX(I342,H343)</f>
        <v>4.59086078639746</v>
      </c>
      <c r="J343" s="14" t="n">
        <f aca="false">I343-H343</f>
        <v>0.444394925173813</v>
      </c>
    </row>
    <row r="344" customFormat="false" ht="15" hidden="false" customHeight="false" outlineLevel="0" collapsed="false">
      <c r="A344" s="12" t="n">
        <f aca="false">Data!A344</f>
        <v>42502</v>
      </c>
      <c r="B344" s="14" t="n">
        <f aca="false">Data!B344</f>
        <v>46.7</v>
      </c>
      <c r="C344" s="0" t="str">
        <f aca="false">IF(Data!D344="","HOLD",IF(AND(G343&lt;&gt;"IN",Data!E344&lt;-5),"BUY",IF(AND(G343="IN",Data!E344&gt;0),"SELL","HOLD")))</f>
        <v>HOLD</v>
      </c>
      <c r="D344" s="14" t="str">
        <f aca="false">IF(C344="BUY",B344,IF(G343="IN",D343,""))</f>
        <v/>
      </c>
      <c r="E344" s="14" t="str">
        <f aca="false">IF(C344="SELL",B344,"")</f>
        <v/>
      </c>
      <c r="F344" s="14" t="str">
        <f aca="false">IF(E344="","",(E344-D344)/D344*100)</f>
        <v/>
      </c>
      <c r="G344" s="0" t="str">
        <f aca="false">IF(C344="BUY","IN",IF(C344="SELL","OUT",IF(G343="IN","IN","OUT")))</f>
        <v>OUT</v>
      </c>
      <c r="H344" s="14" t="n">
        <f aca="false">H343+IF(F344="",0,F344)</f>
        <v>4.14646586122364</v>
      </c>
      <c r="I344" s="14" t="n">
        <f aca="false">MAX(I343,H344)</f>
        <v>4.59086078639746</v>
      </c>
      <c r="J344" s="14" t="n">
        <f aca="false">I344-H344</f>
        <v>0.444394925173813</v>
      </c>
    </row>
    <row r="345" customFormat="false" ht="15" hidden="false" customHeight="false" outlineLevel="0" collapsed="false">
      <c r="A345" s="12" t="n">
        <f aca="false">Data!A345</f>
        <v>42503</v>
      </c>
      <c r="B345" s="14" t="n">
        <f aca="false">Data!B345</f>
        <v>46.21</v>
      </c>
      <c r="C345" s="0" t="str">
        <f aca="false">IF(Data!D345="","HOLD",IF(AND(G344&lt;&gt;"IN",Data!E345&lt;-5),"BUY",IF(AND(G344="IN",Data!E345&gt;0),"SELL","HOLD")))</f>
        <v>HOLD</v>
      </c>
      <c r="D345" s="14" t="str">
        <f aca="false">IF(C345="BUY",B345,IF(G344="IN",D344,""))</f>
        <v/>
      </c>
      <c r="E345" s="14" t="str">
        <f aca="false">IF(C345="SELL",B345,"")</f>
        <v/>
      </c>
      <c r="F345" s="14" t="str">
        <f aca="false">IF(E345="","",(E345-D345)/D345*100)</f>
        <v/>
      </c>
      <c r="G345" s="0" t="str">
        <f aca="false">IF(C345="BUY","IN",IF(C345="SELL","OUT",IF(G344="IN","IN","OUT")))</f>
        <v>OUT</v>
      </c>
      <c r="H345" s="14" t="n">
        <f aca="false">H344+IF(F345="",0,F345)</f>
        <v>4.14646586122364</v>
      </c>
      <c r="I345" s="14" t="n">
        <f aca="false">MAX(I344,H345)</f>
        <v>4.59086078639746</v>
      </c>
      <c r="J345" s="14" t="n">
        <f aca="false">I345-H345</f>
        <v>0.444394925173813</v>
      </c>
    </row>
    <row r="346" customFormat="false" ht="15" hidden="false" customHeight="false" outlineLevel="0" collapsed="false">
      <c r="A346" s="12" t="n">
        <f aca="false">Data!A346</f>
        <v>42506</v>
      </c>
      <c r="B346" s="14" t="n">
        <f aca="false">Data!B346</f>
        <v>47.72</v>
      </c>
      <c r="C346" s="0" t="str">
        <f aca="false">IF(Data!D346="","HOLD",IF(AND(G345&lt;&gt;"IN",Data!E346&lt;-5),"BUY",IF(AND(G345="IN",Data!E346&gt;0),"SELL","HOLD")))</f>
        <v>HOLD</v>
      </c>
      <c r="D346" s="14" t="str">
        <f aca="false">IF(C346="BUY",B346,IF(G345="IN",D345,""))</f>
        <v/>
      </c>
      <c r="E346" s="14" t="str">
        <f aca="false">IF(C346="SELL",B346,"")</f>
        <v/>
      </c>
      <c r="F346" s="14" t="str">
        <f aca="false">IF(E346="","",(E346-D346)/D346*100)</f>
        <v/>
      </c>
      <c r="G346" s="0" t="str">
        <f aca="false">IF(C346="BUY","IN",IF(C346="SELL","OUT",IF(G345="IN","IN","OUT")))</f>
        <v>OUT</v>
      </c>
      <c r="H346" s="14" t="n">
        <f aca="false">H345+IF(F346="",0,F346)</f>
        <v>4.14646586122364</v>
      </c>
      <c r="I346" s="14" t="n">
        <f aca="false">MAX(I345,H346)</f>
        <v>4.59086078639746</v>
      </c>
      <c r="J346" s="14" t="n">
        <f aca="false">I346-H346</f>
        <v>0.444394925173813</v>
      </c>
    </row>
    <row r="347" customFormat="false" ht="15" hidden="false" customHeight="false" outlineLevel="0" collapsed="false">
      <c r="A347" s="12" t="n">
        <f aca="false">Data!A347</f>
        <v>42507</v>
      </c>
      <c r="B347" s="14" t="n">
        <f aca="false">Data!B347</f>
        <v>48.31</v>
      </c>
      <c r="C347" s="0" t="str">
        <f aca="false">IF(Data!D347="","HOLD",IF(AND(G346&lt;&gt;"IN",Data!E347&lt;-5),"BUY",IF(AND(G346="IN",Data!E347&gt;0),"SELL","HOLD")))</f>
        <v>HOLD</v>
      </c>
      <c r="D347" s="14" t="str">
        <f aca="false">IF(C347="BUY",B347,IF(G346="IN",D346,""))</f>
        <v/>
      </c>
      <c r="E347" s="14" t="str">
        <f aca="false">IF(C347="SELL",B347,"")</f>
        <v/>
      </c>
      <c r="F347" s="14" t="str">
        <f aca="false">IF(E347="","",(E347-D347)/D347*100)</f>
        <v/>
      </c>
      <c r="G347" s="0" t="str">
        <f aca="false">IF(C347="BUY","IN",IF(C347="SELL","OUT",IF(G346="IN","IN","OUT")))</f>
        <v>OUT</v>
      </c>
      <c r="H347" s="14" t="n">
        <f aca="false">H346+IF(F347="",0,F347)</f>
        <v>4.14646586122364</v>
      </c>
      <c r="I347" s="14" t="n">
        <f aca="false">MAX(I346,H347)</f>
        <v>4.59086078639746</v>
      </c>
      <c r="J347" s="14" t="n">
        <f aca="false">I347-H347</f>
        <v>0.444394925173813</v>
      </c>
    </row>
    <row r="348" customFormat="false" ht="15" hidden="false" customHeight="false" outlineLevel="0" collapsed="false">
      <c r="A348" s="12" t="n">
        <f aca="false">Data!A348</f>
        <v>42508</v>
      </c>
      <c r="B348" s="14" t="n">
        <f aca="false">Data!B348</f>
        <v>48.19</v>
      </c>
      <c r="C348" s="0" t="str">
        <f aca="false">IF(Data!D348="","HOLD",IF(AND(G347&lt;&gt;"IN",Data!E348&lt;-5),"BUY",IF(AND(G347="IN",Data!E348&gt;0),"SELL","HOLD")))</f>
        <v>HOLD</v>
      </c>
      <c r="D348" s="14" t="str">
        <f aca="false">IF(C348="BUY",B348,IF(G347="IN",D347,""))</f>
        <v/>
      </c>
      <c r="E348" s="14" t="str">
        <f aca="false">IF(C348="SELL",B348,"")</f>
        <v/>
      </c>
      <c r="F348" s="14" t="str">
        <f aca="false">IF(E348="","",(E348-D348)/D348*100)</f>
        <v/>
      </c>
      <c r="G348" s="0" t="str">
        <f aca="false">IF(C348="BUY","IN",IF(C348="SELL","OUT",IF(G347="IN","IN","OUT")))</f>
        <v>OUT</v>
      </c>
      <c r="H348" s="14" t="n">
        <f aca="false">H347+IF(F348="",0,F348)</f>
        <v>4.14646586122364</v>
      </c>
      <c r="I348" s="14" t="n">
        <f aca="false">MAX(I347,H348)</f>
        <v>4.59086078639746</v>
      </c>
      <c r="J348" s="14" t="n">
        <f aca="false">I348-H348</f>
        <v>0.444394925173813</v>
      </c>
    </row>
    <row r="349" customFormat="false" ht="15" hidden="false" customHeight="false" outlineLevel="0" collapsed="false">
      <c r="A349" s="12" t="n">
        <f aca="false">Data!A349</f>
        <v>42509</v>
      </c>
      <c r="B349" s="14" t="n">
        <f aca="false">Data!B349</f>
        <v>48.16</v>
      </c>
      <c r="C349" s="0" t="str">
        <f aca="false">IF(Data!D349="","HOLD",IF(AND(G348&lt;&gt;"IN",Data!E349&lt;-5),"BUY",IF(AND(G348="IN",Data!E349&gt;0),"SELL","HOLD")))</f>
        <v>HOLD</v>
      </c>
      <c r="D349" s="14" t="str">
        <f aca="false">IF(C349="BUY",B349,IF(G348="IN",D348,""))</f>
        <v/>
      </c>
      <c r="E349" s="14" t="str">
        <f aca="false">IF(C349="SELL",B349,"")</f>
        <v/>
      </c>
      <c r="F349" s="14" t="str">
        <f aca="false">IF(E349="","",(E349-D349)/D349*100)</f>
        <v/>
      </c>
      <c r="G349" s="0" t="str">
        <f aca="false">IF(C349="BUY","IN",IF(C349="SELL","OUT",IF(G348="IN","IN","OUT")))</f>
        <v>OUT</v>
      </c>
      <c r="H349" s="14" t="n">
        <f aca="false">H348+IF(F349="",0,F349)</f>
        <v>4.14646586122364</v>
      </c>
      <c r="I349" s="14" t="n">
        <f aca="false">MAX(I348,H349)</f>
        <v>4.59086078639746</v>
      </c>
      <c r="J349" s="14" t="n">
        <f aca="false">I349-H349</f>
        <v>0.444394925173813</v>
      </c>
    </row>
    <row r="350" customFormat="false" ht="15" hidden="false" customHeight="false" outlineLevel="0" collapsed="false">
      <c r="A350" s="12" t="n">
        <f aca="false">Data!A350</f>
        <v>42510</v>
      </c>
      <c r="B350" s="14" t="n">
        <f aca="false">Data!B350</f>
        <v>47.75</v>
      </c>
      <c r="C350" s="0" t="str">
        <f aca="false">IF(Data!D350="","HOLD",IF(AND(G349&lt;&gt;"IN",Data!E350&lt;-5),"BUY",IF(AND(G349="IN",Data!E350&gt;0),"SELL","HOLD")))</f>
        <v>HOLD</v>
      </c>
      <c r="D350" s="14" t="str">
        <f aca="false">IF(C350="BUY",B350,IF(G349="IN",D349,""))</f>
        <v/>
      </c>
      <c r="E350" s="14" t="str">
        <f aca="false">IF(C350="SELL",B350,"")</f>
        <v/>
      </c>
      <c r="F350" s="14" t="str">
        <f aca="false">IF(E350="","",(E350-D350)/D350*100)</f>
        <v/>
      </c>
      <c r="G350" s="0" t="str">
        <f aca="false">IF(C350="BUY","IN",IF(C350="SELL","OUT",IF(G349="IN","IN","OUT")))</f>
        <v>OUT</v>
      </c>
      <c r="H350" s="14" t="n">
        <f aca="false">H349+IF(F350="",0,F350)</f>
        <v>4.14646586122364</v>
      </c>
      <c r="I350" s="14" t="n">
        <f aca="false">MAX(I349,H350)</f>
        <v>4.59086078639746</v>
      </c>
      <c r="J350" s="14" t="n">
        <f aca="false">I350-H350</f>
        <v>0.444394925173813</v>
      </c>
    </row>
    <row r="351" customFormat="false" ht="15" hidden="false" customHeight="false" outlineLevel="0" collapsed="false">
      <c r="A351" s="12" t="n">
        <f aca="false">Data!A351</f>
        <v>42513</v>
      </c>
      <c r="B351" s="14" t="n">
        <f aca="false">Data!B351</f>
        <v>48.08</v>
      </c>
      <c r="C351" s="0" t="str">
        <f aca="false">IF(Data!D351="","HOLD",IF(AND(G350&lt;&gt;"IN",Data!E351&lt;-5),"BUY",IF(AND(G350="IN",Data!E351&gt;0),"SELL","HOLD")))</f>
        <v>HOLD</v>
      </c>
      <c r="D351" s="14" t="str">
        <f aca="false">IF(C351="BUY",B351,IF(G350="IN",D350,""))</f>
        <v/>
      </c>
      <c r="E351" s="14" t="str">
        <f aca="false">IF(C351="SELL",B351,"")</f>
        <v/>
      </c>
      <c r="F351" s="14" t="str">
        <f aca="false">IF(E351="","",(E351-D351)/D351*100)</f>
        <v/>
      </c>
      <c r="G351" s="0" t="str">
        <f aca="false">IF(C351="BUY","IN",IF(C351="SELL","OUT",IF(G350="IN","IN","OUT")))</f>
        <v>OUT</v>
      </c>
      <c r="H351" s="14" t="n">
        <f aca="false">H350+IF(F351="",0,F351)</f>
        <v>4.14646586122364</v>
      </c>
      <c r="I351" s="14" t="n">
        <f aca="false">MAX(I350,H351)</f>
        <v>4.59086078639746</v>
      </c>
      <c r="J351" s="14" t="n">
        <f aca="false">I351-H351</f>
        <v>0.444394925173813</v>
      </c>
    </row>
    <row r="352" customFormat="false" ht="15" hidden="false" customHeight="false" outlineLevel="0" collapsed="false">
      <c r="A352" s="12" t="n">
        <f aca="false">Data!A352</f>
        <v>42514</v>
      </c>
      <c r="B352" s="14" t="n">
        <f aca="false">Data!B352</f>
        <v>48.62</v>
      </c>
      <c r="C352" s="0" t="str">
        <f aca="false">IF(Data!D352="","HOLD",IF(AND(G351&lt;&gt;"IN",Data!E352&lt;-5),"BUY",IF(AND(G351="IN",Data!E352&gt;0),"SELL","HOLD")))</f>
        <v>HOLD</v>
      </c>
      <c r="D352" s="14" t="str">
        <f aca="false">IF(C352="BUY",B352,IF(G351="IN",D351,""))</f>
        <v/>
      </c>
      <c r="E352" s="14" t="str">
        <f aca="false">IF(C352="SELL",B352,"")</f>
        <v/>
      </c>
      <c r="F352" s="14" t="str">
        <f aca="false">IF(E352="","",(E352-D352)/D352*100)</f>
        <v/>
      </c>
      <c r="G352" s="0" t="str">
        <f aca="false">IF(C352="BUY","IN",IF(C352="SELL","OUT",IF(G351="IN","IN","OUT")))</f>
        <v>OUT</v>
      </c>
      <c r="H352" s="14" t="n">
        <f aca="false">H351+IF(F352="",0,F352)</f>
        <v>4.14646586122364</v>
      </c>
      <c r="I352" s="14" t="n">
        <f aca="false">MAX(I351,H352)</f>
        <v>4.59086078639746</v>
      </c>
      <c r="J352" s="14" t="n">
        <f aca="false">I352-H352</f>
        <v>0.444394925173813</v>
      </c>
    </row>
    <row r="353" customFormat="false" ht="15" hidden="false" customHeight="false" outlineLevel="0" collapsed="false">
      <c r="A353" s="12" t="n">
        <f aca="false">Data!A353</f>
        <v>42515</v>
      </c>
      <c r="B353" s="14" t="n">
        <f aca="false">Data!B353</f>
        <v>49.56</v>
      </c>
      <c r="C353" s="0" t="str">
        <f aca="false">IF(Data!D353="","HOLD",IF(AND(G352&lt;&gt;"IN",Data!E353&lt;-5),"BUY",IF(AND(G352="IN",Data!E353&gt;0),"SELL","HOLD")))</f>
        <v>HOLD</v>
      </c>
      <c r="D353" s="14" t="str">
        <f aca="false">IF(C353="BUY",B353,IF(G352="IN",D352,""))</f>
        <v/>
      </c>
      <c r="E353" s="14" t="str">
        <f aca="false">IF(C353="SELL",B353,"")</f>
        <v/>
      </c>
      <c r="F353" s="14" t="str">
        <f aca="false">IF(E353="","",(E353-D353)/D353*100)</f>
        <v/>
      </c>
      <c r="G353" s="0" t="str">
        <f aca="false">IF(C353="BUY","IN",IF(C353="SELL","OUT",IF(G352="IN","IN","OUT")))</f>
        <v>OUT</v>
      </c>
      <c r="H353" s="14" t="n">
        <f aca="false">H352+IF(F353="",0,F353)</f>
        <v>4.14646586122364</v>
      </c>
      <c r="I353" s="14" t="n">
        <f aca="false">MAX(I352,H353)</f>
        <v>4.59086078639746</v>
      </c>
      <c r="J353" s="14" t="n">
        <f aca="false">I353-H353</f>
        <v>0.444394925173813</v>
      </c>
    </row>
    <row r="354" customFormat="false" ht="15" hidden="false" customHeight="false" outlineLevel="0" collapsed="false">
      <c r="A354" s="12" t="n">
        <f aca="false">Data!A354</f>
        <v>42516</v>
      </c>
      <c r="B354" s="14" t="n">
        <f aca="false">Data!B354</f>
        <v>49.48</v>
      </c>
      <c r="C354" s="0" t="str">
        <f aca="false">IF(Data!D354="","HOLD",IF(AND(G353&lt;&gt;"IN",Data!E354&lt;-5),"BUY",IF(AND(G353="IN",Data!E354&gt;0),"SELL","HOLD")))</f>
        <v>HOLD</v>
      </c>
      <c r="D354" s="14" t="str">
        <f aca="false">IF(C354="BUY",B354,IF(G353="IN",D353,""))</f>
        <v/>
      </c>
      <c r="E354" s="14" t="str">
        <f aca="false">IF(C354="SELL",B354,"")</f>
        <v/>
      </c>
      <c r="F354" s="14" t="str">
        <f aca="false">IF(E354="","",(E354-D354)/D354*100)</f>
        <v/>
      </c>
      <c r="G354" s="0" t="str">
        <f aca="false">IF(C354="BUY","IN",IF(C354="SELL","OUT",IF(G353="IN","IN","OUT")))</f>
        <v>OUT</v>
      </c>
      <c r="H354" s="14" t="n">
        <f aca="false">H353+IF(F354="",0,F354)</f>
        <v>4.14646586122364</v>
      </c>
      <c r="I354" s="14" t="n">
        <f aca="false">MAX(I353,H354)</f>
        <v>4.59086078639746</v>
      </c>
      <c r="J354" s="14" t="n">
        <f aca="false">I354-H354</f>
        <v>0.444394925173813</v>
      </c>
    </row>
    <row r="355" customFormat="false" ht="15" hidden="false" customHeight="false" outlineLevel="0" collapsed="false">
      <c r="A355" s="12" t="n">
        <f aca="false">Data!A355</f>
        <v>42517</v>
      </c>
      <c r="B355" s="14" t="n">
        <f aca="false">Data!B355</f>
        <v>49.33</v>
      </c>
      <c r="C355" s="0" t="str">
        <f aca="false">IF(Data!D355="","HOLD",IF(AND(G354&lt;&gt;"IN",Data!E355&lt;-5),"BUY",IF(AND(G354="IN",Data!E355&gt;0),"SELL","HOLD")))</f>
        <v>HOLD</v>
      </c>
      <c r="D355" s="14" t="str">
        <f aca="false">IF(C355="BUY",B355,IF(G354="IN",D354,""))</f>
        <v/>
      </c>
      <c r="E355" s="14" t="str">
        <f aca="false">IF(C355="SELL",B355,"")</f>
        <v/>
      </c>
      <c r="F355" s="14" t="str">
        <f aca="false">IF(E355="","",(E355-D355)/D355*100)</f>
        <v/>
      </c>
      <c r="G355" s="0" t="str">
        <f aca="false">IF(C355="BUY","IN",IF(C355="SELL","OUT",IF(G354="IN","IN","OUT")))</f>
        <v>OUT</v>
      </c>
      <c r="H355" s="14" t="n">
        <f aca="false">H354+IF(F355="",0,F355)</f>
        <v>4.14646586122364</v>
      </c>
      <c r="I355" s="14" t="n">
        <f aca="false">MAX(I354,H355)</f>
        <v>4.59086078639746</v>
      </c>
      <c r="J355" s="14" t="n">
        <f aca="false">I355-H355</f>
        <v>0.444394925173813</v>
      </c>
    </row>
    <row r="356" customFormat="false" ht="15" hidden="false" customHeight="false" outlineLevel="0" collapsed="false">
      <c r="A356" s="12" t="n">
        <f aca="false">Data!A356</f>
        <v>42521</v>
      </c>
      <c r="B356" s="14" t="n">
        <f aca="false">Data!B356</f>
        <v>49.1</v>
      </c>
      <c r="C356" s="0" t="str">
        <f aca="false">IF(Data!D356="","HOLD",IF(AND(G355&lt;&gt;"IN",Data!E356&lt;-5),"BUY",IF(AND(G355="IN",Data!E356&gt;0),"SELL","HOLD")))</f>
        <v>HOLD</v>
      </c>
      <c r="D356" s="14" t="str">
        <f aca="false">IF(C356="BUY",B356,IF(G355="IN",D355,""))</f>
        <v/>
      </c>
      <c r="E356" s="14" t="str">
        <f aca="false">IF(C356="SELL",B356,"")</f>
        <v/>
      </c>
      <c r="F356" s="14" t="str">
        <f aca="false">IF(E356="","",(E356-D356)/D356*100)</f>
        <v/>
      </c>
      <c r="G356" s="0" t="str">
        <f aca="false">IF(C356="BUY","IN",IF(C356="SELL","OUT",IF(G355="IN","IN","OUT")))</f>
        <v>OUT</v>
      </c>
      <c r="H356" s="14" t="n">
        <f aca="false">H355+IF(F356="",0,F356)</f>
        <v>4.14646586122364</v>
      </c>
      <c r="I356" s="14" t="n">
        <f aca="false">MAX(I355,H356)</f>
        <v>4.59086078639746</v>
      </c>
      <c r="J356" s="14" t="n">
        <f aca="false">I356-H356</f>
        <v>0.444394925173813</v>
      </c>
    </row>
    <row r="357" customFormat="false" ht="15" hidden="false" customHeight="false" outlineLevel="0" collapsed="false">
      <c r="A357" s="12" t="n">
        <f aca="false">Data!A357</f>
        <v>42522</v>
      </c>
      <c r="B357" s="14" t="n">
        <f aca="false">Data!B357</f>
        <v>49.01</v>
      </c>
      <c r="C357" s="0" t="str">
        <f aca="false">IF(Data!D357="","HOLD",IF(AND(G356&lt;&gt;"IN",Data!E357&lt;-5),"BUY",IF(AND(G356="IN",Data!E357&gt;0),"SELL","HOLD")))</f>
        <v>HOLD</v>
      </c>
      <c r="D357" s="14" t="str">
        <f aca="false">IF(C357="BUY",B357,IF(G356="IN",D356,""))</f>
        <v/>
      </c>
      <c r="E357" s="14" t="str">
        <f aca="false">IF(C357="SELL",B357,"")</f>
        <v/>
      </c>
      <c r="F357" s="14" t="str">
        <f aca="false">IF(E357="","",(E357-D357)/D357*100)</f>
        <v/>
      </c>
      <c r="G357" s="0" t="str">
        <f aca="false">IF(C357="BUY","IN",IF(C357="SELL","OUT",IF(G356="IN","IN","OUT")))</f>
        <v>OUT</v>
      </c>
      <c r="H357" s="14" t="n">
        <f aca="false">H356+IF(F357="",0,F357)</f>
        <v>4.14646586122364</v>
      </c>
      <c r="I357" s="14" t="n">
        <f aca="false">MAX(I356,H357)</f>
        <v>4.59086078639746</v>
      </c>
      <c r="J357" s="14" t="n">
        <f aca="false">I357-H357</f>
        <v>0.444394925173813</v>
      </c>
    </row>
    <row r="358" customFormat="false" ht="15" hidden="false" customHeight="false" outlineLevel="0" collapsed="false">
      <c r="A358" s="12" t="n">
        <f aca="false">Data!A358</f>
        <v>42523</v>
      </c>
      <c r="B358" s="14" t="n">
        <f aca="false">Data!B358</f>
        <v>49.17</v>
      </c>
      <c r="C358" s="0" t="str">
        <f aca="false">IF(Data!D358="","HOLD",IF(AND(G357&lt;&gt;"IN",Data!E358&lt;-5),"BUY",IF(AND(G357="IN",Data!E358&gt;0),"SELL","HOLD")))</f>
        <v>HOLD</v>
      </c>
      <c r="D358" s="14" t="str">
        <f aca="false">IF(C358="BUY",B358,IF(G357="IN",D357,""))</f>
        <v/>
      </c>
      <c r="E358" s="14" t="str">
        <f aca="false">IF(C358="SELL",B358,"")</f>
        <v/>
      </c>
      <c r="F358" s="14" t="str">
        <f aca="false">IF(E358="","",(E358-D358)/D358*100)</f>
        <v/>
      </c>
      <c r="G358" s="0" t="str">
        <f aca="false">IF(C358="BUY","IN",IF(C358="SELL","OUT",IF(G357="IN","IN","OUT")))</f>
        <v>OUT</v>
      </c>
      <c r="H358" s="14" t="n">
        <f aca="false">H357+IF(F358="",0,F358)</f>
        <v>4.14646586122364</v>
      </c>
      <c r="I358" s="14" t="n">
        <f aca="false">MAX(I357,H358)</f>
        <v>4.59086078639746</v>
      </c>
      <c r="J358" s="14" t="n">
        <f aca="false">I358-H358</f>
        <v>0.444394925173813</v>
      </c>
    </row>
    <row r="359" customFormat="false" ht="15" hidden="false" customHeight="false" outlineLevel="0" collapsed="false">
      <c r="A359" s="12" t="n">
        <f aca="false">Data!A359</f>
        <v>42524</v>
      </c>
      <c r="B359" s="14" t="n">
        <f aca="false">Data!B359</f>
        <v>48.62</v>
      </c>
      <c r="C359" s="0" t="str">
        <f aca="false">IF(Data!D359="","HOLD",IF(AND(G358&lt;&gt;"IN",Data!E359&lt;-5),"BUY",IF(AND(G358="IN",Data!E359&gt;0),"SELL","HOLD")))</f>
        <v>HOLD</v>
      </c>
      <c r="D359" s="14" t="str">
        <f aca="false">IF(C359="BUY",B359,IF(G358="IN",D358,""))</f>
        <v/>
      </c>
      <c r="E359" s="14" t="str">
        <f aca="false">IF(C359="SELL",B359,"")</f>
        <v/>
      </c>
      <c r="F359" s="14" t="str">
        <f aca="false">IF(E359="","",(E359-D359)/D359*100)</f>
        <v/>
      </c>
      <c r="G359" s="0" t="str">
        <f aca="false">IF(C359="BUY","IN",IF(C359="SELL","OUT",IF(G358="IN","IN","OUT")))</f>
        <v>OUT</v>
      </c>
      <c r="H359" s="14" t="n">
        <f aca="false">H358+IF(F359="",0,F359)</f>
        <v>4.14646586122364</v>
      </c>
      <c r="I359" s="14" t="n">
        <f aca="false">MAX(I358,H359)</f>
        <v>4.59086078639746</v>
      </c>
      <c r="J359" s="14" t="n">
        <f aca="false">I359-H359</f>
        <v>0.444394925173813</v>
      </c>
    </row>
    <row r="360" customFormat="false" ht="15" hidden="false" customHeight="false" outlineLevel="0" collapsed="false">
      <c r="A360" s="12" t="n">
        <f aca="false">Data!A360</f>
        <v>42527</v>
      </c>
      <c r="B360" s="14" t="n">
        <f aca="false">Data!B360</f>
        <v>49.69</v>
      </c>
      <c r="C360" s="0" t="str">
        <f aca="false">IF(Data!D360="","HOLD",IF(AND(G359&lt;&gt;"IN",Data!E360&lt;-5),"BUY",IF(AND(G359="IN",Data!E360&gt;0),"SELL","HOLD")))</f>
        <v>HOLD</v>
      </c>
      <c r="D360" s="14" t="str">
        <f aca="false">IF(C360="BUY",B360,IF(G359="IN",D359,""))</f>
        <v/>
      </c>
      <c r="E360" s="14" t="str">
        <f aca="false">IF(C360="SELL",B360,"")</f>
        <v/>
      </c>
      <c r="F360" s="14" t="str">
        <f aca="false">IF(E360="","",(E360-D360)/D360*100)</f>
        <v/>
      </c>
      <c r="G360" s="0" t="str">
        <f aca="false">IF(C360="BUY","IN",IF(C360="SELL","OUT",IF(G359="IN","IN","OUT")))</f>
        <v>OUT</v>
      </c>
      <c r="H360" s="14" t="n">
        <f aca="false">H359+IF(F360="",0,F360)</f>
        <v>4.14646586122364</v>
      </c>
      <c r="I360" s="14" t="n">
        <f aca="false">MAX(I359,H360)</f>
        <v>4.59086078639746</v>
      </c>
      <c r="J360" s="14" t="n">
        <f aca="false">I360-H360</f>
        <v>0.444394925173813</v>
      </c>
    </row>
    <row r="361" customFormat="false" ht="15" hidden="false" customHeight="false" outlineLevel="0" collapsed="false">
      <c r="A361" s="12" t="n">
        <f aca="false">Data!A361</f>
        <v>42528</v>
      </c>
      <c r="B361" s="14" t="n">
        <f aca="false">Data!B361</f>
        <v>50.36</v>
      </c>
      <c r="C361" s="0" t="str">
        <f aca="false">IF(Data!D361="","HOLD",IF(AND(G360&lt;&gt;"IN",Data!E361&lt;-5),"BUY",IF(AND(G360="IN",Data!E361&gt;0),"SELL","HOLD")))</f>
        <v>HOLD</v>
      </c>
      <c r="D361" s="14" t="str">
        <f aca="false">IF(C361="BUY",B361,IF(G360="IN",D360,""))</f>
        <v/>
      </c>
      <c r="E361" s="14" t="str">
        <f aca="false">IF(C361="SELL",B361,"")</f>
        <v/>
      </c>
      <c r="F361" s="14" t="str">
        <f aca="false">IF(E361="","",(E361-D361)/D361*100)</f>
        <v/>
      </c>
      <c r="G361" s="0" t="str">
        <f aca="false">IF(C361="BUY","IN",IF(C361="SELL","OUT",IF(G360="IN","IN","OUT")))</f>
        <v>OUT</v>
      </c>
      <c r="H361" s="14" t="n">
        <f aca="false">H360+IF(F361="",0,F361)</f>
        <v>4.14646586122364</v>
      </c>
      <c r="I361" s="14" t="n">
        <f aca="false">MAX(I360,H361)</f>
        <v>4.59086078639746</v>
      </c>
      <c r="J361" s="14" t="n">
        <f aca="false">I361-H361</f>
        <v>0.444394925173813</v>
      </c>
    </row>
    <row r="362" customFormat="false" ht="15" hidden="false" customHeight="false" outlineLevel="0" collapsed="false">
      <c r="A362" s="12" t="n">
        <f aca="false">Data!A362</f>
        <v>42529</v>
      </c>
      <c r="B362" s="14" t="n">
        <f aca="false">Data!B362</f>
        <v>51.23</v>
      </c>
      <c r="C362" s="0" t="str">
        <f aca="false">IF(Data!D362="","HOLD",IF(AND(G361&lt;&gt;"IN",Data!E362&lt;-5),"BUY",IF(AND(G361="IN",Data!E362&gt;0),"SELL","HOLD")))</f>
        <v>HOLD</v>
      </c>
      <c r="D362" s="14" t="str">
        <f aca="false">IF(C362="BUY",B362,IF(G361="IN",D361,""))</f>
        <v/>
      </c>
      <c r="E362" s="14" t="str">
        <f aca="false">IF(C362="SELL",B362,"")</f>
        <v/>
      </c>
      <c r="F362" s="14" t="str">
        <f aca="false">IF(E362="","",(E362-D362)/D362*100)</f>
        <v/>
      </c>
      <c r="G362" s="0" t="str">
        <f aca="false">IF(C362="BUY","IN",IF(C362="SELL","OUT",IF(G361="IN","IN","OUT")))</f>
        <v>OUT</v>
      </c>
      <c r="H362" s="14" t="n">
        <f aca="false">H361+IF(F362="",0,F362)</f>
        <v>4.14646586122364</v>
      </c>
      <c r="I362" s="14" t="n">
        <f aca="false">MAX(I361,H362)</f>
        <v>4.59086078639746</v>
      </c>
      <c r="J362" s="14" t="n">
        <f aca="false">I362-H362</f>
        <v>0.444394925173813</v>
      </c>
    </row>
    <row r="363" customFormat="false" ht="15" hidden="false" customHeight="false" outlineLevel="0" collapsed="false">
      <c r="A363" s="12" t="n">
        <f aca="false">Data!A363</f>
        <v>42530</v>
      </c>
      <c r="B363" s="14" t="n">
        <f aca="false">Data!B363</f>
        <v>50.56</v>
      </c>
      <c r="C363" s="0" t="str">
        <f aca="false">IF(Data!D363="","HOLD",IF(AND(G362&lt;&gt;"IN",Data!E363&lt;-5),"BUY",IF(AND(G362="IN",Data!E363&gt;0),"SELL","HOLD")))</f>
        <v>HOLD</v>
      </c>
      <c r="D363" s="14" t="str">
        <f aca="false">IF(C363="BUY",B363,IF(G362="IN",D362,""))</f>
        <v/>
      </c>
      <c r="E363" s="14" t="str">
        <f aca="false">IF(C363="SELL",B363,"")</f>
        <v/>
      </c>
      <c r="F363" s="14" t="str">
        <f aca="false">IF(E363="","",(E363-D363)/D363*100)</f>
        <v/>
      </c>
      <c r="G363" s="0" t="str">
        <f aca="false">IF(C363="BUY","IN",IF(C363="SELL","OUT",IF(G362="IN","IN","OUT")))</f>
        <v>OUT</v>
      </c>
      <c r="H363" s="14" t="n">
        <f aca="false">H362+IF(F363="",0,F363)</f>
        <v>4.14646586122364</v>
      </c>
      <c r="I363" s="14" t="n">
        <f aca="false">MAX(I362,H363)</f>
        <v>4.59086078639746</v>
      </c>
      <c r="J363" s="14" t="n">
        <f aca="false">I363-H363</f>
        <v>0.444394925173813</v>
      </c>
    </row>
    <row r="364" customFormat="false" ht="15" hidden="false" customHeight="false" outlineLevel="0" collapsed="false">
      <c r="A364" s="12" t="n">
        <f aca="false">Data!A364</f>
        <v>42531</v>
      </c>
      <c r="B364" s="14" t="n">
        <f aca="false">Data!B364</f>
        <v>49.07</v>
      </c>
      <c r="C364" s="0" t="str">
        <f aca="false">IF(Data!D364="","HOLD",IF(AND(G363&lt;&gt;"IN",Data!E364&lt;-5),"BUY",IF(AND(G363="IN",Data!E364&gt;0),"SELL","HOLD")))</f>
        <v>HOLD</v>
      </c>
      <c r="D364" s="14" t="str">
        <f aca="false">IF(C364="BUY",B364,IF(G363="IN",D363,""))</f>
        <v/>
      </c>
      <c r="E364" s="14" t="str">
        <f aca="false">IF(C364="SELL",B364,"")</f>
        <v/>
      </c>
      <c r="F364" s="14" t="str">
        <f aca="false">IF(E364="","",(E364-D364)/D364*100)</f>
        <v/>
      </c>
      <c r="G364" s="0" t="str">
        <f aca="false">IF(C364="BUY","IN",IF(C364="SELL","OUT",IF(G363="IN","IN","OUT")))</f>
        <v>OUT</v>
      </c>
      <c r="H364" s="14" t="n">
        <f aca="false">H363+IF(F364="",0,F364)</f>
        <v>4.14646586122364</v>
      </c>
      <c r="I364" s="14" t="n">
        <f aca="false">MAX(I363,H364)</f>
        <v>4.59086078639746</v>
      </c>
      <c r="J364" s="14" t="n">
        <f aca="false">I364-H364</f>
        <v>0.444394925173813</v>
      </c>
    </row>
    <row r="365" customFormat="false" ht="15" hidden="false" customHeight="false" outlineLevel="0" collapsed="false">
      <c r="A365" s="12" t="n">
        <f aca="false">Data!A365</f>
        <v>42534</v>
      </c>
      <c r="B365" s="14" t="n">
        <f aca="false">Data!B365</f>
        <v>48.88</v>
      </c>
      <c r="C365" s="0" t="str">
        <f aca="false">IF(Data!D365="","HOLD",IF(AND(G364&lt;&gt;"IN",Data!E365&lt;-5),"BUY",IF(AND(G364="IN",Data!E365&gt;0),"SELL","HOLD")))</f>
        <v>HOLD</v>
      </c>
      <c r="D365" s="14" t="str">
        <f aca="false">IF(C365="BUY",B365,IF(G364="IN",D364,""))</f>
        <v/>
      </c>
      <c r="E365" s="14" t="str">
        <f aca="false">IF(C365="SELL",B365,"")</f>
        <v/>
      </c>
      <c r="F365" s="14" t="str">
        <f aca="false">IF(E365="","",(E365-D365)/D365*100)</f>
        <v/>
      </c>
      <c r="G365" s="0" t="str">
        <f aca="false">IF(C365="BUY","IN",IF(C365="SELL","OUT",IF(G364="IN","IN","OUT")))</f>
        <v>OUT</v>
      </c>
      <c r="H365" s="14" t="n">
        <f aca="false">H364+IF(F365="",0,F365)</f>
        <v>4.14646586122364</v>
      </c>
      <c r="I365" s="14" t="n">
        <f aca="false">MAX(I364,H365)</f>
        <v>4.59086078639746</v>
      </c>
      <c r="J365" s="14" t="n">
        <f aca="false">I365-H365</f>
        <v>0.444394925173813</v>
      </c>
    </row>
    <row r="366" customFormat="false" ht="15" hidden="false" customHeight="false" outlineLevel="0" collapsed="false">
      <c r="A366" s="12" t="n">
        <f aca="false">Data!A366</f>
        <v>42535</v>
      </c>
      <c r="B366" s="14" t="n">
        <f aca="false">Data!B366</f>
        <v>48.49</v>
      </c>
      <c r="C366" s="0" t="str">
        <f aca="false">IF(Data!D366="","HOLD",IF(AND(G365&lt;&gt;"IN",Data!E366&lt;-5),"BUY",IF(AND(G365="IN",Data!E366&gt;0),"SELL","HOLD")))</f>
        <v>HOLD</v>
      </c>
      <c r="D366" s="14" t="str">
        <f aca="false">IF(C366="BUY",B366,IF(G365="IN",D365,""))</f>
        <v/>
      </c>
      <c r="E366" s="14" t="str">
        <f aca="false">IF(C366="SELL",B366,"")</f>
        <v/>
      </c>
      <c r="F366" s="14" t="str">
        <f aca="false">IF(E366="","",(E366-D366)/D366*100)</f>
        <v/>
      </c>
      <c r="G366" s="0" t="str">
        <f aca="false">IF(C366="BUY","IN",IF(C366="SELL","OUT",IF(G365="IN","IN","OUT")))</f>
        <v>OUT</v>
      </c>
      <c r="H366" s="14" t="n">
        <f aca="false">H365+IF(F366="",0,F366)</f>
        <v>4.14646586122364</v>
      </c>
      <c r="I366" s="14" t="n">
        <f aca="false">MAX(I365,H366)</f>
        <v>4.59086078639746</v>
      </c>
      <c r="J366" s="14" t="n">
        <f aca="false">I366-H366</f>
        <v>0.444394925173813</v>
      </c>
    </row>
    <row r="367" customFormat="false" ht="15" hidden="false" customHeight="false" outlineLevel="0" collapsed="false">
      <c r="A367" s="12" t="n">
        <f aca="false">Data!A367</f>
        <v>42536</v>
      </c>
      <c r="B367" s="14" t="n">
        <f aca="false">Data!B367</f>
        <v>48.01</v>
      </c>
      <c r="C367" s="0" t="str">
        <f aca="false">IF(Data!D367="","HOLD",IF(AND(G366&lt;&gt;"IN",Data!E367&lt;-5),"BUY",IF(AND(G366="IN",Data!E367&gt;0),"SELL","HOLD")))</f>
        <v>HOLD</v>
      </c>
      <c r="D367" s="14" t="str">
        <f aca="false">IF(C367="BUY",B367,IF(G366="IN",D366,""))</f>
        <v/>
      </c>
      <c r="E367" s="14" t="str">
        <f aca="false">IF(C367="SELL",B367,"")</f>
        <v/>
      </c>
      <c r="F367" s="14" t="str">
        <f aca="false">IF(E367="","",(E367-D367)/D367*100)</f>
        <v/>
      </c>
      <c r="G367" s="0" t="str">
        <f aca="false">IF(C367="BUY","IN",IF(C367="SELL","OUT",IF(G366="IN","IN","OUT")))</f>
        <v>OUT</v>
      </c>
      <c r="H367" s="14" t="n">
        <f aca="false">H366+IF(F367="",0,F367)</f>
        <v>4.14646586122364</v>
      </c>
      <c r="I367" s="14" t="n">
        <f aca="false">MAX(I366,H367)</f>
        <v>4.59086078639746</v>
      </c>
      <c r="J367" s="14" t="n">
        <f aca="false">I367-H367</f>
        <v>0.444394925173813</v>
      </c>
    </row>
    <row r="368" customFormat="false" ht="15" hidden="false" customHeight="false" outlineLevel="0" collapsed="false">
      <c r="A368" s="12" t="n">
        <f aca="false">Data!A368</f>
        <v>42537</v>
      </c>
      <c r="B368" s="14" t="n">
        <f aca="false">Data!B368</f>
        <v>46.21</v>
      </c>
      <c r="C368" s="0" t="str">
        <f aca="false">IF(Data!D368="","HOLD",IF(AND(G367&lt;&gt;"IN",Data!E368&lt;-5),"BUY",IF(AND(G367="IN",Data!E368&gt;0),"SELL","HOLD")))</f>
        <v>BUY</v>
      </c>
      <c r="D368" s="14" t="n">
        <f aca="false">IF(C368="BUY",B368,IF(G367="IN",D367,""))</f>
        <v>46.21</v>
      </c>
      <c r="E368" s="14" t="str">
        <f aca="false">IF(C368="SELL",B368,"")</f>
        <v/>
      </c>
      <c r="F368" s="14" t="str">
        <f aca="false">IF(E368="","",(E368-D368)/D368*100)</f>
        <v/>
      </c>
      <c r="G368" s="0" t="str">
        <f aca="false">IF(C368="BUY","IN",IF(C368="SELL","OUT",IF(G367="IN","IN","OUT")))</f>
        <v>IN</v>
      </c>
      <c r="H368" s="14" t="n">
        <f aca="false">H367+IF(F368="",0,F368)</f>
        <v>4.14646586122364</v>
      </c>
      <c r="I368" s="14" t="n">
        <f aca="false">MAX(I367,H368)</f>
        <v>4.59086078639746</v>
      </c>
      <c r="J368" s="14" t="n">
        <f aca="false">I368-H368</f>
        <v>0.444394925173813</v>
      </c>
    </row>
    <row r="369" customFormat="false" ht="15" hidden="false" customHeight="false" outlineLevel="0" collapsed="false">
      <c r="A369" s="12" t="n">
        <f aca="false">Data!A369</f>
        <v>42538</v>
      </c>
      <c r="B369" s="14" t="n">
        <f aca="false">Data!B369</f>
        <v>47.98</v>
      </c>
      <c r="C369" s="0" t="str">
        <f aca="false">IF(Data!D369="","HOLD",IF(AND(G368&lt;&gt;"IN",Data!E369&lt;-5),"BUY",IF(AND(G368="IN",Data!E369&gt;0),"SELL","HOLD")))</f>
        <v>HOLD</v>
      </c>
      <c r="D369" s="14" t="n">
        <f aca="false">IF(C369="BUY",B369,IF(G368="IN",D368,""))</f>
        <v>46.21</v>
      </c>
      <c r="E369" s="14" t="str">
        <f aca="false">IF(C369="SELL",B369,"")</f>
        <v/>
      </c>
      <c r="F369" s="14" t="str">
        <f aca="false">IF(E369="","",(E369-D369)/D369*100)</f>
        <v/>
      </c>
      <c r="G369" s="0" t="str">
        <f aca="false">IF(C369="BUY","IN",IF(C369="SELL","OUT",IF(G368="IN","IN","OUT")))</f>
        <v>IN</v>
      </c>
      <c r="H369" s="14" t="n">
        <f aca="false">H368+IF(F369="",0,F369)</f>
        <v>4.14646586122364</v>
      </c>
      <c r="I369" s="14" t="n">
        <f aca="false">MAX(I368,H369)</f>
        <v>4.59086078639746</v>
      </c>
      <c r="J369" s="14" t="n">
        <f aca="false">I369-H369</f>
        <v>0.444394925173813</v>
      </c>
    </row>
    <row r="370" customFormat="false" ht="15" hidden="false" customHeight="false" outlineLevel="0" collapsed="false">
      <c r="A370" s="12" t="n">
        <f aca="false">Data!A370</f>
        <v>42541</v>
      </c>
      <c r="B370" s="14" t="n">
        <f aca="false">Data!B370</f>
        <v>49.37</v>
      </c>
      <c r="C370" s="0" t="str">
        <f aca="false">IF(Data!D370="","HOLD",IF(AND(G369&lt;&gt;"IN",Data!E370&lt;-5),"BUY",IF(AND(G369="IN",Data!E370&gt;0),"SELL","HOLD")))</f>
        <v>SELL</v>
      </c>
      <c r="D370" s="14" t="n">
        <f aca="false">IF(C370="BUY",B370,IF(G369="IN",D369,""))</f>
        <v>46.21</v>
      </c>
      <c r="E370" s="14" t="n">
        <f aca="false">IF(C370="SELL",B370,"")</f>
        <v>49.37</v>
      </c>
      <c r="F370" s="14" t="n">
        <f aca="false">IF(E370="","",(E370-D370)/D370*100)</f>
        <v>6.83834667820817</v>
      </c>
      <c r="G370" s="0" t="str">
        <f aca="false">IF(C370="BUY","IN",IF(C370="SELL","OUT",IF(G369="IN","IN","OUT")))</f>
        <v>OUT</v>
      </c>
      <c r="H370" s="14" t="n">
        <f aca="false">H369+IF(F370="",0,F370)</f>
        <v>10.9848125394318</v>
      </c>
      <c r="I370" s="14" t="n">
        <f aca="false">MAX(I369,H370)</f>
        <v>10.9848125394318</v>
      </c>
      <c r="J370" s="14" t="n">
        <f aca="false">I370-H370</f>
        <v>0</v>
      </c>
    </row>
    <row r="371" customFormat="false" ht="15" hidden="false" customHeight="false" outlineLevel="0" collapsed="false">
      <c r="A371" s="12" t="n">
        <f aca="false">Data!A371</f>
        <v>42542</v>
      </c>
      <c r="B371" s="14" t="n">
        <f aca="false">Data!B371</f>
        <v>48.85</v>
      </c>
      <c r="C371" s="0" t="str">
        <f aca="false">IF(Data!D371="","HOLD",IF(AND(G370&lt;&gt;"IN",Data!E371&lt;-5),"BUY",IF(AND(G370="IN",Data!E371&gt;0),"SELL","HOLD")))</f>
        <v>HOLD</v>
      </c>
      <c r="D371" s="14" t="str">
        <f aca="false">IF(C371="BUY",B371,IF(G370="IN",D370,""))</f>
        <v/>
      </c>
      <c r="E371" s="14" t="str">
        <f aca="false">IF(C371="SELL",B371,"")</f>
        <v/>
      </c>
      <c r="F371" s="14" t="str">
        <f aca="false">IF(E371="","",(E371-D371)/D371*100)</f>
        <v/>
      </c>
      <c r="G371" s="0" t="str">
        <f aca="false">IF(C371="BUY","IN",IF(C371="SELL","OUT",IF(G370="IN","IN","OUT")))</f>
        <v>OUT</v>
      </c>
      <c r="H371" s="14" t="n">
        <f aca="false">H370+IF(F371="",0,F371)</f>
        <v>10.9848125394318</v>
      </c>
      <c r="I371" s="14" t="n">
        <f aca="false">MAX(I370,H371)</f>
        <v>10.9848125394318</v>
      </c>
      <c r="J371" s="14" t="n">
        <f aca="false">I371-H371</f>
        <v>0</v>
      </c>
    </row>
    <row r="372" customFormat="false" ht="15" hidden="false" customHeight="false" outlineLevel="0" collapsed="false">
      <c r="A372" s="12" t="n">
        <f aca="false">Data!A372</f>
        <v>42543</v>
      </c>
      <c r="B372" s="14" t="n">
        <f aca="false">Data!B372</f>
        <v>49.13</v>
      </c>
      <c r="C372" s="0" t="str">
        <f aca="false">IF(Data!D372="","HOLD",IF(AND(G371&lt;&gt;"IN",Data!E372&lt;-5),"BUY",IF(AND(G371="IN",Data!E372&gt;0),"SELL","HOLD")))</f>
        <v>HOLD</v>
      </c>
      <c r="D372" s="14" t="str">
        <f aca="false">IF(C372="BUY",B372,IF(G371="IN",D371,""))</f>
        <v/>
      </c>
      <c r="E372" s="14" t="str">
        <f aca="false">IF(C372="SELL",B372,"")</f>
        <v/>
      </c>
      <c r="F372" s="14" t="str">
        <f aca="false">IF(E372="","",(E372-D372)/D372*100)</f>
        <v/>
      </c>
      <c r="G372" s="0" t="str">
        <f aca="false">IF(C372="BUY","IN",IF(C372="SELL","OUT",IF(G371="IN","IN","OUT")))</f>
        <v>OUT</v>
      </c>
      <c r="H372" s="14" t="n">
        <f aca="false">H371+IF(F372="",0,F372)</f>
        <v>10.9848125394318</v>
      </c>
      <c r="I372" s="14" t="n">
        <f aca="false">MAX(I371,H372)</f>
        <v>10.9848125394318</v>
      </c>
      <c r="J372" s="14" t="n">
        <f aca="false">I372-H372</f>
        <v>0</v>
      </c>
    </row>
    <row r="373" customFormat="false" ht="15" hidden="false" customHeight="false" outlineLevel="0" collapsed="false">
      <c r="A373" s="12" t="n">
        <f aca="false">Data!A373</f>
        <v>42544</v>
      </c>
      <c r="B373" s="14" t="n">
        <f aca="false">Data!B373</f>
        <v>50.11</v>
      </c>
      <c r="C373" s="0" t="str">
        <f aca="false">IF(Data!D373="","HOLD",IF(AND(G372&lt;&gt;"IN",Data!E373&lt;-5),"BUY",IF(AND(G372="IN",Data!E373&gt;0),"SELL","HOLD")))</f>
        <v>HOLD</v>
      </c>
      <c r="D373" s="14" t="str">
        <f aca="false">IF(C373="BUY",B373,IF(G372="IN",D372,""))</f>
        <v/>
      </c>
      <c r="E373" s="14" t="str">
        <f aca="false">IF(C373="SELL",B373,"")</f>
        <v/>
      </c>
      <c r="F373" s="14" t="str">
        <f aca="false">IF(E373="","",(E373-D373)/D373*100)</f>
        <v/>
      </c>
      <c r="G373" s="0" t="str">
        <f aca="false">IF(C373="BUY","IN",IF(C373="SELL","OUT",IF(G372="IN","IN","OUT")))</f>
        <v>OUT</v>
      </c>
      <c r="H373" s="14" t="n">
        <f aca="false">H372+IF(F373="",0,F373)</f>
        <v>10.9848125394318</v>
      </c>
      <c r="I373" s="14" t="n">
        <f aca="false">MAX(I372,H373)</f>
        <v>10.9848125394318</v>
      </c>
      <c r="J373" s="14" t="n">
        <f aca="false">I373-H373</f>
        <v>0</v>
      </c>
    </row>
    <row r="374" customFormat="false" ht="15" hidden="false" customHeight="false" outlineLevel="0" collapsed="false">
      <c r="A374" s="12" t="n">
        <f aca="false">Data!A374</f>
        <v>42545</v>
      </c>
      <c r="B374" s="14" t="n">
        <f aca="false">Data!B374</f>
        <v>47.64</v>
      </c>
      <c r="C374" s="0" t="str">
        <f aca="false">IF(Data!D374="","HOLD",IF(AND(G373&lt;&gt;"IN",Data!E374&lt;-5),"BUY",IF(AND(G373="IN",Data!E374&gt;0),"SELL","HOLD")))</f>
        <v>HOLD</v>
      </c>
      <c r="D374" s="14" t="str">
        <f aca="false">IF(C374="BUY",B374,IF(G373="IN",D373,""))</f>
        <v/>
      </c>
      <c r="E374" s="14" t="str">
        <f aca="false">IF(C374="SELL",B374,"")</f>
        <v/>
      </c>
      <c r="F374" s="14" t="str">
        <f aca="false">IF(E374="","",(E374-D374)/D374*100)</f>
        <v/>
      </c>
      <c r="G374" s="0" t="str">
        <f aca="false">IF(C374="BUY","IN",IF(C374="SELL","OUT",IF(G373="IN","IN","OUT")))</f>
        <v>OUT</v>
      </c>
      <c r="H374" s="14" t="n">
        <f aca="false">H373+IF(F374="",0,F374)</f>
        <v>10.9848125394318</v>
      </c>
      <c r="I374" s="14" t="n">
        <f aca="false">MAX(I373,H374)</f>
        <v>10.9848125394318</v>
      </c>
      <c r="J374" s="14" t="n">
        <f aca="false">I374-H374</f>
        <v>0</v>
      </c>
    </row>
    <row r="375" customFormat="false" ht="15" hidden="false" customHeight="false" outlineLevel="0" collapsed="false">
      <c r="A375" s="12" t="n">
        <f aca="false">Data!A375</f>
        <v>42548</v>
      </c>
      <c r="B375" s="14" t="n">
        <f aca="false">Data!B375</f>
        <v>46.33</v>
      </c>
      <c r="C375" s="0" t="str">
        <f aca="false">IF(Data!D375="","HOLD",IF(AND(G374&lt;&gt;"IN",Data!E375&lt;-5),"BUY",IF(AND(G374="IN",Data!E375&gt;0),"SELL","HOLD")))</f>
        <v>BUY</v>
      </c>
      <c r="D375" s="14" t="n">
        <f aca="false">IF(C375="BUY",B375,IF(G374="IN",D374,""))</f>
        <v>46.33</v>
      </c>
      <c r="E375" s="14" t="str">
        <f aca="false">IF(C375="SELL",B375,"")</f>
        <v/>
      </c>
      <c r="F375" s="14" t="str">
        <f aca="false">IF(E375="","",(E375-D375)/D375*100)</f>
        <v/>
      </c>
      <c r="G375" s="0" t="str">
        <f aca="false">IF(C375="BUY","IN",IF(C375="SELL","OUT",IF(G374="IN","IN","OUT")))</f>
        <v>IN</v>
      </c>
      <c r="H375" s="14" t="n">
        <f aca="false">H374+IF(F375="",0,F375)</f>
        <v>10.9848125394318</v>
      </c>
      <c r="I375" s="14" t="n">
        <f aca="false">MAX(I374,H375)</f>
        <v>10.9848125394318</v>
      </c>
      <c r="J375" s="14" t="n">
        <f aca="false">I375-H375</f>
        <v>0</v>
      </c>
    </row>
    <row r="376" customFormat="false" ht="15" hidden="false" customHeight="false" outlineLevel="0" collapsed="false">
      <c r="A376" s="12" t="n">
        <f aca="false">Data!A376</f>
        <v>42549</v>
      </c>
      <c r="B376" s="14" t="n">
        <f aca="false">Data!B376</f>
        <v>47.85</v>
      </c>
      <c r="C376" s="0" t="str">
        <f aca="false">IF(Data!D376="","HOLD",IF(AND(G375&lt;&gt;"IN",Data!E376&lt;-5),"BUY",IF(AND(G375="IN",Data!E376&gt;0),"SELL","HOLD")))</f>
        <v>HOLD</v>
      </c>
      <c r="D376" s="14" t="n">
        <f aca="false">IF(C376="BUY",B376,IF(G375="IN",D375,""))</f>
        <v>46.33</v>
      </c>
      <c r="E376" s="14" t="str">
        <f aca="false">IF(C376="SELL",B376,"")</f>
        <v/>
      </c>
      <c r="F376" s="14" t="str">
        <f aca="false">IF(E376="","",(E376-D376)/D376*100)</f>
        <v/>
      </c>
      <c r="G376" s="0" t="str">
        <f aca="false">IF(C376="BUY","IN",IF(C376="SELL","OUT",IF(G375="IN","IN","OUT")))</f>
        <v>IN</v>
      </c>
      <c r="H376" s="14" t="n">
        <f aca="false">H375+IF(F376="",0,F376)</f>
        <v>10.9848125394318</v>
      </c>
      <c r="I376" s="14" t="n">
        <f aca="false">MAX(I375,H376)</f>
        <v>10.9848125394318</v>
      </c>
      <c r="J376" s="14" t="n">
        <f aca="false">I376-H376</f>
        <v>0</v>
      </c>
    </row>
    <row r="377" customFormat="false" ht="15" hidden="false" customHeight="false" outlineLevel="0" collapsed="false">
      <c r="A377" s="12" t="n">
        <f aca="false">Data!A377</f>
        <v>42550</v>
      </c>
      <c r="B377" s="14" t="n">
        <f aca="false">Data!B377</f>
        <v>49.88</v>
      </c>
      <c r="C377" s="0" t="str">
        <f aca="false">IF(Data!D377="","HOLD",IF(AND(G376&lt;&gt;"IN",Data!E377&lt;-5),"BUY",IF(AND(G376="IN",Data!E377&gt;0),"SELL","HOLD")))</f>
        <v>SELL</v>
      </c>
      <c r="D377" s="14" t="n">
        <f aca="false">IF(C377="BUY",B377,IF(G376="IN",D376,""))</f>
        <v>46.33</v>
      </c>
      <c r="E377" s="14" t="n">
        <f aca="false">IF(C377="SELL",B377,"")</f>
        <v>49.88</v>
      </c>
      <c r="F377" s="14" t="n">
        <f aca="false">IF(E377="","",(E377-D377)/D377*100)</f>
        <v>7.66242175696094</v>
      </c>
      <c r="G377" s="0" t="str">
        <f aca="false">IF(C377="BUY","IN",IF(C377="SELL","OUT",IF(G376="IN","IN","OUT")))</f>
        <v>OUT</v>
      </c>
      <c r="H377" s="14" t="n">
        <f aca="false">H376+IF(F377="",0,F377)</f>
        <v>18.6472342963928</v>
      </c>
      <c r="I377" s="14" t="n">
        <f aca="false">MAX(I376,H377)</f>
        <v>18.6472342963928</v>
      </c>
      <c r="J377" s="14" t="n">
        <f aca="false">I377-H377</f>
        <v>0</v>
      </c>
    </row>
    <row r="378" customFormat="false" ht="15" hidden="false" customHeight="false" outlineLevel="0" collapsed="false">
      <c r="A378" s="12" t="n">
        <f aca="false">Data!A378</f>
        <v>42551</v>
      </c>
      <c r="B378" s="14" t="n">
        <f aca="false">Data!B378</f>
        <v>48.33</v>
      </c>
      <c r="C378" s="0" t="str">
        <f aca="false">IF(Data!D378="","HOLD",IF(AND(G377&lt;&gt;"IN",Data!E378&lt;-5),"BUY",IF(AND(G377="IN",Data!E378&gt;0),"SELL","HOLD")))</f>
        <v>HOLD</v>
      </c>
      <c r="D378" s="14" t="str">
        <f aca="false">IF(C378="BUY",B378,IF(G377="IN",D377,""))</f>
        <v/>
      </c>
      <c r="E378" s="14" t="str">
        <f aca="false">IF(C378="SELL",B378,"")</f>
        <v/>
      </c>
      <c r="F378" s="14" t="str">
        <f aca="false">IF(E378="","",(E378-D378)/D378*100)</f>
        <v/>
      </c>
      <c r="G378" s="0" t="str">
        <f aca="false">IF(C378="BUY","IN",IF(C378="SELL","OUT",IF(G377="IN","IN","OUT")))</f>
        <v>OUT</v>
      </c>
      <c r="H378" s="14" t="n">
        <f aca="false">H377+IF(F378="",0,F378)</f>
        <v>18.6472342963928</v>
      </c>
      <c r="I378" s="14" t="n">
        <f aca="false">MAX(I377,H378)</f>
        <v>18.6472342963928</v>
      </c>
      <c r="J378" s="14" t="n">
        <f aca="false">I378-H378</f>
        <v>0</v>
      </c>
    </row>
    <row r="379" customFormat="false" ht="15" hidden="false" customHeight="false" outlineLevel="0" collapsed="false">
      <c r="A379" s="12" t="n">
        <f aca="false">Data!A379</f>
        <v>42552</v>
      </c>
      <c r="B379" s="14" t="n">
        <f aca="false">Data!B379</f>
        <v>48.99</v>
      </c>
      <c r="C379" s="0" t="str">
        <f aca="false">IF(Data!D379="","HOLD",IF(AND(G378&lt;&gt;"IN",Data!E379&lt;-5),"BUY",IF(AND(G378="IN",Data!E379&gt;0),"SELL","HOLD")))</f>
        <v>HOLD</v>
      </c>
      <c r="D379" s="14" t="str">
        <f aca="false">IF(C379="BUY",B379,IF(G378="IN",D378,""))</f>
        <v/>
      </c>
      <c r="E379" s="14" t="str">
        <f aca="false">IF(C379="SELL",B379,"")</f>
        <v/>
      </c>
      <c r="F379" s="14" t="str">
        <f aca="false">IF(E379="","",(E379-D379)/D379*100)</f>
        <v/>
      </c>
      <c r="G379" s="0" t="str">
        <f aca="false">IF(C379="BUY","IN",IF(C379="SELL","OUT",IF(G378="IN","IN","OUT")))</f>
        <v>OUT</v>
      </c>
      <c r="H379" s="14" t="n">
        <f aca="false">H378+IF(F379="",0,F379)</f>
        <v>18.6472342963928</v>
      </c>
      <c r="I379" s="14" t="n">
        <f aca="false">MAX(I378,H379)</f>
        <v>18.6472342963928</v>
      </c>
      <c r="J379" s="14" t="n">
        <f aca="false">I379-H379</f>
        <v>0</v>
      </c>
    </row>
    <row r="380" customFormat="false" ht="15" hidden="false" customHeight="false" outlineLevel="0" collapsed="false">
      <c r="A380" s="12" t="n">
        <f aca="false">Data!A380</f>
        <v>42556</v>
      </c>
      <c r="B380" s="14" t="n">
        <f aca="false">Data!B380</f>
        <v>46.6</v>
      </c>
      <c r="C380" s="0" t="str">
        <f aca="false">IF(Data!D380="","HOLD",IF(AND(G379&lt;&gt;"IN",Data!E380&lt;-5),"BUY",IF(AND(G379="IN",Data!E380&gt;0),"SELL","HOLD")))</f>
        <v>HOLD</v>
      </c>
      <c r="D380" s="14" t="str">
        <f aca="false">IF(C380="BUY",B380,IF(G379="IN",D379,""))</f>
        <v/>
      </c>
      <c r="E380" s="14" t="str">
        <f aca="false">IF(C380="SELL",B380,"")</f>
        <v/>
      </c>
      <c r="F380" s="14" t="str">
        <f aca="false">IF(E380="","",(E380-D380)/D380*100)</f>
        <v/>
      </c>
      <c r="G380" s="0" t="str">
        <f aca="false">IF(C380="BUY","IN",IF(C380="SELL","OUT",IF(G379="IN","IN","OUT")))</f>
        <v>OUT</v>
      </c>
      <c r="H380" s="14" t="n">
        <f aca="false">H379+IF(F380="",0,F380)</f>
        <v>18.6472342963928</v>
      </c>
      <c r="I380" s="14" t="n">
        <f aca="false">MAX(I379,H380)</f>
        <v>18.6472342963928</v>
      </c>
      <c r="J380" s="14" t="n">
        <f aca="false">I380-H380</f>
        <v>0</v>
      </c>
    </row>
    <row r="381" customFormat="false" ht="15" hidden="false" customHeight="false" outlineLevel="0" collapsed="false">
      <c r="A381" s="12" t="n">
        <f aca="false">Data!A381</f>
        <v>42557</v>
      </c>
      <c r="B381" s="14" t="n">
        <f aca="false">Data!B381</f>
        <v>47.43</v>
      </c>
      <c r="C381" s="0" t="str">
        <f aca="false">IF(Data!D381="","HOLD",IF(AND(G380&lt;&gt;"IN",Data!E381&lt;-5),"BUY",IF(AND(G380="IN",Data!E381&gt;0),"SELL","HOLD")))</f>
        <v>HOLD</v>
      </c>
      <c r="D381" s="14" t="str">
        <f aca="false">IF(C381="BUY",B381,IF(G380="IN",D380,""))</f>
        <v/>
      </c>
      <c r="E381" s="14" t="str">
        <f aca="false">IF(C381="SELL",B381,"")</f>
        <v/>
      </c>
      <c r="F381" s="14" t="str">
        <f aca="false">IF(E381="","",(E381-D381)/D381*100)</f>
        <v/>
      </c>
      <c r="G381" s="0" t="str">
        <f aca="false">IF(C381="BUY","IN",IF(C381="SELL","OUT",IF(G380="IN","IN","OUT")))</f>
        <v>OUT</v>
      </c>
      <c r="H381" s="14" t="n">
        <f aca="false">H380+IF(F381="",0,F381)</f>
        <v>18.6472342963928</v>
      </c>
      <c r="I381" s="14" t="n">
        <f aca="false">MAX(I380,H381)</f>
        <v>18.6472342963928</v>
      </c>
      <c r="J381" s="14" t="n">
        <f aca="false">I381-H381</f>
        <v>0</v>
      </c>
    </row>
    <row r="382" customFormat="false" ht="15" hidden="false" customHeight="false" outlineLevel="0" collapsed="false">
      <c r="A382" s="12" t="n">
        <f aca="false">Data!A382</f>
        <v>42558</v>
      </c>
      <c r="B382" s="14" t="n">
        <f aca="false">Data!B382</f>
        <v>45.14</v>
      </c>
      <c r="C382" s="0" t="str">
        <f aca="false">IF(Data!D382="","HOLD",IF(AND(G381&lt;&gt;"IN",Data!E382&lt;-5),"BUY",IF(AND(G381="IN",Data!E382&gt;0),"SELL","HOLD")))</f>
        <v>BUY</v>
      </c>
      <c r="D382" s="14" t="n">
        <f aca="false">IF(C382="BUY",B382,IF(G381="IN",D381,""))</f>
        <v>45.14</v>
      </c>
      <c r="E382" s="14" t="str">
        <f aca="false">IF(C382="SELL",B382,"")</f>
        <v/>
      </c>
      <c r="F382" s="14" t="str">
        <f aca="false">IF(E382="","",(E382-D382)/D382*100)</f>
        <v/>
      </c>
      <c r="G382" s="0" t="str">
        <f aca="false">IF(C382="BUY","IN",IF(C382="SELL","OUT",IF(G381="IN","IN","OUT")))</f>
        <v>IN</v>
      </c>
      <c r="H382" s="14" t="n">
        <f aca="false">H381+IF(F382="",0,F382)</f>
        <v>18.6472342963928</v>
      </c>
      <c r="I382" s="14" t="n">
        <f aca="false">MAX(I381,H382)</f>
        <v>18.6472342963928</v>
      </c>
      <c r="J382" s="14" t="n">
        <f aca="false">I382-H382</f>
        <v>0</v>
      </c>
    </row>
    <row r="383" customFormat="false" ht="15" hidden="false" customHeight="false" outlineLevel="0" collapsed="false">
      <c r="A383" s="12" t="n">
        <f aca="false">Data!A383</f>
        <v>42559</v>
      </c>
      <c r="B383" s="14" t="n">
        <f aca="false">Data!B383</f>
        <v>45.41</v>
      </c>
      <c r="C383" s="0" t="str">
        <f aca="false">IF(Data!D383="","HOLD",IF(AND(G382&lt;&gt;"IN",Data!E383&lt;-5),"BUY",IF(AND(G382="IN",Data!E383&gt;0),"SELL","HOLD")))</f>
        <v>HOLD</v>
      </c>
      <c r="D383" s="14" t="n">
        <f aca="false">IF(C383="BUY",B383,IF(G382="IN",D382,""))</f>
        <v>45.14</v>
      </c>
      <c r="E383" s="14" t="str">
        <f aca="false">IF(C383="SELL",B383,"")</f>
        <v/>
      </c>
      <c r="F383" s="14" t="str">
        <f aca="false">IF(E383="","",(E383-D383)/D383*100)</f>
        <v/>
      </c>
      <c r="G383" s="0" t="str">
        <f aca="false">IF(C383="BUY","IN",IF(C383="SELL","OUT",IF(G382="IN","IN","OUT")))</f>
        <v>IN</v>
      </c>
      <c r="H383" s="14" t="n">
        <f aca="false">H382+IF(F383="",0,F383)</f>
        <v>18.6472342963928</v>
      </c>
      <c r="I383" s="14" t="n">
        <f aca="false">MAX(I382,H383)</f>
        <v>18.6472342963928</v>
      </c>
      <c r="J383" s="14" t="n">
        <f aca="false">I383-H383</f>
        <v>0</v>
      </c>
    </row>
    <row r="384" customFormat="false" ht="15" hidden="false" customHeight="false" outlineLevel="0" collapsed="false">
      <c r="A384" s="12" t="n">
        <f aca="false">Data!A384</f>
        <v>42562</v>
      </c>
      <c r="B384" s="14" t="n">
        <f aca="false">Data!B384</f>
        <v>44.76</v>
      </c>
      <c r="C384" s="0" t="str">
        <f aca="false">IF(Data!D384="","HOLD",IF(AND(G383&lt;&gt;"IN",Data!E384&lt;-5),"BUY",IF(AND(G383="IN",Data!E384&gt;0),"SELL","HOLD")))</f>
        <v>HOLD</v>
      </c>
      <c r="D384" s="14" t="n">
        <f aca="false">IF(C384="BUY",B384,IF(G383="IN",D383,""))</f>
        <v>45.14</v>
      </c>
      <c r="E384" s="14" t="str">
        <f aca="false">IF(C384="SELL",B384,"")</f>
        <v/>
      </c>
      <c r="F384" s="14" t="str">
        <f aca="false">IF(E384="","",(E384-D384)/D384*100)</f>
        <v/>
      </c>
      <c r="G384" s="0" t="str">
        <f aca="false">IF(C384="BUY","IN",IF(C384="SELL","OUT",IF(G383="IN","IN","OUT")))</f>
        <v>IN</v>
      </c>
      <c r="H384" s="14" t="n">
        <f aca="false">H383+IF(F384="",0,F384)</f>
        <v>18.6472342963928</v>
      </c>
      <c r="I384" s="14" t="n">
        <f aca="false">MAX(I383,H384)</f>
        <v>18.6472342963928</v>
      </c>
      <c r="J384" s="14" t="n">
        <f aca="false">I384-H384</f>
        <v>0</v>
      </c>
    </row>
    <row r="385" customFormat="false" ht="15" hidden="false" customHeight="false" outlineLevel="0" collapsed="false">
      <c r="A385" s="12" t="n">
        <f aca="false">Data!A385</f>
        <v>42563</v>
      </c>
      <c r="B385" s="14" t="n">
        <f aca="false">Data!B385</f>
        <v>46.8</v>
      </c>
      <c r="C385" s="0" t="str">
        <f aca="false">IF(Data!D385="","HOLD",IF(AND(G384&lt;&gt;"IN",Data!E385&lt;-5),"BUY",IF(AND(G384="IN",Data!E385&gt;0),"SELL","HOLD")))</f>
        <v>HOLD</v>
      </c>
      <c r="D385" s="14" t="n">
        <f aca="false">IF(C385="BUY",B385,IF(G384="IN",D384,""))</f>
        <v>45.14</v>
      </c>
      <c r="E385" s="14" t="str">
        <f aca="false">IF(C385="SELL",B385,"")</f>
        <v/>
      </c>
      <c r="F385" s="14" t="str">
        <f aca="false">IF(E385="","",(E385-D385)/D385*100)</f>
        <v/>
      </c>
      <c r="G385" s="0" t="str">
        <f aca="false">IF(C385="BUY","IN",IF(C385="SELL","OUT",IF(G384="IN","IN","OUT")))</f>
        <v>IN</v>
      </c>
      <c r="H385" s="14" t="n">
        <f aca="false">H384+IF(F385="",0,F385)</f>
        <v>18.6472342963928</v>
      </c>
      <c r="I385" s="14" t="n">
        <f aca="false">MAX(I384,H385)</f>
        <v>18.6472342963928</v>
      </c>
      <c r="J385" s="14" t="n">
        <f aca="false">I385-H385</f>
        <v>0</v>
      </c>
    </row>
    <row r="386" customFormat="false" ht="15" hidden="false" customHeight="false" outlineLevel="0" collapsed="false">
      <c r="A386" s="12" t="n">
        <f aca="false">Data!A386</f>
        <v>42564</v>
      </c>
      <c r="B386" s="14" t="n">
        <f aca="false">Data!B386</f>
        <v>44.75</v>
      </c>
      <c r="C386" s="0" t="str">
        <f aca="false">IF(Data!D386="","HOLD",IF(AND(G385&lt;&gt;"IN",Data!E386&lt;-5),"BUY",IF(AND(G385="IN",Data!E386&gt;0),"SELL","HOLD")))</f>
        <v>HOLD</v>
      </c>
      <c r="D386" s="14" t="n">
        <f aca="false">IF(C386="BUY",B386,IF(G385="IN",D385,""))</f>
        <v>45.14</v>
      </c>
      <c r="E386" s="14" t="str">
        <f aca="false">IF(C386="SELL",B386,"")</f>
        <v/>
      </c>
      <c r="F386" s="14" t="str">
        <f aca="false">IF(E386="","",(E386-D386)/D386*100)</f>
        <v/>
      </c>
      <c r="G386" s="0" t="str">
        <f aca="false">IF(C386="BUY","IN",IF(C386="SELL","OUT",IF(G385="IN","IN","OUT")))</f>
        <v>IN</v>
      </c>
      <c r="H386" s="14" t="n">
        <f aca="false">H385+IF(F386="",0,F386)</f>
        <v>18.6472342963928</v>
      </c>
      <c r="I386" s="14" t="n">
        <f aca="false">MAX(I385,H386)</f>
        <v>18.6472342963928</v>
      </c>
      <c r="J386" s="14" t="n">
        <f aca="false">I386-H386</f>
        <v>0</v>
      </c>
    </row>
    <row r="387" customFormat="false" ht="15" hidden="false" customHeight="false" outlineLevel="0" collapsed="false">
      <c r="A387" s="12" t="n">
        <f aca="false">Data!A387</f>
        <v>42565</v>
      </c>
      <c r="B387" s="14" t="n">
        <f aca="false">Data!B387</f>
        <v>45.68</v>
      </c>
      <c r="C387" s="0" t="str">
        <f aca="false">IF(Data!D387="","HOLD",IF(AND(G386&lt;&gt;"IN",Data!E387&lt;-5),"BUY",IF(AND(G386="IN",Data!E387&gt;0),"SELL","HOLD")))</f>
        <v>HOLD</v>
      </c>
      <c r="D387" s="14" t="n">
        <f aca="false">IF(C387="BUY",B387,IF(G386="IN",D386,""))</f>
        <v>45.14</v>
      </c>
      <c r="E387" s="14" t="str">
        <f aca="false">IF(C387="SELL",B387,"")</f>
        <v/>
      </c>
      <c r="F387" s="14" t="str">
        <f aca="false">IF(E387="","",(E387-D387)/D387*100)</f>
        <v/>
      </c>
      <c r="G387" s="0" t="str">
        <f aca="false">IF(C387="BUY","IN",IF(C387="SELL","OUT",IF(G386="IN","IN","OUT")))</f>
        <v>IN</v>
      </c>
      <c r="H387" s="14" t="n">
        <f aca="false">H386+IF(F387="",0,F387)</f>
        <v>18.6472342963928</v>
      </c>
      <c r="I387" s="14" t="n">
        <f aca="false">MAX(I386,H387)</f>
        <v>18.6472342963928</v>
      </c>
      <c r="J387" s="14" t="n">
        <f aca="false">I387-H387</f>
        <v>0</v>
      </c>
    </row>
    <row r="388" customFormat="false" ht="15" hidden="false" customHeight="false" outlineLevel="0" collapsed="false">
      <c r="A388" s="12" t="n">
        <f aca="false">Data!A388</f>
        <v>42566</v>
      </c>
      <c r="B388" s="14" t="n">
        <f aca="false">Data!B388</f>
        <v>45.95</v>
      </c>
      <c r="C388" s="0" t="str">
        <f aca="false">IF(Data!D388="","HOLD",IF(AND(G387&lt;&gt;"IN",Data!E388&lt;-5),"BUY",IF(AND(G387="IN",Data!E388&gt;0),"SELL","HOLD")))</f>
        <v>HOLD</v>
      </c>
      <c r="D388" s="14" t="n">
        <f aca="false">IF(C388="BUY",B388,IF(G387="IN",D387,""))</f>
        <v>45.14</v>
      </c>
      <c r="E388" s="14" t="str">
        <f aca="false">IF(C388="SELL",B388,"")</f>
        <v/>
      </c>
      <c r="F388" s="14" t="str">
        <f aca="false">IF(E388="","",(E388-D388)/D388*100)</f>
        <v/>
      </c>
      <c r="G388" s="0" t="str">
        <f aca="false">IF(C388="BUY","IN",IF(C388="SELL","OUT",IF(G387="IN","IN","OUT")))</f>
        <v>IN</v>
      </c>
      <c r="H388" s="14" t="n">
        <f aca="false">H387+IF(F388="",0,F388)</f>
        <v>18.6472342963928</v>
      </c>
      <c r="I388" s="14" t="n">
        <f aca="false">MAX(I387,H388)</f>
        <v>18.6472342963928</v>
      </c>
      <c r="J388" s="14" t="n">
        <f aca="false">I388-H388</f>
        <v>0</v>
      </c>
    </row>
    <row r="389" customFormat="false" ht="15" hidden="false" customHeight="false" outlineLevel="0" collapsed="false">
      <c r="A389" s="12" t="n">
        <f aca="false">Data!A389</f>
        <v>42569</v>
      </c>
      <c r="B389" s="14" t="n">
        <f aca="false">Data!B389</f>
        <v>45.24</v>
      </c>
      <c r="C389" s="0" t="str">
        <f aca="false">IF(Data!D389="","HOLD",IF(AND(G388&lt;&gt;"IN",Data!E389&lt;-5),"BUY",IF(AND(G388="IN",Data!E389&gt;0),"SELL","HOLD")))</f>
        <v>HOLD</v>
      </c>
      <c r="D389" s="14" t="n">
        <f aca="false">IF(C389="BUY",B389,IF(G388="IN",D388,""))</f>
        <v>45.14</v>
      </c>
      <c r="E389" s="14" t="str">
        <f aca="false">IF(C389="SELL",B389,"")</f>
        <v/>
      </c>
      <c r="F389" s="14" t="str">
        <f aca="false">IF(E389="","",(E389-D389)/D389*100)</f>
        <v/>
      </c>
      <c r="G389" s="0" t="str">
        <f aca="false">IF(C389="BUY","IN",IF(C389="SELL","OUT",IF(G388="IN","IN","OUT")))</f>
        <v>IN</v>
      </c>
      <c r="H389" s="14" t="n">
        <f aca="false">H388+IF(F389="",0,F389)</f>
        <v>18.6472342963928</v>
      </c>
      <c r="I389" s="14" t="n">
        <f aca="false">MAX(I388,H389)</f>
        <v>18.6472342963928</v>
      </c>
      <c r="J389" s="14" t="n">
        <f aca="false">I389-H389</f>
        <v>0</v>
      </c>
    </row>
    <row r="390" customFormat="false" ht="15" hidden="false" customHeight="false" outlineLevel="0" collapsed="false">
      <c r="A390" s="12" t="n">
        <f aca="false">Data!A390</f>
        <v>42570</v>
      </c>
      <c r="B390" s="14" t="n">
        <f aca="false">Data!B390</f>
        <v>44.65</v>
      </c>
      <c r="C390" s="0" t="str">
        <f aca="false">IF(Data!D390="","HOLD",IF(AND(G389&lt;&gt;"IN",Data!E390&lt;-5),"BUY",IF(AND(G389="IN",Data!E390&gt;0),"SELL","HOLD")))</f>
        <v>HOLD</v>
      </c>
      <c r="D390" s="14" t="n">
        <f aca="false">IF(C390="BUY",B390,IF(G389="IN",D389,""))</f>
        <v>45.14</v>
      </c>
      <c r="E390" s="14" t="str">
        <f aca="false">IF(C390="SELL",B390,"")</f>
        <v/>
      </c>
      <c r="F390" s="14" t="str">
        <f aca="false">IF(E390="","",(E390-D390)/D390*100)</f>
        <v/>
      </c>
      <c r="G390" s="0" t="str">
        <f aca="false">IF(C390="BUY","IN",IF(C390="SELL","OUT",IF(G389="IN","IN","OUT")))</f>
        <v>IN</v>
      </c>
      <c r="H390" s="14" t="n">
        <f aca="false">H389+IF(F390="",0,F390)</f>
        <v>18.6472342963928</v>
      </c>
      <c r="I390" s="14" t="n">
        <f aca="false">MAX(I389,H390)</f>
        <v>18.6472342963928</v>
      </c>
      <c r="J390" s="14" t="n">
        <f aca="false">I390-H390</f>
        <v>0</v>
      </c>
    </row>
    <row r="391" customFormat="false" ht="15" hidden="false" customHeight="false" outlineLevel="0" collapsed="false">
      <c r="A391" s="12" t="n">
        <f aca="false">Data!A391</f>
        <v>42571</v>
      </c>
      <c r="B391" s="14" t="n">
        <f aca="false">Data!B391</f>
        <v>44.94</v>
      </c>
      <c r="C391" s="0" t="str">
        <f aca="false">IF(Data!D391="","HOLD",IF(AND(G390&lt;&gt;"IN",Data!E391&lt;-5),"BUY",IF(AND(G390="IN",Data!E391&gt;0),"SELL","HOLD")))</f>
        <v>HOLD</v>
      </c>
      <c r="D391" s="14" t="n">
        <f aca="false">IF(C391="BUY",B391,IF(G390="IN",D390,""))</f>
        <v>45.14</v>
      </c>
      <c r="E391" s="14" t="str">
        <f aca="false">IF(C391="SELL",B391,"")</f>
        <v/>
      </c>
      <c r="F391" s="14" t="str">
        <f aca="false">IF(E391="","",(E391-D391)/D391*100)</f>
        <v/>
      </c>
      <c r="G391" s="0" t="str">
        <f aca="false">IF(C391="BUY","IN",IF(C391="SELL","OUT",IF(G390="IN","IN","OUT")))</f>
        <v>IN</v>
      </c>
      <c r="H391" s="14" t="n">
        <f aca="false">H390+IF(F391="",0,F391)</f>
        <v>18.6472342963928</v>
      </c>
      <c r="I391" s="14" t="n">
        <f aca="false">MAX(I390,H391)</f>
        <v>18.6472342963928</v>
      </c>
      <c r="J391" s="14" t="n">
        <f aca="false">I391-H391</f>
        <v>0</v>
      </c>
    </row>
    <row r="392" customFormat="false" ht="15" hidden="false" customHeight="false" outlineLevel="0" collapsed="false">
      <c r="A392" s="12" t="n">
        <f aca="false">Data!A392</f>
        <v>42572</v>
      </c>
      <c r="B392" s="14" t="n">
        <f aca="false">Data!B392</f>
        <v>44.75</v>
      </c>
      <c r="C392" s="0" t="str">
        <f aca="false">IF(Data!D392="","HOLD",IF(AND(G391&lt;&gt;"IN",Data!E392&lt;-5),"BUY",IF(AND(G391="IN",Data!E392&gt;0),"SELL","HOLD")))</f>
        <v>HOLD</v>
      </c>
      <c r="D392" s="14" t="n">
        <f aca="false">IF(C392="BUY",B392,IF(G391="IN",D391,""))</f>
        <v>45.14</v>
      </c>
      <c r="E392" s="14" t="str">
        <f aca="false">IF(C392="SELL",B392,"")</f>
        <v/>
      </c>
      <c r="F392" s="14" t="str">
        <f aca="false">IF(E392="","",(E392-D392)/D392*100)</f>
        <v/>
      </c>
      <c r="G392" s="0" t="str">
        <f aca="false">IF(C392="BUY","IN",IF(C392="SELL","OUT",IF(G391="IN","IN","OUT")))</f>
        <v>IN</v>
      </c>
      <c r="H392" s="14" t="n">
        <f aca="false">H391+IF(F392="",0,F392)</f>
        <v>18.6472342963928</v>
      </c>
      <c r="I392" s="14" t="n">
        <f aca="false">MAX(I391,H392)</f>
        <v>18.6472342963928</v>
      </c>
      <c r="J392" s="14" t="n">
        <f aca="false">I392-H392</f>
        <v>0</v>
      </c>
    </row>
    <row r="393" customFormat="false" ht="15" hidden="false" customHeight="false" outlineLevel="0" collapsed="false">
      <c r="A393" s="12" t="n">
        <f aca="false">Data!A393</f>
        <v>42573</v>
      </c>
      <c r="B393" s="14" t="n">
        <f aca="false">Data!B393</f>
        <v>44.19</v>
      </c>
      <c r="C393" s="0" t="str">
        <f aca="false">IF(Data!D393="","HOLD",IF(AND(G392&lt;&gt;"IN",Data!E393&lt;-5),"BUY",IF(AND(G392="IN",Data!E393&gt;0),"SELL","HOLD")))</f>
        <v>HOLD</v>
      </c>
      <c r="D393" s="14" t="n">
        <f aca="false">IF(C393="BUY",B393,IF(G392="IN",D392,""))</f>
        <v>45.14</v>
      </c>
      <c r="E393" s="14" t="str">
        <f aca="false">IF(C393="SELL",B393,"")</f>
        <v/>
      </c>
      <c r="F393" s="14" t="str">
        <f aca="false">IF(E393="","",(E393-D393)/D393*100)</f>
        <v/>
      </c>
      <c r="G393" s="0" t="str">
        <f aca="false">IF(C393="BUY","IN",IF(C393="SELL","OUT",IF(G392="IN","IN","OUT")))</f>
        <v>IN</v>
      </c>
      <c r="H393" s="14" t="n">
        <f aca="false">H392+IF(F393="",0,F393)</f>
        <v>18.6472342963928</v>
      </c>
      <c r="I393" s="14" t="n">
        <f aca="false">MAX(I392,H393)</f>
        <v>18.6472342963928</v>
      </c>
      <c r="J393" s="14" t="n">
        <f aca="false">I393-H393</f>
        <v>0</v>
      </c>
    </row>
    <row r="394" customFormat="false" ht="15" hidden="false" customHeight="false" outlineLevel="0" collapsed="false">
      <c r="A394" s="12" t="n">
        <f aca="false">Data!A394</f>
        <v>42576</v>
      </c>
      <c r="B394" s="14" t="n">
        <f aca="false">Data!B394</f>
        <v>43.13</v>
      </c>
      <c r="C394" s="0" t="str">
        <f aca="false">IF(Data!D394="","HOLD",IF(AND(G393&lt;&gt;"IN",Data!E394&lt;-5),"BUY",IF(AND(G393="IN",Data!E394&gt;0),"SELL","HOLD")))</f>
        <v>HOLD</v>
      </c>
      <c r="D394" s="14" t="n">
        <f aca="false">IF(C394="BUY",B394,IF(G393="IN",D393,""))</f>
        <v>45.14</v>
      </c>
      <c r="E394" s="14" t="str">
        <f aca="false">IF(C394="SELL",B394,"")</f>
        <v/>
      </c>
      <c r="F394" s="14" t="str">
        <f aca="false">IF(E394="","",(E394-D394)/D394*100)</f>
        <v/>
      </c>
      <c r="G394" s="0" t="str">
        <f aca="false">IF(C394="BUY","IN",IF(C394="SELL","OUT",IF(G393="IN","IN","OUT")))</f>
        <v>IN</v>
      </c>
      <c r="H394" s="14" t="n">
        <f aca="false">H393+IF(F394="",0,F394)</f>
        <v>18.6472342963928</v>
      </c>
      <c r="I394" s="14" t="n">
        <f aca="false">MAX(I393,H394)</f>
        <v>18.6472342963928</v>
      </c>
      <c r="J394" s="14" t="n">
        <f aca="false">I394-H394</f>
        <v>0</v>
      </c>
    </row>
    <row r="395" customFormat="false" ht="15" hidden="false" customHeight="false" outlineLevel="0" collapsed="false">
      <c r="A395" s="12" t="n">
        <f aca="false">Data!A395</f>
        <v>42577</v>
      </c>
      <c r="B395" s="14" t="n">
        <f aca="false">Data!B395</f>
        <v>42.92</v>
      </c>
      <c r="C395" s="0" t="str">
        <f aca="false">IF(Data!D395="","HOLD",IF(AND(G394&lt;&gt;"IN",Data!E395&lt;-5),"BUY",IF(AND(G394="IN",Data!E395&gt;0),"SELL","HOLD")))</f>
        <v>HOLD</v>
      </c>
      <c r="D395" s="14" t="n">
        <f aca="false">IF(C395="BUY",B395,IF(G394="IN",D394,""))</f>
        <v>45.14</v>
      </c>
      <c r="E395" s="14" t="str">
        <f aca="false">IF(C395="SELL",B395,"")</f>
        <v/>
      </c>
      <c r="F395" s="14" t="str">
        <f aca="false">IF(E395="","",(E395-D395)/D395*100)</f>
        <v/>
      </c>
      <c r="G395" s="0" t="str">
        <f aca="false">IF(C395="BUY","IN",IF(C395="SELL","OUT",IF(G394="IN","IN","OUT")))</f>
        <v>IN</v>
      </c>
      <c r="H395" s="14" t="n">
        <f aca="false">H394+IF(F395="",0,F395)</f>
        <v>18.6472342963928</v>
      </c>
      <c r="I395" s="14" t="n">
        <f aca="false">MAX(I394,H395)</f>
        <v>18.6472342963928</v>
      </c>
      <c r="J395" s="14" t="n">
        <f aca="false">I395-H395</f>
        <v>0</v>
      </c>
    </row>
    <row r="396" customFormat="false" ht="15" hidden="false" customHeight="false" outlineLevel="0" collapsed="false">
      <c r="A396" s="12" t="n">
        <f aca="false">Data!A396</f>
        <v>42578</v>
      </c>
      <c r="B396" s="14" t="n">
        <f aca="false">Data!B396</f>
        <v>41.92</v>
      </c>
      <c r="C396" s="0" t="str">
        <f aca="false">IF(Data!D396="","HOLD",IF(AND(G395&lt;&gt;"IN",Data!E396&lt;-5),"BUY",IF(AND(G395="IN",Data!E396&gt;0),"SELL","HOLD")))</f>
        <v>HOLD</v>
      </c>
      <c r="D396" s="14" t="n">
        <f aca="false">IF(C396="BUY",B396,IF(G395="IN",D395,""))</f>
        <v>45.14</v>
      </c>
      <c r="E396" s="14" t="str">
        <f aca="false">IF(C396="SELL",B396,"")</f>
        <v/>
      </c>
      <c r="F396" s="14" t="str">
        <f aca="false">IF(E396="","",(E396-D396)/D396*100)</f>
        <v/>
      </c>
      <c r="G396" s="0" t="str">
        <f aca="false">IF(C396="BUY","IN",IF(C396="SELL","OUT",IF(G395="IN","IN","OUT")))</f>
        <v>IN</v>
      </c>
      <c r="H396" s="14" t="n">
        <f aca="false">H395+IF(F396="",0,F396)</f>
        <v>18.6472342963928</v>
      </c>
      <c r="I396" s="14" t="n">
        <f aca="false">MAX(I395,H396)</f>
        <v>18.6472342963928</v>
      </c>
      <c r="J396" s="14" t="n">
        <f aca="false">I396-H396</f>
        <v>0</v>
      </c>
    </row>
    <row r="397" customFormat="false" ht="15" hidden="false" customHeight="false" outlineLevel="0" collapsed="false">
      <c r="A397" s="12" t="n">
        <f aca="false">Data!A397</f>
        <v>42579</v>
      </c>
      <c r="B397" s="14" t="n">
        <f aca="false">Data!B397</f>
        <v>41.14</v>
      </c>
      <c r="C397" s="0" t="str">
        <f aca="false">IF(Data!D397="","HOLD",IF(AND(G396&lt;&gt;"IN",Data!E397&lt;-5),"BUY",IF(AND(G396="IN",Data!E397&gt;0),"SELL","HOLD")))</f>
        <v>HOLD</v>
      </c>
      <c r="D397" s="14" t="n">
        <f aca="false">IF(C397="BUY",B397,IF(G396="IN",D396,""))</f>
        <v>45.14</v>
      </c>
      <c r="E397" s="14" t="str">
        <f aca="false">IF(C397="SELL",B397,"")</f>
        <v/>
      </c>
      <c r="F397" s="14" t="str">
        <f aca="false">IF(E397="","",(E397-D397)/D397*100)</f>
        <v/>
      </c>
      <c r="G397" s="0" t="str">
        <f aca="false">IF(C397="BUY","IN",IF(C397="SELL","OUT",IF(G396="IN","IN","OUT")))</f>
        <v>IN</v>
      </c>
      <c r="H397" s="14" t="n">
        <f aca="false">H396+IF(F397="",0,F397)</f>
        <v>18.6472342963928</v>
      </c>
      <c r="I397" s="14" t="n">
        <f aca="false">MAX(I396,H397)</f>
        <v>18.6472342963928</v>
      </c>
      <c r="J397" s="14" t="n">
        <f aca="false">I397-H397</f>
        <v>0</v>
      </c>
    </row>
    <row r="398" customFormat="false" ht="15" hidden="false" customHeight="false" outlineLevel="0" collapsed="false">
      <c r="A398" s="12" t="n">
        <f aca="false">Data!A398</f>
        <v>42580</v>
      </c>
      <c r="B398" s="14" t="n">
        <f aca="false">Data!B398</f>
        <v>41.6</v>
      </c>
      <c r="C398" s="0" t="str">
        <f aca="false">IF(Data!D398="","HOLD",IF(AND(G397&lt;&gt;"IN",Data!E398&lt;-5),"BUY",IF(AND(G397="IN",Data!E398&gt;0),"SELL","HOLD")))</f>
        <v>HOLD</v>
      </c>
      <c r="D398" s="14" t="n">
        <f aca="false">IF(C398="BUY",B398,IF(G397="IN",D397,""))</f>
        <v>45.14</v>
      </c>
      <c r="E398" s="14" t="str">
        <f aca="false">IF(C398="SELL",B398,"")</f>
        <v/>
      </c>
      <c r="F398" s="14" t="str">
        <f aca="false">IF(E398="","",(E398-D398)/D398*100)</f>
        <v/>
      </c>
      <c r="G398" s="0" t="str">
        <f aca="false">IF(C398="BUY","IN",IF(C398="SELL","OUT",IF(G397="IN","IN","OUT")))</f>
        <v>IN</v>
      </c>
      <c r="H398" s="14" t="n">
        <f aca="false">H397+IF(F398="",0,F398)</f>
        <v>18.6472342963928</v>
      </c>
      <c r="I398" s="14" t="n">
        <f aca="false">MAX(I397,H398)</f>
        <v>18.6472342963928</v>
      </c>
      <c r="J398" s="14" t="n">
        <f aca="false">I398-H398</f>
        <v>0</v>
      </c>
    </row>
    <row r="399" customFormat="false" ht="15" hidden="false" customHeight="false" outlineLevel="0" collapsed="false">
      <c r="A399" s="12" t="n">
        <f aca="false">Data!A399</f>
        <v>42583</v>
      </c>
      <c r="B399" s="14" t="n">
        <f aca="false">Data!B399</f>
        <v>40.06</v>
      </c>
      <c r="C399" s="0" t="str">
        <f aca="false">IF(Data!D399="","HOLD",IF(AND(G398&lt;&gt;"IN",Data!E399&lt;-5),"BUY",IF(AND(G398="IN",Data!E399&gt;0),"SELL","HOLD")))</f>
        <v>HOLD</v>
      </c>
      <c r="D399" s="14" t="n">
        <f aca="false">IF(C399="BUY",B399,IF(G398="IN",D398,""))</f>
        <v>45.14</v>
      </c>
      <c r="E399" s="14" t="str">
        <f aca="false">IF(C399="SELL",B399,"")</f>
        <v/>
      </c>
      <c r="F399" s="14" t="str">
        <f aca="false">IF(E399="","",(E399-D399)/D399*100)</f>
        <v/>
      </c>
      <c r="G399" s="0" t="str">
        <f aca="false">IF(C399="BUY","IN",IF(C399="SELL","OUT",IF(G398="IN","IN","OUT")))</f>
        <v>IN</v>
      </c>
      <c r="H399" s="14" t="n">
        <f aca="false">H398+IF(F399="",0,F399)</f>
        <v>18.6472342963928</v>
      </c>
      <c r="I399" s="14" t="n">
        <f aca="false">MAX(I398,H399)</f>
        <v>18.6472342963928</v>
      </c>
      <c r="J399" s="14" t="n">
        <f aca="false">I399-H399</f>
        <v>0</v>
      </c>
    </row>
    <row r="400" customFormat="false" ht="15" hidden="false" customHeight="false" outlineLevel="0" collapsed="false">
      <c r="A400" s="12" t="n">
        <f aca="false">Data!A400</f>
        <v>42584</v>
      </c>
      <c r="B400" s="14" t="n">
        <f aca="false">Data!B400</f>
        <v>39.51</v>
      </c>
      <c r="C400" s="0" t="str">
        <f aca="false">IF(Data!D400="","HOLD",IF(AND(G399&lt;&gt;"IN",Data!E400&lt;-5),"BUY",IF(AND(G399="IN",Data!E400&gt;0),"SELL","HOLD")))</f>
        <v>HOLD</v>
      </c>
      <c r="D400" s="14" t="n">
        <f aca="false">IF(C400="BUY",B400,IF(G399="IN",D399,""))</f>
        <v>45.14</v>
      </c>
      <c r="E400" s="14" t="str">
        <f aca="false">IF(C400="SELL",B400,"")</f>
        <v/>
      </c>
      <c r="F400" s="14" t="str">
        <f aca="false">IF(E400="","",(E400-D400)/D400*100)</f>
        <v/>
      </c>
      <c r="G400" s="0" t="str">
        <f aca="false">IF(C400="BUY","IN",IF(C400="SELL","OUT",IF(G399="IN","IN","OUT")))</f>
        <v>IN</v>
      </c>
      <c r="H400" s="14" t="n">
        <f aca="false">H399+IF(F400="",0,F400)</f>
        <v>18.6472342963928</v>
      </c>
      <c r="I400" s="14" t="n">
        <f aca="false">MAX(I399,H400)</f>
        <v>18.6472342963928</v>
      </c>
      <c r="J400" s="14" t="n">
        <f aca="false">I400-H400</f>
        <v>0</v>
      </c>
    </row>
    <row r="401" customFormat="false" ht="15" hidden="false" customHeight="false" outlineLevel="0" collapsed="false">
      <c r="A401" s="12" t="n">
        <f aca="false">Data!A401</f>
        <v>42585</v>
      </c>
      <c r="B401" s="14" t="n">
        <f aca="false">Data!B401</f>
        <v>40.83</v>
      </c>
      <c r="C401" s="0" t="str">
        <f aca="false">IF(Data!D401="","HOLD",IF(AND(G400&lt;&gt;"IN",Data!E401&lt;-5),"BUY",IF(AND(G400="IN",Data!E401&gt;0),"SELL","HOLD")))</f>
        <v>HOLD</v>
      </c>
      <c r="D401" s="14" t="n">
        <f aca="false">IF(C401="BUY",B401,IF(G400="IN",D400,""))</f>
        <v>45.14</v>
      </c>
      <c r="E401" s="14" t="str">
        <f aca="false">IF(C401="SELL",B401,"")</f>
        <v/>
      </c>
      <c r="F401" s="14" t="str">
        <f aca="false">IF(E401="","",(E401-D401)/D401*100)</f>
        <v/>
      </c>
      <c r="G401" s="0" t="str">
        <f aca="false">IF(C401="BUY","IN",IF(C401="SELL","OUT",IF(G400="IN","IN","OUT")))</f>
        <v>IN</v>
      </c>
      <c r="H401" s="14" t="n">
        <f aca="false">H400+IF(F401="",0,F401)</f>
        <v>18.6472342963928</v>
      </c>
      <c r="I401" s="14" t="n">
        <f aca="false">MAX(I400,H401)</f>
        <v>18.6472342963928</v>
      </c>
      <c r="J401" s="14" t="n">
        <f aca="false">I401-H401</f>
        <v>0</v>
      </c>
    </row>
    <row r="402" customFormat="false" ht="15" hidden="false" customHeight="false" outlineLevel="0" collapsed="false">
      <c r="A402" s="12" t="n">
        <f aca="false">Data!A402</f>
        <v>42586</v>
      </c>
      <c r="B402" s="14" t="n">
        <f aca="false">Data!B402</f>
        <v>41.93</v>
      </c>
      <c r="C402" s="0" t="str">
        <f aca="false">IF(Data!D402="","HOLD",IF(AND(G401&lt;&gt;"IN",Data!E402&lt;-5),"BUY",IF(AND(G401="IN",Data!E402&gt;0),"SELL","HOLD")))</f>
        <v>HOLD</v>
      </c>
      <c r="D402" s="14" t="n">
        <f aca="false">IF(C402="BUY",B402,IF(G401="IN",D401,""))</f>
        <v>45.14</v>
      </c>
      <c r="E402" s="14" t="str">
        <f aca="false">IF(C402="SELL",B402,"")</f>
        <v/>
      </c>
      <c r="F402" s="14" t="str">
        <f aca="false">IF(E402="","",(E402-D402)/D402*100)</f>
        <v/>
      </c>
      <c r="G402" s="0" t="str">
        <f aca="false">IF(C402="BUY","IN",IF(C402="SELL","OUT",IF(G401="IN","IN","OUT")))</f>
        <v>IN</v>
      </c>
      <c r="H402" s="14" t="n">
        <f aca="false">H401+IF(F402="",0,F402)</f>
        <v>18.6472342963928</v>
      </c>
      <c r="I402" s="14" t="n">
        <f aca="false">MAX(I401,H402)</f>
        <v>18.6472342963928</v>
      </c>
      <c r="J402" s="14" t="n">
        <f aca="false">I402-H402</f>
        <v>0</v>
      </c>
    </row>
    <row r="403" customFormat="false" ht="15" hidden="false" customHeight="false" outlineLevel="0" collapsed="false">
      <c r="A403" s="12" t="n">
        <f aca="false">Data!A403</f>
        <v>42587</v>
      </c>
      <c r="B403" s="14" t="n">
        <f aca="false">Data!B403</f>
        <v>41.8</v>
      </c>
      <c r="C403" s="0" t="str">
        <f aca="false">IF(Data!D403="","HOLD",IF(AND(G402&lt;&gt;"IN",Data!E403&lt;-5),"BUY",IF(AND(G402="IN",Data!E403&gt;0),"SELL","HOLD")))</f>
        <v>HOLD</v>
      </c>
      <c r="D403" s="14" t="n">
        <f aca="false">IF(C403="BUY",B403,IF(G402="IN",D402,""))</f>
        <v>45.14</v>
      </c>
      <c r="E403" s="14" t="str">
        <f aca="false">IF(C403="SELL",B403,"")</f>
        <v/>
      </c>
      <c r="F403" s="14" t="str">
        <f aca="false">IF(E403="","",(E403-D403)/D403*100)</f>
        <v/>
      </c>
      <c r="G403" s="0" t="str">
        <f aca="false">IF(C403="BUY","IN",IF(C403="SELL","OUT",IF(G402="IN","IN","OUT")))</f>
        <v>IN</v>
      </c>
      <c r="H403" s="14" t="n">
        <f aca="false">H402+IF(F403="",0,F403)</f>
        <v>18.6472342963928</v>
      </c>
      <c r="I403" s="14" t="n">
        <f aca="false">MAX(I402,H403)</f>
        <v>18.6472342963928</v>
      </c>
      <c r="J403" s="14" t="n">
        <f aca="false">I403-H403</f>
        <v>0</v>
      </c>
    </row>
    <row r="404" customFormat="false" ht="15" hidden="false" customHeight="false" outlineLevel="0" collapsed="false">
      <c r="A404" s="12" t="n">
        <f aca="false">Data!A404</f>
        <v>42590</v>
      </c>
      <c r="B404" s="14" t="n">
        <f aca="false">Data!B404</f>
        <v>43.02</v>
      </c>
      <c r="C404" s="0" t="str">
        <f aca="false">IF(Data!D404="","HOLD",IF(AND(G403&lt;&gt;"IN",Data!E404&lt;-5),"BUY",IF(AND(G403="IN",Data!E404&gt;0),"SELL","HOLD")))</f>
        <v>HOLD</v>
      </c>
      <c r="D404" s="14" t="n">
        <f aca="false">IF(C404="BUY",B404,IF(G403="IN",D403,""))</f>
        <v>45.14</v>
      </c>
      <c r="E404" s="14" t="str">
        <f aca="false">IF(C404="SELL",B404,"")</f>
        <v/>
      </c>
      <c r="F404" s="14" t="str">
        <f aca="false">IF(E404="","",(E404-D404)/D404*100)</f>
        <v/>
      </c>
      <c r="G404" s="0" t="str">
        <f aca="false">IF(C404="BUY","IN",IF(C404="SELL","OUT",IF(G403="IN","IN","OUT")))</f>
        <v>IN</v>
      </c>
      <c r="H404" s="14" t="n">
        <f aca="false">H403+IF(F404="",0,F404)</f>
        <v>18.6472342963928</v>
      </c>
      <c r="I404" s="14" t="n">
        <f aca="false">MAX(I403,H404)</f>
        <v>18.6472342963928</v>
      </c>
      <c r="J404" s="14" t="n">
        <f aca="false">I404-H404</f>
        <v>0</v>
      </c>
    </row>
    <row r="405" customFormat="false" ht="15" hidden="false" customHeight="false" outlineLevel="0" collapsed="false">
      <c r="A405" s="12" t="n">
        <f aca="false">Data!A405</f>
        <v>42591</v>
      </c>
      <c r="B405" s="14" t="n">
        <f aca="false">Data!B405</f>
        <v>42.77</v>
      </c>
      <c r="C405" s="0" t="str">
        <f aca="false">IF(Data!D405="","HOLD",IF(AND(G404&lt;&gt;"IN",Data!E405&lt;-5),"BUY",IF(AND(G404="IN",Data!E405&gt;0),"SELL","HOLD")))</f>
        <v>HOLD</v>
      </c>
      <c r="D405" s="14" t="n">
        <f aca="false">IF(C405="BUY",B405,IF(G404="IN",D404,""))</f>
        <v>45.14</v>
      </c>
      <c r="E405" s="14" t="str">
        <f aca="false">IF(C405="SELL",B405,"")</f>
        <v/>
      </c>
      <c r="F405" s="14" t="str">
        <f aca="false">IF(E405="","",(E405-D405)/D405*100)</f>
        <v/>
      </c>
      <c r="G405" s="0" t="str">
        <f aca="false">IF(C405="BUY","IN",IF(C405="SELL","OUT",IF(G404="IN","IN","OUT")))</f>
        <v>IN</v>
      </c>
      <c r="H405" s="14" t="n">
        <f aca="false">H404+IF(F405="",0,F405)</f>
        <v>18.6472342963928</v>
      </c>
      <c r="I405" s="14" t="n">
        <f aca="false">MAX(I404,H405)</f>
        <v>18.6472342963928</v>
      </c>
      <c r="J405" s="14" t="n">
        <f aca="false">I405-H405</f>
        <v>0</v>
      </c>
    </row>
    <row r="406" customFormat="false" ht="15" hidden="false" customHeight="false" outlineLevel="0" collapsed="false">
      <c r="A406" s="12" t="n">
        <f aca="false">Data!A406</f>
        <v>42592</v>
      </c>
      <c r="B406" s="14" t="n">
        <f aca="false">Data!B406</f>
        <v>41.71</v>
      </c>
      <c r="C406" s="0" t="str">
        <f aca="false">IF(Data!D406="","HOLD",IF(AND(G405&lt;&gt;"IN",Data!E406&lt;-5),"BUY",IF(AND(G405="IN",Data!E406&gt;0),"SELL","HOLD")))</f>
        <v>HOLD</v>
      </c>
      <c r="D406" s="14" t="n">
        <f aca="false">IF(C406="BUY",B406,IF(G405="IN",D405,""))</f>
        <v>45.14</v>
      </c>
      <c r="E406" s="14" t="str">
        <f aca="false">IF(C406="SELL",B406,"")</f>
        <v/>
      </c>
      <c r="F406" s="14" t="str">
        <f aca="false">IF(E406="","",(E406-D406)/D406*100)</f>
        <v/>
      </c>
      <c r="G406" s="0" t="str">
        <f aca="false">IF(C406="BUY","IN",IF(C406="SELL","OUT",IF(G405="IN","IN","OUT")))</f>
        <v>IN</v>
      </c>
      <c r="H406" s="14" t="n">
        <f aca="false">H405+IF(F406="",0,F406)</f>
        <v>18.6472342963928</v>
      </c>
      <c r="I406" s="14" t="n">
        <f aca="false">MAX(I405,H406)</f>
        <v>18.6472342963928</v>
      </c>
      <c r="J406" s="14" t="n">
        <f aca="false">I406-H406</f>
        <v>0</v>
      </c>
    </row>
    <row r="407" customFormat="false" ht="15" hidden="false" customHeight="false" outlineLevel="0" collapsed="false">
      <c r="A407" s="12" t="n">
        <f aca="false">Data!A407</f>
        <v>42593</v>
      </c>
      <c r="B407" s="14" t="n">
        <f aca="false">Data!B407</f>
        <v>43.49</v>
      </c>
      <c r="C407" s="0" t="str">
        <f aca="false">IF(Data!D407="","HOLD",IF(AND(G406&lt;&gt;"IN",Data!E407&lt;-5),"BUY",IF(AND(G406="IN",Data!E407&gt;0),"SELL","HOLD")))</f>
        <v>SELL</v>
      </c>
      <c r="D407" s="14" t="n">
        <f aca="false">IF(C407="BUY",B407,IF(G406="IN",D406,""))</f>
        <v>45.14</v>
      </c>
      <c r="E407" s="14" t="n">
        <f aca="false">IF(C407="SELL",B407,"")</f>
        <v>43.49</v>
      </c>
      <c r="F407" s="14" t="n">
        <f aca="false">IF(E407="","",(E407-D407)/D407*100)</f>
        <v>-3.65529463890119</v>
      </c>
      <c r="G407" s="0" t="str">
        <f aca="false">IF(C407="BUY","IN",IF(C407="SELL","OUT",IF(G406="IN","IN","OUT")))</f>
        <v>OUT</v>
      </c>
      <c r="H407" s="14" t="n">
        <f aca="false">H406+IF(F407="",0,F407)</f>
        <v>14.9919396574916</v>
      </c>
      <c r="I407" s="14" t="n">
        <f aca="false">MAX(I406,H407)</f>
        <v>18.6472342963928</v>
      </c>
      <c r="J407" s="14" t="n">
        <f aca="false">I407-H407</f>
        <v>3.65529463890119</v>
      </c>
    </row>
    <row r="408" customFormat="false" ht="15" hidden="false" customHeight="false" outlineLevel="0" collapsed="false">
      <c r="A408" s="12" t="n">
        <f aca="false">Data!A408</f>
        <v>42594</v>
      </c>
      <c r="B408" s="14" t="n">
        <f aca="false">Data!B408</f>
        <v>44.49</v>
      </c>
      <c r="C408" s="0" t="str">
        <f aca="false">IF(Data!D408="","HOLD",IF(AND(G407&lt;&gt;"IN",Data!E408&lt;-5),"BUY",IF(AND(G407="IN",Data!E408&gt;0),"SELL","HOLD")))</f>
        <v>HOLD</v>
      </c>
      <c r="D408" s="14" t="str">
        <f aca="false">IF(C408="BUY",B408,IF(G407="IN",D407,""))</f>
        <v/>
      </c>
      <c r="E408" s="14" t="str">
        <f aca="false">IF(C408="SELL",B408,"")</f>
        <v/>
      </c>
      <c r="F408" s="14" t="str">
        <f aca="false">IF(E408="","",(E408-D408)/D408*100)</f>
        <v/>
      </c>
      <c r="G408" s="0" t="str">
        <f aca="false">IF(C408="BUY","IN",IF(C408="SELL","OUT",IF(G407="IN","IN","OUT")))</f>
        <v>OUT</v>
      </c>
      <c r="H408" s="14" t="n">
        <f aca="false">H407+IF(F408="",0,F408)</f>
        <v>14.9919396574916</v>
      </c>
      <c r="I408" s="14" t="n">
        <f aca="false">MAX(I407,H408)</f>
        <v>18.6472342963928</v>
      </c>
      <c r="J408" s="14" t="n">
        <f aca="false">I408-H408</f>
        <v>3.65529463890119</v>
      </c>
    </row>
    <row r="409" customFormat="false" ht="15" hidden="false" customHeight="false" outlineLevel="0" collapsed="false">
      <c r="A409" s="12" t="n">
        <f aca="false">Data!A409</f>
        <v>42597</v>
      </c>
      <c r="B409" s="14" t="n">
        <f aca="false">Data!B409</f>
        <v>45.74</v>
      </c>
      <c r="C409" s="0" t="str">
        <f aca="false">IF(Data!D409="","HOLD",IF(AND(G408&lt;&gt;"IN",Data!E409&lt;-5),"BUY",IF(AND(G408="IN",Data!E409&gt;0),"SELL","HOLD")))</f>
        <v>HOLD</v>
      </c>
      <c r="D409" s="14" t="str">
        <f aca="false">IF(C409="BUY",B409,IF(G408="IN",D408,""))</f>
        <v/>
      </c>
      <c r="E409" s="14" t="str">
        <f aca="false">IF(C409="SELL",B409,"")</f>
        <v/>
      </c>
      <c r="F409" s="14" t="str">
        <f aca="false">IF(E409="","",(E409-D409)/D409*100)</f>
        <v/>
      </c>
      <c r="G409" s="0" t="str">
        <f aca="false">IF(C409="BUY","IN",IF(C409="SELL","OUT",IF(G408="IN","IN","OUT")))</f>
        <v>OUT</v>
      </c>
      <c r="H409" s="14" t="n">
        <f aca="false">H408+IF(F409="",0,F409)</f>
        <v>14.9919396574916</v>
      </c>
      <c r="I409" s="14" t="n">
        <f aca="false">MAX(I408,H409)</f>
        <v>18.6472342963928</v>
      </c>
      <c r="J409" s="14" t="n">
        <f aca="false">I409-H409</f>
        <v>3.65529463890119</v>
      </c>
    </row>
    <row r="410" customFormat="false" ht="15" hidden="false" customHeight="false" outlineLevel="0" collapsed="false">
      <c r="A410" s="12" t="n">
        <f aca="false">Data!A410</f>
        <v>42598</v>
      </c>
      <c r="B410" s="14" t="n">
        <f aca="false">Data!B410</f>
        <v>46.58</v>
      </c>
      <c r="C410" s="0" t="str">
        <f aca="false">IF(Data!D410="","HOLD",IF(AND(G409&lt;&gt;"IN",Data!E410&lt;-5),"BUY",IF(AND(G409="IN",Data!E410&gt;0),"SELL","HOLD")))</f>
        <v>HOLD</v>
      </c>
      <c r="D410" s="14" t="str">
        <f aca="false">IF(C410="BUY",B410,IF(G409="IN",D409,""))</f>
        <v/>
      </c>
      <c r="E410" s="14" t="str">
        <f aca="false">IF(C410="SELL",B410,"")</f>
        <v/>
      </c>
      <c r="F410" s="14" t="str">
        <f aca="false">IF(E410="","",(E410-D410)/D410*100)</f>
        <v/>
      </c>
      <c r="G410" s="0" t="str">
        <f aca="false">IF(C410="BUY","IN",IF(C410="SELL","OUT",IF(G409="IN","IN","OUT")))</f>
        <v>OUT</v>
      </c>
      <c r="H410" s="14" t="n">
        <f aca="false">H409+IF(F410="",0,F410)</f>
        <v>14.9919396574916</v>
      </c>
      <c r="I410" s="14" t="n">
        <f aca="false">MAX(I409,H410)</f>
        <v>18.6472342963928</v>
      </c>
      <c r="J410" s="14" t="n">
        <f aca="false">I410-H410</f>
        <v>3.65529463890119</v>
      </c>
    </row>
    <row r="411" customFormat="false" ht="15" hidden="false" customHeight="false" outlineLevel="0" collapsed="false">
      <c r="A411" s="12" t="n">
        <f aca="false">Data!A411</f>
        <v>42599</v>
      </c>
      <c r="B411" s="14" t="n">
        <f aca="false">Data!B411</f>
        <v>46.79</v>
      </c>
      <c r="C411" s="0" t="str">
        <f aca="false">IF(Data!D411="","HOLD",IF(AND(G410&lt;&gt;"IN",Data!E411&lt;-5),"BUY",IF(AND(G410="IN",Data!E411&gt;0),"SELL","HOLD")))</f>
        <v>HOLD</v>
      </c>
      <c r="D411" s="14" t="str">
        <f aca="false">IF(C411="BUY",B411,IF(G410="IN",D410,""))</f>
        <v/>
      </c>
      <c r="E411" s="14" t="str">
        <f aca="false">IF(C411="SELL",B411,"")</f>
        <v/>
      </c>
      <c r="F411" s="14" t="str">
        <f aca="false">IF(E411="","",(E411-D411)/D411*100)</f>
        <v/>
      </c>
      <c r="G411" s="0" t="str">
        <f aca="false">IF(C411="BUY","IN",IF(C411="SELL","OUT",IF(G410="IN","IN","OUT")))</f>
        <v>OUT</v>
      </c>
      <c r="H411" s="14" t="n">
        <f aca="false">H410+IF(F411="",0,F411)</f>
        <v>14.9919396574916</v>
      </c>
      <c r="I411" s="14" t="n">
        <f aca="false">MAX(I410,H411)</f>
        <v>18.6472342963928</v>
      </c>
      <c r="J411" s="14" t="n">
        <f aca="false">I411-H411</f>
        <v>3.65529463890119</v>
      </c>
    </row>
    <row r="412" customFormat="false" ht="15" hidden="false" customHeight="false" outlineLevel="0" collapsed="false">
      <c r="A412" s="12" t="n">
        <f aca="false">Data!A412</f>
        <v>42600</v>
      </c>
      <c r="B412" s="14" t="n">
        <f aca="false">Data!B412</f>
        <v>48.22</v>
      </c>
      <c r="C412" s="0" t="str">
        <f aca="false">IF(Data!D412="","HOLD",IF(AND(G411&lt;&gt;"IN",Data!E412&lt;-5),"BUY",IF(AND(G411="IN",Data!E412&gt;0),"SELL","HOLD")))</f>
        <v>HOLD</v>
      </c>
      <c r="D412" s="14" t="str">
        <f aca="false">IF(C412="BUY",B412,IF(G411="IN",D411,""))</f>
        <v/>
      </c>
      <c r="E412" s="14" t="str">
        <f aca="false">IF(C412="SELL",B412,"")</f>
        <v/>
      </c>
      <c r="F412" s="14" t="str">
        <f aca="false">IF(E412="","",(E412-D412)/D412*100)</f>
        <v/>
      </c>
      <c r="G412" s="0" t="str">
        <f aca="false">IF(C412="BUY","IN",IF(C412="SELL","OUT",IF(G411="IN","IN","OUT")))</f>
        <v>OUT</v>
      </c>
      <c r="H412" s="14" t="n">
        <f aca="false">H411+IF(F412="",0,F412)</f>
        <v>14.9919396574916</v>
      </c>
      <c r="I412" s="14" t="n">
        <f aca="false">MAX(I411,H412)</f>
        <v>18.6472342963928</v>
      </c>
      <c r="J412" s="14" t="n">
        <f aca="false">I412-H412</f>
        <v>3.65529463890119</v>
      </c>
    </row>
    <row r="413" customFormat="false" ht="15" hidden="false" customHeight="false" outlineLevel="0" collapsed="false">
      <c r="A413" s="12" t="n">
        <f aca="false">Data!A413</f>
        <v>42601</v>
      </c>
      <c r="B413" s="14" t="n">
        <f aca="false">Data!B413</f>
        <v>48.52</v>
      </c>
      <c r="C413" s="0" t="str">
        <f aca="false">IF(Data!D413="","HOLD",IF(AND(G412&lt;&gt;"IN",Data!E413&lt;-5),"BUY",IF(AND(G412="IN",Data!E413&gt;0),"SELL","HOLD")))</f>
        <v>HOLD</v>
      </c>
      <c r="D413" s="14" t="str">
        <f aca="false">IF(C413="BUY",B413,IF(G412="IN",D412,""))</f>
        <v/>
      </c>
      <c r="E413" s="14" t="str">
        <f aca="false">IF(C413="SELL",B413,"")</f>
        <v/>
      </c>
      <c r="F413" s="14" t="str">
        <f aca="false">IF(E413="","",(E413-D413)/D413*100)</f>
        <v/>
      </c>
      <c r="G413" s="0" t="str">
        <f aca="false">IF(C413="BUY","IN",IF(C413="SELL","OUT",IF(G412="IN","IN","OUT")))</f>
        <v>OUT</v>
      </c>
      <c r="H413" s="14" t="n">
        <f aca="false">H412+IF(F413="",0,F413)</f>
        <v>14.9919396574916</v>
      </c>
      <c r="I413" s="14" t="n">
        <f aca="false">MAX(I412,H413)</f>
        <v>18.6472342963928</v>
      </c>
      <c r="J413" s="14" t="n">
        <f aca="false">I413-H413</f>
        <v>3.65529463890119</v>
      </c>
    </row>
    <row r="414" customFormat="false" ht="15" hidden="false" customHeight="false" outlineLevel="0" collapsed="false">
      <c r="A414" s="12" t="n">
        <f aca="false">Data!A414</f>
        <v>42604</v>
      </c>
      <c r="B414" s="14" t="n">
        <f aca="false">Data!B414</f>
        <v>47.05</v>
      </c>
      <c r="C414" s="0" t="str">
        <f aca="false">IF(Data!D414="","HOLD",IF(AND(G413&lt;&gt;"IN",Data!E414&lt;-5),"BUY",IF(AND(G413="IN",Data!E414&gt;0),"SELL","HOLD")))</f>
        <v>HOLD</v>
      </c>
      <c r="D414" s="14" t="str">
        <f aca="false">IF(C414="BUY",B414,IF(G413="IN",D413,""))</f>
        <v/>
      </c>
      <c r="E414" s="14" t="str">
        <f aca="false">IF(C414="SELL",B414,"")</f>
        <v/>
      </c>
      <c r="F414" s="14" t="str">
        <f aca="false">IF(E414="","",(E414-D414)/D414*100)</f>
        <v/>
      </c>
      <c r="G414" s="0" t="str">
        <f aca="false">IF(C414="BUY","IN",IF(C414="SELL","OUT",IF(G413="IN","IN","OUT")))</f>
        <v>OUT</v>
      </c>
      <c r="H414" s="14" t="n">
        <f aca="false">H413+IF(F414="",0,F414)</f>
        <v>14.9919396574916</v>
      </c>
      <c r="I414" s="14" t="n">
        <f aca="false">MAX(I413,H414)</f>
        <v>18.6472342963928</v>
      </c>
      <c r="J414" s="14" t="n">
        <f aca="false">I414-H414</f>
        <v>3.65529463890119</v>
      </c>
    </row>
    <row r="415" customFormat="false" ht="15" hidden="false" customHeight="false" outlineLevel="0" collapsed="false">
      <c r="A415" s="12" t="n">
        <f aca="false">Data!A415</f>
        <v>42605</v>
      </c>
      <c r="B415" s="14" t="n">
        <f aca="false">Data!B415</f>
        <v>48.1</v>
      </c>
      <c r="C415" s="0" t="str">
        <f aca="false">IF(Data!D415="","HOLD",IF(AND(G414&lt;&gt;"IN",Data!E415&lt;-5),"BUY",IF(AND(G414="IN",Data!E415&gt;0),"SELL","HOLD")))</f>
        <v>HOLD</v>
      </c>
      <c r="D415" s="14" t="str">
        <f aca="false">IF(C415="BUY",B415,IF(G414="IN",D414,""))</f>
        <v/>
      </c>
      <c r="E415" s="14" t="str">
        <f aca="false">IF(C415="SELL",B415,"")</f>
        <v/>
      </c>
      <c r="F415" s="14" t="str">
        <f aca="false">IF(E415="","",(E415-D415)/D415*100)</f>
        <v/>
      </c>
      <c r="G415" s="0" t="str">
        <f aca="false">IF(C415="BUY","IN",IF(C415="SELL","OUT",IF(G414="IN","IN","OUT")))</f>
        <v>OUT</v>
      </c>
      <c r="H415" s="14" t="n">
        <f aca="false">H414+IF(F415="",0,F415)</f>
        <v>14.9919396574916</v>
      </c>
      <c r="I415" s="14" t="n">
        <f aca="false">MAX(I414,H415)</f>
        <v>18.6472342963928</v>
      </c>
      <c r="J415" s="14" t="n">
        <f aca="false">I415-H415</f>
        <v>3.65529463890119</v>
      </c>
    </row>
    <row r="416" customFormat="false" ht="15" hidden="false" customHeight="false" outlineLevel="0" collapsed="false">
      <c r="A416" s="12" t="n">
        <f aca="false">Data!A416</f>
        <v>42606</v>
      </c>
      <c r="B416" s="14" t="n">
        <f aca="false">Data!B416</f>
        <v>46.77</v>
      </c>
      <c r="C416" s="0" t="str">
        <f aca="false">IF(Data!D416="","HOLD",IF(AND(G415&lt;&gt;"IN",Data!E416&lt;-5),"BUY",IF(AND(G415="IN",Data!E416&gt;0),"SELL","HOLD")))</f>
        <v>HOLD</v>
      </c>
      <c r="D416" s="14" t="str">
        <f aca="false">IF(C416="BUY",B416,IF(G415="IN",D415,""))</f>
        <v/>
      </c>
      <c r="E416" s="14" t="str">
        <f aca="false">IF(C416="SELL",B416,"")</f>
        <v/>
      </c>
      <c r="F416" s="14" t="str">
        <f aca="false">IF(E416="","",(E416-D416)/D416*100)</f>
        <v/>
      </c>
      <c r="G416" s="0" t="str">
        <f aca="false">IF(C416="BUY","IN",IF(C416="SELL","OUT",IF(G415="IN","IN","OUT")))</f>
        <v>OUT</v>
      </c>
      <c r="H416" s="14" t="n">
        <f aca="false">H415+IF(F416="",0,F416)</f>
        <v>14.9919396574916</v>
      </c>
      <c r="I416" s="14" t="n">
        <f aca="false">MAX(I415,H416)</f>
        <v>18.6472342963928</v>
      </c>
      <c r="J416" s="14" t="n">
        <f aca="false">I416-H416</f>
        <v>3.65529463890119</v>
      </c>
    </row>
    <row r="417" customFormat="false" ht="15" hidden="false" customHeight="false" outlineLevel="0" collapsed="false">
      <c r="A417" s="12" t="n">
        <f aca="false">Data!A417</f>
        <v>42607</v>
      </c>
      <c r="B417" s="14" t="n">
        <f aca="false">Data!B417</f>
        <v>47.33</v>
      </c>
      <c r="C417" s="0" t="str">
        <f aca="false">IF(Data!D417="","HOLD",IF(AND(G416&lt;&gt;"IN",Data!E417&lt;-5),"BUY",IF(AND(G416="IN",Data!E417&gt;0),"SELL","HOLD")))</f>
        <v>HOLD</v>
      </c>
      <c r="D417" s="14" t="str">
        <f aca="false">IF(C417="BUY",B417,IF(G416="IN",D416,""))</f>
        <v/>
      </c>
      <c r="E417" s="14" t="str">
        <f aca="false">IF(C417="SELL",B417,"")</f>
        <v/>
      </c>
      <c r="F417" s="14" t="str">
        <f aca="false">IF(E417="","",(E417-D417)/D417*100)</f>
        <v/>
      </c>
      <c r="G417" s="0" t="str">
        <f aca="false">IF(C417="BUY","IN",IF(C417="SELL","OUT",IF(G416="IN","IN","OUT")))</f>
        <v>OUT</v>
      </c>
      <c r="H417" s="14" t="n">
        <f aca="false">H416+IF(F417="",0,F417)</f>
        <v>14.9919396574916</v>
      </c>
      <c r="I417" s="14" t="n">
        <f aca="false">MAX(I416,H417)</f>
        <v>18.6472342963928</v>
      </c>
      <c r="J417" s="14" t="n">
        <f aca="false">I417-H417</f>
        <v>3.65529463890119</v>
      </c>
    </row>
    <row r="418" customFormat="false" ht="15" hidden="false" customHeight="false" outlineLevel="0" collapsed="false">
      <c r="A418" s="12" t="n">
        <f aca="false">Data!A418</f>
        <v>42608</v>
      </c>
      <c r="B418" s="14" t="n">
        <f aca="false">Data!B418</f>
        <v>47.64</v>
      </c>
      <c r="C418" s="0" t="str">
        <f aca="false">IF(Data!D418="","HOLD",IF(AND(G417&lt;&gt;"IN",Data!E418&lt;-5),"BUY",IF(AND(G417="IN",Data!E418&gt;0),"SELL","HOLD")))</f>
        <v>HOLD</v>
      </c>
      <c r="D418" s="14" t="str">
        <f aca="false">IF(C418="BUY",B418,IF(G417="IN",D417,""))</f>
        <v/>
      </c>
      <c r="E418" s="14" t="str">
        <f aca="false">IF(C418="SELL",B418,"")</f>
        <v/>
      </c>
      <c r="F418" s="14" t="str">
        <f aca="false">IF(E418="","",(E418-D418)/D418*100)</f>
        <v/>
      </c>
      <c r="G418" s="0" t="str">
        <f aca="false">IF(C418="BUY","IN",IF(C418="SELL","OUT",IF(G417="IN","IN","OUT")))</f>
        <v>OUT</v>
      </c>
      <c r="H418" s="14" t="n">
        <f aca="false">H417+IF(F418="",0,F418)</f>
        <v>14.9919396574916</v>
      </c>
      <c r="I418" s="14" t="n">
        <f aca="false">MAX(I417,H418)</f>
        <v>18.6472342963928</v>
      </c>
      <c r="J418" s="14" t="n">
        <f aca="false">I418-H418</f>
        <v>3.65529463890119</v>
      </c>
    </row>
    <row r="419" customFormat="false" ht="15" hidden="false" customHeight="false" outlineLevel="0" collapsed="false">
      <c r="A419" s="12" t="n">
        <f aca="false">Data!A419</f>
        <v>42611</v>
      </c>
      <c r="B419" s="14" t="n">
        <f aca="false">Data!B419</f>
        <v>46.98</v>
      </c>
      <c r="C419" s="0" t="str">
        <f aca="false">IF(Data!D419="","HOLD",IF(AND(G418&lt;&gt;"IN",Data!E419&lt;-5),"BUY",IF(AND(G418="IN",Data!E419&gt;0),"SELL","HOLD")))</f>
        <v>HOLD</v>
      </c>
      <c r="D419" s="14" t="str">
        <f aca="false">IF(C419="BUY",B419,IF(G418="IN",D418,""))</f>
        <v/>
      </c>
      <c r="E419" s="14" t="str">
        <f aca="false">IF(C419="SELL",B419,"")</f>
        <v/>
      </c>
      <c r="F419" s="14" t="str">
        <f aca="false">IF(E419="","",(E419-D419)/D419*100)</f>
        <v/>
      </c>
      <c r="G419" s="0" t="str">
        <f aca="false">IF(C419="BUY","IN",IF(C419="SELL","OUT",IF(G418="IN","IN","OUT")))</f>
        <v>OUT</v>
      </c>
      <c r="H419" s="14" t="n">
        <f aca="false">H418+IF(F419="",0,F419)</f>
        <v>14.9919396574916</v>
      </c>
      <c r="I419" s="14" t="n">
        <f aca="false">MAX(I418,H419)</f>
        <v>18.6472342963928</v>
      </c>
      <c r="J419" s="14" t="n">
        <f aca="false">I419-H419</f>
        <v>3.65529463890119</v>
      </c>
    </row>
    <row r="420" customFormat="false" ht="15" hidden="false" customHeight="false" outlineLevel="0" collapsed="false">
      <c r="A420" s="12" t="n">
        <f aca="false">Data!A420</f>
        <v>42612</v>
      </c>
      <c r="B420" s="14" t="n">
        <f aca="false">Data!B420</f>
        <v>46.35</v>
      </c>
      <c r="C420" s="0" t="str">
        <f aca="false">IF(Data!D420="","HOLD",IF(AND(G419&lt;&gt;"IN",Data!E420&lt;-5),"BUY",IF(AND(G419="IN",Data!E420&gt;0),"SELL","HOLD")))</f>
        <v>HOLD</v>
      </c>
      <c r="D420" s="14" t="str">
        <f aca="false">IF(C420="BUY",B420,IF(G419="IN",D419,""))</f>
        <v/>
      </c>
      <c r="E420" s="14" t="str">
        <f aca="false">IF(C420="SELL",B420,"")</f>
        <v/>
      </c>
      <c r="F420" s="14" t="str">
        <f aca="false">IF(E420="","",(E420-D420)/D420*100)</f>
        <v/>
      </c>
      <c r="G420" s="0" t="str">
        <f aca="false">IF(C420="BUY","IN",IF(C420="SELL","OUT",IF(G419="IN","IN","OUT")))</f>
        <v>OUT</v>
      </c>
      <c r="H420" s="14" t="n">
        <f aca="false">H419+IF(F420="",0,F420)</f>
        <v>14.9919396574916</v>
      </c>
      <c r="I420" s="14" t="n">
        <f aca="false">MAX(I419,H420)</f>
        <v>18.6472342963928</v>
      </c>
      <c r="J420" s="14" t="n">
        <f aca="false">I420-H420</f>
        <v>3.65529463890119</v>
      </c>
    </row>
    <row r="421" customFormat="false" ht="15" hidden="false" customHeight="false" outlineLevel="0" collapsed="false">
      <c r="A421" s="12" t="n">
        <f aca="false">Data!A421</f>
        <v>42613</v>
      </c>
      <c r="B421" s="14" t="n">
        <f aca="false">Data!B421</f>
        <v>44.7</v>
      </c>
      <c r="C421" s="0" t="str">
        <f aca="false">IF(Data!D421="","HOLD",IF(AND(G420&lt;&gt;"IN",Data!E421&lt;-5),"BUY",IF(AND(G420="IN",Data!E421&gt;0),"SELL","HOLD")))</f>
        <v>HOLD</v>
      </c>
      <c r="D421" s="14" t="str">
        <f aca="false">IF(C421="BUY",B421,IF(G420="IN",D420,""))</f>
        <v/>
      </c>
      <c r="E421" s="14" t="str">
        <f aca="false">IF(C421="SELL",B421,"")</f>
        <v/>
      </c>
      <c r="F421" s="14" t="str">
        <f aca="false">IF(E421="","",(E421-D421)/D421*100)</f>
        <v/>
      </c>
      <c r="G421" s="0" t="str">
        <f aca="false">IF(C421="BUY","IN",IF(C421="SELL","OUT",IF(G420="IN","IN","OUT")))</f>
        <v>OUT</v>
      </c>
      <c r="H421" s="14" t="n">
        <f aca="false">H420+IF(F421="",0,F421)</f>
        <v>14.9919396574916</v>
      </c>
      <c r="I421" s="14" t="n">
        <f aca="false">MAX(I420,H421)</f>
        <v>18.6472342963928</v>
      </c>
      <c r="J421" s="14" t="n">
        <f aca="false">I421-H421</f>
        <v>3.65529463890119</v>
      </c>
    </row>
    <row r="422" customFormat="false" ht="15" hidden="false" customHeight="false" outlineLevel="0" collapsed="false">
      <c r="A422" s="12" t="n">
        <f aca="false">Data!A422</f>
        <v>42614</v>
      </c>
      <c r="B422" s="14" t="n">
        <f aca="false">Data!B422</f>
        <v>43.16</v>
      </c>
      <c r="C422" s="0" t="str">
        <f aca="false">IF(Data!D422="","HOLD",IF(AND(G421&lt;&gt;"IN",Data!E422&lt;-5),"BUY",IF(AND(G421="IN",Data!E422&gt;0),"SELL","HOLD")))</f>
        <v>BUY</v>
      </c>
      <c r="D422" s="14" t="n">
        <f aca="false">IF(C422="BUY",B422,IF(G421="IN",D421,""))</f>
        <v>43.16</v>
      </c>
      <c r="E422" s="14" t="str">
        <f aca="false">IF(C422="SELL",B422,"")</f>
        <v/>
      </c>
      <c r="F422" s="14" t="str">
        <f aca="false">IF(E422="","",(E422-D422)/D422*100)</f>
        <v/>
      </c>
      <c r="G422" s="0" t="str">
        <f aca="false">IF(C422="BUY","IN",IF(C422="SELL","OUT",IF(G421="IN","IN","OUT")))</f>
        <v>IN</v>
      </c>
      <c r="H422" s="14" t="n">
        <f aca="false">H421+IF(F422="",0,F422)</f>
        <v>14.9919396574916</v>
      </c>
      <c r="I422" s="14" t="n">
        <f aca="false">MAX(I421,H422)</f>
        <v>18.6472342963928</v>
      </c>
      <c r="J422" s="14" t="n">
        <f aca="false">I422-H422</f>
        <v>3.65529463890119</v>
      </c>
    </row>
    <row r="423" customFormat="false" ht="15" hidden="false" customHeight="false" outlineLevel="0" collapsed="false">
      <c r="A423" s="12" t="n">
        <f aca="false">Data!A423</f>
        <v>42615</v>
      </c>
      <c r="B423" s="14" t="n">
        <f aca="false">Data!B423</f>
        <v>44.44</v>
      </c>
      <c r="C423" s="0" t="str">
        <f aca="false">IF(Data!D423="","HOLD",IF(AND(G422&lt;&gt;"IN",Data!E423&lt;-5),"BUY",IF(AND(G422="IN",Data!E423&gt;0),"SELL","HOLD")))</f>
        <v>HOLD</v>
      </c>
      <c r="D423" s="14" t="n">
        <f aca="false">IF(C423="BUY",B423,IF(G422="IN",D422,""))</f>
        <v>43.16</v>
      </c>
      <c r="E423" s="14" t="str">
        <f aca="false">IF(C423="SELL",B423,"")</f>
        <v/>
      </c>
      <c r="F423" s="14" t="str">
        <f aca="false">IF(E423="","",(E423-D423)/D423*100)</f>
        <v/>
      </c>
      <c r="G423" s="0" t="str">
        <f aca="false">IF(C423="BUY","IN",IF(C423="SELL","OUT",IF(G422="IN","IN","OUT")))</f>
        <v>IN</v>
      </c>
      <c r="H423" s="14" t="n">
        <f aca="false">H422+IF(F423="",0,F423)</f>
        <v>14.9919396574916</v>
      </c>
      <c r="I423" s="14" t="n">
        <f aca="false">MAX(I422,H423)</f>
        <v>18.6472342963928</v>
      </c>
      <c r="J423" s="14" t="n">
        <f aca="false">I423-H423</f>
        <v>3.65529463890119</v>
      </c>
    </row>
    <row r="424" customFormat="false" ht="15" hidden="false" customHeight="false" outlineLevel="0" collapsed="false">
      <c r="A424" s="12" t="n">
        <f aca="false">Data!A424</f>
        <v>42619</v>
      </c>
      <c r="B424" s="14" t="n">
        <f aca="false">Data!B424</f>
        <v>44.83</v>
      </c>
      <c r="C424" s="0" t="str">
        <f aca="false">IF(Data!D424="","HOLD",IF(AND(G423&lt;&gt;"IN",Data!E424&lt;-5),"BUY",IF(AND(G423="IN",Data!E424&gt;0),"SELL","HOLD")))</f>
        <v>HOLD</v>
      </c>
      <c r="D424" s="14" t="n">
        <f aca="false">IF(C424="BUY",B424,IF(G423="IN",D423,""))</f>
        <v>43.16</v>
      </c>
      <c r="E424" s="14" t="str">
        <f aca="false">IF(C424="SELL",B424,"")</f>
        <v/>
      </c>
      <c r="F424" s="14" t="str">
        <f aca="false">IF(E424="","",(E424-D424)/D424*100)</f>
        <v/>
      </c>
      <c r="G424" s="0" t="str">
        <f aca="false">IF(C424="BUY","IN",IF(C424="SELL","OUT",IF(G423="IN","IN","OUT")))</f>
        <v>IN</v>
      </c>
      <c r="H424" s="14" t="n">
        <f aca="false">H423+IF(F424="",0,F424)</f>
        <v>14.9919396574916</v>
      </c>
      <c r="I424" s="14" t="n">
        <f aca="false">MAX(I423,H424)</f>
        <v>18.6472342963928</v>
      </c>
      <c r="J424" s="14" t="n">
        <f aca="false">I424-H424</f>
        <v>3.65529463890119</v>
      </c>
    </row>
    <row r="425" customFormat="false" ht="15" hidden="false" customHeight="false" outlineLevel="0" collapsed="false">
      <c r="A425" s="12" t="n">
        <f aca="false">Data!A425</f>
        <v>42620</v>
      </c>
      <c r="B425" s="14" t="n">
        <f aca="false">Data!B425</f>
        <v>45.5</v>
      </c>
      <c r="C425" s="0" t="str">
        <f aca="false">IF(Data!D425="","HOLD",IF(AND(G424&lt;&gt;"IN",Data!E425&lt;-5),"BUY",IF(AND(G424="IN",Data!E425&gt;0),"SELL","HOLD")))</f>
        <v>HOLD</v>
      </c>
      <c r="D425" s="14" t="n">
        <f aca="false">IF(C425="BUY",B425,IF(G424="IN",D424,""))</f>
        <v>43.16</v>
      </c>
      <c r="E425" s="14" t="str">
        <f aca="false">IF(C425="SELL",B425,"")</f>
        <v/>
      </c>
      <c r="F425" s="14" t="str">
        <f aca="false">IF(E425="","",(E425-D425)/D425*100)</f>
        <v/>
      </c>
      <c r="G425" s="0" t="str">
        <f aca="false">IF(C425="BUY","IN",IF(C425="SELL","OUT",IF(G424="IN","IN","OUT")))</f>
        <v>IN</v>
      </c>
      <c r="H425" s="14" t="n">
        <f aca="false">H424+IF(F425="",0,F425)</f>
        <v>14.9919396574916</v>
      </c>
      <c r="I425" s="14" t="n">
        <f aca="false">MAX(I424,H425)</f>
        <v>18.6472342963928</v>
      </c>
      <c r="J425" s="14" t="n">
        <f aca="false">I425-H425</f>
        <v>3.65529463890119</v>
      </c>
    </row>
    <row r="426" customFormat="false" ht="15" hidden="false" customHeight="false" outlineLevel="0" collapsed="false">
      <c r="A426" s="12" t="n">
        <f aca="false">Data!A426</f>
        <v>42621</v>
      </c>
      <c r="B426" s="14" t="n">
        <f aca="false">Data!B426</f>
        <v>47.62</v>
      </c>
      <c r="C426" s="0" t="str">
        <f aca="false">IF(Data!D426="","HOLD",IF(AND(G425&lt;&gt;"IN",Data!E426&lt;-5),"BUY",IF(AND(G425="IN",Data!E426&gt;0),"SELL","HOLD")))</f>
        <v>SELL</v>
      </c>
      <c r="D426" s="14" t="n">
        <f aca="false">IF(C426="BUY",B426,IF(G425="IN",D425,""))</f>
        <v>43.16</v>
      </c>
      <c r="E426" s="14" t="n">
        <f aca="false">IF(C426="SELL",B426,"")</f>
        <v>47.62</v>
      </c>
      <c r="F426" s="14" t="n">
        <f aca="false">IF(E426="","",(E426-D426)/D426*100)</f>
        <v>10.3336422613531</v>
      </c>
      <c r="G426" s="0" t="str">
        <f aca="false">IF(C426="BUY","IN",IF(C426="SELL","OUT",IF(G425="IN","IN","OUT")))</f>
        <v>OUT</v>
      </c>
      <c r="H426" s="14" t="n">
        <f aca="false">H425+IF(F426="",0,F426)</f>
        <v>25.3255819188447</v>
      </c>
      <c r="I426" s="14" t="n">
        <f aca="false">MAX(I425,H426)</f>
        <v>25.3255819188447</v>
      </c>
      <c r="J426" s="14" t="n">
        <f aca="false">I426-H426</f>
        <v>0</v>
      </c>
    </row>
    <row r="427" customFormat="false" ht="15" hidden="false" customHeight="false" outlineLevel="0" collapsed="false">
      <c r="A427" s="12" t="n">
        <f aca="false">Data!A427</f>
        <v>42622</v>
      </c>
      <c r="B427" s="14" t="n">
        <f aca="false">Data!B427</f>
        <v>45.88</v>
      </c>
      <c r="C427" s="0" t="str">
        <f aca="false">IF(Data!D427="","HOLD",IF(AND(G426&lt;&gt;"IN",Data!E427&lt;-5),"BUY",IF(AND(G426="IN",Data!E427&gt;0),"SELL","HOLD")))</f>
        <v>HOLD</v>
      </c>
      <c r="D427" s="14" t="str">
        <f aca="false">IF(C427="BUY",B427,IF(G426="IN",D426,""))</f>
        <v/>
      </c>
      <c r="E427" s="14" t="str">
        <f aca="false">IF(C427="SELL",B427,"")</f>
        <v/>
      </c>
      <c r="F427" s="14" t="str">
        <f aca="false">IF(E427="","",(E427-D427)/D427*100)</f>
        <v/>
      </c>
      <c r="G427" s="0" t="str">
        <f aca="false">IF(C427="BUY","IN",IF(C427="SELL","OUT",IF(G426="IN","IN","OUT")))</f>
        <v>OUT</v>
      </c>
      <c r="H427" s="14" t="n">
        <f aca="false">H426+IF(F427="",0,F427)</f>
        <v>25.3255819188447</v>
      </c>
      <c r="I427" s="14" t="n">
        <f aca="false">MAX(I426,H427)</f>
        <v>25.3255819188447</v>
      </c>
      <c r="J427" s="14" t="n">
        <f aca="false">I427-H427</f>
        <v>0</v>
      </c>
    </row>
    <row r="428" customFormat="false" ht="15" hidden="false" customHeight="false" outlineLevel="0" collapsed="false">
      <c r="A428" s="12" t="n">
        <f aca="false">Data!A428</f>
        <v>42625</v>
      </c>
      <c r="B428" s="14" t="n">
        <f aca="false">Data!B428</f>
        <v>46.29</v>
      </c>
      <c r="C428" s="0" t="str">
        <f aca="false">IF(Data!D428="","HOLD",IF(AND(G427&lt;&gt;"IN",Data!E428&lt;-5),"BUY",IF(AND(G427="IN",Data!E428&gt;0),"SELL","HOLD")))</f>
        <v>HOLD</v>
      </c>
      <c r="D428" s="14" t="str">
        <f aca="false">IF(C428="BUY",B428,IF(G427="IN",D427,""))</f>
        <v/>
      </c>
      <c r="E428" s="14" t="str">
        <f aca="false">IF(C428="SELL",B428,"")</f>
        <v/>
      </c>
      <c r="F428" s="14" t="str">
        <f aca="false">IF(E428="","",(E428-D428)/D428*100)</f>
        <v/>
      </c>
      <c r="G428" s="0" t="str">
        <f aca="false">IF(C428="BUY","IN",IF(C428="SELL","OUT",IF(G427="IN","IN","OUT")))</f>
        <v>OUT</v>
      </c>
      <c r="H428" s="14" t="n">
        <f aca="false">H427+IF(F428="",0,F428)</f>
        <v>25.3255819188447</v>
      </c>
      <c r="I428" s="14" t="n">
        <f aca="false">MAX(I427,H428)</f>
        <v>25.3255819188447</v>
      </c>
      <c r="J428" s="14" t="n">
        <f aca="false">I428-H428</f>
        <v>0</v>
      </c>
    </row>
    <row r="429" customFormat="false" ht="15" hidden="false" customHeight="false" outlineLevel="0" collapsed="false">
      <c r="A429" s="12" t="n">
        <f aca="false">Data!A429</f>
        <v>42626</v>
      </c>
      <c r="B429" s="14" t="n">
        <f aca="false">Data!B429</f>
        <v>44.9</v>
      </c>
      <c r="C429" s="0" t="str">
        <f aca="false">IF(Data!D429="","HOLD",IF(AND(G428&lt;&gt;"IN",Data!E429&lt;-5),"BUY",IF(AND(G428="IN",Data!E429&gt;0),"SELL","HOLD")))</f>
        <v>HOLD</v>
      </c>
      <c r="D429" s="14" t="str">
        <f aca="false">IF(C429="BUY",B429,IF(G428="IN",D428,""))</f>
        <v/>
      </c>
      <c r="E429" s="14" t="str">
        <f aca="false">IF(C429="SELL",B429,"")</f>
        <v/>
      </c>
      <c r="F429" s="14" t="str">
        <f aca="false">IF(E429="","",(E429-D429)/D429*100)</f>
        <v/>
      </c>
      <c r="G429" s="0" t="str">
        <f aca="false">IF(C429="BUY","IN",IF(C429="SELL","OUT",IF(G428="IN","IN","OUT")))</f>
        <v>OUT</v>
      </c>
      <c r="H429" s="14" t="n">
        <f aca="false">H428+IF(F429="",0,F429)</f>
        <v>25.3255819188447</v>
      </c>
      <c r="I429" s="14" t="n">
        <f aca="false">MAX(I428,H429)</f>
        <v>25.3255819188447</v>
      </c>
      <c r="J429" s="14" t="n">
        <f aca="false">I429-H429</f>
        <v>0</v>
      </c>
    </row>
    <row r="430" customFormat="false" ht="15" hidden="false" customHeight="false" outlineLevel="0" collapsed="false">
      <c r="A430" s="12" t="n">
        <f aca="false">Data!A430</f>
        <v>42627</v>
      </c>
      <c r="B430" s="14" t="n">
        <f aca="false">Data!B430</f>
        <v>43.58</v>
      </c>
      <c r="C430" s="0" t="str">
        <f aca="false">IF(Data!D430="","HOLD",IF(AND(G429&lt;&gt;"IN",Data!E430&lt;-5),"BUY",IF(AND(G429="IN",Data!E430&gt;0),"SELL","HOLD")))</f>
        <v>BUY</v>
      </c>
      <c r="D430" s="14" t="n">
        <f aca="false">IF(C430="BUY",B430,IF(G429="IN",D429,""))</f>
        <v>43.58</v>
      </c>
      <c r="E430" s="14" t="str">
        <f aca="false">IF(C430="SELL",B430,"")</f>
        <v/>
      </c>
      <c r="F430" s="14" t="str">
        <f aca="false">IF(E430="","",(E430-D430)/D430*100)</f>
        <v/>
      </c>
      <c r="G430" s="0" t="str">
        <f aca="false">IF(C430="BUY","IN",IF(C430="SELL","OUT",IF(G429="IN","IN","OUT")))</f>
        <v>IN</v>
      </c>
      <c r="H430" s="14" t="n">
        <f aca="false">H429+IF(F430="",0,F430)</f>
        <v>25.3255819188447</v>
      </c>
      <c r="I430" s="14" t="n">
        <f aca="false">MAX(I429,H430)</f>
        <v>25.3255819188447</v>
      </c>
      <c r="J430" s="14" t="n">
        <f aca="false">I430-H430</f>
        <v>0</v>
      </c>
    </row>
    <row r="431" customFormat="false" ht="15" hidden="false" customHeight="false" outlineLevel="0" collapsed="false">
      <c r="A431" s="12" t="n">
        <f aca="false">Data!A431</f>
        <v>42628</v>
      </c>
      <c r="B431" s="14" t="n">
        <f aca="false">Data!B431</f>
        <v>43.91</v>
      </c>
      <c r="C431" s="0" t="str">
        <f aca="false">IF(Data!D431="","HOLD",IF(AND(G430&lt;&gt;"IN",Data!E431&lt;-5),"BUY",IF(AND(G430="IN",Data!E431&gt;0),"SELL","HOLD")))</f>
        <v>HOLD</v>
      </c>
      <c r="D431" s="14" t="n">
        <f aca="false">IF(C431="BUY",B431,IF(G430="IN",D430,""))</f>
        <v>43.58</v>
      </c>
      <c r="E431" s="14" t="str">
        <f aca="false">IF(C431="SELL",B431,"")</f>
        <v/>
      </c>
      <c r="F431" s="14" t="str">
        <f aca="false">IF(E431="","",(E431-D431)/D431*100)</f>
        <v/>
      </c>
      <c r="G431" s="0" t="str">
        <f aca="false">IF(C431="BUY","IN",IF(C431="SELL","OUT",IF(G430="IN","IN","OUT")))</f>
        <v>IN</v>
      </c>
      <c r="H431" s="14" t="n">
        <f aca="false">H430+IF(F431="",0,F431)</f>
        <v>25.3255819188447</v>
      </c>
      <c r="I431" s="14" t="n">
        <f aca="false">MAX(I430,H431)</f>
        <v>25.3255819188447</v>
      </c>
      <c r="J431" s="14" t="n">
        <f aca="false">I431-H431</f>
        <v>0</v>
      </c>
    </row>
    <row r="432" customFormat="false" ht="15" hidden="false" customHeight="false" outlineLevel="0" collapsed="false">
      <c r="A432" s="12" t="n">
        <f aca="false">Data!A432</f>
        <v>42629</v>
      </c>
      <c r="B432" s="14" t="n">
        <f aca="false">Data!B432</f>
        <v>43.03</v>
      </c>
      <c r="C432" s="0" t="str">
        <f aca="false">IF(Data!D432="","HOLD",IF(AND(G431&lt;&gt;"IN",Data!E432&lt;-5),"BUY",IF(AND(G431="IN",Data!E432&gt;0),"SELL","HOLD")))</f>
        <v>HOLD</v>
      </c>
      <c r="D432" s="14" t="n">
        <f aca="false">IF(C432="BUY",B432,IF(G431="IN",D431,""))</f>
        <v>43.58</v>
      </c>
      <c r="E432" s="14" t="str">
        <f aca="false">IF(C432="SELL",B432,"")</f>
        <v/>
      </c>
      <c r="F432" s="14" t="str">
        <f aca="false">IF(E432="","",(E432-D432)/D432*100)</f>
        <v/>
      </c>
      <c r="G432" s="0" t="str">
        <f aca="false">IF(C432="BUY","IN",IF(C432="SELL","OUT",IF(G431="IN","IN","OUT")))</f>
        <v>IN</v>
      </c>
      <c r="H432" s="14" t="n">
        <f aca="false">H431+IF(F432="",0,F432)</f>
        <v>25.3255819188447</v>
      </c>
      <c r="I432" s="14" t="n">
        <f aca="false">MAX(I431,H432)</f>
        <v>25.3255819188447</v>
      </c>
      <c r="J432" s="14" t="n">
        <f aca="false">I432-H432</f>
        <v>0</v>
      </c>
    </row>
    <row r="433" customFormat="false" ht="15" hidden="false" customHeight="false" outlineLevel="0" collapsed="false">
      <c r="A433" s="12" t="n">
        <f aca="false">Data!A433</f>
        <v>42632</v>
      </c>
      <c r="B433" s="14" t="n">
        <f aca="false">Data!B433</f>
        <v>43.3</v>
      </c>
      <c r="C433" s="0" t="str">
        <f aca="false">IF(Data!D433="","HOLD",IF(AND(G432&lt;&gt;"IN",Data!E433&lt;-5),"BUY",IF(AND(G432="IN",Data!E433&gt;0),"SELL","HOLD")))</f>
        <v>HOLD</v>
      </c>
      <c r="D433" s="14" t="n">
        <f aca="false">IF(C433="BUY",B433,IF(G432="IN",D432,""))</f>
        <v>43.58</v>
      </c>
      <c r="E433" s="14" t="str">
        <f aca="false">IF(C433="SELL",B433,"")</f>
        <v/>
      </c>
      <c r="F433" s="14" t="str">
        <f aca="false">IF(E433="","",(E433-D433)/D433*100)</f>
        <v/>
      </c>
      <c r="G433" s="0" t="str">
        <f aca="false">IF(C433="BUY","IN",IF(C433="SELL","OUT",IF(G432="IN","IN","OUT")))</f>
        <v>IN</v>
      </c>
      <c r="H433" s="14" t="n">
        <f aca="false">H432+IF(F433="",0,F433)</f>
        <v>25.3255819188447</v>
      </c>
      <c r="I433" s="14" t="n">
        <f aca="false">MAX(I432,H433)</f>
        <v>25.3255819188447</v>
      </c>
      <c r="J433" s="14" t="n">
        <f aca="false">I433-H433</f>
        <v>0</v>
      </c>
    </row>
    <row r="434" customFormat="false" ht="15" hidden="false" customHeight="false" outlineLevel="0" collapsed="false">
      <c r="A434" s="12" t="n">
        <f aca="false">Data!A434</f>
        <v>42633</v>
      </c>
      <c r="B434" s="14" t="n">
        <f aca="false">Data!B434</f>
        <v>43.44</v>
      </c>
      <c r="C434" s="0" t="str">
        <f aca="false">IF(Data!D434="","HOLD",IF(AND(G433&lt;&gt;"IN",Data!E434&lt;-5),"BUY",IF(AND(G433="IN",Data!E434&gt;0),"SELL","HOLD")))</f>
        <v>HOLD</v>
      </c>
      <c r="D434" s="14" t="n">
        <f aca="false">IF(C434="BUY",B434,IF(G433="IN",D433,""))</f>
        <v>43.58</v>
      </c>
      <c r="E434" s="14" t="str">
        <f aca="false">IF(C434="SELL",B434,"")</f>
        <v/>
      </c>
      <c r="F434" s="14" t="str">
        <f aca="false">IF(E434="","",(E434-D434)/D434*100)</f>
        <v/>
      </c>
      <c r="G434" s="0" t="str">
        <f aca="false">IF(C434="BUY","IN",IF(C434="SELL","OUT",IF(G433="IN","IN","OUT")))</f>
        <v>IN</v>
      </c>
      <c r="H434" s="14" t="n">
        <f aca="false">H433+IF(F434="",0,F434)</f>
        <v>25.3255819188447</v>
      </c>
      <c r="I434" s="14" t="n">
        <f aca="false">MAX(I433,H434)</f>
        <v>25.3255819188447</v>
      </c>
      <c r="J434" s="14" t="n">
        <f aca="false">I434-H434</f>
        <v>0</v>
      </c>
    </row>
    <row r="435" customFormat="false" ht="15" hidden="false" customHeight="false" outlineLevel="0" collapsed="false">
      <c r="A435" s="12" t="n">
        <f aca="false">Data!A435</f>
        <v>42634</v>
      </c>
      <c r="B435" s="14" t="n">
        <f aca="false">Data!B435</f>
        <v>45.34</v>
      </c>
      <c r="C435" s="0" t="str">
        <f aca="false">IF(Data!D435="","HOLD",IF(AND(G434&lt;&gt;"IN",Data!E435&lt;-5),"BUY",IF(AND(G434="IN",Data!E435&gt;0),"SELL","HOLD")))</f>
        <v>SELL</v>
      </c>
      <c r="D435" s="14" t="n">
        <f aca="false">IF(C435="BUY",B435,IF(G434="IN",D434,""))</f>
        <v>43.58</v>
      </c>
      <c r="E435" s="14" t="n">
        <f aca="false">IF(C435="SELL",B435,"")</f>
        <v>45.34</v>
      </c>
      <c r="F435" s="14" t="n">
        <f aca="false">IF(E435="","",(E435-D435)/D435*100)</f>
        <v>4.03854979348326</v>
      </c>
      <c r="G435" s="0" t="str">
        <f aca="false">IF(C435="BUY","IN",IF(C435="SELL","OUT",IF(G434="IN","IN","OUT")))</f>
        <v>OUT</v>
      </c>
      <c r="H435" s="14" t="n">
        <f aca="false">H434+IF(F435="",0,F435)</f>
        <v>29.3641317123279</v>
      </c>
      <c r="I435" s="14" t="n">
        <f aca="false">MAX(I434,H435)</f>
        <v>29.3641317123279</v>
      </c>
      <c r="J435" s="14" t="n">
        <f aca="false">I435-H435</f>
        <v>0</v>
      </c>
    </row>
    <row r="436" customFormat="false" ht="15" hidden="false" customHeight="false" outlineLevel="0" collapsed="false">
      <c r="A436" s="12" t="n">
        <f aca="false">Data!A436</f>
        <v>42635</v>
      </c>
      <c r="B436" s="14" t="n">
        <f aca="false">Data!B436</f>
        <v>46.32</v>
      </c>
      <c r="C436" s="0" t="str">
        <f aca="false">IF(Data!D436="","HOLD",IF(AND(G435&lt;&gt;"IN",Data!E436&lt;-5),"BUY",IF(AND(G435="IN",Data!E436&gt;0),"SELL","HOLD")))</f>
        <v>HOLD</v>
      </c>
      <c r="D436" s="14" t="str">
        <f aca="false">IF(C436="BUY",B436,IF(G435="IN",D435,""))</f>
        <v/>
      </c>
      <c r="E436" s="14" t="str">
        <f aca="false">IF(C436="SELL",B436,"")</f>
        <v/>
      </c>
      <c r="F436" s="14" t="str">
        <f aca="false">IF(E436="","",(E436-D436)/D436*100)</f>
        <v/>
      </c>
      <c r="G436" s="0" t="str">
        <f aca="false">IF(C436="BUY","IN",IF(C436="SELL","OUT",IF(G435="IN","IN","OUT")))</f>
        <v>OUT</v>
      </c>
      <c r="H436" s="14" t="n">
        <f aca="false">H435+IF(F436="",0,F436)</f>
        <v>29.3641317123279</v>
      </c>
      <c r="I436" s="14" t="n">
        <f aca="false">MAX(I435,H436)</f>
        <v>29.3641317123279</v>
      </c>
      <c r="J436" s="14" t="n">
        <f aca="false">I436-H436</f>
        <v>0</v>
      </c>
    </row>
    <row r="437" customFormat="false" ht="15" hidden="false" customHeight="false" outlineLevel="0" collapsed="false">
      <c r="A437" s="12" t="n">
        <f aca="false">Data!A437</f>
        <v>42636</v>
      </c>
      <c r="B437" s="14" t="n">
        <f aca="false">Data!B437</f>
        <v>44.48</v>
      </c>
      <c r="C437" s="0" t="str">
        <f aca="false">IF(Data!D437="","HOLD",IF(AND(G436&lt;&gt;"IN",Data!E437&lt;-5),"BUY",IF(AND(G436="IN",Data!E437&gt;0),"SELL","HOLD")))</f>
        <v>HOLD</v>
      </c>
      <c r="D437" s="14" t="str">
        <f aca="false">IF(C437="BUY",B437,IF(G436="IN",D436,""))</f>
        <v/>
      </c>
      <c r="E437" s="14" t="str">
        <f aca="false">IF(C437="SELL",B437,"")</f>
        <v/>
      </c>
      <c r="F437" s="14" t="str">
        <f aca="false">IF(E437="","",(E437-D437)/D437*100)</f>
        <v/>
      </c>
      <c r="G437" s="0" t="str">
        <f aca="false">IF(C437="BUY","IN",IF(C437="SELL","OUT",IF(G436="IN","IN","OUT")))</f>
        <v>OUT</v>
      </c>
      <c r="H437" s="14" t="n">
        <f aca="false">H436+IF(F437="",0,F437)</f>
        <v>29.3641317123279</v>
      </c>
      <c r="I437" s="14" t="n">
        <f aca="false">MAX(I436,H437)</f>
        <v>29.3641317123279</v>
      </c>
      <c r="J437" s="14" t="n">
        <f aca="false">I437-H437</f>
        <v>0</v>
      </c>
    </row>
    <row r="438" customFormat="false" ht="15" hidden="false" customHeight="false" outlineLevel="0" collapsed="false">
      <c r="A438" s="12" t="n">
        <f aca="false">Data!A438</f>
        <v>42639</v>
      </c>
      <c r="B438" s="14" t="n">
        <f aca="false">Data!B438</f>
        <v>45.93</v>
      </c>
      <c r="C438" s="0" t="str">
        <f aca="false">IF(Data!D438="","HOLD",IF(AND(G437&lt;&gt;"IN",Data!E438&lt;-5),"BUY",IF(AND(G437="IN",Data!E438&gt;0),"SELL","HOLD")))</f>
        <v>HOLD</v>
      </c>
      <c r="D438" s="14" t="str">
        <f aca="false">IF(C438="BUY",B438,IF(G437="IN",D437,""))</f>
        <v/>
      </c>
      <c r="E438" s="14" t="str">
        <f aca="false">IF(C438="SELL",B438,"")</f>
        <v/>
      </c>
      <c r="F438" s="14" t="str">
        <f aca="false">IF(E438="","",(E438-D438)/D438*100)</f>
        <v/>
      </c>
      <c r="G438" s="0" t="str">
        <f aca="false">IF(C438="BUY","IN",IF(C438="SELL","OUT",IF(G437="IN","IN","OUT")))</f>
        <v>OUT</v>
      </c>
      <c r="H438" s="14" t="n">
        <f aca="false">H437+IF(F438="",0,F438)</f>
        <v>29.3641317123279</v>
      </c>
      <c r="I438" s="14" t="n">
        <f aca="false">MAX(I437,H438)</f>
        <v>29.3641317123279</v>
      </c>
      <c r="J438" s="14" t="n">
        <f aca="false">I438-H438</f>
        <v>0</v>
      </c>
    </row>
    <row r="439" customFormat="false" ht="15" hidden="false" customHeight="false" outlineLevel="0" collapsed="false">
      <c r="A439" s="12" t="n">
        <f aca="false">Data!A439</f>
        <v>42640</v>
      </c>
      <c r="B439" s="14" t="n">
        <f aca="false">Data!B439</f>
        <v>44.67</v>
      </c>
      <c r="C439" s="0" t="str">
        <f aca="false">IF(Data!D439="","HOLD",IF(AND(G438&lt;&gt;"IN",Data!E439&lt;-5),"BUY",IF(AND(G438="IN",Data!E439&gt;0),"SELL","HOLD")))</f>
        <v>HOLD</v>
      </c>
      <c r="D439" s="14" t="str">
        <f aca="false">IF(C439="BUY",B439,IF(G438="IN",D438,""))</f>
        <v/>
      </c>
      <c r="E439" s="14" t="str">
        <f aca="false">IF(C439="SELL",B439,"")</f>
        <v/>
      </c>
      <c r="F439" s="14" t="str">
        <f aca="false">IF(E439="","",(E439-D439)/D439*100)</f>
        <v/>
      </c>
      <c r="G439" s="0" t="str">
        <f aca="false">IF(C439="BUY","IN",IF(C439="SELL","OUT",IF(G438="IN","IN","OUT")))</f>
        <v>OUT</v>
      </c>
      <c r="H439" s="14" t="n">
        <f aca="false">H438+IF(F439="",0,F439)</f>
        <v>29.3641317123279</v>
      </c>
      <c r="I439" s="14" t="n">
        <f aca="false">MAX(I438,H439)</f>
        <v>29.3641317123279</v>
      </c>
      <c r="J439" s="14" t="n">
        <f aca="false">I439-H439</f>
        <v>0</v>
      </c>
    </row>
    <row r="440" customFormat="false" ht="15" hidden="false" customHeight="false" outlineLevel="0" collapsed="false">
      <c r="A440" s="12" t="n">
        <f aca="false">Data!A440</f>
        <v>42641</v>
      </c>
      <c r="B440" s="14" t="n">
        <f aca="false">Data!B440</f>
        <v>47.05</v>
      </c>
      <c r="C440" s="0" t="str">
        <f aca="false">IF(Data!D440="","HOLD",IF(AND(G439&lt;&gt;"IN",Data!E440&lt;-5),"BUY",IF(AND(G439="IN",Data!E440&gt;0),"SELL","HOLD")))</f>
        <v>HOLD</v>
      </c>
      <c r="D440" s="14" t="str">
        <f aca="false">IF(C440="BUY",B440,IF(G439="IN",D439,""))</f>
        <v/>
      </c>
      <c r="E440" s="14" t="str">
        <f aca="false">IF(C440="SELL",B440,"")</f>
        <v/>
      </c>
      <c r="F440" s="14" t="str">
        <f aca="false">IF(E440="","",(E440-D440)/D440*100)</f>
        <v/>
      </c>
      <c r="G440" s="0" t="str">
        <f aca="false">IF(C440="BUY","IN",IF(C440="SELL","OUT",IF(G439="IN","IN","OUT")))</f>
        <v>OUT</v>
      </c>
      <c r="H440" s="14" t="n">
        <f aca="false">H439+IF(F440="",0,F440)</f>
        <v>29.3641317123279</v>
      </c>
      <c r="I440" s="14" t="n">
        <f aca="false">MAX(I439,H440)</f>
        <v>29.3641317123279</v>
      </c>
      <c r="J440" s="14" t="n">
        <f aca="false">I440-H440</f>
        <v>0</v>
      </c>
    </row>
    <row r="441" customFormat="false" ht="15" hidden="false" customHeight="false" outlineLevel="0" collapsed="false">
      <c r="A441" s="12" t="n">
        <f aca="false">Data!A441</f>
        <v>42642</v>
      </c>
      <c r="B441" s="14" t="n">
        <f aca="false">Data!B441</f>
        <v>47.83</v>
      </c>
      <c r="C441" s="0" t="str">
        <f aca="false">IF(Data!D441="","HOLD",IF(AND(G440&lt;&gt;"IN",Data!E441&lt;-5),"BUY",IF(AND(G440="IN",Data!E441&gt;0),"SELL","HOLD")))</f>
        <v>HOLD</v>
      </c>
      <c r="D441" s="14" t="str">
        <f aca="false">IF(C441="BUY",B441,IF(G440="IN",D440,""))</f>
        <v/>
      </c>
      <c r="E441" s="14" t="str">
        <f aca="false">IF(C441="SELL",B441,"")</f>
        <v/>
      </c>
      <c r="F441" s="14" t="str">
        <f aca="false">IF(E441="","",(E441-D441)/D441*100)</f>
        <v/>
      </c>
      <c r="G441" s="0" t="str">
        <f aca="false">IF(C441="BUY","IN",IF(C441="SELL","OUT",IF(G440="IN","IN","OUT")))</f>
        <v>OUT</v>
      </c>
      <c r="H441" s="14" t="n">
        <f aca="false">H440+IF(F441="",0,F441)</f>
        <v>29.3641317123279</v>
      </c>
      <c r="I441" s="14" t="n">
        <f aca="false">MAX(I440,H441)</f>
        <v>29.3641317123279</v>
      </c>
      <c r="J441" s="14" t="n">
        <f aca="false">I441-H441</f>
        <v>0</v>
      </c>
    </row>
    <row r="442" customFormat="false" ht="15" hidden="false" customHeight="false" outlineLevel="0" collapsed="false">
      <c r="A442" s="12" t="n">
        <f aca="false">Data!A442</f>
        <v>42643</v>
      </c>
      <c r="B442" s="14" t="n">
        <f aca="false">Data!B442</f>
        <v>48.24</v>
      </c>
      <c r="C442" s="0" t="str">
        <f aca="false">IF(Data!D442="","HOLD",IF(AND(G441&lt;&gt;"IN",Data!E442&lt;-5),"BUY",IF(AND(G441="IN",Data!E442&gt;0),"SELL","HOLD")))</f>
        <v>HOLD</v>
      </c>
      <c r="D442" s="14" t="str">
        <f aca="false">IF(C442="BUY",B442,IF(G441="IN",D441,""))</f>
        <v/>
      </c>
      <c r="E442" s="14" t="str">
        <f aca="false">IF(C442="SELL",B442,"")</f>
        <v/>
      </c>
      <c r="F442" s="14" t="str">
        <f aca="false">IF(E442="","",(E442-D442)/D442*100)</f>
        <v/>
      </c>
      <c r="G442" s="0" t="str">
        <f aca="false">IF(C442="BUY","IN",IF(C442="SELL","OUT",IF(G441="IN","IN","OUT")))</f>
        <v>OUT</v>
      </c>
      <c r="H442" s="14" t="n">
        <f aca="false">H441+IF(F442="",0,F442)</f>
        <v>29.3641317123279</v>
      </c>
      <c r="I442" s="14" t="n">
        <f aca="false">MAX(I441,H442)</f>
        <v>29.3641317123279</v>
      </c>
      <c r="J442" s="14" t="n">
        <f aca="false">I442-H442</f>
        <v>0</v>
      </c>
    </row>
    <row r="443" customFormat="false" ht="15" hidden="false" customHeight="false" outlineLevel="0" collapsed="false">
      <c r="A443" s="12" t="n">
        <f aca="false">Data!A443</f>
        <v>42646</v>
      </c>
      <c r="B443" s="14" t="n">
        <f aca="false">Data!B443</f>
        <v>48.81</v>
      </c>
      <c r="C443" s="0" t="str">
        <f aca="false">IF(Data!D443="","HOLD",IF(AND(G442&lt;&gt;"IN",Data!E443&lt;-5),"BUY",IF(AND(G442="IN",Data!E443&gt;0),"SELL","HOLD")))</f>
        <v>HOLD</v>
      </c>
      <c r="D443" s="14" t="str">
        <f aca="false">IF(C443="BUY",B443,IF(G442="IN",D442,""))</f>
        <v/>
      </c>
      <c r="E443" s="14" t="str">
        <f aca="false">IF(C443="SELL",B443,"")</f>
        <v/>
      </c>
      <c r="F443" s="14" t="str">
        <f aca="false">IF(E443="","",(E443-D443)/D443*100)</f>
        <v/>
      </c>
      <c r="G443" s="0" t="str">
        <f aca="false">IF(C443="BUY","IN",IF(C443="SELL","OUT",IF(G442="IN","IN","OUT")))</f>
        <v>OUT</v>
      </c>
      <c r="H443" s="14" t="n">
        <f aca="false">H442+IF(F443="",0,F443)</f>
        <v>29.3641317123279</v>
      </c>
      <c r="I443" s="14" t="n">
        <f aca="false">MAX(I442,H443)</f>
        <v>29.3641317123279</v>
      </c>
      <c r="J443" s="14" t="n">
        <f aca="false">I443-H443</f>
        <v>0</v>
      </c>
    </row>
    <row r="444" customFormat="false" ht="15" hidden="false" customHeight="false" outlineLevel="0" collapsed="false">
      <c r="A444" s="12" t="n">
        <f aca="false">Data!A444</f>
        <v>42647</v>
      </c>
      <c r="B444" s="14" t="n">
        <f aca="false">Data!B444</f>
        <v>48.69</v>
      </c>
      <c r="C444" s="0" t="str">
        <f aca="false">IF(Data!D444="","HOLD",IF(AND(G443&lt;&gt;"IN",Data!E444&lt;-5),"BUY",IF(AND(G443="IN",Data!E444&gt;0),"SELL","HOLD")))</f>
        <v>HOLD</v>
      </c>
      <c r="D444" s="14" t="str">
        <f aca="false">IF(C444="BUY",B444,IF(G443="IN",D443,""))</f>
        <v/>
      </c>
      <c r="E444" s="14" t="str">
        <f aca="false">IF(C444="SELL",B444,"")</f>
        <v/>
      </c>
      <c r="F444" s="14" t="str">
        <f aca="false">IF(E444="","",(E444-D444)/D444*100)</f>
        <v/>
      </c>
      <c r="G444" s="0" t="str">
        <f aca="false">IF(C444="BUY","IN",IF(C444="SELL","OUT",IF(G443="IN","IN","OUT")))</f>
        <v>OUT</v>
      </c>
      <c r="H444" s="14" t="n">
        <f aca="false">H443+IF(F444="",0,F444)</f>
        <v>29.3641317123279</v>
      </c>
      <c r="I444" s="14" t="n">
        <f aca="false">MAX(I443,H444)</f>
        <v>29.3641317123279</v>
      </c>
      <c r="J444" s="14" t="n">
        <f aca="false">I444-H444</f>
        <v>0</v>
      </c>
    </row>
    <row r="445" customFormat="false" ht="15" hidden="false" customHeight="false" outlineLevel="0" collapsed="false">
      <c r="A445" s="12" t="n">
        <f aca="false">Data!A445</f>
        <v>42648</v>
      </c>
      <c r="B445" s="14" t="n">
        <f aca="false">Data!B445</f>
        <v>49.83</v>
      </c>
      <c r="C445" s="0" t="str">
        <f aca="false">IF(Data!D445="","HOLD",IF(AND(G444&lt;&gt;"IN",Data!E445&lt;-5),"BUY",IF(AND(G444="IN",Data!E445&gt;0),"SELL","HOLD")))</f>
        <v>HOLD</v>
      </c>
      <c r="D445" s="14" t="str">
        <f aca="false">IF(C445="BUY",B445,IF(G444="IN",D444,""))</f>
        <v/>
      </c>
      <c r="E445" s="14" t="str">
        <f aca="false">IF(C445="SELL",B445,"")</f>
        <v/>
      </c>
      <c r="F445" s="14" t="str">
        <f aca="false">IF(E445="","",(E445-D445)/D445*100)</f>
        <v/>
      </c>
      <c r="G445" s="0" t="str">
        <f aca="false">IF(C445="BUY","IN",IF(C445="SELL","OUT",IF(G444="IN","IN","OUT")))</f>
        <v>OUT</v>
      </c>
      <c r="H445" s="14" t="n">
        <f aca="false">H444+IF(F445="",0,F445)</f>
        <v>29.3641317123279</v>
      </c>
      <c r="I445" s="14" t="n">
        <f aca="false">MAX(I444,H445)</f>
        <v>29.3641317123279</v>
      </c>
      <c r="J445" s="14" t="n">
        <f aca="false">I445-H445</f>
        <v>0</v>
      </c>
    </row>
    <row r="446" customFormat="false" ht="15" hidden="false" customHeight="false" outlineLevel="0" collapsed="false">
      <c r="A446" s="12" t="n">
        <f aca="false">Data!A446</f>
        <v>42649</v>
      </c>
      <c r="B446" s="14" t="n">
        <f aca="false">Data!B446</f>
        <v>50.44</v>
      </c>
      <c r="C446" s="0" t="str">
        <f aca="false">IF(Data!D446="","HOLD",IF(AND(G445&lt;&gt;"IN",Data!E446&lt;-5),"BUY",IF(AND(G445="IN",Data!E446&gt;0),"SELL","HOLD")))</f>
        <v>HOLD</v>
      </c>
      <c r="D446" s="14" t="str">
        <f aca="false">IF(C446="BUY",B446,IF(G445="IN",D445,""))</f>
        <v/>
      </c>
      <c r="E446" s="14" t="str">
        <f aca="false">IF(C446="SELL",B446,"")</f>
        <v/>
      </c>
      <c r="F446" s="14" t="str">
        <f aca="false">IF(E446="","",(E446-D446)/D446*100)</f>
        <v/>
      </c>
      <c r="G446" s="0" t="str">
        <f aca="false">IF(C446="BUY","IN",IF(C446="SELL","OUT",IF(G445="IN","IN","OUT")))</f>
        <v>OUT</v>
      </c>
      <c r="H446" s="14" t="n">
        <f aca="false">H445+IF(F446="",0,F446)</f>
        <v>29.3641317123279</v>
      </c>
      <c r="I446" s="14" t="n">
        <f aca="false">MAX(I445,H446)</f>
        <v>29.3641317123279</v>
      </c>
      <c r="J446" s="14" t="n">
        <f aca="false">I446-H446</f>
        <v>0</v>
      </c>
    </row>
    <row r="447" customFormat="false" ht="15" hidden="false" customHeight="false" outlineLevel="0" collapsed="false">
      <c r="A447" s="12" t="n">
        <f aca="false">Data!A447</f>
        <v>42650</v>
      </c>
      <c r="B447" s="14" t="n">
        <f aca="false">Data!B447</f>
        <v>49.81</v>
      </c>
      <c r="C447" s="0" t="str">
        <f aca="false">IF(Data!D447="","HOLD",IF(AND(G446&lt;&gt;"IN",Data!E447&lt;-5),"BUY",IF(AND(G446="IN",Data!E447&gt;0),"SELL","HOLD")))</f>
        <v>HOLD</v>
      </c>
      <c r="D447" s="14" t="str">
        <f aca="false">IF(C447="BUY",B447,IF(G446="IN",D446,""))</f>
        <v/>
      </c>
      <c r="E447" s="14" t="str">
        <f aca="false">IF(C447="SELL",B447,"")</f>
        <v/>
      </c>
      <c r="F447" s="14" t="str">
        <f aca="false">IF(E447="","",(E447-D447)/D447*100)</f>
        <v/>
      </c>
      <c r="G447" s="0" t="str">
        <f aca="false">IF(C447="BUY","IN",IF(C447="SELL","OUT",IF(G446="IN","IN","OUT")))</f>
        <v>OUT</v>
      </c>
      <c r="H447" s="14" t="n">
        <f aca="false">H446+IF(F447="",0,F447)</f>
        <v>29.3641317123279</v>
      </c>
      <c r="I447" s="14" t="n">
        <f aca="false">MAX(I446,H447)</f>
        <v>29.3641317123279</v>
      </c>
      <c r="J447" s="14" t="n">
        <f aca="false">I447-H447</f>
        <v>0</v>
      </c>
    </row>
    <row r="448" customFormat="false" ht="15" hidden="false" customHeight="false" outlineLevel="0" collapsed="false">
      <c r="A448" s="12" t="n">
        <f aca="false">Data!A448</f>
        <v>42654</v>
      </c>
      <c r="B448" s="14" t="n">
        <f aca="false">Data!B448</f>
        <v>50.79</v>
      </c>
      <c r="C448" s="0" t="str">
        <f aca="false">IF(Data!D448="","HOLD",IF(AND(G447&lt;&gt;"IN",Data!E448&lt;-5),"BUY",IF(AND(G447="IN",Data!E448&gt;0),"SELL","HOLD")))</f>
        <v>HOLD</v>
      </c>
      <c r="D448" s="14" t="str">
        <f aca="false">IF(C448="BUY",B448,IF(G447="IN",D447,""))</f>
        <v/>
      </c>
      <c r="E448" s="14" t="str">
        <f aca="false">IF(C448="SELL",B448,"")</f>
        <v/>
      </c>
      <c r="F448" s="14" t="str">
        <f aca="false">IF(E448="","",(E448-D448)/D448*100)</f>
        <v/>
      </c>
      <c r="G448" s="0" t="str">
        <f aca="false">IF(C448="BUY","IN",IF(C448="SELL","OUT",IF(G447="IN","IN","OUT")))</f>
        <v>OUT</v>
      </c>
      <c r="H448" s="14" t="n">
        <f aca="false">H447+IF(F448="",0,F448)</f>
        <v>29.3641317123279</v>
      </c>
      <c r="I448" s="14" t="n">
        <f aca="false">MAX(I447,H448)</f>
        <v>29.3641317123279</v>
      </c>
      <c r="J448" s="14" t="n">
        <f aca="false">I448-H448</f>
        <v>0</v>
      </c>
    </row>
    <row r="449" customFormat="false" ht="15" hidden="false" customHeight="false" outlineLevel="0" collapsed="false">
      <c r="A449" s="12" t="n">
        <f aca="false">Data!A449</f>
        <v>42655</v>
      </c>
      <c r="B449" s="14" t="n">
        <f aca="false">Data!B449</f>
        <v>50.18</v>
      </c>
      <c r="C449" s="0" t="str">
        <f aca="false">IF(Data!D449="","HOLD",IF(AND(G448&lt;&gt;"IN",Data!E449&lt;-5),"BUY",IF(AND(G448="IN",Data!E449&gt;0),"SELL","HOLD")))</f>
        <v>HOLD</v>
      </c>
      <c r="D449" s="14" t="str">
        <f aca="false">IF(C449="BUY",B449,IF(G448="IN",D448,""))</f>
        <v/>
      </c>
      <c r="E449" s="14" t="str">
        <f aca="false">IF(C449="SELL",B449,"")</f>
        <v/>
      </c>
      <c r="F449" s="14" t="str">
        <f aca="false">IF(E449="","",(E449-D449)/D449*100)</f>
        <v/>
      </c>
      <c r="G449" s="0" t="str">
        <f aca="false">IF(C449="BUY","IN",IF(C449="SELL","OUT",IF(G448="IN","IN","OUT")))</f>
        <v>OUT</v>
      </c>
      <c r="H449" s="14" t="n">
        <f aca="false">H448+IF(F449="",0,F449)</f>
        <v>29.3641317123279</v>
      </c>
      <c r="I449" s="14" t="n">
        <f aca="false">MAX(I448,H449)</f>
        <v>29.3641317123279</v>
      </c>
      <c r="J449" s="14" t="n">
        <f aca="false">I449-H449</f>
        <v>0</v>
      </c>
    </row>
    <row r="450" customFormat="false" ht="15" hidden="false" customHeight="false" outlineLevel="0" collapsed="false">
      <c r="A450" s="12" t="n">
        <f aca="false">Data!A450</f>
        <v>42656</v>
      </c>
      <c r="B450" s="14" t="n">
        <f aca="false">Data!B450</f>
        <v>50.44</v>
      </c>
      <c r="C450" s="0" t="str">
        <f aca="false">IF(Data!D450="","HOLD",IF(AND(G449&lt;&gt;"IN",Data!E450&lt;-5),"BUY",IF(AND(G449="IN",Data!E450&gt;0),"SELL","HOLD")))</f>
        <v>HOLD</v>
      </c>
      <c r="D450" s="14" t="str">
        <f aca="false">IF(C450="BUY",B450,IF(G449="IN",D449,""))</f>
        <v/>
      </c>
      <c r="E450" s="14" t="str">
        <f aca="false">IF(C450="SELL",B450,"")</f>
        <v/>
      </c>
      <c r="F450" s="14" t="str">
        <f aca="false">IF(E450="","",(E450-D450)/D450*100)</f>
        <v/>
      </c>
      <c r="G450" s="0" t="str">
        <f aca="false">IF(C450="BUY","IN",IF(C450="SELL","OUT",IF(G449="IN","IN","OUT")))</f>
        <v>OUT</v>
      </c>
      <c r="H450" s="14" t="n">
        <f aca="false">H449+IF(F450="",0,F450)</f>
        <v>29.3641317123279</v>
      </c>
      <c r="I450" s="14" t="n">
        <f aca="false">MAX(I449,H450)</f>
        <v>29.3641317123279</v>
      </c>
      <c r="J450" s="14" t="n">
        <f aca="false">I450-H450</f>
        <v>0</v>
      </c>
    </row>
    <row r="451" customFormat="false" ht="15" hidden="false" customHeight="false" outlineLevel="0" collapsed="false">
      <c r="A451" s="12" t="n">
        <f aca="false">Data!A451</f>
        <v>42657</v>
      </c>
      <c r="B451" s="14" t="n">
        <f aca="false">Data!B451</f>
        <v>50.35</v>
      </c>
      <c r="C451" s="0" t="str">
        <f aca="false">IF(Data!D451="","HOLD",IF(AND(G450&lt;&gt;"IN",Data!E451&lt;-5),"BUY",IF(AND(G450="IN",Data!E451&gt;0),"SELL","HOLD")))</f>
        <v>HOLD</v>
      </c>
      <c r="D451" s="14" t="str">
        <f aca="false">IF(C451="BUY",B451,IF(G450="IN",D450,""))</f>
        <v/>
      </c>
      <c r="E451" s="14" t="str">
        <f aca="false">IF(C451="SELL",B451,"")</f>
        <v/>
      </c>
      <c r="F451" s="14" t="str">
        <f aca="false">IF(E451="","",(E451-D451)/D451*100)</f>
        <v/>
      </c>
      <c r="G451" s="0" t="str">
        <f aca="false">IF(C451="BUY","IN",IF(C451="SELL","OUT",IF(G450="IN","IN","OUT")))</f>
        <v>OUT</v>
      </c>
      <c r="H451" s="14" t="n">
        <f aca="false">H450+IF(F451="",0,F451)</f>
        <v>29.3641317123279</v>
      </c>
      <c r="I451" s="14" t="n">
        <f aca="false">MAX(I450,H451)</f>
        <v>29.3641317123279</v>
      </c>
      <c r="J451" s="14" t="n">
        <f aca="false">I451-H451</f>
        <v>0</v>
      </c>
    </row>
    <row r="452" customFormat="false" ht="15" hidden="false" customHeight="false" outlineLevel="0" collapsed="false">
      <c r="A452" s="12" t="n">
        <f aca="false">Data!A452</f>
        <v>42660</v>
      </c>
      <c r="B452" s="14" t="n">
        <f aca="false">Data!B452</f>
        <v>49.94</v>
      </c>
      <c r="C452" s="0" t="str">
        <f aca="false">IF(Data!D452="","HOLD",IF(AND(G451&lt;&gt;"IN",Data!E452&lt;-5),"BUY",IF(AND(G451="IN",Data!E452&gt;0),"SELL","HOLD")))</f>
        <v>HOLD</v>
      </c>
      <c r="D452" s="14" t="str">
        <f aca="false">IF(C452="BUY",B452,IF(G451="IN",D451,""))</f>
        <v/>
      </c>
      <c r="E452" s="14" t="str">
        <f aca="false">IF(C452="SELL",B452,"")</f>
        <v/>
      </c>
      <c r="F452" s="14" t="str">
        <f aca="false">IF(E452="","",(E452-D452)/D452*100)</f>
        <v/>
      </c>
      <c r="G452" s="0" t="str">
        <f aca="false">IF(C452="BUY","IN",IF(C452="SELL","OUT",IF(G451="IN","IN","OUT")))</f>
        <v>OUT</v>
      </c>
      <c r="H452" s="14" t="n">
        <f aca="false">H451+IF(F452="",0,F452)</f>
        <v>29.3641317123279</v>
      </c>
      <c r="I452" s="14" t="n">
        <f aca="false">MAX(I451,H452)</f>
        <v>29.3641317123279</v>
      </c>
      <c r="J452" s="14" t="n">
        <f aca="false">I452-H452</f>
        <v>0</v>
      </c>
    </row>
    <row r="453" customFormat="false" ht="15" hidden="false" customHeight="false" outlineLevel="0" collapsed="false">
      <c r="A453" s="12" t="n">
        <f aca="false">Data!A453</f>
        <v>42661</v>
      </c>
      <c r="B453" s="14" t="n">
        <f aca="false">Data!B453</f>
        <v>50.29</v>
      </c>
      <c r="C453" s="0" t="str">
        <f aca="false">IF(Data!D453="","HOLD",IF(AND(G452&lt;&gt;"IN",Data!E453&lt;-5),"BUY",IF(AND(G452="IN",Data!E453&gt;0),"SELL","HOLD")))</f>
        <v>HOLD</v>
      </c>
      <c r="D453" s="14" t="str">
        <f aca="false">IF(C453="BUY",B453,IF(G452="IN",D452,""))</f>
        <v/>
      </c>
      <c r="E453" s="14" t="str">
        <f aca="false">IF(C453="SELL",B453,"")</f>
        <v/>
      </c>
      <c r="F453" s="14" t="str">
        <f aca="false">IF(E453="","",(E453-D453)/D453*100)</f>
        <v/>
      </c>
      <c r="G453" s="0" t="str">
        <f aca="false">IF(C453="BUY","IN",IF(C453="SELL","OUT",IF(G452="IN","IN","OUT")))</f>
        <v>OUT</v>
      </c>
      <c r="H453" s="14" t="n">
        <f aca="false">H452+IF(F453="",0,F453)</f>
        <v>29.3641317123279</v>
      </c>
      <c r="I453" s="14" t="n">
        <f aca="false">MAX(I452,H453)</f>
        <v>29.3641317123279</v>
      </c>
      <c r="J453" s="14" t="n">
        <f aca="false">I453-H453</f>
        <v>0</v>
      </c>
    </row>
    <row r="454" customFormat="false" ht="15" hidden="false" customHeight="false" outlineLevel="0" collapsed="false">
      <c r="A454" s="12" t="n">
        <f aca="false">Data!A454</f>
        <v>42662</v>
      </c>
      <c r="B454" s="14" t="n">
        <f aca="false">Data!B454</f>
        <v>51.6</v>
      </c>
      <c r="C454" s="0" t="str">
        <f aca="false">IF(Data!D454="","HOLD",IF(AND(G453&lt;&gt;"IN",Data!E454&lt;-5),"BUY",IF(AND(G453="IN",Data!E454&gt;0),"SELL","HOLD")))</f>
        <v>HOLD</v>
      </c>
      <c r="D454" s="14" t="str">
        <f aca="false">IF(C454="BUY",B454,IF(G453="IN",D453,""))</f>
        <v/>
      </c>
      <c r="E454" s="14" t="str">
        <f aca="false">IF(C454="SELL",B454,"")</f>
        <v/>
      </c>
      <c r="F454" s="14" t="str">
        <f aca="false">IF(E454="","",(E454-D454)/D454*100)</f>
        <v/>
      </c>
      <c r="G454" s="0" t="str">
        <f aca="false">IF(C454="BUY","IN",IF(C454="SELL","OUT",IF(G453="IN","IN","OUT")))</f>
        <v>OUT</v>
      </c>
      <c r="H454" s="14" t="n">
        <f aca="false">H453+IF(F454="",0,F454)</f>
        <v>29.3641317123279</v>
      </c>
      <c r="I454" s="14" t="n">
        <f aca="false">MAX(I453,H454)</f>
        <v>29.3641317123279</v>
      </c>
      <c r="J454" s="14" t="n">
        <f aca="false">I454-H454</f>
        <v>0</v>
      </c>
    </row>
    <row r="455" customFormat="false" ht="15" hidden="false" customHeight="false" outlineLevel="0" collapsed="false">
      <c r="A455" s="12" t="n">
        <f aca="false">Data!A455</f>
        <v>42663</v>
      </c>
      <c r="B455" s="14" t="n">
        <f aca="false">Data!B455</f>
        <v>50.43</v>
      </c>
      <c r="C455" s="0" t="str">
        <f aca="false">IF(Data!D455="","HOLD",IF(AND(G454&lt;&gt;"IN",Data!E455&lt;-5),"BUY",IF(AND(G454="IN",Data!E455&gt;0),"SELL","HOLD")))</f>
        <v>HOLD</v>
      </c>
      <c r="D455" s="14" t="str">
        <f aca="false">IF(C455="BUY",B455,IF(G454="IN",D454,""))</f>
        <v/>
      </c>
      <c r="E455" s="14" t="str">
        <f aca="false">IF(C455="SELL",B455,"")</f>
        <v/>
      </c>
      <c r="F455" s="14" t="str">
        <f aca="false">IF(E455="","",(E455-D455)/D455*100)</f>
        <v/>
      </c>
      <c r="G455" s="0" t="str">
        <f aca="false">IF(C455="BUY","IN",IF(C455="SELL","OUT",IF(G454="IN","IN","OUT")))</f>
        <v>OUT</v>
      </c>
      <c r="H455" s="14" t="n">
        <f aca="false">H454+IF(F455="",0,F455)</f>
        <v>29.3641317123279</v>
      </c>
      <c r="I455" s="14" t="n">
        <f aca="false">MAX(I454,H455)</f>
        <v>29.3641317123279</v>
      </c>
      <c r="J455" s="14" t="n">
        <f aca="false">I455-H455</f>
        <v>0</v>
      </c>
    </row>
    <row r="456" customFormat="false" ht="15" hidden="false" customHeight="false" outlineLevel="0" collapsed="false">
      <c r="A456" s="12" t="n">
        <f aca="false">Data!A456</f>
        <v>42664</v>
      </c>
      <c r="B456" s="14" t="n">
        <f aca="false">Data!B456</f>
        <v>50.85</v>
      </c>
      <c r="C456" s="0" t="str">
        <f aca="false">IF(Data!D456="","HOLD",IF(AND(G455&lt;&gt;"IN",Data!E456&lt;-5),"BUY",IF(AND(G455="IN",Data!E456&gt;0),"SELL","HOLD")))</f>
        <v>HOLD</v>
      </c>
      <c r="D456" s="14" t="str">
        <f aca="false">IF(C456="BUY",B456,IF(G455="IN",D455,""))</f>
        <v/>
      </c>
      <c r="E456" s="14" t="str">
        <f aca="false">IF(C456="SELL",B456,"")</f>
        <v/>
      </c>
      <c r="F456" s="14" t="str">
        <f aca="false">IF(E456="","",(E456-D456)/D456*100)</f>
        <v/>
      </c>
      <c r="G456" s="0" t="str">
        <f aca="false">IF(C456="BUY","IN",IF(C456="SELL","OUT",IF(G455="IN","IN","OUT")))</f>
        <v>OUT</v>
      </c>
      <c r="H456" s="14" t="n">
        <f aca="false">H455+IF(F456="",0,F456)</f>
        <v>29.3641317123279</v>
      </c>
      <c r="I456" s="14" t="n">
        <f aca="false">MAX(I455,H456)</f>
        <v>29.3641317123279</v>
      </c>
      <c r="J456" s="14" t="n">
        <f aca="false">I456-H456</f>
        <v>0</v>
      </c>
    </row>
    <row r="457" customFormat="false" ht="15" hidden="false" customHeight="false" outlineLevel="0" collapsed="false">
      <c r="A457" s="12" t="n">
        <f aca="false">Data!A457</f>
        <v>42667</v>
      </c>
      <c r="B457" s="14" t="n">
        <f aca="false">Data!B457</f>
        <v>50.52</v>
      </c>
      <c r="C457" s="0" t="str">
        <f aca="false">IF(Data!D457="","HOLD",IF(AND(G456&lt;&gt;"IN",Data!E457&lt;-5),"BUY",IF(AND(G456="IN",Data!E457&gt;0),"SELL","HOLD")))</f>
        <v>HOLD</v>
      </c>
      <c r="D457" s="14" t="str">
        <f aca="false">IF(C457="BUY",B457,IF(G456="IN",D456,""))</f>
        <v/>
      </c>
      <c r="E457" s="14" t="str">
        <f aca="false">IF(C457="SELL",B457,"")</f>
        <v/>
      </c>
      <c r="F457" s="14" t="str">
        <f aca="false">IF(E457="","",(E457-D457)/D457*100)</f>
        <v/>
      </c>
      <c r="G457" s="0" t="str">
        <f aca="false">IF(C457="BUY","IN",IF(C457="SELL","OUT",IF(G456="IN","IN","OUT")))</f>
        <v>OUT</v>
      </c>
      <c r="H457" s="14" t="n">
        <f aca="false">H456+IF(F457="",0,F457)</f>
        <v>29.3641317123279</v>
      </c>
      <c r="I457" s="14" t="n">
        <f aca="false">MAX(I456,H457)</f>
        <v>29.3641317123279</v>
      </c>
      <c r="J457" s="14" t="n">
        <f aca="false">I457-H457</f>
        <v>0</v>
      </c>
    </row>
    <row r="458" customFormat="false" ht="15" hidden="false" customHeight="false" outlineLevel="0" collapsed="false">
      <c r="A458" s="12" t="n">
        <f aca="false">Data!A458</f>
        <v>42668</v>
      </c>
      <c r="B458" s="14" t="n">
        <f aca="false">Data!B458</f>
        <v>49.96</v>
      </c>
      <c r="C458" s="0" t="str">
        <f aca="false">IF(Data!D458="","HOLD",IF(AND(G457&lt;&gt;"IN",Data!E458&lt;-5),"BUY",IF(AND(G457="IN",Data!E458&gt;0),"SELL","HOLD")))</f>
        <v>HOLD</v>
      </c>
      <c r="D458" s="14" t="str">
        <f aca="false">IF(C458="BUY",B458,IF(G457="IN",D457,""))</f>
        <v/>
      </c>
      <c r="E458" s="14" t="str">
        <f aca="false">IF(C458="SELL",B458,"")</f>
        <v/>
      </c>
      <c r="F458" s="14" t="str">
        <f aca="false">IF(E458="","",(E458-D458)/D458*100)</f>
        <v/>
      </c>
      <c r="G458" s="0" t="str">
        <f aca="false">IF(C458="BUY","IN",IF(C458="SELL","OUT",IF(G457="IN","IN","OUT")))</f>
        <v>OUT</v>
      </c>
      <c r="H458" s="14" t="n">
        <f aca="false">H457+IF(F458="",0,F458)</f>
        <v>29.3641317123279</v>
      </c>
      <c r="I458" s="14" t="n">
        <f aca="false">MAX(I457,H458)</f>
        <v>29.3641317123279</v>
      </c>
      <c r="J458" s="14" t="n">
        <f aca="false">I458-H458</f>
        <v>0</v>
      </c>
    </row>
    <row r="459" customFormat="false" ht="15" hidden="false" customHeight="false" outlineLevel="0" collapsed="false">
      <c r="A459" s="12" t="n">
        <f aca="false">Data!A459</f>
        <v>42669</v>
      </c>
      <c r="B459" s="14" t="n">
        <f aca="false">Data!B459</f>
        <v>49.18</v>
      </c>
      <c r="C459" s="0" t="str">
        <f aca="false">IF(Data!D459="","HOLD",IF(AND(G458&lt;&gt;"IN",Data!E459&lt;-5),"BUY",IF(AND(G458="IN",Data!E459&gt;0),"SELL","HOLD")))</f>
        <v>HOLD</v>
      </c>
      <c r="D459" s="14" t="str">
        <f aca="false">IF(C459="BUY",B459,IF(G458="IN",D458,""))</f>
        <v/>
      </c>
      <c r="E459" s="14" t="str">
        <f aca="false">IF(C459="SELL",B459,"")</f>
        <v/>
      </c>
      <c r="F459" s="14" t="str">
        <f aca="false">IF(E459="","",(E459-D459)/D459*100)</f>
        <v/>
      </c>
      <c r="G459" s="0" t="str">
        <f aca="false">IF(C459="BUY","IN",IF(C459="SELL","OUT",IF(G458="IN","IN","OUT")))</f>
        <v>OUT</v>
      </c>
      <c r="H459" s="14" t="n">
        <f aca="false">H458+IF(F459="",0,F459)</f>
        <v>29.3641317123279</v>
      </c>
      <c r="I459" s="14" t="n">
        <f aca="false">MAX(I458,H459)</f>
        <v>29.3641317123279</v>
      </c>
      <c r="J459" s="14" t="n">
        <f aca="false">I459-H459</f>
        <v>0</v>
      </c>
    </row>
    <row r="460" customFormat="false" ht="15" hidden="false" customHeight="false" outlineLevel="0" collapsed="false">
      <c r="A460" s="12" t="n">
        <f aca="false">Data!A460</f>
        <v>42670</v>
      </c>
      <c r="B460" s="14" t="n">
        <f aca="false">Data!B460</f>
        <v>49.72</v>
      </c>
      <c r="C460" s="0" t="str">
        <f aca="false">IF(Data!D460="","HOLD",IF(AND(G459&lt;&gt;"IN",Data!E460&lt;-5),"BUY",IF(AND(G459="IN",Data!E460&gt;0),"SELL","HOLD")))</f>
        <v>HOLD</v>
      </c>
      <c r="D460" s="14" t="str">
        <f aca="false">IF(C460="BUY",B460,IF(G459="IN",D459,""))</f>
        <v/>
      </c>
      <c r="E460" s="14" t="str">
        <f aca="false">IF(C460="SELL",B460,"")</f>
        <v/>
      </c>
      <c r="F460" s="14" t="str">
        <f aca="false">IF(E460="","",(E460-D460)/D460*100)</f>
        <v/>
      </c>
      <c r="G460" s="0" t="str">
        <f aca="false">IF(C460="BUY","IN",IF(C460="SELL","OUT",IF(G459="IN","IN","OUT")))</f>
        <v>OUT</v>
      </c>
      <c r="H460" s="14" t="n">
        <f aca="false">H459+IF(F460="",0,F460)</f>
        <v>29.3641317123279</v>
      </c>
      <c r="I460" s="14" t="n">
        <f aca="false">MAX(I459,H460)</f>
        <v>29.3641317123279</v>
      </c>
      <c r="J460" s="14" t="n">
        <f aca="false">I460-H460</f>
        <v>0</v>
      </c>
    </row>
    <row r="461" customFormat="false" ht="15" hidden="false" customHeight="false" outlineLevel="0" collapsed="false">
      <c r="A461" s="12" t="n">
        <f aca="false">Data!A461</f>
        <v>42671</v>
      </c>
      <c r="B461" s="14" t="n">
        <f aca="false">Data!B461</f>
        <v>48.7</v>
      </c>
      <c r="C461" s="0" t="str">
        <f aca="false">IF(Data!D461="","HOLD",IF(AND(G460&lt;&gt;"IN",Data!E461&lt;-5),"BUY",IF(AND(G460="IN",Data!E461&gt;0),"SELL","HOLD")))</f>
        <v>HOLD</v>
      </c>
      <c r="D461" s="14" t="str">
        <f aca="false">IF(C461="BUY",B461,IF(G460="IN",D460,""))</f>
        <v/>
      </c>
      <c r="E461" s="14" t="str">
        <f aca="false">IF(C461="SELL",B461,"")</f>
        <v/>
      </c>
      <c r="F461" s="14" t="str">
        <f aca="false">IF(E461="","",(E461-D461)/D461*100)</f>
        <v/>
      </c>
      <c r="G461" s="0" t="str">
        <f aca="false">IF(C461="BUY","IN",IF(C461="SELL","OUT",IF(G460="IN","IN","OUT")))</f>
        <v>OUT</v>
      </c>
      <c r="H461" s="14" t="n">
        <f aca="false">H460+IF(F461="",0,F461)</f>
        <v>29.3641317123279</v>
      </c>
      <c r="I461" s="14" t="n">
        <f aca="false">MAX(I460,H461)</f>
        <v>29.3641317123279</v>
      </c>
      <c r="J461" s="14" t="n">
        <f aca="false">I461-H461</f>
        <v>0</v>
      </c>
    </row>
    <row r="462" customFormat="false" ht="15" hidden="false" customHeight="false" outlineLevel="0" collapsed="false">
      <c r="A462" s="12" t="n">
        <f aca="false">Data!A462</f>
        <v>42674</v>
      </c>
      <c r="B462" s="14" t="n">
        <f aca="false">Data!B462</f>
        <v>46.86</v>
      </c>
      <c r="C462" s="0" t="str">
        <f aca="false">IF(Data!D462="","HOLD",IF(AND(G461&lt;&gt;"IN",Data!E462&lt;-5),"BUY",IF(AND(G461="IN",Data!E462&gt;0),"SELL","HOLD")))</f>
        <v>BUY</v>
      </c>
      <c r="D462" s="14" t="n">
        <f aca="false">IF(C462="BUY",B462,IF(G461="IN",D461,""))</f>
        <v>46.86</v>
      </c>
      <c r="E462" s="14" t="str">
        <f aca="false">IF(C462="SELL",B462,"")</f>
        <v/>
      </c>
      <c r="F462" s="14" t="str">
        <f aca="false">IF(E462="","",(E462-D462)/D462*100)</f>
        <v/>
      </c>
      <c r="G462" s="0" t="str">
        <f aca="false">IF(C462="BUY","IN",IF(C462="SELL","OUT",IF(G461="IN","IN","OUT")))</f>
        <v>IN</v>
      </c>
      <c r="H462" s="14" t="n">
        <f aca="false">H461+IF(F462="",0,F462)</f>
        <v>29.3641317123279</v>
      </c>
      <c r="I462" s="14" t="n">
        <f aca="false">MAX(I461,H462)</f>
        <v>29.3641317123279</v>
      </c>
      <c r="J462" s="14" t="n">
        <f aca="false">I462-H462</f>
        <v>0</v>
      </c>
    </row>
    <row r="463" customFormat="false" ht="15" hidden="false" customHeight="false" outlineLevel="0" collapsed="false">
      <c r="A463" s="12" t="n">
        <f aca="false">Data!A463</f>
        <v>42675</v>
      </c>
      <c r="B463" s="14" t="n">
        <f aca="false">Data!B463</f>
        <v>46.67</v>
      </c>
      <c r="C463" s="0" t="str">
        <f aca="false">IF(Data!D463="","HOLD",IF(AND(G462&lt;&gt;"IN",Data!E463&lt;-5),"BUY",IF(AND(G462="IN",Data!E463&gt;0),"SELL","HOLD")))</f>
        <v>HOLD</v>
      </c>
      <c r="D463" s="14" t="n">
        <f aca="false">IF(C463="BUY",B463,IF(G462="IN",D462,""))</f>
        <v>46.86</v>
      </c>
      <c r="E463" s="14" t="str">
        <f aca="false">IF(C463="SELL",B463,"")</f>
        <v/>
      </c>
      <c r="F463" s="14" t="str">
        <f aca="false">IF(E463="","",(E463-D463)/D463*100)</f>
        <v/>
      </c>
      <c r="G463" s="0" t="str">
        <f aca="false">IF(C463="BUY","IN",IF(C463="SELL","OUT",IF(G462="IN","IN","OUT")))</f>
        <v>IN</v>
      </c>
      <c r="H463" s="14" t="n">
        <f aca="false">H462+IF(F463="",0,F463)</f>
        <v>29.3641317123279</v>
      </c>
      <c r="I463" s="14" t="n">
        <f aca="false">MAX(I462,H463)</f>
        <v>29.3641317123279</v>
      </c>
      <c r="J463" s="14" t="n">
        <f aca="false">I463-H463</f>
        <v>0</v>
      </c>
    </row>
    <row r="464" customFormat="false" ht="15" hidden="false" customHeight="false" outlineLevel="0" collapsed="false">
      <c r="A464" s="12" t="n">
        <f aca="false">Data!A464</f>
        <v>42676</v>
      </c>
      <c r="B464" s="14" t="n">
        <f aca="false">Data!B464</f>
        <v>45.34</v>
      </c>
      <c r="C464" s="0" t="str">
        <f aca="false">IF(Data!D464="","HOLD",IF(AND(G463&lt;&gt;"IN",Data!E464&lt;-5),"BUY",IF(AND(G463="IN",Data!E464&gt;0),"SELL","HOLD")))</f>
        <v>HOLD</v>
      </c>
      <c r="D464" s="14" t="n">
        <f aca="false">IF(C464="BUY",B464,IF(G463="IN",D463,""))</f>
        <v>46.86</v>
      </c>
      <c r="E464" s="14" t="str">
        <f aca="false">IF(C464="SELL",B464,"")</f>
        <v/>
      </c>
      <c r="F464" s="14" t="str">
        <f aca="false">IF(E464="","",(E464-D464)/D464*100)</f>
        <v/>
      </c>
      <c r="G464" s="0" t="str">
        <f aca="false">IF(C464="BUY","IN",IF(C464="SELL","OUT",IF(G463="IN","IN","OUT")))</f>
        <v>IN</v>
      </c>
      <c r="H464" s="14" t="n">
        <f aca="false">H463+IF(F464="",0,F464)</f>
        <v>29.3641317123279</v>
      </c>
      <c r="I464" s="14" t="n">
        <f aca="false">MAX(I463,H464)</f>
        <v>29.3641317123279</v>
      </c>
      <c r="J464" s="14" t="n">
        <f aca="false">I464-H464</f>
        <v>0</v>
      </c>
    </row>
    <row r="465" customFormat="false" ht="15" hidden="false" customHeight="false" outlineLevel="0" collapsed="false">
      <c r="A465" s="12" t="n">
        <f aca="false">Data!A465</f>
        <v>42677</v>
      </c>
      <c r="B465" s="14" t="n">
        <f aca="false">Data!B465</f>
        <v>44.66</v>
      </c>
      <c r="C465" s="0" t="str">
        <f aca="false">IF(Data!D465="","HOLD",IF(AND(G464&lt;&gt;"IN",Data!E465&lt;-5),"BUY",IF(AND(G464="IN",Data!E465&gt;0),"SELL","HOLD")))</f>
        <v>HOLD</v>
      </c>
      <c r="D465" s="14" t="n">
        <f aca="false">IF(C465="BUY",B465,IF(G464="IN",D464,""))</f>
        <v>46.86</v>
      </c>
      <c r="E465" s="14" t="str">
        <f aca="false">IF(C465="SELL",B465,"")</f>
        <v/>
      </c>
      <c r="F465" s="14" t="str">
        <f aca="false">IF(E465="","",(E465-D465)/D465*100)</f>
        <v/>
      </c>
      <c r="G465" s="0" t="str">
        <f aca="false">IF(C465="BUY","IN",IF(C465="SELL","OUT",IF(G464="IN","IN","OUT")))</f>
        <v>IN</v>
      </c>
      <c r="H465" s="14" t="n">
        <f aca="false">H464+IF(F465="",0,F465)</f>
        <v>29.3641317123279</v>
      </c>
      <c r="I465" s="14" t="n">
        <f aca="false">MAX(I464,H465)</f>
        <v>29.3641317123279</v>
      </c>
      <c r="J465" s="14" t="n">
        <f aca="false">I465-H465</f>
        <v>0</v>
      </c>
    </row>
    <row r="466" customFormat="false" ht="15" hidden="false" customHeight="false" outlineLevel="0" collapsed="false">
      <c r="A466" s="12" t="n">
        <f aca="false">Data!A466</f>
        <v>42678</v>
      </c>
      <c r="B466" s="14" t="n">
        <f aca="false">Data!B466</f>
        <v>44.07</v>
      </c>
      <c r="C466" s="0" t="str">
        <f aca="false">IF(Data!D466="","HOLD",IF(AND(G465&lt;&gt;"IN",Data!E466&lt;-5),"BUY",IF(AND(G465="IN",Data!E466&gt;0),"SELL","HOLD")))</f>
        <v>HOLD</v>
      </c>
      <c r="D466" s="14" t="n">
        <f aca="false">IF(C466="BUY",B466,IF(G465="IN",D465,""))</f>
        <v>46.86</v>
      </c>
      <c r="E466" s="14" t="str">
        <f aca="false">IF(C466="SELL",B466,"")</f>
        <v/>
      </c>
      <c r="F466" s="14" t="str">
        <f aca="false">IF(E466="","",(E466-D466)/D466*100)</f>
        <v/>
      </c>
      <c r="G466" s="0" t="str">
        <f aca="false">IF(C466="BUY","IN",IF(C466="SELL","OUT",IF(G465="IN","IN","OUT")))</f>
        <v>IN</v>
      </c>
      <c r="H466" s="14" t="n">
        <f aca="false">H465+IF(F466="",0,F466)</f>
        <v>29.3641317123279</v>
      </c>
      <c r="I466" s="14" t="n">
        <f aca="false">MAX(I465,H466)</f>
        <v>29.3641317123279</v>
      </c>
      <c r="J466" s="14" t="n">
        <f aca="false">I466-H466</f>
        <v>0</v>
      </c>
    </row>
    <row r="467" customFormat="false" ht="15" hidden="false" customHeight="false" outlineLevel="0" collapsed="false">
      <c r="A467" s="12" t="n">
        <f aca="false">Data!A467</f>
        <v>42681</v>
      </c>
      <c r="B467" s="14" t="n">
        <f aca="false">Data!B467</f>
        <v>44.89</v>
      </c>
      <c r="C467" s="0" t="str">
        <f aca="false">IF(Data!D467="","HOLD",IF(AND(G466&lt;&gt;"IN",Data!E467&lt;-5),"BUY",IF(AND(G466="IN",Data!E467&gt;0),"SELL","HOLD")))</f>
        <v>HOLD</v>
      </c>
      <c r="D467" s="14" t="n">
        <f aca="false">IF(C467="BUY",B467,IF(G466="IN",D466,""))</f>
        <v>46.86</v>
      </c>
      <c r="E467" s="14" t="str">
        <f aca="false">IF(C467="SELL",B467,"")</f>
        <v/>
      </c>
      <c r="F467" s="14" t="str">
        <f aca="false">IF(E467="","",(E467-D467)/D467*100)</f>
        <v/>
      </c>
      <c r="G467" s="0" t="str">
        <f aca="false">IF(C467="BUY","IN",IF(C467="SELL","OUT",IF(G466="IN","IN","OUT")))</f>
        <v>IN</v>
      </c>
      <c r="H467" s="14" t="n">
        <f aca="false">H466+IF(F467="",0,F467)</f>
        <v>29.3641317123279</v>
      </c>
      <c r="I467" s="14" t="n">
        <f aca="false">MAX(I466,H467)</f>
        <v>29.3641317123279</v>
      </c>
      <c r="J467" s="14" t="n">
        <f aca="false">I467-H467</f>
        <v>0</v>
      </c>
    </row>
    <row r="468" customFormat="false" ht="15" hidden="false" customHeight="false" outlineLevel="0" collapsed="false">
      <c r="A468" s="12" t="n">
        <f aca="false">Data!A468</f>
        <v>42682</v>
      </c>
      <c r="B468" s="14" t="n">
        <f aca="false">Data!B468</f>
        <v>44.98</v>
      </c>
      <c r="C468" s="0" t="str">
        <f aca="false">IF(Data!D468="","HOLD",IF(AND(G467&lt;&gt;"IN",Data!E468&lt;-5),"BUY",IF(AND(G467="IN",Data!E468&gt;0),"SELL","HOLD")))</f>
        <v>HOLD</v>
      </c>
      <c r="D468" s="14" t="n">
        <f aca="false">IF(C468="BUY",B468,IF(G467="IN",D467,""))</f>
        <v>46.86</v>
      </c>
      <c r="E468" s="14" t="str">
        <f aca="false">IF(C468="SELL",B468,"")</f>
        <v/>
      </c>
      <c r="F468" s="14" t="str">
        <f aca="false">IF(E468="","",(E468-D468)/D468*100)</f>
        <v/>
      </c>
      <c r="G468" s="0" t="str">
        <f aca="false">IF(C468="BUY","IN",IF(C468="SELL","OUT",IF(G467="IN","IN","OUT")))</f>
        <v>IN</v>
      </c>
      <c r="H468" s="14" t="n">
        <f aca="false">H467+IF(F468="",0,F468)</f>
        <v>29.3641317123279</v>
      </c>
      <c r="I468" s="14" t="n">
        <f aca="false">MAX(I467,H468)</f>
        <v>29.3641317123279</v>
      </c>
      <c r="J468" s="14" t="n">
        <f aca="false">I468-H468</f>
        <v>0</v>
      </c>
    </row>
    <row r="469" customFormat="false" ht="15" hidden="false" customHeight="false" outlineLevel="0" collapsed="false">
      <c r="A469" s="12" t="n">
        <f aca="false">Data!A469</f>
        <v>42683</v>
      </c>
      <c r="B469" s="14" t="n">
        <f aca="false">Data!B469</f>
        <v>45.27</v>
      </c>
      <c r="C469" s="0" t="str">
        <f aca="false">IF(Data!D469="","HOLD",IF(AND(G468&lt;&gt;"IN",Data!E469&lt;-5),"BUY",IF(AND(G468="IN",Data!E469&gt;0),"SELL","HOLD")))</f>
        <v>HOLD</v>
      </c>
      <c r="D469" s="14" t="n">
        <f aca="false">IF(C469="BUY",B469,IF(G468="IN",D468,""))</f>
        <v>46.86</v>
      </c>
      <c r="E469" s="14" t="str">
        <f aca="false">IF(C469="SELL",B469,"")</f>
        <v/>
      </c>
      <c r="F469" s="14" t="str">
        <f aca="false">IF(E469="","",(E469-D469)/D469*100)</f>
        <v/>
      </c>
      <c r="G469" s="0" t="str">
        <f aca="false">IF(C469="BUY","IN",IF(C469="SELL","OUT",IF(G468="IN","IN","OUT")))</f>
        <v>IN</v>
      </c>
      <c r="H469" s="14" t="n">
        <f aca="false">H468+IF(F469="",0,F469)</f>
        <v>29.3641317123279</v>
      </c>
      <c r="I469" s="14" t="n">
        <f aca="false">MAX(I468,H469)</f>
        <v>29.3641317123279</v>
      </c>
      <c r="J469" s="14" t="n">
        <f aca="false">I469-H469</f>
        <v>0</v>
      </c>
    </row>
    <row r="470" customFormat="false" ht="15" hidden="false" customHeight="false" outlineLevel="0" collapsed="false">
      <c r="A470" s="12" t="n">
        <f aca="false">Data!A470</f>
        <v>42684</v>
      </c>
      <c r="B470" s="14" t="n">
        <f aca="false">Data!B470</f>
        <v>44.66</v>
      </c>
      <c r="C470" s="0" t="str">
        <f aca="false">IF(Data!D470="","HOLD",IF(AND(G469&lt;&gt;"IN",Data!E470&lt;-5),"BUY",IF(AND(G469="IN",Data!E470&gt;0),"SELL","HOLD")))</f>
        <v>HOLD</v>
      </c>
      <c r="D470" s="14" t="n">
        <f aca="false">IF(C470="BUY",B470,IF(G469="IN",D469,""))</f>
        <v>46.86</v>
      </c>
      <c r="E470" s="14" t="str">
        <f aca="false">IF(C470="SELL",B470,"")</f>
        <v/>
      </c>
      <c r="F470" s="14" t="str">
        <f aca="false">IF(E470="","",(E470-D470)/D470*100)</f>
        <v/>
      </c>
      <c r="G470" s="0" t="str">
        <f aca="false">IF(C470="BUY","IN",IF(C470="SELL","OUT",IF(G469="IN","IN","OUT")))</f>
        <v>IN</v>
      </c>
      <c r="H470" s="14" t="n">
        <f aca="false">H469+IF(F470="",0,F470)</f>
        <v>29.3641317123279</v>
      </c>
      <c r="I470" s="14" t="n">
        <f aca="false">MAX(I469,H470)</f>
        <v>29.3641317123279</v>
      </c>
      <c r="J470" s="14" t="n">
        <f aca="false">I470-H470</f>
        <v>0</v>
      </c>
    </row>
    <row r="471" customFormat="false" ht="15" hidden="false" customHeight="false" outlineLevel="0" collapsed="false">
      <c r="A471" s="12" t="n">
        <f aca="false">Data!A471</f>
        <v>42688</v>
      </c>
      <c r="B471" s="14" t="n">
        <f aca="false">Data!B471</f>
        <v>43.32</v>
      </c>
      <c r="C471" s="0" t="str">
        <f aca="false">IF(Data!D471="","HOLD",IF(AND(G470&lt;&gt;"IN",Data!E471&lt;-5),"BUY",IF(AND(G470="IN",Data!E471&gt;0),"SELL","HOLD")))</f>
        <v>HOLD</v>
      </c>
      <c r="D471" s="14" t="n">
        <f aca="false">IF(C471="BUY",B471,IF(G470="IN",D470,""))</f>
        <v>46.86</v>
      </c>
      <c r="E471" s="14" t="str">
        <f aca="false">IF(C471="SELL",B471,"")</f>
        <v/>
      </c>
      <c r="F471" s="14" t="str">
        <f aca="false">IF(E471="","",(E471-D471)/D471*100)</f>
        <v/>
      </c>
      <c r="G471" s="0" t="str">
        <f aca="false">IF(C471="BUY","IN",IF(C471="SELL","OUT",IF(G470="IN","IN","OUT")))</f>
        <v>IN</v>
      </c>
      <c r="H471" s="14" t="n">
        <f aca="false">H470+IF(F471="",0,F471)</f>
        <v>29.3641317123279</v>
      </c>
      <c r="I471" s="14" t="n">
        <f aca="false">MAX(I470,H471)</f>
        <v>29.3641317123279</v>
      </c>
      <c r="J471" s="14" t="n">
        <f aca="false">I471-H471</f>
        <v>0</v>
      </c>
    </row>
    <row r="472" customFormat="false" ht="15" hidden="false" customHeight="false" outlineLevel="0" collapsed="false">
      <c r="A472" s="12" t="n">
        <f aca="false">Data!A472</f>
        <v>42689</v>
      </c>
      <c r="B472" s="14" t="n">
        <f aca="false">Data!B472</f>
        <v>45.81</v>
      </c>
      <c r="C472" s="0" t="str">
        <f aca="false">IF(Data!D472="","HOLD",IF(AND(G471&lt;&gt;"IN",Data!E472&lt;-5),"BUY",IF(AND(G471="IN",Data!E472&gt;0),"SELL","HOLD")))</f>
        <v>HOLD</v>
      </c>
      <c r="D472" s="14" t="n">
        <f aca="false">IF(C472="BUY",B472,IF(G471="IN",D471,""))</f>
        <v>46.86</v>
      </c>
      <c r="E472" s="14" t="str">
        <f aca="false">IF(C472="SELL",B472,"")</f>
        <v/>
      </c>
      <c r="F472" s="14" t="str">
        <f aca="false">IF(E472="","",(E472-D472)/D472*100)</f>
        <v/>
      </c>
      <c r="G472" s="0" t="str">
        <f aca="false">IF(C472="BUY","IN",IF(C472="SELL","OUT",IF(G471="IN","IN","OUT")))</f>
        <v>IN</v>
      </c>
      <c r="H472" s="14" t="n">
        <f aca="false">H471+IF(F472="",0,F472)</f>
        <v>29.3641317123279</v>
      </c>
      <c r="I472" s="14" t="n">
        <f aca="false">MAX(I471,H472)</f>
        <v>29.3641317123279</v>
      </c>
      <c r="J472" s="14" t="n">
        <f aca="false">I472-H472</f>
        <v>0</v>
      </c>
    </row>
    <row r="473" customFormat="false" ht="15" hidden="false" customHeight="false" outlineLevel="0" collapsed="false">
      <c r="A473" s="12" t="n">
        <f aca="false">Data!A473</f>
        <v>42690</v>
      </c>
      <c r="B473" s="14" t="n">
        <f aca="false">Data!B473</f>
        <v>45.57</v>
      </c>
      <c r="C473" s="0" t="str">
        <f aca="false">IF(Data!D473="","HOLD",IF(AND(G472&lt;&gt;"IN",Data!E473&lt;-5),"BUY",IF(AND(G472="IN",Data!E473&gt;0),"SELL","HOLD")))</f>
        <v>HOLD</v>
      </c>
      <c r="D473" s="14" t="n">
        <f aca="false">IF(C473="BUY",B473,IF(G472="IN",D472,""))</f>
        <v>46.86</v>
      </c>
      <c r="E473" s="14" t="str">
        <f aca="false">IF(C473="SELL",B473,"")</f>
        <v/>
      </c>
      <c r="F473" s="14" t="str">
        <f aca="false">IF(E473="","",(E473-D473)/D473*100)</f>
        <v/>
      </c>
      <c r="G473" s="0" t="str">
        <f aca="false">IF(C473="BUY","IN",IF(C473="SELL","OUT",IF(G472="IN","IN","OUT")))</f>
        <v>IN</v>
      </c>
      <c r="H473" s="14" t="n">
        <f aca="false">H472+IF(F473="",0,F473)</f>
        <v>29.3641317123279</v>
      </c>
      <c r="I473" s="14" t="n">
        <f aca="false">MAX(I472,H473)</f>
        <v>29.3641317123279</v>
      </c>
      <c r="J473" s="14" t="n">
        <f aca="false">I473-H473</f>
        <v>0</v>
      </c>
    </row>
    <row r="474" customFormat="false" ht="15" hidden="false" customHeight="false" outlineLevel="0" collapsed="false">
      <c r="A474" s="12" t="n">
        <f aca="false">Data!A474</f>
        <v>42691</v>
      </c>
      <c r="B474" s="14" t="n">
        <f aca="false">Data!B474</f>
        <v>45.42</v>
      </c>
      <c r="C474" s="0" t="str">
        <f aca="false">IF(Data!D474="","HOLD",IF(AND(G473&lt;&gt;"IN",Data!E474&lt;-5),"BUY",IF(AND(G473="IN",Data!E474&gt;0),"SELL","HOLD")))</f>
        <v>HOLD</v>
      </c>
      <c r="D474" s="14" t="n">
        <f aca="false">IF(C474="BUY",B474,IF(G473="IN",D473,""))</f>
        <v>46.86</v>
      </c>
      <c r="E474" s="14" t="str">
        <f aca="false">IF(C474="SELL",B474,"")</f>
        <v/>
      </c>
      <c r="F474" s="14" t="str">
        <f aca="false">IF(E474="","",(E474-D474)/D474*100)</f>
        <v/>
      </c>
      <c r="G474" s="0" t="str">
        <f aca="false">IF(C474="BUY","IN",IF(C474="SELL","OUT",IF(G473="IN","IN","OUT")))</f>
        <v>IN</v>
      </c>
      <c r="H474" s="14" t="n">
        <f aca="false">H473+IF(F474="",0,F474)</f>
        <v>29.3641317123279</v>
      </c>
      <c r="I474" s="14" t="n">
        <f aca="false">MAX(I473,H474)</f>
        <v>29.3641317123279</v>
      </c>
      <c r="J474" s="14" t="n">
        <f aca="false">I474-H474</f>
        <v>0</v>
      </c>
    </row>
    <row r="475" customFormat="false" ht="15" hidden="false" customHeight="false" outlineLevel="0" collapsed="false">
      <c r="A475" s="12" t="n">
        <f aca="false">Data!A475</f>
        <v>42692</v>
      </c>
      <c r="B475" s="14" t="n">
        <f aca="false">Data!B475</f>
        <v>45.69</v>
      </c>
      <c r="C475" s="0" t="str">
        <f aca="false">IF(Data!D475="","HOLD",IF(AND(G474&lt;&gt;"IN",Data!E475&lt;-5),"BUY",IF(AND(G474="IN",Data!E475&gt;0),"SELL","HOLD")))</f>
        <v>HOLD</v>
      </c>
      <c r="D475" s="14" t="n">
        <f aca="false">IF(C475="BUY",B475,IF(G474="IN",D474,""))</f>
        <v>46.86</v>
      </c>
      <c r="E475" s="14" t="str">
        <f aca="false">IF(C475="SELL",B475,"")</f>
        <v/>
      </c>
      <c r="F475" s="14" t="str">
        <f aca="false">IF(E475="","",(E475-D475)/D475*100)</f>
        <v/>
      </c>
      <c r="G475" s="0" t="str">
        <f aca="false">IF(C475="BUY","IN",IF(C475="SELL","OUT",IF(G474="IN","IN","OUT")))</f>
        <v>IN</v>
      </c>
      <c r="H475" s="14" t="n">
        <f aca="false">H474+IF(F475="",0,F475)</f>
        <v>29.3641317123279</v>
      </c>
      <c r="I475" s="14" t="n">
        <f aca="false">MAX(I474,H475)</f>
        <v>29.3641317123279</v>
      </c>
      <c r="J475" s="14" t="n">
        <f aca="false">I475-H475</f>
        <v>0</v>
      </c>
    </row>
    <row r="476" customFormat="false" ht="15" hidden="false" customHeight="false" outlineLevel="0" collapsed="false">
      <c r="A476" s="12" t="n">
        <f aca="false">Data!A476</f>
        <v>42695</v>
      </c>
      <c r="B476" s="14" t="n">
        <f aca="false">Data!B476</f>
        <v>47.49</v>
      </c>
      <c r="C476" s="0" t="str">
        <f aca="false">IF(Data!D476="","HOLD",IF(AND(G475&lt;&gt;"IN",Data!E476&lt;-5),"BUY",IF(AND(G475="IN",Data!E476&gt;0),"SELL","HOLD")))</f>
        <v>SELL</v>
      </c>
      <c r="D476" s="14" t="n">
        <f aca="false">IF(C476="BUY",B476,IF(G475="IN",D475,""))</f>
        <v>46.86</v>
      </c>
      <c r="E476" s="14" t="n">
        <f aca="false">IF(C476="SELL",B476,"")</f>
        <v>47.49</v>
      </c>
      <c r="F476" s="14" t="n">
        <f aca="false">IF(E476="","",(E476-D476)/D476*100)</f>
        <v>1.34443021766966</v>
      </c>
      <c r="G476" s="0" t="str">
        <f aca="false">IF(C476="BUY","IN",IF(C476="SELL","OUT",IF(G475="IN","IN","OUT")))</f>
        <v>OUT</v>
      </c>
      <c r="H476" s="14" t="n">
        <f aca="false">H475+IF(F476="",0,F476)</f>
        <v>30.7085619299976</v>
      </c>
      <c r="I476" s="14" t="n">
        <f aca="false">MAX(I475,H476)</f>
        <v>30.7085619299976</v>
      </c>
      <c r="J476" s="14" t="n">
        <f aca="false">I476-H476</f>
        <v>0</v>
      </c>
    </row>
    <row r="477" customFormat="false" ht="15" hidden="false" customHeight="false" outlineLevel="0" collapsed="false">
      <c r="A477" s="12" t="n">
        <f aca="false">Data!A477</f>
        <v>42696</v>
      </c>
      <c r="B477" s="14" t="n">
        <f aca="false">Data!B477</f>
        <v>48.03</v>
      </c>
      <c r="C477" s="0" t="str">
        <f aca="false">IF(Data!D477="","HOLD",IF(AND(G476&lt;&gt;"IN",Data!E477&lt;-5),"BUY",IF(AND(G476="IN",Data!E477&gt;0),"SELL","HOLD")))</f>
        <v>HOLD</v>
      </c>
      <c r="D477" s="14" t="str">
        <f aca="false">IF(C477="BUY",B477,IF(G476="IN",D476,""))</f>
        <v/>
      </c>
      <c r="E477" s="14" t="str">
        <f aca="false">IF(C477="SELL",B477,"")</f>
        <v/>
      </c>
      <c r="F477" s="14" t="str">
        <f aca="false">IF(E477="","",(E477-D477)/D477*100)</f>
        <v/>
      </c>
      <c r="G477" s="0" t="str">
        <f aca="false">IF(C477="BUY","IN",IF(C477="SELL","OUT",IF(G476="IN","IN","OUT")))</f>
        <v>OUT</v>
      </c>
      <c r="H477" s="14" t="n">
        <f aca="false">H476+IF(F477="",0,F477)</f>
        <v>30.7085619299976</v>
      </c>
      <c r="I477" s="14" t="n">
        <f aca="false">MAX(I476,H477)</f>
        <v>30.7085619299976</v>
      </c>
      <c r="J477" s="14" t="n">
        <f aca="false">I477-H477</f>
        <v>0</v>
      </c>
    </row>
    <row r="478" customFormat="false" ht="15" hidden="false" customHeight="false" outlineLevel="0" collapsed="false">
      <c r="A478" s="12" t="n">
        <f aca="false">Data!A478</f>
        <v>42697</v>
      </c>
      <c r="B478" s="14" t="n">
        <f aca="false">Data!B478</f>
        <v>47.96</v>
      </c>
      <c r="C478" s="0" t="str">
        <f aca="false">IF(Data!D478="","HOLD",IF(AND(G477&lt;&gt;"IN",Data!E478&lt;-5),"BUY",IF(AND(G477="IN",Data!E478&gt;0),"SELL","HOLD")))</f>
        <v>HOLD</v>
      </c>
      <c r="D478" s="14" t="str">
        <f aca="false">IF(C478="BUY",B478,IF(G477="IN",D477,""))</f>
        <v/>
      </c>
      <c r="E478" s="14" t="str">
        <f aca="false">IF(C478="SELL",B478,"")</f>
        <v/>
      </c>
      <c r="F478" s="14" t="str">
        <f aca="false">IF(E478="","",(E478-D478)/D478*100)</f>
        <v/>
      </c>
      <c r="G478" s="0" t="str">
        <f aca="false">IF(C478="BUY","IN",IF(C478="SELL","OUT",IF(G477="IN","IN","OUT")))</f>
        <v>OUT</v>
      </c>
      <c r="H478" s="14" t="n">
        <f aca="false">H477+IF(F478="",0,F478)</f>
        <v>30.7085619299976</v>
      </c>
      <c r="I478" s="14" t="n">
        <f aca="false">MAX(I477,H478)</f>
        <v>30.7085619299976</v>
      </c>
      <c r="J478" s="14" t="n">
        <f aca="false">I478-H478</f>
        <v>0</v>
      </c>
    </row>
    <row r="479" customFormat="false" ht="15" hidden="false" customHeight="false" outlineLevel="0" collapsed="false">
      <c r="A479" s="12" t="n">
        <f aca="false">Data!A479</f>
        <v>42699</v>
      </c>
      <c r="B479" s="14" t="n">
        <f aca="false">Data!B479</f>
        <v>46.06</v>
      </c>
      <c r="C479" s="0" t="str">
        <f aca="false">IF(Data!D479="","HOLD",IF(AND(G478&lt;&gt;"IN",Data!E479&lt;-5),"BUY",IF(AND(G478="IN",Data!E479&gt;0),"SELL","HOLD")))</f>
        <v>HOLD</v>
      </c>
      <c r="D479" s="14" t="str">
        <f aca="false">IF(C479="BUY",B479,IF(G478="IN",D478,""))</f>
        <v/>
      </c>
      <c r="E479" s="14" t="str">
        <f aca="false">IF(C479="SELL",B479,"")</f>
        <v/>
      </c>
      <c r="F479" s="14" t="str">
        <f aca="false">IF(E479="","",(E479-D479)/D479*100)</f>
        <v/>
      </c>
      <c r="G479" s="0" t="str">
        <f aca="false">IF(C479="BUY","IN",IF(C479="SELL","OUT",IF(G478="IN","IN","OUT")))</f>
        <v>OUT</v>
      </c>
      <c r="H479" s="14" t="n">
        <f aca="false">H478+IF(F479="",0,F479)</f>
        <v>30.7085619299976</v>
      </c>
      <c r="I479" s="14" t="n">
        <f aca="false">MAX(I478,H479)</f>
        <v>30.7085619299976</v>
      </c>
      <c r="J479" s="14" t="n">
        <f aca="false">I479-H479</f>
        <v>0</v>
      </c>
    </row>
    <row r="480" customFormat="false" ht="15" hidden="false" customHeight="false" outlineLevel="0" collapsed="false">
      <c r="A480" s="12" t="n">
        <f aca="false">Data!A480</f>
        <v>42702</v>
      </c>
      <c r="B480" s="14" t="n">
        <f aca="false">Data!B480</f>
        <v>47.08</v>
      </c>
      <c r="C480" s="0" t="str">
        <f aca="false">IF(Data!D480="","HOLD",IF(AND(G479&lt;&gt;"IN",Data!E480&lt;-5),"BUY",IF(AND(G479="IN",Data!E480&gt;0),"SELL","HOLD")))</f>
        <v>HOLD</v>
      </c>
      <c r="D480" s="14" t="str">
        <f aca="false">IF(C480="BUY",B480,IF(G479="IN",D479,""))</f>
        <v/>
      </c>
      <c r="E480" s="14" t="str">
        <f aca="false">IF(C480="SELL",B480,"")</f>
        <v/>
      </c>
      <c r="F480" s="14" t="str">
        <f aca="false">IF(E480="","",(E480-D480)/D480*100)</f>
        <v/>
      </c>
      <c r="G480" s="0" t="str">
        <f aca="false">IF(C480="BUY","IN",IF(C480="SELL","OUT",IF(G479="IN","IN","OUT")))</f>
        <v>OUT</v>
      </c>
      <c r="H480" s="14" t="n">
        <f aca="false">H479+IF(F480="",0,F480)</f>
        <v>30.7085619299976</v>
      </c>
      <c r="I480" s="14" t="n">
        <f aca="false">MAX(I479,H480)</f>
        <v>30.7085619299976</v>
      </c>
      <c r="J480" s="14" t="n">
        <f aca="false">I480-H480</f>
        <v>0</v>
      </c>
    </row>
    <row r="481" customFormat="false" ht="15" hidden="false" customHeight="false" outlineLevel="0" collapsed="false">
      <c r="A481" s="12" t="n">
        <f aca="false">Data!A481</f>
        <v>42703</v>
      </c>
      <c r="B481" s="14" t="n">
        <f aca="false">Data!B481</f>
        <v>45.23</v>
      </c>
      <c r="C481" s="0" t="str">
        <f aca="false">IF(Data!D481="","HOLD",IF(AND(G480&lt;&gt;"IN",Data!E481&lt;-5),"BUY",IF(AND(G480="IN",Data!E481&gt;0),"SELL","HOLD")))</f>
        <v>HOLD</v>
      </c>
      <c r="D481" s="14" t="str">
        <f aca="false">IF(C481="BUY",B481,IF(G480="IN",D480,""))</f>
        <v/>
      </c>
      <c r="E481" s="14" t="str">
        <f aca="false">IF(C481="SELL",B481,"")</f>
        <v/>
      </c>
      <c r="F481" s="14" t="str">
        <f aca="false">IF(E481="","",(E481-D481)/D481*100)</f>
        <v/>
      </c>
      <c r="G481" s="0" t="str">
        <f aca="false">IF(C481="BUY","IN",IF(C481="SELL","OUT",IF(G480="IN","IN","OUT")))</f>
        <v>OUT</v>
      </c>
      <c r="H481" s="14" t="n">
        <f aca="false">H480+IF(F481="",0,F481)</f>
        <v>30.7085619299976</v>
      </c>
      <c r="I481" s="14" t="n">
        <f aca="false">MAX(I480,H481)</f>
        <v>30.7085619299976</v>
      </c>
      <c r="J481" s="14" t="n">
        <f aca="false">I481-H481</f>
        <v>0</v>
      </c>
    </row>
    <row r="482" customFormat="false" ht="15" hidden="false" customHeight="false" outlineLevel="0" collapsed="false">
      <c r="A482" s="12" t="n">
        <f aca="false">Data!A482</f>
        <v>42704</v>
      </c>
      <c r="B482" s="14" t="n">
        <f aca="false">Data!B482</f>
        <v>49.44</v>
      </c>
      <c r="C482" s="0" t="str">
        <f aca="false">IF(Data!D482="","HOLD",IF(AND(G481&lt;&gt;"IN",Data!E482&lt;-5),"BUY",IF(AND(G481="IN",Data!E482&gt;0),"SELL","HOLD")))</f>
        <v>HOLD</v>
      </c>
      <c r="D482" s="14" t="str">
        <f aca="false">IF(C482="BUY",B482,IF(G481="IN",D481,""))</f>
        <v/>
      </c>
      <c r="E482" s="14" t="str">
        <f aca="false">IF(C482="SELL",B482,"")</f>
        <v/>
      </c>
      <c r="F482" s="14" t="str">
        <f aca="false">IF(E482="","",(E482-D482)/D482*100)</f>
        <v/>
      </c>
      <c r="G482" s="0" t="str">
        <f aca="false">IF(C482="BUY","IN",IF(C482="SELL","OUT",IF(G481="IN","IN","OUT")))</f>
        <v>OUT</v>
      </c>
      <c r="H482" s="14" t="n">
        <f aca="false">H481+IF(F482="",0,F482)</f>
        <v>30.7085619299976</v>
      </c>
      <c r="I482" s="14" t="n">
        <f aca="false">MAX(I481,H482)</f>
        <v>30.7085619299976</v>
      </c>
      <c r="J482" s="14" t="n">
        <f aca="false">I482-H482</f>
        <v>0</v>
      </c>
    </row>
    <row r="483" customFormat="false" ht="15" hidden="false" customHeight="false" outlineLevel="0" collapsed="false">
      <c r="A483" s="12" t="n">
        <f aca="false">Data!A483</f>
        <v>42705</v>
      </c>
      <c r="B483" s="14" t="n">
        <f aca="false">Data!B483</f>
        <v>51.06</v>
      </c>
      <c r="C483" s="0" t="str">
        <f aca="false">IF(Data!D483="","HOLD",IF(AND(G482&lt;&gt;"IN",Data!E483&lt;-5),"BUY",IF(AND(G482="IN",Data!E483&gt;0),"SELL","HOLD")))</f>
        <v>HOLD</v>
      </c>
      <c r="D483" s="14" t="str">
        <f aca="false">IF(C483="BUY",B483,IF(G482="IN",D482,""))</f>
        <v/>
      </c>
      <c r="E483" s="14" t="str">
        <f aca="false">IF(C483="SELL",B483,"")</f>
        <v/>
      </c>
      <c r="F483" s="14" t="str">
        <f aca="false">IF(E483="","",(E483-D483)/D483*100)</f>
        <v/>
      </c>
      <c r="G483" s="0" t="str">
        <f aca="false">IF(C483="BUY","IN",IF(C483="SELL","OUT",IF(G482="IN","IN","OUT")))</f>
        <v>OUT</v>
      </c>
      <c r="H483" s="14" t="n">
        <f aca="false">H482+IF(F483="",0,F483)</f>
        <v>30.7085619299976</v>
      </c>
      <c r="I483" s="14" t="n">
        <f aca="false">MAX(I482,H483)</f>
        <v>30.7085619299976</v>
      </c>
      <c r="J483" s="14" t="n">
        <f aca="false">I483-H483</f>
        <v>0</v>
      </c>
    </row>
    <row r="484" customFormat="false" ht="15" hidden="false" customHeight="false" outlineLevel="0" collapsed="false">
      <c r="A484" s="12" t="n">
        <f aca="false">Data!A484</f>
        <v>42706</v>
      </c>
      <c r="B484" s="14" t="n">
        <f aca="false">Data!B484</f>
        <v>51.68</v>
      </c>
      <c r="C484" s="0" t="str">
        <f aca="false">IF(Data!D484="","HOLD",IF(AND(G483&lt;&gt;"IN",Data!E484&lt;-5),"BUY",IF(AND(G483="IN",Data!E484&gt;0),"SELL","HOLD")))</f>
        <v>HOLD</v>
      </c>
      <c r="D484" s="14" t="str">
        <f aca="false">IF(C484="BUY",B484,IF(G483="IN",D483,""))</f>
        <v/>
      </c>
      <c r="E484" s="14" t="str">
        <f aca="false">IF(C484="SELL",B484,"")</f>
        <v/>
      </c>
      <c r="F484" s="14" t="str">
        <f aca="false">IF(E484="","",(E484-D484)/D484*100)</f>
        <v/>
      </c>
      <c r="G484" s="0" t="str">
        <f aca="false">IF(C484="BUY","IN",IF(C484="SELL","OUT",IF(G483="IN","IN","OUT")))</f>
        <v>OUT</v>
      </c>
      <c r="H484" s="14" t="n">
        <f aca="false">H483+IF(F484="",0,F484)</f>
        <v>30.7085619299976</v>
      </c>
      <c r="I484" s="14" t="n">
        <f aca="false">MAX(I483,H484)</f>
        <v>30.7085619299976</v>
      </c>
      <c r="J484" s="14" t="n">
        <f aca="false">I484-H484</f>
        <v>0</v>
      </c>
    </row>
    <row r="485" customFormat="false" ht="15" hidden="false" customHeight="false" outlineLevel="0" collapsed="false">
      <c r="A485" s="12" t="n">
        <f aca="false">Data!A485</f>
        <v>42709</v>
      </c>
      <c r="B485" s="14" t="n">
        <f aca="false">Data!B485</f>
        <v>51.79</v>
      </c>
      <c r="C485" s="0" t="str">
        <f aca="false">IF(Data!D485="","HOLD",IF(AND(G484&lt;&gt;"IN",Data!E485&lt;-5),"BUY",IF(AND(G484="IN",Data!E485&gt;0),"SELL","HOLD")))</f>
        <v>HOLD</v>
      </c>
      <c r="D485" s="14" t="str">
        <f aca="false">IF(C485="BUY",B485,IF(G484="IN",D484,""))</f>
        <v/>
      </c>
      <c r="E485" s="14" t="str">
        <f aca="false">IF(C485="SELL",B485,"")</f>
        <v/>
      </c>
      <c r="F485" s="14" t="str">
        <f aca="false">IF(E485="","",(E485-D485)/D485*100)</f>
        <v/>
      </c>
      <c r="G485" s="0" t="str">
        <f aca="false">IF(C485="BUY","IN",IF(C485="SELL","OUT",IF(G484="IN","IN","OUT")))</f>
        <v>OUT</v>
      </c>
      <c r="H485" s="14" t="n">
        <f aca="false">H484+IF(F485="",0,F485)</f>
        <v>30.7085619299976</v>
      </c>
      <c r="I485" s="14" t="n">
        <f aca="false">MAX(I484,H485)</f>
        <v>30.7085619299976</v>
      </c>
      <c r="J485" s="14" t="n">
        <f aca="false">I485-H485</f>
        <v>0</v>
      </c>
    </row>
    <row r="486" customFormat="false" ht="15" hidden="false" customHeight="false" outlineLevel="0" collapsed="false">
      <c r="A486" s="12" t="n">
        <f aca="false">Data!A486</f>
        <v>42710</v>
      </c>
      <c r="B486" s="14" t="n">
        <f aca="false">Data!B486</f>
        <v>50.93</v>
      </c>
      <c r="C486" s="0" t="str">
        <f aca="false">IF(Data!D486="","HOLD",IF(AND(G485&lt;&gt;"IN",Data!E486&lt;-5),"BUY",IF(AND(G485="IN",Data!E486&gt;0),"SELL","HOLD")))</f>
        <v>HOLD</v>
      </c>
      <c r="D486" s="14" t="str">
        <f aca="false">IF(C486="BUY",B486,IF(G485="IN",D485,""))</f>
        <v/>
      </c>
      <c r="E486" s="14" t="str">
        <f aca="false">IF(C486="SELL",B486,"")</f>
        <v/>
      </c>
      <c r="F486" s="14" t="str">
        <f aca="false">IF(E486="","",(E486-D486)/D486*100)</f>
        <v/>
      </c>
      <c r="G486" s="0" t="str">
        <f aca="false">IF(C486="BUY","IN",IF(C486="SELL","OUT",IF(G485="IN","IN","OUT")))</f>
        <v>OUT</v>
      </c>
      <c r="H486" s="14" t="n">
        <f aca="false">H485+IF(F486="",0,F486)</f>
        <v>30.7085619299976</v>
      </c>
      <c r="I486" s="14" t="n">
        <f aca="false">MAX(I485,H486)</f>
        <v>30.7085619299976</v>
      </c>
      <c r="J486" s="14" t="n">
        <f aca="false">I486-H486</f>
        <v>0</v>
      </c>
    </row>
    <row r="487" customFormat="false" ht="15" hidden="false" customHeight="false" outlineLevel="0" collapsed="false">
      <c r="A487" s="12" t="n">
        <f aca="false">Data!A487</f>
        <v>42711</v>
      </c>
      <c r="B487" s="14" t="n">
        <f aca="false">Data!B487</f>
        <v>49.77</v>
      </c>
      <c r="C487" s="0" t="str">
        <f aca="false">IF(Data!D487="","HOLD",IF(AND(G486&lt;&gt;"IN",Data!E487&lt;-5),"BUY",IF(AND(G486="IN",Data!E487&gt;0),"SELL","HOLD")))</f>
        <v>HOLD</v>
      </c>
      <c r="D487" s="14" t="str">
        <f aca="false">IF(C487="BUY",B487,IF(G486="IN",D486,""))</f>
        <v/>
      </c>
      <c r="E487" s="14" t="str">
        <f aca="false">IF(C487="SELL",B487,"")</f>
        <v/>
      </c>
      <c r="F487" s="14" t="str">
        <f aca="false">IF(E487="","",(E487-D487)/D487*100)</f>
        <v/>
      </c>
      <c r="G487" s="0" t="str">
        <f aca="false">IF(C487="BUY","IN",IF(C487="SELL","OUT",IF(G486="IN","IN","OUT")))</f>
        <v>OUT</v>
      </c>
      <c r="H487" s="14" t="n">
        <f aca="false">H486+IF(F487="",0,F487)</f>
        <v>30.7085619299976</v>
      </c>
      <c r="I487" s="14" t="n">
        <f aca="false">MAX(I486,H487)</f>
        <v>30.7085619299976</v>
      </c>
      <c r="J487" s="14" t="n">
        <f aca="false">I487-H487</f>
        <v>0</v>
      </c>
    </row>
    <row r="488" customFormat="false" ht="15" hidden="false" customHeight="false" outlineLevel="0" collapsed="false">
      <c r="A488" s="12" t="n">
        <f aca="false">Data!A488</f>
        <v>42712</v>
      </c>
      <c r="B488" s="14" t="n">
        <f aca="false">Data!B488</f>
        <v>50.84</v>
      </c>
      <c r="C488" s="0" t="str">
        <f aca="false">IF(Data!D488="","HOLD",IF(AND(G487&lt;&gt;"IN",Data!E488&lt;-5),"BUY",IF(AND(G487="IN",Data!E488&gt;0),"SELL","HOLD")))</f>
        <v>HOLD</v>
      </c>
      <c r="D488" s="14" t="str">
        <f aca="false">IF(C488="BUY",B488,IF(G487="IN",D487,""))</f>
        <v/>
      </c>
      <c r="E488" s="14" t="str">
        <f aca="false">IF(C488="SELL",B488,"")</f>
        <v/>
      </c>
      <c r="F488" s="14" t="str">
        <f aca="false">IF(E488="","",(E488-D488)/D488*100)</f>
        <v/>
      </c>
      <c r="G488" s="0" t="str">
        <f aca="false">IF(C488="BUY","IN",IF(C488="SELL","OUT",IF(G487="IN","IN","OUT")))</f>
        <v>OUT</v>
      </c>
      <c r="H488" s="14" t="n">
        <f aca="false">H487+IF(F488="",0,F488)</f>
        <v>30.7085619299976</v>
      </c>
      <c r="I488" s="14" t="n">
        <f aca="false">MAX(I487,H488)</f>
        <v>30.7085619299976</v>
      </c>
      <c r="J488" s="14" t="n">
        <f aca="false">I488-H488</f>
        <v>0</v>
      </c>
    </row>
    <row r="489" customFormat="false" ht="15" hidden="false" customHeight="false" outlineLevel="0" collapsed="false">
      <c r="A489" s="12" t="n">
        <f aca="false">Data!A489</f>
        <v>42713</v>
      </c>
      <c r="B489" s="14" t="n">
        <f aca="false">Data!B489</f>
        <v>51.5</v>
      </c>
      <c r="C489" s="0" t="str">
        <f aca="false">IF(Data!D489="","HOLD",IF(AND(G488&lt;&gt;"IN",Data!E489&lt;-5),"BUY",IF(AND(G488="IN",Data!E489&gt;0),"SELL","HOLD")))</f>
        <v>HOLD</v>
      </c>
      <c r="D489" s="14" t="str">
        <f aca="false">IF(C489="BUY",B489,IF(G488="IN",D488,""))</f>
        <v/>
      </c>
      <c r="E489" s="14" t="str">
        <f aca="false">IF(C489="SELL",B489,"")</f>
        <v/>
      </c>
      <c r="F489" s="14" t="str">
        <f aca="false">IF(E489="","",(E489-D489)/D489*100)</f>
        <v/>
      </c>
      <c r="G489" s="0" t="str">
        <f aca="false">IF(C489="BUY","IN",IF(C489="SELL","OUT",IF(G488="IN","IN","OUT")))</f>
        <v>OUT</v>
      </c>
      <c r="H489" s="14" t="n">
        <f aca="false">H488+IF(F489="",0,F489)</f>
        <v>30.7085619299976</v>
      </c>
      <c r="I489" s="14" t="n">
        <f aca="false">MAX(I488,H489)</f>
        <v>30.7085619299976</v>
      </c>
      <c r="J489" s="14" t="n">
        <f aca="false">I489-H489</f>
        <v>0</v>
      </c>
    </row>
    <row r="490" customFormat="false" ht="15" hidden="false" customHeight="false" outlineLevel="0" collapsed="false">
      <c r="A490" s="12" t="n">
        <f aca="false">Data!A490</f>
        <v>42716</v>
      </c>
      <c r="B490" s="14" t="n">
        <f aca="false">Data!B490</f>
        <v>52.83</v>
      </c>
      <c r="C490" s="0" t="str">
        <f aca="false">IF(Data!D490="","HOLD",IF(AND(G489&lt;&gt;"IN",Data!E490&lt;-5),"BUY",IF(AND(G489="IN",Data!E490&gt;0),"SELL","HOLD")))</f>
        <v>HOLD</v>
      </c>
      <c r="D490" s="14" t="str">
        <f aca="false">IF(C490="BUY",B490,IF(G489="IN",D489,""))</f>
        <v/>
      </c>
      <c r="E490" s="14" t="str">
        <f aca="false">IF(C490="SELL",B490,"")</f>
        <v/>
      </c>
      <c r="F490" s="14" t="str">
        <f aca="false">IF(E490="","",(E490-D490)/D490*100)</f>
        <v/>
      </c>
      <c r="G490" s="0" t="str">
        <f aca="false">IF(C490="BUY","IN",IF(C490="SELL","OUT",IF(G489="IN","IN","OUT")))</f>
        <v>OUT</v>
      </c>
      <c r="H490" s="14" t="n">
        <f aca="false">H489+IF(F490="",0,F490)</f>
        <v>30.7085619299976</v>
      </c>
      <c r="I490" s="14" t="n">
        <f aca="false">MAX(I489,H490)</f>
        <v>30.7085619299976</v>
      </c>
      <c r="J490" s="14" t="n">
        <f aca="false">I490-H490</f>
        <v>0</v>
      </c>
    </row>
    <row r="491" customFormat="false" ht="15" hidden="false" customHeight="false" outlineLevel="0" collapsed="false">
      <c r="A491" s="12" t="n">
        <f aca="false">Data!A491</f>
        <v>42717</v>
      </c>
      <c r="B491" s="14" t="n">
        <f aca="false">Data!B491</f>
        <v>52.98</v>
      </c>
      <c r="C491" s="0" t="str">
        <f aca="false">IF(Data!D491="","HOLD",IF(AND(G490&lt;&gt;"IN",Data!E491&lt;-5),"BUY",IF(AND(G490="IN",Data!E491&gt;0),"SELL","HOLD")))</f>
        <v>HOLD</v>
      </c>
      <c r="D491" s="14" t="str">
        <f aca="false">IF(C491="BUY",B491,IF(G490="IN",D490,""))</f>
        <v/>
      </c>
      <c r="E491" s="14" t="str">
        <f aca="false">IF(C491="SELL",B491,"")</f>
        <v/>
      </c>
      <c r="F491" s="14" t="str">
        <f aca="false">IF(E491="","",(E491-D491)/D491*100)</f>
        <v/>
      </c>
      <c r="G491" s="0" t="str">
        <f aca="false">IF(C491="BUY","IN",IF(C491="SELL","OUT",IF(G490="IN","IN","OUT")))</f>
        <v>OUT</v>
      </c>
      <c r="H491" s="14" t="n">
        <f aca="false">H490+IF(F491="",0,F491)</f>
        <v>30.7085619299976</v>
      </c>
      <c r="I491" s="14" t="n">
        <f aca="false">MAX(I490,H491)</f>
        <v>30.7085619299976</v>
      </c>
      <c r="J491" s="14" t="n">
        <f aca="false">I491-H491</f>
        <v>0</v>
      </c>
    </row>
    <row r="492" customFormat="false" ht="15" hidden="false" customHeight="false" outlineLevel="0" collapsed="false">
      <c r="A492" s="12" t="n">
        <f aca="false">Data!A492</f>
        <v>42718</v>
      </c>
      <c r="B492" s="14" t="n">
        <f aca="false">Data!B492</f>
        <v>51.04</v>
      </c>
      <c r="C492" s="0" t="str">
        <f aca="false">IF(Data!D492="","HOLD",IF(AND(G491&lt;&gt;"IN",Data!E492&lt;-5),"BUY",IF(AND(G491="IN",Data!E492&gt;0),"SELL","HOLD")))</f>
        <v>HOLD</v>
      </c>
      <c r="D492" s="14" t="str">
        <f aca="false">IF(C492="BUY",B492,IF(G491="IN",D491,""))</f>
        <v/>
      </c>
      <c r="E492" s="14" t="str">
        <f aca="false">IF(C492="SELL",B492,"")</f>
        <v/>
      </c>
      <c r="F492" s="14" t="str">
        <f aca="false">IF(E492="","",(E492-D492)/D492*100)</f>
        <v/>
      </c>
      <c r="G492" s="0" t="str">
        <f aca="false">IF(C492="BUY","IN",IF(C492="SELL","OUT",IF(G491="IN","IN","OUT")))</f>
        <v>OUT</v>
      </c>
      <c r="H492" s="14" t="n">
        <f aca="false">H491+IF(F492="",0,F492)</f>
        <v>30.7085619299976</v>
      </c>
      <c r="I492" s="14" t="n">
        <f aca="false">MAX(I491,H492)</f>
        <v>30.7085619299976</v>
      </c>
      <c r="J492" s="14" t="n">
        <f aca="false">I492-H492</f>
        <v>0</v>
      </c>
    </row>
    <row r="493" customFormat="false" ht="15" hidden="false" customHeight="false" outlineLevel="0" collapsed="false">
      <c r="A493" s="12" t="n">
        <f aca="false">Data!A493</f>
        <v>42719</v>
      </c>
      <c r="B493" s="14" t="n">
        <f aca="false">Data!B493</f>
        <v>50.9</v>
      </c>
      <c r="C493" s="0" t="str">
        <f aca="false">IF(Data!D493="","HOLD",IF(AND(G492&lt;&gt;"IN",Data!E493&lt;-5),"BUY",IF(AND(G492="IN",Data!E493&gt;0),"SELL","HOLD")))</f>
        <v>HOLD</v>
      </c>
      <c r="D493" s="14" t="str">
        <f aca="false">IF(C493="BUY",B493,IF(G492="IN",D492,""))</f>
        <v/>
      </c>
      <c r="E493" s="14" t="str">
        <f aca="false">IF(C493="SELL",B493,"")</f>
        <v/>
      </c>
      <c r="F493" s="14" t="str">
        <f aca="false">IF(E493="","",(E493-D493)/D493*100)</f>
        <v/>
      </c>
      <c r="G493" s="0" t="str">
        <f aca="false">IF(C493="BUY","IN",IF(C493="SELL","OUT",IF(G492="IN","IN","OUT")))</f>
        <v>OUT</v>
      </c>
      <c r="H493" s="14" t="n">
        <f aca="false">H492+IF(F493="",0,F493)</f>
        <v>30.7085619299976</v>
      </c>
      <c r="I493" s="14" t="n">
        <f aca="false">MAX(I492,H493)</f>
        <v>30.7085619299976</v>
      </c>
      <c r="J493" s="14" t="n">
        <f aca="false">I493-H493</f>
        <v>0</v>
      </c>
    </row>
    <row r="494" customFormat="false" ht="15" hidden="false" customHeight="false" outlineLevel="0" collapsed="false">
      <c r="A494" s="12" t="n">
        <f aca="false">Data!A494</f>
        <v>42720</v>
      </c>
      <c r="B494" s="14" t="n">
        <f aca="false">Data!B494</f>
        <v>51.9</v>
      </c>
      <c r="C494" s="0" t="str">
        <f aca="false">IF(Data!D494="","HOLD",IF(AND(G493&lt;&gt;"IN",Data!E494&lt;-5),"BUY",IF(AND(G493="IN",Data!E494&gt;0),"SELL","HOLD")))</f>
        <v>HOLD</v>
      </c>
      <c r="D494" s="14" t="str">
        <f aca="false">IF(C494="BUY",B494,IF(G493="IN",D493,""))</f>
        <v/>
      </c>
      <c r="E494" s="14" t="str">
        <f aca="false">IF(C494="SELL",B494,"")</f>
        <v/>
      </c>
      <c r="F494" s="14" t="str">
        <f aca="false">IF(E494="","",(E494-D494)/D494*100)</f>
        <v/>
      </c>
      <c r="G494" s="0" t="str">
        <f aca="false">IF(C494="BUY","IN",IF(C494="SELL","OUT",IF(G493="IN","IN","OUT")))</f>
        <v>OUT</v>
      </c>
      <c r="H494" s="14" t="n">
        <f aca="false">H493+IF(F494="",0,F494)</f>
        <v>30.7085619299976</v>
      </c>
      <c r="I494" s="14" t="n">
        <f aca="false">MAX(I493,H494)</f>
        <v>30.7085619299976</v>
      </c>
      <c r="J494" s="14" t="n">
        <f aca="false">I494-H494</f>
        <v>0</v>
      </c>
    </row>
    <row r="495" customFormat="false" ht="15" hidden="false" customHeight="false" outlineLevel="0" collapsed="false">
      <c r="A495" s="12" t="n">
        <f aca="false">Data!A495</f>
        <v>42723</v>
      </c>
      <c r="B495" s="14" t="n">
        <f aca="false">Data!B495</f>
        <v>52.12</v>
      </c>
      <c r="C495" s="0" t="str">
        <f aca="false">IF(Data!D495="","HOLD",IF(AND(G494&lt;&gt;"IN",Data!E495&lt;-5),"BUY",IF(AND(G494="IN",Data!E495&gt;0),"SELL","HOLD")))</f>
        <v>HOLD</v>
      </c>
      <c r="D495" s="14" t="str">
        <f aca="false">IF(C495="BUY",B495,IF(G494="IN",D494,""))</f>
        <v/>
      </c>
      <c r="E495" s="14" t="str">
        <f aca="false">IF(C495="SELL",B495,"")</f>
        <v/>
      </c>
      <c r="F495" s="14" t="str">
        <f aca="false">IF(E495="","",(E495-D495)/D495*100)</f>
        <v/>
      </c>
      <c r="G495" s="0" t="str">
        <f aca="false">IF(C495="BUY","IN",IF(C495="SELL","OUT",IF(G494="IN","IN","OUT")))</f>
        <v>OUT</v>
      </c>
      <c r="H495" s="14" t="n">
        <f aca="false">H494+IF(F495="",0,F495)</f>
        <v>30.7085619299976</v>
      </c>
      <c r="I495" s="14" t="n">
        <f aca="false">MAX(I494,H495)</f>
        <v>30.7085619299976</v>
      </c>
      <c r="J495" s="14" t="n">
        <f aca="false">I495-H495</f>
        <v>0</v>
      </c>
    </row>
    <row r="496" customFormat="false" ht="15" hidden="false" customHeight="false" outlineLevel="0" collapsed="false">
      <c r="A496" s="12" t="n">
        <f aca="false">Data!A496</f>
        <v>42724</v>
      </c>
      <c r="B496" s="14" t="n">
        <f aca="false">Data!B496</f>
        <v>52.23</v>
      </c>
      <c r="C496" s="0" t="str">
        <f aca="false">IF(Data!D496="","HOLD",IF(AND(G495&lt;&gt;"IN",Data!E496&lt;-5),"BUY",IF(AND(G495="IN",Data!E496&gt;0),"SELL","HOLD")))</f>
        <v>HOLD</v>
      </c>
      <c r="D496" s="14" t="str">
        <f aca="false">IF(C496="BUY",B496,IF(G495="IN",D495,""))</f>
        <v/>
      </c>
      <c r="E496" s="14" t="str">
        <f aca="false">IF(C496="SELL",B496,"")</f>
        <v/>
      </c>
      <c r="F496" s="14" t="str">
        <f aca="false">IF(E496="","",(E496-D496)/D496*100)</f>
        <v/>
      </c>
      <c r="G496" s="0" t="str">
        <f aca="false">IF(C496="BUY","IN",IF(C496="SELL","OUT",IF(G495="IN","IN","OUT")))</f>
        <v>OUT</v>
      </c>
      <c r="H496" s="14" t="n">
        <f aca="false">H495+IF(F496="",0,F496)</f>
        <v>30.7085619299976</v>
      </c>
      <c r="I496" s="14" t="n">
        <f aca="false">MAX(I495,H496)</f>
        <v>30.7085619299976</v>
      </c>
      <c r="J496" s="14" t="n">
        <f aca="false">I496-H496</f>
        <v>0</v>
      </c>
    </row>
    <row r="497" customFormat="false" ht="15" hidden="false" customHeight="false" outlineLevel="0" collapsed="false">
      <c r="A497" s="12" t="n">
        <f aca="false">Data!A497</f>
        <v>42725</v>
      </c>
      <c r="B497" s="14" t="n">
        <f aca="false">Data!B497</f>
        <v>52.49</v>
      </c>
      <c r="C497" s="0" t="str">
        <f aca="false">IF(Data!D497="","HOLD",IF(AND(G496&lt;&gt;"IN",Data!E497&lt;-5),"BUY",IF(AND(G496="IN",Data!E497&gt;0),"SELL","HOLD")))</f>
        <v>HOLD</v>
      </c>
      <c r="D497" s="14" t="str">
        <f aca="false">IF(C497="BUY",B497,IF(G496="IN",D496,""))</f>
        <v/>
      </c>
      <c r="E497" s="14" t="str">
        <f aca="false">IF(C497="SELL",B497,"")</f>
        <v/>
      </c>
      <c r="F497" s="14" t="str">
        <f aca="false">IF(E497="","",(E497-D497)/D497*100)</f>
        <v/>
      </c>
      <c r="G497" s="0" t="str">
        <f aca="false">IF(C497="BUY","IN",IF(C497="SELL","OUT",IF(G496="IN","IN","OUT")))</f>
        <v>OUT</v>
      </c>
      <c r="H497" s="14" t="n">
        <f aca="false">H496+IF(F497="",0,F497)</f>
        <v>30.7085619299976</v>
      </c>
      <c r="I497" s="14" t="n">
        <f aca="false">MAX(I496,H497)</f>
        <v>30.7085619299976</v>
      </c>
      <c r="J497" s="14" t="n">
        <f aca="false">I497-H497</f>
        <v>0</v>
      </c>
    </row>
    <row r="498" customFormat="false" ht="15" hidden="false" customHeight="false" outlineLevel="0" collapsed="false">
      <c r="A498" s="12" t="n">
        <f aca="false">Data!A498</f>
        <v>42726</v>
      </c>
      <c r="B498" s="14" t="n">
        <f aca="false">Data!B498</f>
        <v>52.95</v>
      </c>
      <c r="C498" s="0" t="str">
        <f aca="false">IF(Data!D498="","HOLD",IF(AND(G497&lt;&gt;"IN",Data!E498&lt;-5),"BUY",IF(AND(G497="IN",Data!E498&gt;0),"SELL","HOLD")))</f>
        <v>HOLD</v>
      </c>
      <c r="D498" s="14" t="str">
        <f aca="false">IF(C498="BUY",B498,IF(G497="IN",D497,""))</f>
        <v/>
      </c>
      <c r="E498" s="14" t="str">
        <f aca="false">IF(C498="SELL",B498,"")</f>
        <v/>
      </c>
      <c r="F498" s="14" t="str">
        <f aca="false">IF(E498="","",(E498-D498)/D498*100)</f>
        <v/>
      </c>
      <c r="G498" s="0" t="str">
        <f aca="false">IF(C498="BUY","IN",IF(C498="SELL","OUT",IF(G497="IN","IN","OUT")))</f>
        <v>OUT</v>
      </c>
      <c r="H498" s="14" t="n">
        <f aca="false">H497+IF(F498="",0,F498)</f>
        <v>30.7085619299976</v>
      </c>
      <c r="I498" s="14" t="n">
        <f aca="false">MAX(I497,H498)</f>
        <v>30.7085619299976</v>
      </c>
      <c r="J498" s="14" t="n">
        <f aca="false">I498-H498</f>
        <v>0</v>
      </c>
    </row>
    <row r="499" customFormat="false" ht="15" hidden="false" customHeight="false" outlineLevel="0" collapsed="false">
      <c r="A499" s="12" t="n">
        <f aca="false">Data!A499</f>
        <v>42727</v>
      </c>
      <c r="B499" s="14" t="n">
        <f aca="false">Data!B499</f>
        <v>53.02</v>
      </c>
      <c r="C499" s="0" t="str">
        <f aca="false">IF(Data!D499="","HOLD",IF(AND(G498&lt;&gt;"IN",Data!E499&lt;-5),"BUY",IF(AND(G498="IN",Data!E499&gt;0),"SELL","HOLD")))</f>
        <v>HOLD</v>
      </c>
      <c r="D499" s="14" t="str">
        <f aca="false">IF(C499="BUY",B499,IF(G498="IN",D498,""))</f>
        <v/>
      </c>
      <c r="E499" s="14" t="str">
        <f aca="false">IF(C499="SELL",B499,"")</f>
        <v/>
      </c>
      <c r="F499" s="14" t="str">
        <f aca="false">IF(E499="","",(E499-D499)/D499*100)</f>
        <v/>
      </c>
      <c r="G499" s="0" t="str">
        <f aca="false">IF(C499="BUY","IN",IF(C499="SELL","OUT",IF(G498="IN","IN","OUT")))</f>
        <v>OUT</v>
      </c>
      <c r="H499" s="14" t="n">
        <f aca="false">H498+IF(F499="",0,F499)</f>
        <v>30.7085619299976</v>
      </c>
      <c r="I499" s="14" t="n">
        <f aca="false">MAX(I498,H499)</f>
        <v>30.7085619299976</v>
      </c>
      <c r="J499" s="14" t="n">
        <f aca="false">I499-H499</f>
        <v>0</v>
      </c>
    </row>
    <row r="500" customFormat="false" ht="15" hidden="false" customHeight="false" outlineLevel="0" collapsed="false">
      <c r="A500" s="12" t="n">
        <f aca="false">Data!A500</f>
        <v>42731</v>
      </c>
      <c r="B500" s="14" t="n">
        <f aca="false">Data!B500</f>
        <v>53.9</v>
      </c>
      <c r="C500" s="0" t="str">
        <f aca="false">IF(Data!D500="","HOLD",IF(AND(G499&lt;&gt;"IN",Data!E500&lt;-5),"BUY",IF(AND(G499="IN",Data!E500&gt;0),"SELL","HOLD")))</f>
        <v>HOLD</v>
      </c>
      <c r="D500" s="14" t="str">
        <f aca="false">IF(C500="BUY",B500,IF(G499="IN",D499,""))</f>
        <v/>
      </c>
      <c r="E500" s="14" t="str">
        <f aca="false">IF(C500="SELL",B500,"")</f>
        <v/>
      </c>
      <c r="F500" s="14" t="str">
        <f aca="false">IF(E500="","",(E500-D500)/D500*100)</f>
        <v/>
      </c>
      <c r="G500" s="0" t="str">
        <f aca="false">IF(C500="BUY","IN",IF(C500="SELL","OUT",IF(G499="IN","IN","OUT")))</f>
        <v>OUT</v>
      </c>
      <c r="H500" s="14" t="n">
        <f aca="false">H499+IF(F500="",0,F500)</f>
        <v>30.7085619299976</v>
      </c>
      <c r="I500" s="14" t="n">
        <f aca="false">MAX(I499,H500)</f>
        <v>30.7085619299976</v>
      </c>
      <c r="J500" s="14" t="n">
        <f aca="false">I500-H500</f>
        <v>0</v>
      </c>
    </row>
    <row r="501" customFormat="false" ht="15" hidden="false" customHeight="false" outlineLevel="0" collapsed="false">
      <c r="A501" s="12" t="n">
        <f aca="false">Data!A501</f>
        <v>42732</v>
      </c>
      <c r="B501" s="14" t="n">
        <f aca="false">Data!B501</f>
        <v>54.06</v>
      </c>
      <c r="C501" s="0" t="str">
        <f aca="false">IF(Data!D501="","HOLD",IF(AND(G500&lt;&gt;"IN",Data!E501&lt;-5),"BUY",IF(AND(G500="IN",Data!E501&gt;0),"SELL","HOLD")))</f>
        <v>HOLD</v>
      </c>
      <c r="D501" s="14" t="str">
        <f aca="false">IF(C501="BUY",B501,IF(G500="IN",D500,""))</f>
        <v/>
      </c>
      <c r="E501" s="14" t="str">
        <f aca="false">IF(C501="SELL",B501,"")</f>
        <v/>
      </c>
      <c r="F501" s="14" t="str">
        <f aca="false">IF(E501="","",(E501-D501)/D501*100)</f>
        <v/>
      </c>
      <c r="G501" s="0" t="str">
        <f aca="false">IF(C501="BUY","IN",IF(C501="SELL","OUT",IF(G500="IN","IN","OUT")))</f>
        <v>OUT</v>
      </c>
      <c r="H501" s="14" t="n">
        <f aca="false">H500+IF(F501="",0,F501)</f>
        <v>30.7085619299976</v>
      </c>
      <c r="I501" s="14" t="n">
        <f aca="false">MAX(I500,H501)</f>
        <v>30.7085619299976</v>
      </c>
      <c r="J501" s="14" t="n">
        <f aca="false">I501-H501</f>
        <v>0</v>
      </c>
    </row>
    <row r="502" customFormat="false" ht="15" hidden="false" customHeight="false" outlineLevel="0" collapsed="false">
      <c r="A502" s="12" t="n">
        <f aca="false">Data!A502</f>
        <v>42733</v>
      </c>
      <c r="B502" s="14" t="n">
        <f aca="false">Data!B502</f>
        <v>53.77</v>
      </c>
      <c r="C502" s="0" t="str">
        <f aca="false">IF(Data!D502="","HOLD",IF(AND(G501&lt;&gt;"IN",Data!E502&lt;-5),"BUY",IF(AND(G501="IN",Data!E502&gt;0),"SELL","HOLD")))</f>
        <v>HOLD</v>
      </c>
      <c r="D502" s="14" t="str">
        <f aca="false">IF(C502="BUY",B502,IF(G501="IN",D501,""))</f>
        <v/>
      </c>
      <c r="E502" s="14" t="str">
        <f aca="false">IF(C502="SELL",B502,"")</f>
        <v/>
      </c>
      <c r="F502" s="14" t="str">
        <f aca="false">IF(E502="","",(E502-D502)/D502*100)</f>
        <v/>
      </c>
      <c r="G502" s="0" t="str">
        <f aca="false">IF(C502="BUY","IN",IF(C502="SELL","OUT",IF(G501="IN","IN","OUT")))</f>
        <v>OUT</v>
      </c>
      <c r="H502" s="14" t="n">
        <f aca="false">H501+IF(F502="",0,F502)</f>
        <v>30.7085619299976</v>
      </c>
      <c r="I502" s="14" t="n">
        <f aca="false">MAX(I501,H502)</f>
        <v>30.7085619299976</v>
      </c>
      <c r="J502" s="14" t="n">
        <f aca="false">I502-H502</f>
        <v>0</v>
      </c>
    </row>
    <row r="503" customFormat="false" ht="15" hidden="false" customHeight="false" outlineLevel="0" collapsed="false">
      <c r="A503" s="12" t="n">
        <f aca="false">Data!A503</f>
        <v>42734</v>
      </c>
      <c r="B503" s="14" t="n">
        <f aca="false">Data!B503</f>
        <v>53.72</v>
      </c>
      <c r="C503" s="0" t="str">
        <f aca="false">IF(Data!D503="","HOLD",IF(AND(G502&lt;&gt;"IN",Data!E503&lt;-5),"BUY",IF(AND(G502="IN",Data!E503&gt;0),"SELL","HOLD")))</f>
        <v>HOLD</v>
      </c>
      <c r="D503" s="14" t="str">
        <f aca="false">IF(C503="BUY",B503,IF(G502="IN",D502,""))</f>
        <v/>
      </c>
      <c r="E503" s="14" t="str">
        <f aca="false">IF(C503="SELL",B503,"")</f>
        <v/>
      </c>
      <c r="F503" s="14" t="str">
        <f aca="false">IF(E503="","",(E503-D503)/D503*100)</f>
        <v/>
      </c>
      <c r="G503" s="0" t="str">
        <f aca="false">IF(C503="BUY","IN",IF(C503="SELL","OUT",IF(G502="IN","IN","OUT")))</f>
        <v>OUT</v>
      </c>
      <c r="H503" s="14" t="n">
        <f aca="false">H502+IF(F503="",0,F503)</f>
        <v>30.7085619299976</v>
      </c>
      <c r="I503" s="14" t="n">
        <f aca="false">MAX(I502,H503)</f>
        <v>30.7085619299976</v>
      </c>
      <c r="J503" s="14" t="n">
        <f aca="false">I503-H503</f>
        <v>0</v>
      </c>
    </row>
    <row r="504" customFormat="false" ht="15" hidden="false" customHeight="false" outlineLevel="0" collapsed="false">
      <c r="A504" s="12" t="n">
        <f aca="false">Data!A504</f>
        <v>42738</v>
      </c>
      <c r="B504" s="14" t="n">
        <f aca="false">Data!B504</f>
        <v>52.33</v>
      </c>
      <c r="C504" s="0" t="str">
        <f aca="false">IF(Data!D504="","HOLD",IF(AND(G503&lt;&gt;"IN",Data!E504&lt;-5),"BUY",IF(AND(G503="IN",Data!E504&gt;0),"SELL","HOLD")))</f>
        <v>HOLD</v>
      </c>
      <c r="D504" s="14" t="str">
        <f aca="false">IF(C504="BUY",B504,IF(G503="IN",D503,""))</f>
        <v/>
      </c>
      <c r="E504" s="14" t="str">
        <f aca="false">IF(C504="SELL",B504,"")</f>
        <v/>
      </c>
      <c r="F504" s="14" t="str">
        <f aca="false">IF(E504="","",(E504-D504)/D504*100)</f>
        <v/>
      </c>
      <c r="G504" s="0" t="str">
        <f aca="false">IF(C504="BUY","IN",IF(C504="SELL","OUT",IF(G503="IN","IN","OUT")))</f>
        <v>OUT</v>
      </c>
      <c r="H504" s="14" t="n">
        <f aca="false">H503+IF(F504="",0,F504)</f>
        <v>30.7085619299976</v>
      </c>
      <c r="I504" s="14" t="n">
        <f aca="false">MAX(I503,H504)</f>
        <v>30.7085619299976</v>
      </c>
      <c r="J504" s="14" t="n">
        <f aca="false">I504-H504</f>
        <v>0</v>
      </c>
    </row>
    <row r="505" customFormat="false" ht="15" hidden="false" customHeight="false" outlineLevel="0" collapsed="false">
      <c r="A505" s="12" t="n">
        <f aca="false">Data!A505</f>
        <v>42739</v>
      </c>
      <c r="B505" s="14" t="n">
        <f aca="false">Data!B505</f>
        <v>53.26</v>
      </c>
      <c r="C505" s="0" t="str">
        <f aca="false">IF(Data!D505="","HOLD",IF(AND(G504&lt;&gt;"IN",Data!E505&lt;-5),"BUY",IF(AND(G504="IN",Data!E505&gt;0),"SELL","HOLD")))</f>
        <v>HOLD</v>
      </c>
      <c r="D505" s="14" t="str">
        <f aca="false">IF(C505="BUY",B505,IF(G504="IN",D504,""))</f>
        <v/>
      </c>
      <c r="E505" s="14" t="str">
        <f aca="false">IF(C505="SELL",B505,"")</f>
        <v/>
      </c>
      <c r="F505" s="14" t="str">
        <f aca="false">IF(E505="","",(E505-D505)/D505*100)</f>
        <v/>
      </c>
      <c r="G505" s="0" t="str">
        <f aca="false">IF(C505="BUY","IN",IF(C505="SELL","OUT",IF(G504="IN","IN","OUT")))</f>
        <v>OUT</v>
      </c>
      <c r="H505" s="14" t="n">
        <f aca="false">H504+IF(F505="",0,F505)</f>
        <v>30.7085619299976</v>
      </c>
      <c r="I505" s="14" t="n">
        <f aca="false">MAX(I504,H505)</f>
        <v>30.7085619299976</v>
      </c>
      <c r="J505" s="14" t="n">
        <f aca="false">I505-H505</f>
        <v>0</v>
      </c>
    </row>
    <row r="506" customFormat="false" ht="15" hidden="false" customHeight="false" outlineLevel="0" collapsed="false">
      <c r="A506" s="12" t="n">
        <f aca="false">Data!A506</f>
        <v>42740</v>
      </c>
      <c r="B506" s="14" t="n">
        <f aca="false">Data!B506</f>
        <v>53.76</v>
      </c>
      <c r="C506" s="0" t="str">
        <f aca="false">IF(Data!D506="","HOLD",IF(AND(G505&lt;&gt;"IN",Data!E506&lt;-5),"BUY",IF(AND(G505="IN",Data!E506&gt;0),"SELL","HOLD")))</f>
        <v>HOLD</v>
      </c>
      <c r="D506" s="14" t="str">
        <f aca="false">IF(C506="BUY",B506,IF(G505="IN",D505,""))</f>
        <v/>
      </c>
      <c r="E506" s="14" t="str">
        <f aca="false">IF(C506="SELL",B506,"")</f>
        <v/>
      </c>
      <c r="F506" s="14" t="str">
        <f aca="false">IF(E506="","",(E506-D506)/D506*100)</f>
        <v/>
      </c>
      <c r="G506" s="0" t="str">
        <f aca="false">IF(C506="BUY","IN",IF(C506="SELL","OUT",IF(G505="IN","IN","OUT")))</f>
        <v>OUT</v>
      </c>
      <c r="H506" s="14" t="n">
        <f aca="false">H505+IF(F506="",0,F506)</f>
        <v>30.7085619299976</v>
      </c>
      <c r="I506" s="14" t="n">
        <f aca="false">MAX(I505,H506)</f>
        <v>30.7085619299976</v>
      </c>
      <c r="J506" s="14" t="n">
        <f aca="false">I506-H506</f>
        <v>0</v>
      </c>
    </row>
    <row r="507" customFormat="false" ht="15" hidden="false" customHeight="false" outlineLevel="0" collapsed="false">
      <c r="A507" s="12" t="n">
        <f aca="false">Data!A507</f>
        <v>42741</v>
      </c>
      <c r="B507" s="14" t="n">
        <f aca="false">Data!B507</f>
        <v>53.99</v>
      </c>
      <c r="C507" s="0" t="str">
        <f aca="false">IF(Data!D507="","HOLD",IF(AND(G506&lt;&gt;"IN",Data!E507&lt;-5),"BUY",IF(AND(G506="IN",Data!E507&gt;0),"SELL","HOLD")))</f>
        <v>HOLD</v>
      </c>
      <c r="D507" s="14" t="str">
        <f aca="false">IF(C507="BUY",B507,IF(G506="IN",D506,""))</f>
        <v/>
      </c>
      <c r="E507" s="14" t="str">
        <f aca="false">IF(C507="SELL",B507,"")</f>
        <v/>
      </c>
      <c r="F507" s="14" t="str">
        <f aca="false">IF(E507="","",(E507-D507)/D507*100)</f>
        <v/>
      </c>
      <c r="G507" s="0" t="str">
        <f aca="false">IF(C507="BUY","IN",IF(C507="SELL","OUT",IF(G506="IN","IN","OUT")))</f>
        <v>OUT</v>
      </c>
      <c r="H507" s="14" t="n">
        <f aca="false">H506+IF(F507="",0,F507)</f>
        <v>30.7085619299976</v>
      </c>
      <c r="I507" s="14" t="n">
        <f aca="false">MAX(I506,H507)</f>
        <v>30.7085619299976</v>
      </c>
      <c r="J507" s="14" t="n">
        <f aca="false">I507-H507</f>
        <v>0</v>
      </c>
    </row>
    <row r="508" customFormat="false" ht="15" hidden="false" customHeight="false" outlineLevel="0" collapsed="false">
      <c r="A508" s="12" t="n">
        <f aca="false">Data!A508</f>
        <v>42744</v>
      </c>
      <c r="B508" s="14" t="n">
        <f aca="false">Data!B508</f>
        <v>51.96</v>
      </c>
      <c r="C508" s="0" t="str">
        <f aca="false">IF(Data!D508="","HOLD",IF(AND(G507&lt;&gt;"IN",Data!E508&lt;-5),"BUY",IF(AND(G507="IN",Data!E508&gt;0),"SELL","HOLD")))</f>
        <v>HOLD</v>
      </c>
      <c r="D508" s="14" t="str">
        <f aca="false">IF(C508="BUY",B508,IF(G507="IN",D507,""))</f>
        <v/>
      </c>
      <c r="E508" s="14" t="str">
        <f aca="false">IF(C508="SELL",B508,"")</f>
        <v/>
      </c>
      <c r="F508" s="14" t="str">
        <f aca="false">IF(E508="","",(E508-D508)/D508*100)</f>
        <v/>
      </c>
      <c r="G508" s="0" t="str">
        <f aca="false">IF(C508="BUY","IN",IF(C508="SELL","OUT",IF(G507="IN","IN","OUT")))</f>
        <v>OUT</v>
      </c>
      <c r="H508" s="14" t="n">
        <f aca="false">H507+IF(F508="",0,F508)</f>
        <v>30.7085619299976</v>
      </c>
      <c r="I508" s="14" t="n">
        <f aca="false">MAX(I507,H508)</f>
        <v>30.7085619299976</v>
      </c>
      <c r="J508" s="14" t="n">
        <f aca="false">I508-H508</f>
        <v>0</v>
      </c>
    </row>
    <row r="509" customFormat="false" ht="15" hidden="false" customHeight="false" outlineLevel="0" collapsed="false">
      <c r="A509" s="12" t="n">
        <f aca="false">Data!A509</f>
        <v>42745</v>
      </c>
      <c r="B509" s="14" t="n">
        <f aca="false">Data!B509</f>
        <v>50.82</v>
      </c>
      <c r="C509" s="0" t="str">
        <f aca="false">IF(Data!D509="","HOLD",IF(AND(G508&lt;&gt;"IN",Data!E509&lt;-5),"BUY",IF(AND(G508="IN",Data!E509&gt;0),"SELL","HOLD")))</f>
        <v>HOLD</v>
      </c>
      <c r="D509" s="14" t="str">
        <f aca="false">IF(C509="BUY",B509,IF(G508="IN",D508,""))</f>
        <v/>
      </c>
      <c r="E509" s="14" t="str">
        <f aca="false">IF(C509="SELL",B509,"")</f>
        <v/>
      </c>
      <c r="F509" s="14" t="str">
        <f aca="false">IF(E509="","",(E509-D509)/D509*100)</f>
        <v/>
      </c>
      <c r="G509" s="0" t="str">
        <f aca="false">IF(C509="BUY","IN",IF(C509="SELL","OUT",IF(G508="IN","IN","OUT")))</f>
        <v>OUT</v>
      </c>
      <c r="H509" s="14" t="n">
        <f aca="false">H508+IF(F509="",0,F509)</f>
        <v>30.7085619299976</v>
      </c>
      <c r="I509" s="14" t="n">
        <f aca="false">MAX(I508,H509)</f>
        <v>30.7085619299976</v>
      </c>
      <c r="J509" s="14" t="n">
        <f aca="false">I509-H509</f>
        <v>0</v>
      </c>
    </row>
    <row r="510" customFormat="false" ht="15" hidden="false" customHeight="false" outlineLevel="0" collapsed="false">
      <c r="A510" s="12" t="n">
        <f aca="false">Data!A510</f>
        <v>42746</v>
      </c>
      <c r="B510" s="14" t="n">
        <f aca="false">Data!B510</f>
        <v>52.25</v>
      </c>
      <c r="C510" s="0" t="str">
        <f aca="false">IF(Data!D510="","HOLD",IF(AND(G509&lt;&gt;"IN",Data!E510&lt;-5),"BUY",IF(AND(G509="IN",Data!E510&gt;0),"SELL","HOLD")))</f>
        <v>HOLD</v>
      </c>
      <c r="D510" s="14" t="str">
        <f aca="false">IF(C510="BUY",B510,IF(G509="IN",D509,""))</f>
        <v/>
      </c>
      <c r="E510" s="14" t="str">
        <f aca="false">IF(C510="SELL",B510,"")</f>
        <v/>
      </c>
      <c r="F510" s="14" t="str">
        <f aca="false">IF(E510="","",(E510-D510)/D510*100)</f>
        <v/>
      </c>
      <c r="G510" s="0" t="str">
        <f aca="false">IF(C510="BUY","IN",IF(C510="SELL","OUT",IF(G509="IN","IN","OUT")))</f>
        <v>OUT</v>
      </c>
      <c r="H510" s="14" t="n">
        <f aca="false">H509+IF(F510="",0,F510)</f>
        <v>30.7085619299976</v>
      </c>
      <c r="I510" s="14" t="n">
        <f aca="false">MAX(I509,H510)</f>
        <v>30.7085619299976</v>
      </c>
      <c r="J510" s="14" t="n">
        <f aca="false">I510-H510</f>
        <v>0</v>
      </c>
    </row>
    <row r="511" customFormat="false" ht="15" hidden="false" customHeight="false" outlineLevel="0" collapsed="false">
      <c r="A511" s="12" t="n">
        <f aca="false">Data!A511</f>
        <v>42747</v>
      </c>
      <c r="B511" s="14" t="n">
        <f aca="false">Data!B511</f>
        <v>53.01</v>
      </c>
      <c r="C511" s="0" t="str">
        <f aca="false">IF(Data!D511="","HOLD",IF(AND(G510&lt;&gt;"IN",Data!E511&lt;-5),"BUY",IF(AND(G510="IN",Data!E511&gt;0),"SELL","HOLD")))</f>
        <v>HOLD</v>
      </c>
      <c r="D511" s="14" t="str">
        <f aca="false">IF(C511="BUY",B511,IF(G510="IN",D510,""))</f>
        <v/>
      </c>
      <c r="E511" s="14" t="str">
        <f aca="false">IF(C511="SELL",B511,"")</f>
        <v/>
      </c>
      <c r="F511" s="14" t="str">
        <f aca="false">IF(E511="","",(E511-D511)/D511*100)</f>
        <v/>
      </c>
      <c r="G511" s="0" t="str">
        <f aca="false">IF(C511="BUY","IN",IF(C511="SELL","OUT",IF(G510="IN","IN","OUT")))</f>
        <v>OUT</v>
      </c>
      <c r="H511" s="14" t="n">
        <f aca="false">H510+IF(F511="",0,F511)</f>
        <v>30.7085619299976</v>
      </c>
      <c r="I511" s="14" t="n">
        <f aca="false">MAX(I510,H511)</f>
        <v>30.7085619299976</v>
      </c>
      <c r="J511" s="14" t="n">
        <f aca="false">I511-H511</f>
        <v>0</v>
      </c>
    </row>
    <row r="512" customFormat="false" ht="15" hidden="false" customHeight="false" outlineLevel="0" collapsed="false">
      <c r="A512" s="12" t="n">
        <f aca="false">Data!A512</f>
        <v>42748</v>
      </c>
      <c r="B512" s="14" t="n">
        <f aca="false">Data!B512</f>
        <v>52.37</v>
      </c>
      <c r="C512" s="0" t="str">
        <f aca="false">IF(Data!D512="","HOLD",IF(AND(G511&lt;&gt;"IN",Data!E512&lt;-5),"BUY",IF(AND(G511="IN",Data!E512&gt;0),"SELL","HOLD")))</f>
        <v>HOLD</v>
      </c>
      <c r="D512" s="14" t="str">
        <f aca="false">IF(C512="BUY",B512,IF(G511="IN",D511,""))</f>
        <v/>
      </c>
      <c r="E512" s="14" t="str">
        <f aca="false">IF(C512="SELL",B512,"")</f>
        <v/>
      </c>
      <c r="F512" s="14" t="str">
        <f aca="false">IF(E512="","",(E512-D512)/D512*100)</f>
        <v/>
      </c>
      <c r="G512" s="0" t="str">
        <f aca="false">IF(C512="BUY","IN",IF(C512="SELL","OUT",IF(G511="IN","IN","OUT")))</f>
        <v>OUT</v>
      </c>
      <c r="H512" s="14" t="n">
        <f aca="false">H511+IF(F512="",0,F512)</f>
        <v>30.7085619299976</v>
      </c>
      <c r="I512" s="14" t="n">
        <f aca="false">MAX(I511,H512)</f>
        <v>30.7085619299976</v>
      </c>
      <c r="J512" s="14" t="n">
        <f aca="false">I512-H512</f>
        <v>0</v>
      </c>
    </row>
    <row r="513" customFormat="false" ht="15" hidden="false" customHeight="false" outlineLevel="0" collapsed="false">
      <c r="A513" s="12" t="n">
        <f aca="false">Data!A513</f>
        <v>42752</v>
      </c>
      <c r="B513" s="14" t="n">
        <f aca="false">Data!B513</f>
        <v>52.48</v>
      </c>
      <c r="C513" s="0" t="str">
        <f aca="false">IF(Data!D513="","HOLD",IF(AND(G512&lt;&gt;"IN",Data!E513&lt;-5),"BUY",IF(AND(G512="IN",Data!E513&gt;0),"SELL","HOLD")))</f>
        <v>HOLD</v>
      </c>
      <c r="D513" s="14" t="str">
        <f aca="false">IF(C513="BUY",B513,IF(G512="IN",D512,""))</f>
        <v/>
      </c>
      <c r="E513" s="14" t="str">
        <f aca="false">IF(C513="SELL",B513,"")</f>
        <v/>
      </c>
      <c r="F513" s="14" t="str">
        <f aca="false">IF(E513="","",(E513-D513)/D513*100)</f>
        <v/>
      </c>
      <c r="G513" s="0" t="str">
        <f aca="false">IF(C513="BUY","IN",IF(C513="SELL","OUT",IF(G512="IN","IN","OUT")))</f>
        <v>OUT</v>
      </c>
      <c r="H513" s="14" t="n">
        <f aca="false">H512+IF(F513="",0,F513)</f>
        <v>30.7085619299976</v>
      </c>
      <c r="I513" s="14" t="n">
        <f aca="false">MAX(I512,H513)</f>
        <v>30.7085619299976</v>
      </c>
      <c r="J513" s="14" t="n">
        <f aca="false">I513-H513</f>
        <v>0</v>
      </c>
    </row>
    <row r="514" customFormat="false" ht="15" hidden="false" customHeight="false" outlineLevel="0" collapsed="false">
      <c r="A514" s="12" t="n">
        <f aca="false">Data!A514</f>
        <v>42753</v>
      </c>
      <c r="B514" s="14" t="n">
        <f aca="false">Data!B514</f>
        <v>51.08</v>
      </c>
      <c r="C514" s="0" t="str">
        <f aca="false">IF(Data!D514="","HOLD",IF(AND(G513&lt;&gt;"IN",Data!E514&lt;-5),"BUY",IF(AND(G513="IN",Data!E514&gt;0),"SELL","HOLD")))</f>
        <v>HOLD</v>
      </c>
      <c r="D514" s="14" t="str">
        <f aca="false">IF(C514="BUY",B514,IF(G513="IN",D513,""))</f>
        <v/>
      </c>
      <c r="E514" s="14" t="str">
        <f aca="false">IF(C514="SELL",B514,"")</f>
        <v/>
      </c>
      <c r="F514" s="14" t="str">
        <f aca="false">IF(E514="","",(E514-D514)/D514*100)</f>
        <v/>
      </c>
      <c r="G514" s="0" t="str">
        <f aca="false">IF(C514="BUY","IN",IF(C514="SELL","OUT",IF(G513="IN","IN","OUT")))</f>
        <v>OUT</v>
      </c>
      <c r="H514" s="14" t="n">
        <f aca="false">H513+IF(F514="",0,F514)</f>
        <v>30.7085619299976</v>
      </c>
      <c r="I514" s="14" t="n">
        <f aca="false">MAX(I513,H514)</f>
        <v>30.7085619299976</v>
      </c>
      <c r="J514" s="14" t="n">
        <f aca="false">I514-H514</f>
        <v>0</v>
      </c>
    </row>
    <row r="515" customFormat="false" ht="15" hidden="false" customHeight="false" outlineLevel="0" collapsed="false">
      <c r="A515" s="12" t="n">
        <f aca="false">Data!A515</f>
        <v>42754</v>
      </c>
      <c r="B515" s="14" t="n">
        <f aca="false">Data!B515</f>
        <v>51.37</v>
      </c>
      <c r="C515" s="0" t="str">
        <f aca="false">IF(Data!D515="","HOLD",IF(AND(G514&lt;&gt;"IN",Data!E515&lt;-5),"BUY",IF(AND(G514="IN",Data!E515&gt;0),"SELL","HOLD")))</f>
        <v>HOLD</v>
      </c>
      <c r="D515" s="14" t="str">
        <f aca="false">IF(C515="BUY",B515,IF(G514="IN",D514,""))</f>
        <v/>
      </c>
      <c r="E515" s="14" t="str">
        <f aca="false">IF(C515="SELL",B515,"")</f>
        <v/>
      </c>
      <c r="F515" s="14" t="str">
        <f aca="false">IF(E515="","",(E515-D515)/D515*100)</f>
        <v/>
      </c>
      <c r="G515" s="0" t="str">
        <f aca="false">IF(C515="BUY","IN",IF(C515="SELL","OUT",IF(G514="IN","IN","OUT")))</f>
        <v>OUT</v>
      </c>
      <c r="H515" s="14" t="n">
        <f aca="false">H514+IF(F515="",0,F515)</f>
        <v>30.7085619299976</v>
      </c>
      <c r="I515" s="14" t="n">
        <f aca="false">MAX(I514,H515)</f>
        <v>30.7085619299976</v>
      </c>
      <c r="J515" s="14" t="n">
        <f aca="false">I515-H515</f>
        <v>0</v>
      </c>
    </row>
    <row r="516" customFormat="false" ht="15" hidden="false" customHeight="false" outlineLevel="0" collapsed="false">
      <c r="A516" s="12" t="n">
        <f aca="false">Data!A516</f>
        <v>42755</v>
      </c>
      <c r="B516" s="14" t="n">
        <f aca="false">Data!B516</f>
        <v>52.42</v>
      </c>
      <c r="C516" s="0" t="str">
        <f aca="false">IF(Data!D516="","HOLD",IF(AND(G515&lt;&gt;"IN",Data!E516&lt;-5),"BUY",IF(AND(G515="IN",Data!E516&gt;0),"SELL","HOLD")))</f>
        <v>HOLD</v>
      </c>
      <c r="D516" s="14" t="str">
        <f aca="false">IF(C516="BUY",B516,IF(G515="IN",D515,""))</f>
        <v/>
      </c>
      <c r="E516" s="14" t="str">
        <f aca="false">IF(C516="SELL",B516,"")</f>
        <v/>
      </c>
      <c r="F516" s="14" t="str">
        <f aca="false">IF(E516="","",(E516-D516)/D516*100)</f>
        <v/>
      </c>
      <c r="G516" s="0" t="str">
        <f aca="false">IF(C516="BUY","IN",IF(C516="SELL","OUT",IF(G515="IN","IN","OUT")))</f>
        <v>OUT</v>
      </c>
      <c r="H516" s="14" t="n">
        <f aca="false">H515+IF(F516="",0,F516)</f>
        <v>30.7085619299976</v>
      </c>
      <c r="I516" s="14" t="n">
        <f aca="false">MAX(I515,H516)</f>
        <v>30.7085619299976</v>
      </c>
      <c r="J516" s="14" t="n">
        <f aca="false">I516-H516</f>
        <v>0</v>
      </c>
    </row>
    <row r="517" customFormat="false" ht="15" hidden="false" customHeight="false" outlineLevel="0" collapsed="false">
      <c r="A517" s="12" t="n">
        <f aca="false">Data!A517</f>
        <v>42758</v>
      </c>
      <c r="B517" s="14" t="n">
        <f aca="false">Data!B517</f>
        <v>52.75</v>
      </c>
      <c r="C517" s="0" t="str">
        <f aca="false">IF(Data!D517="","HOLD",IF(AND(G516&lt;&gt;"IN",Data!E517&lt;-5),"BUY",IF(AND(G516="IN",Data!E517&gt;0),"SELL","HOLD")))</f>
        <v>HOLD</v>
      </c>
      <c r="D517" s="14" t="str">
        <f aca="false">IF(C517="BUY",B517,IF(G516="IN",D516,""))</f>
        <v/>
      </c>
      <c r="E517" s="14" t="str">
        <f aca="false">IF(C517="SELL",B517,"")</f>
        <v/>
      </c>
      <c r="F517" s="14" t="str">
        <f aca="false">IF(E517="","",(E517-D517)/D517*100)</f>
        <v/>
      </c>
      <c r="G517" s="0" t="str">
        <f aca="false">IF(C517="BUY","IN",IF(C517="SELL","OUT",IF(G516="IN","IN","OUT")))</f>
        <v>OUT</v>
      </c>
      <c r="H517" s="14" t="n">
        <f aca="false">H516+IF(F517="",0,F517)</f>
        <v>30.7085619299976</v>
      </c>
      <c r="I517" s="14" t="n">
        <f aca="false">MAX(I516,H517)</f>
        <v>30.7085619299976</v>
      </c>
      <c r="J517" s="14" t="n">
        <f aca="false">I517-H517</f>
        <v>0</v>
      </c>
    </row>
    <row r="518" customFormat="false" ht="15" hidden="false" customHeight="false" outlineLevel="0" collapsed="false">
      <c r="A518" s="12" t="n">
        <f aca="false">Data!A518</f>
        <v>42759</v>
      </c>
      <c r="B518" s="14" t="n">
        <f aca="false">Data!B518</f>
        <v>53.18</v>
      </c>
      <c r="C518" s="0" t="str">
        <f aca="false">IF(Data!D518="","HOLD",IF(AND(G517&lt;&gt;"IN",Data!E518&lt;-5),"BUY",IF(AND(G517="IN",Data!E518&gt;0),"SELL","HOLD")))</f>
        <v>HOLD</v>
      </c>
      <c r="D518" s="14" t="str">
        <f aca="false">IF(C518="BUY",B518,IF(G517="IN",D517,""))</f>
        <v/>
      </c>
      <c r="E518" s="14" t="str">
        <f aca="false">IF(C518="SELL",B518,"")</f>
        <v/>
      </c>
      <c r="F518" s="14" t="str">
        <f aca="false">IF(E518="","",(E518-D518)/D518*100)</f>
        <v/>
      </c>
      <c r="G518" s="0" t="str">
        <f aca="false">IF(C518="BUY","IN",IF(C518="SELL","OUT",IF(G517="IN","IN","OUT")))</f>
        <v>OUT</v>
      </c>
      <c r="H518" s="14" t="n">
        <f aca="false">H517+IF(F518="",0,F518)</f>
        <v>30.7085619299976</v>
      </c>
      <c r="I518" s="14" t="n">
        <f aca="false">MAX(I517,H518)</f>
        <v>30.7085619299976</v>
      </c>
      <c r="J518" s="14" t="n">
        <f aca="false">I518-H518</f>
        <v>0</v>
      </c>
    </row>
    <row r="519" customFormat="false" ht="15" hidden="false" customHeight="false" outlineLevel="0" collapsed="false">
      <c r="A519" s="12" t="n">
        <f aca="false">Data!A519</f>
        <v>42760</v>
      </c>
      <c r="B519" s="14" t="n">
        <f aca="false">Data!B519</f>
        <v>52.75</v>
      </c>
      <c r="C519" s="0" t="str">
        <f aca="false">IF(Data!D519="","HOLD",IF(AND(G518&lt;&gt;"IN",Data!E519&lt;-5),"BUY",IF(AND(G518="IN",Data!E519&gt;0),"SELL","HOLD")))</f>
        <v>HOLD</v>
      </c>
      <c r="D519" s="14" t="str">
        <f aca="false">IF(C519="BUY",B519,IF(G518="IN",D518,""))</f>
        <v/>
      </c>
      <c r="E519" s="14" t="str">
        <f aca="false">IF(C519="SELL",B519,"")</f>
        <v/>
      </c>
      <c r="F519" s="14" t="str">
        <f aca="false">IF(E519="","",(E519-D519)/D519*100)</f>
        <v/>
      </c>
      <c r="G519" s="0" t="str">
        <f aca="false">IF(C519="BUY","IN",IF(C519="SELL","OUT",IF(G518="IN","IN","OUT")))</f>
        <v>OUT</v>
      </c>
      <c r="H519" s="14" t="n">
        <f aca="false">H518+IF(F519="",0,F519)</f>
        <v>30.7085619299976</v>
      </c>
      <c r="I519" s="14" t="n">
        <f aca="false">MAX(I518,H519)</f>
        <v>30.7085619299976</v>
      </c>
      <c r="J519" s="14" t="n">
        <f aca="false">I519-H519</f>
        <v>0</v>
      </c>
    </row>
    <row r="520" customFormat="false" ht="15" hidden="false" customHeight="false" outlineLevel="0" collapsed="false">
      <c r="A520" s="12" t="n">
        <f aca="false">Data!A520</f>
        <v>42761</v>
      </c>
      <c r="B520" s="14" t="n">
        <f aca="false">Data!B520</f>
        <v>53.78</v>
      </c>
      <c r="C520" s="0" t="str">
        <f aca="false">IF(Data!D520="","HOLD",IF(AND(G519&lt;&gt;"IN",Data!E520&lt;-5),"BUY",IF(AND(G519="IN",Data!E520&gt;0),"SELL","HOLD")))</f>
        <v>HOLD</v>
      </c>
      <c r="D520" s="14" t="str">
        <f aca="false">IF(C520="BUY",B520,IF(G519="IN",D519,""))</f>
        <v/>
      </c>
      <c r="E520" s="14" t="str">
        <f aca="false">IF(C520="SELL",B520,"")</f>
        <v/>
      </c>
      <c r="F520" s="14" t="str">
        <f aca="false">IF(E520="","",(E520-D520)/D520*100)</f>
        <v/>
      </c>
      <c r="G520" s="0" t="str">
        <f aca="false">IF(C520="BUY","IN",IF(C520="SELL","OUT",IF(G519="IN","IN","OUT")))</f>
        <v>OUT</v>
      </c>
      <c r="H520" s="14" t="n">
        <f aca="false">H519+IF(F520="",0,F520)</f>
        <v>30.7085619299976</v>
      </c>
      <c r="I520" s="14" t="n">
        <f aca="false">MAX(I519,H520)</f>
        <v>30.7085619299976</v>
      </c>
      <c r="J520" s="14" t="n">
        <f aca="false">I520-H520</f>
        <v>0</v>
      </c>
    </row>
    <row r="521" customFormat="false" ht="15" hidden="false" customHeight="false" outlineLevel="0" collapsed="false">
      <c r="A521" s="12" t="n">
        <f aca="false">Data!A521</f>
        <v>42762</v>
      </c>
      <c r="B521" s="14" t="n">
        <f aca="false">Data!B521</f>
        <v>53.17</v>
      </c>
      <c r="C521" s="0" t="str">
        <f aca="false">IF(Data!D521="","HOLD",IF(AND(G520&lt;&gt;"IN",Data!E521&lt;-5),"BUY",IF(AND(G520="IN",Data!E521&gt;0),"SELL","HOLD")))</f>
        <v>HOLD</v>
      </c>
      <c r="D521" s="14" t="str">
        <f aca="false">IF(C521="BUY",B521,IF(G520="IN",D520,""))</f>
        <v/>
      </c>
      <c r="E521" s="14" t="str">
        <f aca="false">IF(C521="SELL",B521,"")</f>
        <v/>
      </c>
      <c r="F521" s="14" t="str">
        <f aca="false">IF(E521="","",(E521-D521)/D521*100)</f>
        <v/>
      </c>
      <c r="G521" s="0" t="str">
        <f aca="false">IF(C521="BUY","IN",IF(C521="SELL","OUT",IF(G520="IN","IN","OUT")))</f>
        <v>OUT</v>
      </c>
      <c r="H521" s="14" t="n">
        <f aca="false">H520+IF(F521="",0,F521)</f>
        <v>30.7085619299976</v>
      </c>
      <c r="I521" s="14" t="n">
        <f aca="false">MAX(I520,H521)</f>
        <v>30.7085619299976</v>
      </c>
      <c r="J521" s="14" t="n">
        <f aca="false">I521-H521</f>
        <v>0</v>
      </c>
    </row>
    <row r="522" customFormat="false" ht="15" hidden="false" customHeight="false" outlineLevel="0" collapsed="false">
      <c r="A522" s="12" t="n">
        <f aca="false">Data!A522</f>
        <v>42765</v>
      </c>
      <c r="B522" s="14" t="n">
        <f aca="false">Data!B522</f>
        <v>52.63</v>
      </c>
      <c r="C522" s="0" t="str">
        <f aca="false">IF(Data!D522="","HOLD",IF(AND(G521&lt;&gt;"IN",Data!E522&lt;-5),"BUY",IF(AND(G521="IN",Data!E522&gt;0),"SELL","HOLD")))</f>
        <v>HOLD</v>
      </c>
      <c r="D522" s="14" t="str">
        <f aca="false">IF(C522="BUY",B522,IF(G521="IN",D521,""))</f>
        <v/>
      </c>
      <c r="E522" s="14" t="str">
        <f aca="false">IF(C522="SELL",B522,"")</f>
        <v/>
      </c>
      <c r="F522" s="14" t="str">
        <f aca="false">IF(E522="","",(E522-D522)/D522*100)</f>
        <v/>
      </c>
      <c r="G522" s="0" t="str">
        <f aca="false">IF(C522="BUY","IN",IF(C522="SELL","OUT",IF(G521="IN","IN","OUT")))</f>
        <v>OUT</v>
      </c>
      <c r="H522" s="14" t="n">
        <f aca="false">H521+IF(F522="",0,F522)</f>
        <v>30.7085619299976</v>
      </c>
      <c r="I522" s="14" t="n">
        <f aca="false">MAX(I521,H522)</f>
        <v>30.7085619299976</v>
      </c>
      <c r="J522" s="14" t="n">
        <f aca="false">I522-H522</f>
        <v>0</v>
      </c>
    </row>
    <row r="523" customFormat="false" ht="15" hidden="false" customHeight="false" outlineLevel="0" collapsed="false">
      <c r="A523" s="12" t="n">
        <f aca="false">Data!A523</f>
        <v>42766</v>
      </c>
      <c r="B523" s="14" t="n">
        <f aca="false">Data!B523</f>
        <v>52.81</v>
      </c>
      <c r="C523" s="0" t="str">
        <f aca="false">IF(Data!D523="","HOLD",IF(AND(G522&lt;&gt;"IN",Data!E523&lt;-5),"BUY",IF(AND(G522="IN",Data!E523&gt;0),"SELL","HOLD")))</f>
        <v>HOLD</v>
      </c>
      <c r="D523" s="14" t="str">
        <f aca="false">IF(C523="BUY",B523,IF(G522="IN",D522,""))</f>
        <v/>
      </c>
      <c r="E523" s="14" t="str">
        <f aca="false">IF(C523="SELL",B523,"")</f>
        <v/>
      </c>
      <c r="F523" s="14" t="str">
        <f aca="false">IF(E523="","",(E523-D523)/D523*100)</f>
        <v/>
      </c>
      <c r="G523" s="0" t="str">
        <f aca="false">IF(C523="BUY","IN",IF(C523="SELL","OUT",IF(G522="IN","IN","OUT")))</f>
        <v>OUT</v>
      </c>
      <c r="H523" s="14" t="n">
        <f aca="false">H522+IF(F523="",0,F523)</f>
        <v>30.7085619299976</v>
      </c>
      <c r="I523" s="14" t="n">
        <f aca="false">MAX(I522,H523)</f>
        <v>30.7085619299976</v>
      </c>
      <c r="J523" s="14" t="n">
        <f aca="false">I523-H523</f>
        <v>0</v>
      </c>
    </row>
    <row r="524" customFormat="false" ht="15" hidden="false" customHeight="false" outlineLevel="0" collapsed="false">
      <c r="A524" s="12" t="n">
        <f aca="false">Data!A524</f>
        <v>42767</v>
      </c>
      <c r="B524" s="14" t="n">
        <f aca="false">Data!B524</f>
        <v>53.88</v>
      </c>
      <c r="C524" s="0" t="str">
        <f aca="false">IF(Data!D524="","HOLD",IF(AND(G523&lt;&gt;"IN",Data!E524&lt;-5),"BUY",IF(AND(G523="IN",Data!E524&gt;0),"SELL","HOLD")))</f>
        <v>HOLD</v>
      </c>
      <c r="D524" s="14" t="str">
        <f aca="false">IF(C524="BUY",B524,IF(G523="IN",D523,""))</f>
        <v/>
      </c>
      <c r="E524" s="14" t="str">
        <f aca="false">IF(C524="SELL",B524,"")</f>
        <v/>
      </c>
      <c r="F524" s="14" t="str">
        <f aca="false">IF(E524="","",(E524-D524)/D524*100)</f>
        <v/>
      </c>
      <c r="G524" s="0" t="str">
        <f aca="false">IF(C524="BUY","IN",IF(C524="SELL","OUT",IF(G523="IN","IN","OUT")))</f>
        <v>OUT</v>
      </c>
      <c r="H524" s="14" t="n">
        <f aca="false">H523+IF(F524="",0,F524)</f>
        <v>30.7085619299976</v>
      </c>
      <c r="I524" s="14" t="n">
        <f aca="false">MAX(I523,H524)</f>
        <v>30.7085619299976</v>
      </c>
      <c r="J524" s="14" t="n">
        <f aca="false">I524-H524</f>
        <v>0</v>
      </c>
    </row>
    <row r="525" customFormat="false" ht="15" hidden="false" customHeight="false" outlineLevel="0" collapsed="false">
      <c r="A525" s="12" t="n">
        <f aca="false">Data!A525</f>
        <v>42768</v>
      </c>
      <c r="B525" s="14" t="n">
        <f aca="false">Data!B525</f>
        <v>53.54</v>
      </c>
      <c r="C525" s="0" t="str">
        <f aca="false">IF(Data!D525="","HOLD",IF(AND(G524&lt;&gt;"IN",Data!E525&lt;-5),"BUY",IF(AND(G524="IN",Data!E525&gt;0),"SELL","HOLD")))</f>
        <v>HOLD</v>
      </c>
      <c r="D525" s="14" t="str">
        <f aca="false">IF(C525="BUY",B525,IF(G524="IN",D524,""))</f>
        <v/>
      </c>
      <c r="E525" s="14" t="str">
        <f aca="false">IF(C525="SELL",B525,"")</f>
        <v/>
      </c>
      <c r="F525" s="14" t="str">
        <f aca="false">IF(E525="","",(E525-D525)/D525*100)</f>
        <v/>
      </c>
      <c r="G525" s="0" t="str">
        <f aca="false">IF(C525="BUY","IN",IF(C525="SELL","OUT",IF(G524="IN","IN","OUT")))</f>
        <v>OUT</v>
      </c>
      <c r="H525" s="14" t="n">
        <f aca="false">H524+IF(F525="",0,F525)</f>
        <v>30.7085619299976</v>
      </c>
      <c r="I525" s="14" t="n">
        <f aca="false">MAX(I524,H525)</f>
        <v>30.7085619299976</v>
      </c>
      <c r="J525" s="14" t="n">
        <f aca="false">I525-H525</f>
        <v>0</v>
      </c>
    </row>
    <row r="526" customFormat="false" ht="15" hidden="false" customHeight="false" outlineLevel="0" collapsed="false">
      <c r="A526" s="12" t="n">
        <f aca="false">Data!A526</f>
        <v>42769</v>
      </c>
      <c r="B526" s="14" t="n">
        <f aca="false">Data!B526</f>
        <v>53.83</v>
      </c>
      <c r="C526" s="0" t="str">
        <f aca="false">IF(Data!D526="","HOLD",IF(AND(G525&lt;&gt;"IN",Data!E526&lt;-5),"BUY",IF(AND(G525="IN",Data!E526&gt;0),"SELL","HOLD")))</f>
        <v>HOLD</v>
      </c>
      <c r="D526" s="14" t="str">
        <f aca="false">IF(C526="BUY",B526,IF(G525="IN",D525,""))</f>
        <v/>
      </c>
      <c r="E526" s="14" t="str">
        <f aca="false">IF(C526="SELL",B526,"")</f>
        <v/>
      </c>
      <c r="F526" s="14" t="str">
        <f aca="false">IF(E526="","",(E526-D526)/D526*100)</f>
        <v/>
      </c>
      <c r="G526" s="0" t="str">
        <f aca="false">IF(C526="BUY","IN",IF(C526="SELL","OUT",IF(G525="IN","IN","OUT")))</f>
        <v>OUT</v>
      </c>
      <c r="H526" s="14" t="n">
        <f aca="false">H525+IF(F526="",0,F526)</f>
        <v>30.7085619299976</v>
      </c>
      <c r="I526" s="14" t="n">
        <f aca="false">MAX(I525,H526)</f>
        <v>30.7085619299976</v>
      </c>
      <c r="J526" s="14" t="n">
        <f aca="false">I526-H526</f>
        <v>0</v>
      </c>
    </row>
    <row r="527" customFormat="false" ht="15" hidden="false" customHeight="false" outlineLevel="0" collapsed="false">
      <c r="A527" s="12" t="n">
        <f aca="false">Data!A527</f>
        <v>42772</v>
      </c>
      <c r="B527" s="14" t="n">
        <f aca="false">Data!B527</f>
        <v>53.01</v>
      </c>
      <c r="C527" s="0" t="str">
        <f aca="false">IF(Data!D527="","HOLD",IF(AND(G526&lt;&gt;"IN",Data!E527&lt;-5),"BUY",IF(AND(G526="IN",Data!E527&gt;0),"SELL","HOLD")))</f>
        <v>HOLD</v>
      </c>
      <c r="D527" s="14" t="str">
        <f aca="false">IF(C527="BUY",B527,IF(G526="IN",D526,""))</f>
        <v/>
      </c>
      <c r="E527" s="14" t="str">
        <f aca="false">IF(C527="SELL",B527,"")</f>
        <v/>
      </c>
      <c r="F527" s="14" t="str">
        <f aca="false">IF(E527="","",(E527-D527)/D527*100)</f>
        <v/>
      </c>
      <c r="G527" s="0" t="str">
        <f aca="false">IF(C527="BUY","IN",IF(C527="SELL","OUT",IF(G526="IN","IN","OUT")))</f>
        <v>OUT</v>
      </c>
      <c r="H527" s="14" t="n">
        <f aca="false">H526+IF(F527="",0,F527)</f>
        <v>30.7085619299976</v>
      </c>
      <c r="I527" s="14" t="n">
        <f aca="false">MAX(I526,H527)</f>
        <v>30.7085619299976</v>
      </c>
      <c r="J527" s="14" t="n">
        <f aca="false">I527-H527</f>
        <v>0</v>
      </c>
    </row>
    <row r="528" customFormat="false" ht="15" hidden="false" customHeight="false" outlineLevel="0" collapsed="false">
      <c r="A528" s="12" t="n">
        <f aca="false">Data!A528</f>
        <v>42773</v>
      </c>
      <c r="B528" s="14" t="n">
        <f aca="false">Data!B528</f>
        <v>52.17</v>
      </c>
      <c r="C528" s="0" t="str">
        <f aca="false">IF(Data!D528="","HOLD",IF(AND(G527&lt;&gt;"IN",Data!E528&lt;-5),"BUY",IF(AND(G527="IN",Data!E528&gt;0),"SELL","HOLD")))</f>
        <v>HOLD</v>
      </c>
      <c r="D528" s="14" t="str">
        <f aca="false">IF(C528="BUY",B528,IF(G527="IN",D527,""))</f>
        <v/>
      </c>
      <c r="E528" s="14" t="str">
        <f aca="false">IF(C528="SELL",B528,"")</f>
        <v/>
      </c>
      <c r="F528" s="14" t="str">
        <f aca="false">IF(E528="","",(E528-D528)/D528*100)</f>
        <v/>
      </c>
      <c r="G528" s="0" t="str">
        <f aca="false">IF(C528="BUY","IN",IF(C528="SELL","OUT",IF(G527="IN","IN","OUT")))</f>
        <v>OUT</v>
      </c>
      <c r="H528" s="14" t="n">
        <f aca="false">H527+IF(F528="",0,F528)</f>
        <v>30.7085619299976</v>
      </c>
      <c r="I528" s="14" t="n">
        <f aca="false">MAX(I527,H528)</f>
        <v>30.7085619299976</v>
      </c>
      <c r="J528" s="14" t="n">
        <f aca="false">I528-H528</f>
        <v>0</v>
      </c>
    </row>
    <row r="529" customFormat="false" ht="15" hidden="false" customHeight="false" outlineLevel="0" collapsed="false">
      <c r="A529" s="12" t="n">
        <f aca="false">Data!A529</f>
        <v>42774</v>
      </c>
      <c r="B529" s="14" t="n">
        <f aca="false">Data!B529</f>
        <v>52.34</v>
      </c>
      <c r="C529" s="0" t="str">
        <f aca="false">IF(Data!D529="","HOLD",IF(AND(G528&lt;&gt;"IN",Data!E529&lt;-5),"BUY",IF(AND(G528="IN",Data!E529&gt;0),"SELL","HOLD")))</f>
        <v>HOLD</v>
      </c>
      <c r="D529" s="14" t="str">
        <f aca="false">IF(C529="BUY",B529,IF(G528="IN",D528,""))</f>
        <v/>
      </c>
      <c r="E529" s="14" t="str">
        <f aca="false">IF(C529="SELL",B529,"")</f>
        <v/>
      </c>
      <c r="F529" s="14" t="str">
        <f aca="false">IF(E529="","",(E529-D529)/D529*100)</f>
        <v/>
      </c>
      <c r="G529" s="0" t="str">
        <f aca="false">IF(C529="BUY","IN",IF(C529="SELL","OUT",IF(G528="IN","IN","OUT")))</f>
        <v>OUT</v>
      </c>
      <c r="H529" s="14" t="n">
        <f aca="false">H528+IF(F529="",0,F529)</f>
        <v>30.7085619299976</v>
      </c>
      <c r="I529" s="14" t="n">
        <f aca="false">MAX(I528,H529)</f>
        <v>30.7085619299976</v>
      </c>
      <c r="J529" s="14" t="n">
        <f aca="false">I529-H529</f>
        <v>0</v>
      </c>
    </row>
    <row r="530" customFormat="false" ht="15" hidden="false" customHeight="false" outlineLevel="0" collapsed="false">
      <c r="A530" s="12" t="n">
        <f aca="false">Data!A530</f>
        <v>42775</v>
      </c>
      <c r="B530" s="14" t="n">
        <f aca="false">Data!B530</f>
        <v>53</v>
      </c>
      <c r="C530" s="0" t="str">
        <f aca="false">IF(Data!D530="","HOLD",IF(AND(G529&lt;&gt;"IN",Data!E530&lt;-5),"BUY",IF(AND(G529="IN",Data!E530&gt;0),"SELL","HOLD")))</f>
        <v>HOLD</v>
      </c>
      <c r="D530" s="14" t="str">
        <f aca="false">IF(C530="BUY",B530,IF(G529="IN",D529,""))</f>
        <v/>
      </c>
      <c r="E530" s="14" t="str">
        <f aca="false">IF(C530="SELL",B530,"")</f>
        <v/>
      </c>
      <c r="F530" s="14" t="str">
        <f aca="false">IF(E530="","",(E530-D530)/D530*100)</f>
        <v/>
      </c>
      <c r="G530" s="0" t="str">
        <f aca="false">IF(C530="BUY","IN",IF(C530="SELL","OUT",IF(G529="IN","IN","OUT")))</f>
        <v>OUT</v>
      </c>
      <c r="H530" s="14" t="n">
        <f aca="false">H529+IF(F530="",0,F530)</f>
        <v>30.7085619299976</v>
      </c>
      <c r="I530" s="14" t="n">
        <f aca="false">MAX(I529,H530)</f>
        <v>30.7085619299976</v>
      </c>
      <c r="J530" s="14" t="n">
        <f aca="false">I530-H530</f>
        <v>0</v>
      </c>
    </row>
    <row r="531" customFormat="false" ht="15" hidden="false" customHeight="false" outlineLevel="0" collapsed="false">
      <c r="A531" s="12" t="n">
        <f aca="false">Data!A531</f>
        <v>42776</v>
      </c>
      <c r="B531" s="14" t="n">
        <f aca="false">Data!B531</f>
        <v>53.86</v>
      </c>
      <c r="C531" s="0" t="str">
        <f aca="false">IF(Data!D531="","HOLD",IF(AND(G530&lt;&gt;"IN",Data!E531&lt;-5),"BUY",IF(AND(G530="IN",Data!E531&gt;0),"SELL","HOLD")))</f>
        <v>HOLD</v>
      </c>
      <c r="D531" s="14" t="str">
        <f aca="false">IF(C531="BUY",B531,IF(G530="IN",D530,""))</f>
        <v/>
      </c>
      <c r="E531" s="14" t="str">
        <f aca="false">IF(C531="SELL",B531,"")</f>
        <v/>
      </c>
      <c r="F531" s="14" t="str">
        <f aca="false">IF(E531="","",(E531-D531)/D531*100)</f>
        <v/>
      </c>
      <c r="G531" s="0" t="str">
        <f aca="false">IF(C531="BUY","IN",IF(C531="SELL","OUT",IF(G530="IN","IN","OUT")))</f>
        <v>OUT</v>
      </c>
      <c r="H531" s="14" t="n">
        <f aca="false">H530+IF(F531="",0,F531)</f>
        <v>30.7085619299976</v>
      </c>
      <c r="I531" s="14" t="n">
        <f aca="false">MAX(I530,H531)</f>
        <v>30.7085619299976</v>
      </c>
      <c r="J531" s="14" t="n">
        <f aca="false">I531-H531</f>
        <v>0</v>
      </c>
    </row>
    <row r="532" customFormat="false" ht="15" hidden="false" customHeight="false" outlineLevel="0" collapsed="false">
      <c r="A532" s="12" t="n">
        <f aca="false">Data!A532</f>
        <v>42779</v>
      </c>
      <c r="B532" s="14" t="n">
        <f aca="false">Data!B532</f>
        <v>52.93</v>
      </c>
      <c r="C532" s="0" t="str">
        <f aca="false">IF(Data!D532="","HOLD",IF(AND(G531&lt;&gt;"IN",Data!E532&lt;-5),"BUY",IF(AND(G531="IN",Data!E532&gt;0),"SELL","HOLD")))</f>
        <v>HOLD</v>
      </c>
      <c r="D532" s="14" t="str">
        <f aca="false">IF(C532="BUY",B532,IF(G531="IN",D531,""))</f>
        <v/>
      </c>
      <c r="E532" s="14" t="str">
        <f aca="false">IF(C532="SELL",B532,"")</f>
        <v/>
      </c>
      <c r="F532" s="14" t="str">
        <f aca="false">IF(E532="","",(E532-D532)/D532*100)</f>
        <v/>
      </c>
      <c r="G532" s="0" t="str">
        <f aca="false">IF(C532="BUY","IN",IF(C532="SELL","OUT",IF(G531="IN","IN","OUT")))</f>
        <v>OUT</v>
      </c>
      <c r="H532" s="14" t="n">
        <f aca="false">H531+IF(F532="",0,F532)</f>
        <v>30.7085619299976</v>
      </c>
      <c r="I532" s="14" t="n">
        <f aca="false">MAX(I531,H532)</f>
        <v>30.7085619299976</v>
      </c>
      <c r="J532" s="14" t="n">
        <f aca="false">I532-H532</f>
        <v>0</v>
      </c>
    </row>
    <row r="533" customFormat="false" ht="15" hidden="false" customHeight="false" outlineLevel="0" collapsed="false">
      <c r="A533" s="12" t="n">
        <f aca="false">Data!A533</f>
        <v>42780</v>
      </c>
      <c r="B533" s="14" t="n">
        <f aca="false">Data!B533</f>
        <v>53.2</v>
      </c>
      <c r="C533" s="0" t="str">
        <f aca="false">IF(Data!D533="","HOLD",IF(AND(G532&lt;&gt;"IN",Data!E533&lt;-5),"BUY",IF(AND(G532="IN",Data!E533&gt;0),"SELL","HOLD")))</f>
        <v>HOLD</v>
      </c>
      <c r="D533" s="14" t="str">
        <f aca="false">IF(C533="BUY",B533,IF(G532="IN",D532,""))</f>
        <v/>
      </c>
      <c r="E533" s="14" t="str">
        <f aca="false">IF(C533="SELL",B533,"")</f>
        <v/>
      </c>
      <c r="F533" s="14" t="str">
        <f aca="false">IF(E533="","",(E533-D533)/D533*100)</f>
        <v/>
      </c>
      <c r="G533" s="0" t="str">
        <f aca="false">IF(C533="BUY","IN",IF(C533="SELL","OUT",IF(G532="IN","IN","OUT")))</f>
        <v>OUT</v>
      </c>
      <c r="H533" s="14" t="n">
        <f aca="false">H532+IF(F533="",0,F533)</f>
        <v>30.7085619299976</v>
      </c>
      <c r="I533" s="14" t="n">
        <f aca="false">MAX(I532,H533)</f>
        <v>30.7085619299976</v>
      </c>
      <c r="J533" s="14" t="n">
        <f aca="false">I533-H533</f>
        <v>0</v>
      </c>
    </row>
    <row r="534" customFormat="false" ht="15" hidden="false" customHeight="false" outlineLevel="0" collapsed="false">
      <c r="A534" s="12" t="n">
        <f aca="false">Data!A534</f>
        <v>42781</v>
      </c>
      <c r="B534" s="14" t="n">
        <f aca="false">Data!B534</f>
        <v>53.11</v>
      </c>
      <c r="C534" s="0" t="str">
        <f aca="false">IF(Data!D534="","HOLD",IF(AND(G533&lt;&gt;"IN",Data!E534&lt;-5),"BUY",IF(AND(G533="IN",Data!E534&gt;0),"SELL","HOLD")))</f>
        <v>HOLD</v>
      </c>
      <c r="D534" s="14" t="str">
        <f aca="false">IF(C534="BUY",B534,IF(G533="IN",D533,""))</f>
        <v/>
      </c>
      <c r="E534" s="14" t="str">
        <f aca="false">IF(C534="SELL",B534,"")</f>
        <v/>
      </c>
      <c r="F534" s="14" t="str">
        <f aca="false">IF(E534="","",(E534-D534)/D534*100)</f>
        <v/>
      </c>
      <c r="G534" s="0" t="str">
        <f aca="false">IF(C534="BUY","IN",IF(C534="SELL","OUT",IF(G533="IN","IN","OUT")))</f>
        <v>OUT</v>
      </c>
      <c r="H534" s="14" t="n">
        <f aca="false">H533+IF(F534="",0,F534)</f>
        <v>30.7085619299976</v>
      </c>
      <c r="I534" s="14" t="n">
        <f aca="false">MAX(I533,H534)</f>
        <v>30.7085619299976</v>
      </c>
      <c r="J534" s="14" t="n">
        <f aca="false">I534-H534</f>
        <v>0</v>
      </c>
    </row>
    <row r="535" customFormat="false" ht="15" hidden="false" customHeight="false" outlineLevel="0" collapsed="false">
      <c r="A535" s="12" t="n">
        <f aca="false">Data!A535</f>
        <v>42782</v>
      </c>
      <c r="B535" s="14" t="n">
        <f aca="false">Data!B535</f>
        <v>53.36</v>
      </c>
      <c r="C535" s="0" t="str">
        <f aca="false">IF(Data!D535="","HOLD",IF(AND(G534&lt;&gt;"IN",Data!E535&lt;-5),"BUY",IF(AND(G534="IN",Data!E535&gt;0),"SELL","HOLD")))</f>
        <v>HOLD</v>
      </c>
      <c r="D535" s="14" t="str">
        <f aca="false">IF(C535="BUY",B535,IF(G534="IN",D534,""))</f>
        <v/>
      </c>
      <c r="E535" s="14" t="str">
        <f aca="false">IF(C535="SELL",B535,"")</f>
        <v/>
      </c>
      <c r="F535" s="14" t="str">
        <f aca="false">IF(E535="","",(E535-D535)/D535*100)</f>
        <v/>
      </c>
      <c r="G535" s="0" t="str">
        <f aca="false">IF(C535="BUY","IN",IF(C535="SELL","OUT",IF(G534="IN","IN","OUT")))</f>
        <v>OUT</v>
      </c>
      <c r="H535" s="14" t="n">
        <f aca="false">H534+IF(F535="",0,F535)</f>
        <v>30.7085619299976</v>
      </c>
      <c r="I535" s="14" t="n">
        <f aca="false">MAX(I534,H535)</f>
        <v>30.7085619299976</v>
      </c>
      <c r="J535" s="14" t="n">
        <f aca="false">I535-H535</f>
        <v>0</v>
      </c>
    </row>
    <row r="536" customFormat="false" ht="15" hidden="false" customHeight="false" outlineLevel="0" collapsed="false">
      <c r="A536" s="12" t="n">
        <f aca="false">Data!A536</f>
        <v>42783</v>
      </c>
      <c r="B536" s="14" t="n">
        <f aca="false">Data!B536</f>
        <v>53.4</v>
      </c>
      <c r="C536" s="0" t="str">
        <f aca="false">IF(Data!D536="","HOLD",IF(AND(G535&lt;&gt;"IN",Data!E536&lt;-5),"BUY",IF(AND(G535="IN",Data!E536&gt;0),"SELL","HOLD")))</f>
        <v>HOLD</v>
      </c>
      <c r="D536" s="14" t="str">
        <f aca="false">IF(C536="BUY",B536,IF(G535="IN",D535,""))</f>
        <v/>
      </c>
      <c r="E536" s="14" t="str">
        <f aca="false">IF(C536="SELL",B536,"")</f>
        <v/>
      </c>
      <c r="F536" s="14" t="str">
        <f aca="false">IF(E536="","",(E536-D536)/D536*100)</f>
        <v/>
      </c>
      <c r="G536" s="0" t="str">
        <f aca="false">IF(C536="BUY","IN",IF(C536="SELL","OUT",IF(G535="IN","IN","OUT")))</f>
        <v>OUT</v>
      </c>
      <c r="H536" s="14" t="n">
        <f aca="false">H535+IF(F536="",0,F536)</f>
        <v>30.7085619299976</v>
      </c>
      <c r="I536" s="14" t="n">
        <f aca="false">MAX(I535,H536)</f>
        <v>30.7085619299976</v>
      </c>
      <c r="J536" s="14" t="n">
        <f aca="false">I536-H536</f>
        <v>0</v>
      </c>
    </row>
    <row r="537" customFormat="false" ht="15" hidden="false" customHeight="false" outlineLevel="0" collapsed="false">
      <c r="A537" s="12" t="n">
        <f aca="false">Data!A537</f>
        <v>42787</v>
      </c>
      <c r="B537" s="14" t="n">
        <f aca="false">Data!B537</f>
        <v>54.06</v>
      </c>
      <c r="C537" s="0" t="str">
        <f aca="false">IF(Data!D537="","HOLD",IF(AND(G536&lt;&gt;"IN",Data!E537&lt;-5),"BUY",IF(AND(G536="IN",Data!E537&gt;0),"SELL","HOLD")))</f>
        <v>HOLD</v>
      </c>
      <c r="D537" s="14" t="str">
        <f aca="false">IF(C537="BUY",B537,IF(G536="IN",D536,""))</f>
        <v/>
      </c>
      <c r="E537" s="14" t="str">
        <f aca="false">IF(C537="SELL",B537,"")</f>
        <v/>
      </c>
      <c r="F537" s="14" t="str">
        <f aca="false">IF(E537="","",(E537-D537)/D537*100)</f>
        <v/>
      </c>
      <c r="G537" s="0" t="str">
        <f aca="false">IF(C537="BUY","IN",IF(C537="SELL","OUT",IF(G536="IN","IN","OUT")))</f>
        <v>OUT</v>
      </c>
      <c r="H537" s="14" t="n">
        <f aca="false">H536+IF(F537="",0,F537)</f>
        <v>30.7085619299976</v>
      </c>
      <c r="I537" s="14" t="n">
        <f aca="false">MAX(I536,H537)</f>
        <v>30.7085619299976</v>
      </c>
      <c r="J537" s="14" t="n">
        <f aca="false">I537-H537</f>
        <v>0</v>
      </c>
    </row>
    <row r="538" customFormat="false" ht="15" hidden="false" customHeight="false" outlineLevel="0" collapsed="false">
      <c r="A538" s="12" t="n">
        <f aca="false">Data!A538</f>
        <v>42788</v>
      </c>
      <c r="B538" s="14" t="n">
        <f aca="false">Data!B538</f>
        <v>53.59</v>
      </c>
      <c r="C538" s="0" t="str">
        <f aca="false">IF(Data!D538="","HOLD",IF(AND(G537&lt;&gt;"IN",Data!E538&lt;-5),"BUY",IF(AND(G537="IN",Data!E538&gt;0),"SELL","HOLD")))</f>
        <v>HOLD</v>
      </c>
      <c r="D538" s="14" t="str">
        <f aca="false">IF(C538="BUY",B538,IF(G537="IN",D537,""))</f>
        <v/>
      </c>
      <c r="E538" s="14" t="str">
        <f aca="false">IF(C538="SELL",B538,"")</f>
        <v/>
      </c>
      <c r="F538" s="14" t="str">
        <f aca="false">IF(E538="","",(E538-D538)/D538*100)</f>
        <v/>
      </c>
      <c r="G538" s="0" t="str">
        <f aca="false">IF(C538="BUY","IN",IF(C538="SELL","OUT",IF(G537="IN","IN","OUT")))</f>
        <v>OUT</v>
      </c>
      <c r="H538" s="14" t="n">
        <f aca="false">H537+IF(F538="",0,F538)</f>
        <v>30.7085619299976</v>
      </c>
      <c r="I538" s="14" t="n">
        <f aca="false">MAX(I537,H538)</f>
        <v>30.7085619299976</v>
      </c>
      <c r="J538" s="14" t="n">
        <f aca="false">I538-H538</f>
        <v>0</v>
      </c>
    </row>
    <row r="539" customFormat="false" ht="15" hidden="false" customHeight="false" outlineLevel="0" collapsed="false">
      <c r="A539" s="12" t="n">
        <f aca="false">Data!A539</f>
        <v>42789</v>
      </c>
      <c r="B539" s="14" t="n">
        <f aca="false">Data!B539</f>
        <v>54.45</v>
      </c>
      <c r="C539" s="0" t="str">
        <f aca="false">IF(Data!D539="","HOLD",IF(AND(G538&lt;&gt;"IN",Data!E539&lt;-5),"BUY",IF(AND(G538="IN",Data!E539&gt;0),"SELL","HOLD")))</f>
        <v>HOLD</v>
      </c>
      <c r="D539" s="14" t="str">
        <f aca="false">IF(C539="BUY",B539,IF(G538="IN",D538,""))</f>
        <v/>
      </c>
      <c r="E539" s="14" t="str">
        <f aca="false">IF(C539="SELL",B539,"")</f>
        <v/>
      </c>
      <c r="F539" s="14" t="str">
        <f aca="false">IF(E539="","",(E539-D539)/D539*100)</f>
        <v/>
      </c>
      <c r="G539" s="0" t="str">
        <f aca="false">IF(C539="BUY","IN",IF(C539="SELL","OUT",IF(G538="IN","IN","OUT")))</f>
        <v>OUT</v>
      </c>
      <c r="H539" s="14" t="n">
        <f aca="false">H538+IF(F539="",0,F539)</f>
        <v>30.7085619299976</v>
      </c>
      <c r="I539" s="14" t="n">
        <f aca="false">MAX(I538,H539)</f>
        <v>30.7085619299976</v>
      </c>
      <c r="J539" s="14" t="n">
        <f aca="false">I539-H539</f>
        <v>0</v>
      </c>
    </row>
    <row r="540" customFormat="false" ht="15" hidden="false" customHeight="false" outlineLevel="0" collapsed="false">
      <c r="A540" s="12" t="n">
        <f aca="false">Data!A540</f>
        <v>42790</v>
      </c>
      <c r="B540" s="14" t="n">
        <f aca="false">Data!B540</f>
        <v>53.99</v>
      </c>
      <c r="C540" s="0" t="str">
        <f aca="false">IF(Data!D540="","HOLD",IF(AND(G539&lt;&gt;"IN",Data!E540&lt;-5),"BUY",IF(AND(G539="IN",Data!E540&gt;0),"SELL","HOLD")))</f>
        <v>HOLD</v>
      </c>
      <c r="D540" s="14" t="str">
        <f aca="false">IF(C540="BUY",B540,IF(G539="IN",D539,""))</f>
        <v/>
      </c>
      <c r="E540" s="14" t="str">
        <f aca="false">IF(C540="SELL",B540,"")</f>
        <v/>
      </c>
      <c r="F540" s="14" t="str">
        <f aca="false">IF(E540="","",(E540-D540)/D540*100)</f>
        <v/>
      </c>
      <c r="G540" s="0" t="str">
        <f aca="false">IF(C540="BUY","IN",IF(C540="SELL","OUT",IF(G539="IN","IN","OUT")))</f>
        <v>OUT</v>
      </c>
      <c r="H540" s="14" t="n">
        <f aca="false">H539+IF(F540="",0,F540)</f>
        <v>30.7085619299976</v>
      </c>
      <c r="I540" s="14" t="n">
        <f aca="false">MAX(I539,H540)</f>
        <v>30.7085619299976</v>
      </c>
      <c r="J540" s="14" t="n">
        <f aca="false">I540-H540</f>
        <v>0</v>
      </c>
    </row>
    <row r="541" customFormat="false" ht="15" hidden="false" customHeight="false" outlineLevel="0" collapsed="false">
      <c r="A541" s="12" t="n">
        <f aca="false">Data!A541</f>
        <v>42793</v>
      </c>
      <c r="B541" s="14" t="n">
        <f aca="false">Data!B541</f>
        <v>54.05</v>
      </c>
      <c r="C541" s="0" t="str">
        <f aca="false">IF(Data!D541="","HOLD",IF(AND(G540&lt;&gt;"IN",Data!E541&lt;-5),"BUY",IF(AND(G540="IN",Data!E541&gt;0),"SELL","HOLD")))</f>
        <v>HOLD</v>
      </c>
      <c r="D541" s="14" t="str">
        <f aca="false">IF(C541="BUY",B541,IF(G540="IN",D540,""))</f>
        <v/>
      </c>
      <c r="E541" s="14" t="str">
        <f aca="false">IF(C541="SELL",B541,"")</f>
        <v/>
      </c>
      <c r="F541" s="14" t="str">
        <f aca="false">IF(E541="","",(E541-D541)/D541*100)</f>
        <v/>
      </c>
      <c r="G541" s="0" t="str">
        <f aca="false">IF(C541="BUY","IN",IF(C541="SELL","OUT",IF(G540="IN","IN","OUT")))</f>
        <v>OUT</v>
      </c>
      <c r="H541" s="14" t="n">
        <f aca="false">H540+IF(F541="",0,F541)</f>
        <v>30.7085619299976</v>
      </c>
      <c r="I541" s="14" t="n">
        <f aca="false">MAX(I540,H541)</f>
        <v>30.7085619299976</v>
      </c>
      <c r="J541" s="14" t="n">
        <f aca="false">I541-H541</f>
        <v>0</v>
      </c>
    </row>
    <row r="542" customFormat="false" ht="15" hidden="false" customHeight="false" outlineLevel="0" collapsed="false">
      <c r="A542" s="12" t="n">
        <f aca="false">Data!A542</f>
        <v>42794</v>
      </c>
      <c r="B542" s="14" t="n">
        <f aca="false">Data!B542</f>
        <v>54.01</v>
      </c>
      <c r="C542" s="0" t="str">
        <f aca="false">IF(Data!D542="","HOLD",IF(AND(G541&lt;&gt;"IN",Data!E542&lt;-5),"BUY",IF(AND(G541="IN",Data!E542&gt;0),"SELL","HOLD")))</f>
        <v>HOLD</v>
      </c>
      <c r="D542" s="14" t="str">
        <f aca="false">IF(C542="BUY",B542,IF(G541="IN",D541,""))</f>
        <v/>
      </c>
      <c r="E542" s="14" t="str">
        <f aca="false">IF(C542="SELL",B542,"")</f>
        <v/>
      </c>
      <c r="F542" s="14" t="str">
        <f aca="false">IF(E542="","",(E542-D542)/D542*100)</f>
        <v/>
      </c>
      <c r="G542" s="0" t="str">
        <f aca="false">IF(C542="BUY","IN",IF(C542="SELL","OUT",IF(G541="IN","IN","OUT")))</f>
        <v>OUT</v>
      </c>
      <c r="H542" s="14" t="n">
        <f aca="false">H541+IF(F542="",0,F542)</f>
        <v>30.7085619299976</v>
      </c>
      <c r="I542" s="14" t="n">
        <f aca="false">MAX(I541,H542)</f>
        <v>30.7085619299976</v>
      </c>
      <c r="J542" s="14" t="n">
        <f aca="false">I542-H542</f>
        <v>0</v>
      </c>
    </row>
    <row r="543" customFormat="false" ht="15" hidden="false" customHeight="false" outlineLevel="0" collapsed="false">
      <c r="A543" s="12" t="n">
        <f aca="false">Data!A543</f>
        <v>42795</v>
      </c>
      <c r="B543" s="14" t="n">
        <f aca="false">Data!B543</f>
        <v>53.83</v>
      </c>
      <c r="C543" s="0" t="str">
        <f aca="false">IF(Data!D543="","HOLD",IF(AND(G542&lt;&gt;"IN",Data!E543&lt;-5),"BUY",IF(AND(G542="IN",Data!E543&gt;0),"SELL","HOLD")))</f>
        <v>HOLD</v>
      </c>
      <c r="D543" s="14" t="str">
        <f aca="false">IF(C543="BUY",B543,IF(G542="IN",D542,""))</f>
        <v/>
      </c>
      <c r="E543" s="14" t="str">
        <f aca="false">IF(C543="SELL",B543,"")</f>
        <v/>
      </c>
      <c r="F543" s="14" t="str">
        <f aca="false">IF(E543="","",(E543-D543)/D543*100)</f>
        <v/>
      </c>
      <c r="G543" s="0" t="str">
        <f aca="false">IF(C543="BUY","IN",IF(C543="SELL","OUT",IF(G542="IN","IN","OUT")))</f>
        <v>OUT</v>
      </c>
      <c r="H543" s="14" t="n">
        <f aca="false">H542+IF(F543="",0,F543)</f>
        <v>30.7085619299976</v>
      </c>
      <c r="I543" s="14" t="n">
        <f aca="false">MAX(I542,H543)</f>
        <v>30.7085619299976</v>
      </c>
      <c r="J543" s="14" t="n">
        <f aca="false">I543-H543</f>
        <v>0</v>
      </c>
    </row>
    <row r="544" customFormat="false" ht="15" hidden="false" customHeight="false" outlineLevel="0" collapsed="false">
      <c r="A544" s="12" t="n">
        <f aca="false">Data!A544</f>
        <v>42796</v>
      </c>
      <c r="B544" s="14" t="n">
        <f aca="false">Data!B544</f>
        <v>52.61</v>
      </c>
      <c r="C544" s="0" t="str">
        <f aca="false">IF(Data!D544="","HOLD",IF(AND(G543&lt;&gt;"IN",Data!E544&lt;-5),"BUY",IF(AND(G543="IN",Data!E544&gt;0),"SELL","HOLD")))</f>
        <v>HOLD</v>
      </c>
      <c r="D544" s="14" t="str">
        <f aca="false">IF(C544="BUY",B544,IF(G543="IN",D543,""))</f>
        <v/>
      </c>
      <c r="E544" s="14" t="str">
        <f aca="false">IF(C544="SELL",B544,"")</f>
        <v/>
      </c>
      <c r="F544" s="14" t="str">
        <f aca="false">IF(E544="","",(E544-D544)/D544*100)</f>
        <v/>
      </c>
      <c r="G544" s="0" t="str">
        <f aca="false">IF(C544="BUY","IN",IF(C544="SELL","OUT",IF(G543="IN","IN","OUT")))</f>
        <v>OUT</v>
      </c>
      <c r="H544" s="14" t="n">
        <f aca="false">H543+IF(F544="",0,F544)</f>
        <v>30.7085619299976</v>
      </c>
      <c r="I544" s="14" t="n">
        <f aca="false">MAX(I543,H544)</f>
        <v>30.7085619299976</v>
      </c>
      <c r="J544" s="14" t="n">
        <f aca="false">I544-H544</f>
        <v>0</v>
      </c>
    </row>
    <row r="545" customFormat="false" ht="15" hidden="false" customHeight="false" outlineLevel="0" collapsed="false">
      <c r="A545" s="12" t="n">
        <f aca="false">Data!A545</f>
        <v>42797</v>
      </c>
      <c r="B545" s="14" t="n">
        <f aca="false">Data!B545</f>
        <v>53.33</v>
      </c>
      <c r="C545" s="0" t="str">
        <f aca="false">IF(Data!D545="","HOLD",IF(AND(G544&lt;&gt;"IN",Data!E545&lt;-5),"BUY",IF(AND(G544="IN",Data!E545&gt;0),"SELL","HOLD")))</f>
        <v>HOLD</v>
      </c>
      <c r="D545" s="14" t="str">
        <f aca="false">IF(C545="BUY",B545,IF(G544="IN",D544,""))</f>
        <v/>
      </c>
      <c r="E545" s="14" t="str">
        <f aca="false">IF(C545="SELL",B545,"")</f>
        <v/>
      </c>
      <c r="F545" s="14" t="str">
        <f aca="false">IF(E545="","",(E545-D545)/D545*100)</f>
        <v/>
      </c>
      <c r="G545" s="0" t="str">
        <f aca="false">IF(C545="BUY","IN",IF(C545="SELL","OUT",IF(G544="IN","IN","OUT")))</f>
        <v>OUT</v>
      </c>
      <c r="H545" s="14" t="n">
        <f aca="false">H544+IF(F545="",0,F545)</f>
        <v>30.7085619299976</v>
      </c>
      <c r="I545" s="14" t="n">
        <f aca="false">MAX(I544,H545)</f>
        <v>30.7085619299976</v>
      </c>
      <c r="J545" s="14" t="n">
        <f aca="false">I545-H545</f>
        <v>0</v>
      </c>
    </row>
    <row r="546" customFormat="false" ht="15" hidden="false" customHeight="false" outlineLevel="0" collapsed="false">
      <c r="A546" s="12" t="n">
        <f aca="false">Data!A546</f>
        <v>42800</v>
      </c>
      <c r="B546" s="14" t="n">
        <f aca="false">Data!B546</f>
        <v>53.2</v>
      </c>
      <c r="C546" s="0" t="str">
        <f aca="false">IF(Data!D546="","HOLD",IF(AND(G545&lt;&gt;"IN",Data!E546&lt;-5),"BUY",IF(AND(G545="IN",Data!E546&gt;0),"SELL","HOLD")))</f>
        <v>HOLD</v>
      </c>
      <c r="D546" s="14" t="str">
        <f aca="false">IF(C546="BUY",B546,IF(G545="IN",D545,""))</f>
        <v/>
      </c>
      <c r="E546" s="14" t="str">
        <f aca="false">IF(C546="SELL",B546,"")</f>
        <v/>
      </c>
      <c r="F546" s="14" t="str">
        <f aca="false">IF(E546="","",(E546-D546)/D546*100)</f>
        <v/>
      </c>
      <c r="G546" s="0" t="str">
        <f aca="false">IF(C546="BUY","IN",IF(C546="SELL","OUT",IF(G545="IN","IN","OUT")))</f>
        <v>OUT</v>
      </c>
      <c r="H546" s="14" t="n">
        <f aca="false">H545+IF(F546="",0,F546)</f>
        <v>30.7085619299976</v>
      </c>
      <c r="I546" s="14" t="n">
        <f aca="false">MAX(I545,H546)</f>
        <v>30.7085619299976</v>
      </c>
      <c r="J546" s="14" t="n">
        <f aca="false">I546-H546</f>
        <v>0</v>
      </c>
    </row>
    <row r="547" customFormat="false" ht="15" hidden="false" customHeight="false" outlineLevel="0" collapsed="false">
      <c r="A547" s="12" t="n">
        <f aca="false">Data!A547</f>
        <v>42801</v>
      </c>
      <c r="B547" s="14" t="n">
        <f aca="false">Data!B547</f>
        <v>53.14</v>
      </c>
      <c r="C547" s="0" t="str">
        <f aca="false">IF(Data!D547="","HOLD",IF(AND(G546&lt;&gt;"IN",Data!E547&lt;-5),"BUY",IF(AND(G546="IN",Data!E547&gt;0),"SELL","HOLD")))</f>
        <v>HOLD</v>
      </c>
      <c r="D547" s="14" t="str">
        <f aca="false">IF(C547="BUY",B547,IF(G546="IN",D546,""))</f>
        <v/>
      </c>
      <c r="E547" s="14" t="str">
        <f aca="false">IF(C547="SELL",B547,"")</f>
        <v/>
      </c>
      <c r="F547" s="14" t="str">
        <f aca="false">IF(E547="","",(E547-D547)/D547*100)</f>
        <v/>
      </c>
      <c r="G547" s="0" t="str">
        <f aca="false">IF(C547="BUY","IN",IF(C547="SELL","OUT",IF(G546="IN","IN","OUT")))</f>
        <v>OUT</v>
      </c>
      <c r="H547" s="14" t="n">
        <f aca="false">H546+IF(F547="",0,F547)</f>
        <v>30.7085619299976</v>
      </c>
      <c r="I547" s="14" t="n">
        <f aca="false">MAX(I546,H547)</f>
        <v>30.7085619299976</v>
      </c>
      <c r="J547" s="14" t="n">
        <f aca="false">I547-H547</f>
        <v>0</v>
      </c>
    </row>
    <row r="548" customFormat="false" ht="15" hidden="false" customHeight="false" outlineLevel="0" collapsed="false">
      <c r="A548" s="12" t="n">
        <f aca="false">Data!A548</f>
        <v>42802</v>
      </c>
      <c r="B548" s="14" t="n">
        <f aca="false">Data!B548</f>
        <v>50.28</v>
      </c>
      <c r="C548" s="0" t="str">
        <f aca="false">IF(Data!D548="","HOLD",IF(AND(G547&lt;&gt;"IN",Data!E548&lt;-5),"BUY",IF(AND(G547="IN",Data!E548&gt;0),"SELL","HOLD")))</f>
        <v>BUY</v>
      </c>
      <c r="D548" s="14" t="n">
        <f aca="false">IF(C548="BUY",B548,IF(G547="IN",D547,""))</f>
        <v>50.28</v>
      </c>
      <c r="E548" s="14" t="str">
        <f aca="false">IF(C548="SELL",B548,"")</f>
        <v/>
      </c>
      <c r="F548" s="14" t="str">
        <f aca="false">IF(E548="","",(E548-D548)/D548*100)</f>
        <v/>
      </c>
      <c r="G548" s="0" t="str">
        <f aca="false">IF(C548="BUY","IN",IF(C548="SELL","OUT",IF(G547="IN","IN","OUT")))</f>
        <v>IN</v>
      </c>
      <c r="H548" s="14" t="n">
        <f aca="false">H547+IF(F548="",0,F548)</f>
        <v>30.7085619299976</v>
      </c>
      <c r="I548" s="14" t="n">
        <f aca="false">MAX(I547,H548)</f>
        <v>30.7085619299976</v>
      </c>
      <c r="J548" s="14" t="n">
        <f aca="false">I548-H548</f>
        <v>0</v>
      </c>
    </row>
    <row r="549" customFormat="false" ht="15" hidden="false" customHeight="false" outlineLevel="0" collapsed="false">
      <c r="A549" s="12" t="n">
        <f aca="false">Data!A549</f>
        <v>42803</v>
      </c>
      <c r="B549" s="14" t="n">
        <f aca="false">Data!B549</f>
        <v>49.28</v>
      </c>
      <c r="C549" s="0" t="str">
        <f aca="false">IF(Data!D549="","HOLD",IF(AND(G548&lt;&gt;"IN",Data!E549&lt;-5),"BUY",IF(AND(G548="IN",Data!E549&gt;0),"SELL","HOLD")))</f>
        <v>HOLD</v>
      </c>
      <c r="D549" s="14" t="n">
        <f aca="false">IF(C549="BUY",B549,IF(G548="IN",D548,""))</f>
        <v>50.28</v>
      </c>
      <c r="E549" s="14" t="str">
        <f aca="false">IF(C549="SELL",B549,"")</f>
        <v/>
      </c>
      <c r="F549" s="14" t="str">
        <f aca="false">IF(E549="","",(E549-D549)/D549*100)</f>
        <v/>
      </c>
      <c r="G549" s="0" t="str">
        <f aca="false">IF(C549="BUY","IN",IF(C549="SELL","OUT",IF(G548="IN","IN","OUT")))</f>
        <v>IN</v>
      </c>
      <c r="H549" s="14" t="n">
        <f aca="false">H548+IF(F549="",0,F549)</f>
        <v>30.7085619299976</v>
      </c>
      <c r="I549" s="14" t="n">
        <f aca="false">MAX(I548,H549)</f>
        <v>30.7085619299976</v>
      </c>
      <c r="J549" s="14" t="n">
        <f aca="false">I549-H549</f>
        <v>0</v>
      </c>
    </row>
    <row r="550" customFormat="false" ht="15" hidden="false" customHeight="false" outlineLevel="0" collapsed="false">
      <c r="A550" s="12" t="n">
        <f aca="false">Data!A550</f>
        <v>42804</v>
      </c>
      <c r="B550" s="14" t="n">
        <f aca="false">Data!B550</f>
        <v>48.49</v>
      </c>
      <c r="C550" s="0" t="str">
        <f aca="false">IF(Data!D550="","HOLD",IF(AND(G549&lt;&gt;"IN",Data!E550&lt;-5),"BUY",IF(AND(G549="IN",Data!E550&gt;0),"SELL","HOLD")))</f>
        <v>HOLD</v>
      </c>
      <c r="D550" s="14" t="n">
        <f aca="false">IF(C550="BUY",B550,IF(G549="IN",D549,""))</f>
        <v>50.28</v>
      </c>
      <c r="E550" s="14" t="str">
        <f aca="false">IF(C550="SELL",B550,"")</f>
        <v/>
      </c>
      <c r="F550" s="14" t="str">
        <f aca="false">IF(E550="","",(E550-D550)/D550*100)</f>
        <v/>
      </c>
      <c r="G550" s="0" t="str">
        <f aca="false">IF(C550="BUY","IN",IF(C550="SELL","OUT",IF(G549="IN","IN","OUT")))</f>
        <v>IN</v>
      </c>
      <c r="H550" s="14" t="n">
        <f aca="false">H549+IF(F550="",0,F550)</f>
        <v>30.7085619299976</v>
      </c>
      <c r="I550" s="14" t="n">
        <f aca="false">MAX(I549,H550)</f>
        <v>30.7085619299976</v>
      </c>
      <c r="J550" s="14" t="n">
        <f aca="false">I550-H550</f>
        <v>0</v>
      </c>
    </row>
    <row r="551" customFormat="false" ht="15" hidden="false" customHeight="false" outlineLevel="0" collapsed="false">
      <c r="A551" s="12" t="n">
        <f aca="false">Data!A551</f>
        <v>42807</v>
      </c>
      <c r="B551" s="14" t="n">
        <f aca="false">Data!B551</f>
        <v>48.4</v>
      </c>
      <c r="C551" s="0" t="str">
        <f aca="false">IF(Data!D551="","HOLD",IF(AND(G550&lt;&gt;"IN",Data!E551&lt;-5),"BUY",IF(AND(G550="IN",Data!E551&gt;0),"SELL","HOLD")))</f>
        <v>HOLD</v>
      </c>
      <c r="D551" s="14" t="n">
        <f aca="false">IF(C551="BUY",B551,IF(G550="IN",D550,""))</f>
        <v>50.28</v>
      </c>
      <c r="E551" s="14" t="str">
        <f aca="false">IF(C551="SELL",B551,"")</f>
        <v/>
      </c>
      <c r="F551" s="14" t="str">
        <f aca="false">IF(E551="","",(E551-D551)/D551*100)</f>
        <v/>
      </c>
      <c r="G551" s="0" t="str">
        <f aca="false">IF(C551="BUY","IN",IF(C551="SELL","OUT",IF(G550="IN","IN","OUT")))</f>
        <v>IN</v>
      </c>
      <c r="H551" s="14" t="n">
        <f aca="false">H550+IF(F551="",0,F551)</f>
        <v>30.7085619299976</v>
      </c>
      <c r="I551" s="14" t="n">
        <f aca="false">MAX(I550,H551)</f>
        <v>30.7085619299976</v>
      </c>
      <c r="J551" s="14" t="n">
        <f aca="false">I551-H551</f>
        <v>0</v>
      </c>
    </row>
    <row r="552" customFormat="false" ht="15" hidden="false" customHeight="false" outlineLevel="0" collapsed="false">
      <c r="A552" s="12" t="n">
        <f aca="false">Data!A552</f>
        <v>42808</v>
      </c>
      <c r="B552" s="14" t="n">
        <f aca="false">Data!B552</f>
        <v>47.72</v>
      </c>
      <c r="C552" s="0" t="str">
        <f aca="false">IF(Data!D552="","HOLD",IF(AND(G551&lt;&gt;"IN",Data!E552&lt;-5),"BUY",IF(AND(G551="IN",Data!E552&gt;0),"SELL","HOLD")))</f>
        <v>HOLD</v>
      </c>
      <c r="D552" s="14" t="n">
        <f aca="false">IF(C552="BUY",B552,IF(G551="IN",D551,""))</f>
        <v>50.28</v>
      </c>
      <c r="E552" s="14" t="str">
        <f aca="false">IF(C552="SELL",B552,"")</f>
        <v/>
      </c>
      <c r="F552" s="14" t="str">
        <f aca="false">IF(E552="","",(E552-D552)/D552*100)</f>
        <v/>
      </c>
      <c r="G552" s="0" t="str">
        <f aca="false">IF(C552="BUY","IN",IF(C552="SELL","OUT",IF(G551="IN","IN","OUT")))</f>
        <v>IN</v>
      </c>
      <c r="H552" s="14" t="n">
        <f aca="false">H551+IF(F552="",0,F552)</f>
        <v>30.7085619299976</v>
      </c>
      <c r="I552" s="14" t="n">
        <f aca="false">MAX(I551,H552)</f>
        <v>30.7085619299976</v>
      </c>
      <c r="J552" s="14" t="n">
        <f aca="false">I552-H552</f>
        <v>0</v>
      </c>
    </row>
    <row r="553" customFormat="false" ht="15" hidden="false" customHeight="false" outlineLevel="0" collapsed="false">
      <c r="A553" s="12" t="n">
        <f aca="false">Data!A553</f>
        <v>42809</v>
      </c>
      <c r="B553" s="14" t="n">
        <f aca="false">Data!B553</f>
        <v>48.86</v>
      </c>
      <c r="C553" s="0" t="str">
        <f aca="false">IF(Data!D553="","HOLD",IF(AND(G552&lt;&gt;"IN",Data!E553&lt;-5),"BUY",IF(AND(G552="IN",Data!E553&gt;0),"SELL","HOLD")))</f>
        <v>HOLD</v>
      </c>
      <c r="D553" s="14" t="n">
        <f aca="false">IF(C553="BUY",B553,IF(G552="IN",D552,""))</f>
        <v>50.28</v>
      </c>
      <c r="E553" s="14" t="str">
        <f aca="false">IF(C553="SELL",B553,"")</f>
        <v/>
      </c>
      <c r="F553" s="14" t="str">
        <f aca="false">IF(E553="","",(E553-D553)/D553*100)</f>
        <v/>
      </c>
      <c r="G553" s="0" t="str">
        <f aca="false">IF(C553="BUY","IN",IF(C553="SELL","OUT",IF(G552="IN","IN","OUT")))</f>
        <v>IN</v>
      </c>
      <c r="H553" s="14" t="n">
        <f aca="false">H552+IF(F553="",0,F553)</f>
        <v>30.7085619299976</v>
      </c>
      <c r="I553" s="14" t="n">
        <f aca="false">MAX(I552,H553)</f>
        <v>30.7085619299976</v>
      </c>
      <c r="J553" s="14" t="n">
        <f aca="false">I553-H553</f>
        <v>0</v>
      </c>
    </row>
    <row r="554" customFormat="false" ht="15" hidden="false" customHeight="false" outlineLevel="0" collapsed="false">
      <c r="A554" s="12" t="n">
        <f aca="false">Data!A554</f>
        <v>42810</v>
      </c>
      <c r="B554" s="14" t="n">
        <f aca="false">Data!B554</f>
        <v>48.75</v>
      </c>
      <c r="C554" s="0" t="str">
        <f aca="false">IF(Data!D554="","HOLD",IF(AND(G553&lt;&gt;"IN",Data!E554&lt;-5),"BUY",IF(AND(G553="IN",Data!E554&gt;0),"SELL","HOLD")))</f>
        <v>HOLD</v>
      </c>
      <c r="D554" s="14" t="n">
        <f aca="false">IF(C554="BUY",B554,IF(G553="IN",D553,""))</f>
        <v>50.28</v>
      </c>
      <c r="E554" s="14" t="str">
        <f aca="false">IF(C554="SELL",B554,"")</f>
        <v/>
      </c>
      <c r="F554" s="14" t="str">
        <f aca="false">IF(E554="","",(E554-D554)/D554*100)</f>
        <v/>
      </c>
      <c r="G554" s="0" t="str">
        <f aca="false">IF(C554="BUY","IN",IF(C554="SELL","OUT",IF(G553="IN","IN","OUT")))</f>
        <v>IN</v>
      </c>
      <c r="H554" s="14" t="n">
        <f aca="false">H553+IF(F554="",0,F554)</f>
        <v>30.7085619299976</v>
      </c>
      <c r="I554" s="14" t="n">
        <f aca="false">MAX(I553,H554)</f>
        <v>30.7085619299976</v>
      </c>
      <c r="J554" s="14" t="n">
        <f aca="false">I554-H554</f>
        <v>0</v>
      </c>
    </row>
    <row r="555" customFormat="false" ht="15" hidden="false" customHeight="false" outlineLevel="0" collapsed="false">
      <c r="A555" s="12" t="n">
        <f aca="false">Data!A555</f>
        <v>42811</v>
      </c>
      <c r="B555" s="14" t="n">
        <f aca="false">Data!B555</f>
        <v>48.78</v>
      </c>
      <c r="C555" s="0" t="str">
        <f aca="false">IF(Data!D555="","HOLD",IF(AND(G554&lt;&gt;"IN",Data!E555&lt;-5),"BUY",IF(AND(G554="IN",Data!E555&gt;0),"SELL","HOLD")))</f>
        <v>HOLD</v>
      </c>
      <c r="D555" s="14" t="n">
        <f aca="false">IF(C555="BUY",B555,IF(G554="IN",D554,""))</f>
        <v>50.28</v>
      </c>
      <c r="E555" s="14" t="str">
        <f aca="false">IF(C555="SELL",B555,"")</f>
        <v/>
      </c>
      <c r="F555" s="14" t="str">
        <f aca="false">IF(E555="","",(E555-D555)/D555*100)</f>
        <v/>
      </c>
      <c r="G555" s="0" t="str">
        <f aca="false">IF(C555="BUY","IN",IF(C555="SELL","OUT",IF(G554="IN","IN","OUT")))</f>
        <v>IN</v>
      </c>
      <c r="H555" s="14" t="n">
        <f aca="false">H554+IF(F555="",0,F555)</f>
        <v>30.7085619299976</v>
      </c>
      <c r="I555" s="14" t="n">
        <f aca="false">MAX(I554,H555)</f>
        <v>30.7085619299976</v>
      </c>
      <c r="J555" s="14" t="n">
        <f aca="false">I555-H555</f>
        <v>0</v>
      </c>
    </row>
    <row r="556" customFormat="false" ht="15" hidden="false" customHeight="false" outlineLevel="0" collapsed="false">
      <c r="A556" s="12" t="n">
        <f aca="false">Data!A556</f>
        <v>42814</v>
      </c>
      <c r="B556" s="14" t="n">
        <f aca="false">Data!B556</f>
        <v>48.22</v>
      </c>
      <c r="C556" s="0" t="str">
        <f aca="false">IF(Data!D556="","HOLD",IF(AND(G555&lt;&gt;"IN",Data!E556&lt;-5),"BUY",IF(AND(G555="IN",Data!E556&gt;0),"SELL","HOLD")))</f>
        <v>HOLD</v>
      </c>
      <c r="D556" s="14" t="n">
        <f aca="false">IF(C556="BUY",B556,IF(G555="IN",D555,""))</f>
        <v>50.28</v>
      </c>
      <c r="E556" s="14" t="str">
        <f aca="false">IF(C556="SELL",B556,"")</f>
        <v/>
      </c>
      <c r="F556" s="14" t="str">
        <f aca="false">IF(E556="","",(E556-D556)/D556*100)</f>
        <v/>
      </c>
      <c r="G556" s="0" t="str">
        <f aca="false">IF(C556="BUY","IN",IF(C556="SELL","OUT",IF(G555="IN","IN","OUT")))</f>
        <v>IN</v>
      </c>
      <c r="H556" s="14" t="n">
        <f aca="false">H555+IF(F556="",0,F556)</f>
        <v>30.7085619299976</v>
      </c>
      <c r="I556" s="14" t="n">
        <f aca="false">MAX(I555,H556)</f>
        <v>30.7085619299976</v>
      </c>
      <c r="J556" s="14" t="n">
        <f aca="false">I556-H556</f>
        <v>0</v>
      </c>
    </row>
    <row r="557" customFormat="false" ht="15" hidden="false" customHeight="false" outlineLevel="0" collapsed="false">
      <c r="A557" s="12" t="n">
        <f aca="false">Data!A557</f>
        <v>42815</v>
      </c>
      <c r="B557" s="14" t="n">
        <f aca="false">Data!B557</f>
        <v>47.34</v>
      </c>
      <c r="C557" s="0" t="str">
        <f aca="false">IF(Data!D557="","HOLD",IF(AND(G556&lt;&gt;"IN",Data!E557&lt;-5),"BUY",IF(AND(G556="IN",Data!E557&gt;0),"SELL","HOLD")))</f>
        <v>HOLD</v>
      </c>
      <c r="D557" s="14" t="n">
        <f aca="false">IF(C557="BUY",B557,IF(G556="IN",D556,""))</f>
        <v>50.28</v>
      </c>
      <c r="E557" s="14" t="str">
        <f aca="false">IF(C557="SELL",B557,"")</f>
        <v/>
      </c>
      <c r="F557" s="14" t="str">
        <f aca="false">IF(E557="","",(E557-D557)/D557*100)</f>
        <v/>
      </c>
      <c r="G557" s="0" t="str">
        <f aca="false">IF(C557="BUY","IN",IF(C557="SELL","OUT",IF(G556="IN","IN","OUT")))</f>
        <v>IN</v>
      </c>
      <c r="H557" s="14" t="n">
        <f aca="false">H556+IF(F557="",0,F557)</f>
        <v>30.7085619299976</v>
      </c>
      <c r="I557" s="14" t="n">
        <f aca="false">MAX(I556,H557)</f>
        <v>30.7085619299976</v>
      </c>
      <c r="J557" s="14" t="n">
        <f aca="false">I557-H557</f>
        <v>0</v>
      </c>
    </row>
    <row r="558" customFormat="false" ht="15" hidden="false" customHeight="false" outlineLevel="0" collapsed="false">
      <c r="A558" s="12" t="n">
        <f aca="false">Data!A558</f>
        <v>42816</v>
      </c>
      <c r="B558" s="14" t="n">
        <f aca="false">Data!B558</f>
        <v>48.04</v>
      </c>
      <c r="C558" s="0" t="str">
        <f aca="false">IF(Data!D558="","HOLD",IF(AND(G557&lt;&gt;"IN",Data!E558&lt;-5),"BUY",IF(AND(G557="IN",Data!E558&gt;0),"SELL","HOLD")))</f>
        <v>HOLD</v>
      </c>
      <c r="D558" s="14" t="n">
        <f aca="false">IF(C558="BUY",B558,IF(G557="IN",D557,""))</f>
        <v>50.28</v>
      </c>
      <c r="E558" s="14" t="str">
        <f aca="false">IF(C558="SELL",B558,"")</f>
        <v/>
      </c>
      <c r="F558" s="14" t="str">
        <f aca="false">IF(E558="","",(E558-D558)/D558*100)</f>
        <v/>
      </c>
      <c r="G558" s="0" t="str">
        <f aca="false">IF(C558="BUY","IN",IF(C558="SELL","OUT",IF(G557="IN","IN","OUT")))</f>
        <v>IN</v>
      </c>
      <c r="H558" s="14" t="n">
        <f aca="false">H557+IF(F558="",0,F558)</f>
        <v>30.7085619299976</v>
      </c>
      <c r="I558" s="14" t="n">
        <f aca="false">MAX(I557,H558)</f>
        <v>30.7085619299976</v>
      </c>
      <c r="J558" s="14" t="n">
        <f aca="false">I558-H558</f>
        <v>0</v>
      </c>
    </row>
    <row r="559" customFormat="false" ht="15" hidden="false" customHeight="false" outlineLevel="0" collapsed="false">
      <c r="A559" s="12" t="n">
        <f aca="false">Data!A559</f>
        <v>42817</v>
      </c>
      <c r="B559" s="14" t="n">
        <f aca="false">Data!B559</f>
        <v>47.7</v>
      </c>
      <c r="C559" s="0" t="str">
        <f aca="false">IF(Data!D559="","HOLD",IF(AND(G558&lt;&gt;"IN",Data!E559&lt;-5),"BUY",IF(AND(G558="IN",Data!E559&gt;0),"SELL","HOLD")))</f>
        <v>HOLD</v>
      </c>
      <c r="D559" s="14" t="n">
        <f aca="false">IF(C559="BUY",B559,IF(G558="IN",D558,""))</f>
        <v>50.28</v>
      </c>
      <c r="E559" s="14" t="str">
        <f aca="false">IF(C559="SELL",B559,"")</f>
        <v/>
      </c>
      <c r="F559" s="14" t="str">
        <f aca="false">IF(E559="","",(E559-D559)/D559*100)</f>
        <v/>
      </c>
      <c r="G559" s="0" t="str">
        <f aca="false">IF(C559="BUY","IN",IF(C559="SELL","OUT",IF(G558="IN","IN","OUT")))</f>
        <v>IN</v>
      </c>
      <c r="H559" s="14" t="n">
        <f aca="false">H558+IF(F559="",0,F559)</f>
        <v>30.7085619299976</v>
      </c>
      <c r="I559" s="14" t="n">
        <f aca="false">MAX(I558,H559)</f>
        <v>30.7085619299976</v>
      </c>
      <c r="J559" s="14" t="n">
        <f aca="false">I559-H559</f>
        <v>0</v>
      </c>
    </row>
    <row r="560" customFormat="false" ht="15" hidden="false" customHeight="false" outlineLevel="0" collapsed="false">
      <c r="A560" s="12" t="n">
        <f aca="false">Data!A560</f>
        <v>42818</v>
      </c>
      <c r="B560" s="14" t="n">
        <f aca="false">Data!B560</f>
        <v>47.97</v>
      </c>
      <c r="C560" s="0" t="str">
        <f aca="false">IF(Data!D560="","HOLD",IF(AND(G559&lt;&gt;"IN",Data!E560&lt;-5),"BUY",IF(AND(G559="IN",Data!E560&gt;0),"SELL","HOLD")))</f>
        <v>HOLD</v>
      </c>
      <c r="D560" s="14" t="n">
        <f aca="false">IF(C560="BUY",B560,IF(G559="IN",D559,""))</f>
        <v>50.28</v>
      </c>
      <c r="E560" s="14" t="str">
        <f aca="false">IF(C560="SELL",B560,"")</f>
        <v/>
      </c>
      <c r="F560" s="14" t="str">
        <f aca="false">IF(E560="","",(E560-D560)/D560*100)</f>
        <v/>
      </c>
      <c r="G560" s="0" t="str">
        <f aca="false">IF(C560="BUY","IN",IF(C560="SELL","OUT",IF(G559="IN","IN","OUT")))</f>
        <v>IN</v>
      </c>
      <c r="H560" s="14" t="n">
        <f aca="false">H559+IF(F560="",0,F560)</f>
        <v>30.7085619299976</v>
      </c>
      <c r="I560" s="14" t="n">
        <f aca="false">MAX(I559,H560)</f>
        <v>30.7085619299976</v>
      </c>
      <c r="J560" s="14" t="n">
        <f aca="false">I560-H560</f>
        <v>0</v>
      </c>
    </row>
    <row r="561" customFormat="false" ht="15" hidden="false" customHeight="false" outlineLevel="0" collapsed="false">
      <c r="A561" s="12" t="n">
        <f aca="false">Data!A561</f>
        <v>42821</v>
      </c>
      <c r="B561" s="14" t="n">
        <f aca="false">Data!B561</f>
        <v>47.73</v>
      </c>
      <c r="C561" s="0" t="str">
        <f aca="false">IF(Data!D561="","HOLD",IF(AND(G560&lt;&gt;"IN",Data!E561&lt;-5),"BUY",IF(AND(G560="IN",Data!E561&gt;0),"SELL","HOLD")))</f>
        <v>HOLD</v>
      </c>
      <c r="D561" s="14" t="n">
        <f aca="false">IF(C561="BUY",B561,IF(G560="IN",D560,""))</f>
        <v>50.28</v>
      </c>
      <c r="E561" s="14" t="str">
        <f aca="false">IF(C561="SELL",B561,"")</f>
        <v/>
      </c>
      <c r="F561" s="14" t="str">
        <f aca="false">IF(E561="","",(E561-D561)/D561*100)</f>
        <v/>
      </c>
      <c r="G561" s="0" t="str">
        <f aca="false">IF(C561="BUY","IN",IF(C561="SELL","OUT",IF(G560="IN","IN","OUT")))</f>
        <v>IN</v>
      </c>
      <c r="H561" s="14" t="n">
        <f aca="false">H560+IF(F561="",0,F561)</f>
        <v>30.7085619299976</v>
      </c>
      <c r="I561" s="14" t="n">
        <f aca="false">MAX(I560,H561)</f>
        <v>30.7085619299976</v>
      </c>
      <c r="J561" s="14" t="n">
        <f aca="false">I561-H561</f>
        <v>0</v>
      </c>
    </row>
    <row r="562" customFormat="false" ht="15" hidden="false" customHeight="false" outlineLevel="0" collapsed="false">
      <c r="A562" s="12" t="n">
        <f aca="false">Data!A562</f>
        <v>42822</v>
      </c>
      <c r="B562" s="14" t="n">
        <f aca="false">Data!B562</f>
        <v>48.37</v>
      </c>
      <c r="C562" s="0" t="str">
        <f aca="false">IF(Data!D562="","HOLD",IF(AND(G561&lt;&gt;"IN",Data!E562&lt;-5),"BUY",IF(AND(G561="IN",Data!E562&gt;0),"SELL","HOLD")))</f>
        <v>HOLD</v>
      </c>
      <c r="D562" s="14" t="n">
        <f aca="false">IF(C562="BUY",B562,IF(G561="IN",D561,""))</f>
        <v>50.28</v>
      </c>
      <c r="E562" s="14" t="str">
        <f aca="false">IF(C562="SELL",B562,"")</f>
        <v/>
      </c>
      <c r="F562" s="14" t="str">
        <f aca="false">IF(E562="","",(E562-D562)/D562*100)</f>
        <v/>
      </c>
      <c r="G562" s="0" t="str">
        <f aca="false">IF(C562="BUY","IN",IF(C562="SELL","OUT",IF(G561="IN","IN","OUT")))</f>
        <v>IN</v>
      </c>
      <c r="H562" s="14" t="n">
        <f aca="false">H561+IF(F562="",0,F562)</f>
        <v>30.7085619299976</v>
      </c>
      <c r="I562" s="14" t="n">
        <f aca="false">MAX(I561,H562)</f>
        <v>30.7085619299976</v>
      </c>
      <c r="J562" s="14" t="n">
        <f aca="false">I562-H562</f>
        <v>0</v>
      </c>
    </row>
    <row r="563" customFormat="false" ht="15" hidden="false" customHeight="false" outlineLevel="0" collapsed="false">
      <c r="A563" s="12" t="n">
        <f aca="false">Data!A563</f>
        <v>42823</v>
      </c>
      <c r="B563" s="14" t="n">
        <f aca="false">Data!B563</f>
        <v>49.51</v>
      </c>
      <c r="C563" s="0" t="str">
        <f aca="false">IF(Data!D563="","HOLD",IF(AND(G562&lt;&gt;"IN",Data!E563&lt;-5),"BUY",IF(AND(G562="IN",Data!E563&gt;0),"SELL","HOLD")))</f>
        <v>SELL</v>
      </c>
      <c r="D563" s="14" t="n">
        <f aca="false">IF(C563="BUY",B563,IF(G562="IN",D562,""))</f>
        <v>50.28</v>
      </c>
      <c r="E563" s="14" t="n">
        <f aca="false">IF(C563="SELL",B563,"")</f>
        <v>49.51</v>
      </c>
      <c r="F563" s="14" t="n">
        <f aca="false">IF(E563="","",(E563-D563)/D563*100)</f>
        <v>-1.53142402545744</v>
      </c>
      <c r="G563" s="0" t="str">
        <f aca="false">IF(C563="BUY","IN",IF(C563="SELL","OUT",IF(G562="IN","IN","OUT")))</f>
        <v>OUT</v>
      </c>
      <c r="H563" s="14" t="n">
        <f aca="false">H562+IF(F563="",0,F563)</f>
        <v>29.1771379045402</v>
      </c>
      <c r="I563" s="14" t="n">
        <f aca="false">MAX(I562,H563)</f>
        <v>30.7085619299976</v>
      </c>
      <c r="J563" s="14" t="n">
        <f aca="false">I563-H563</f>
        <v>1.53142402545744</v>
      </c>
    </row>
    <row r="564" customFormat="false" ht="15" hidden="false" customHeight="false" outlineLevel="0" collapsed="false">
      <c r="A564" s="12" t="n">
        <f aca="false">Data!A564</f>
        <v>42824</v>
      </c>
      <c r="B564" s="14" t="n">
        <f aca="false">Data!B564</f>
        <v>50.35</v>
      </c>
      <c r="C564" s="0" t="str">
        <f aca="false">IF(Data!D564="","HOLD",IF(AND(G563&lt;&gt;"IN",Data!E564&lt;-5),"BUY",IF(AND(G563="IN",Data!E564&gt;0),"SELL","HOLD")))</f>
        <v>HOLD</v>
      </c>
      <c r="D564" s="14" t="str">
        <f aca="false">IF(C564="BUY",B564,IF(G563="IN",D563,""))</f>
        <v/>
      </c>
      <c r="E564" s="14" t="str">
        <f aca="false">IF(C564="SELL",B564,"")</f>
        <v/>
      </c>
      <c r="F564" s="14" t="str">
        <f aca="false">IF(E564="","",(E564-D564)/D564*100)</f>
        <v/>
      </c>
      <c r="G564" s="0" t="str">
        <f aca="false">IF(C564="BUY","IN",IF(C564="SELL","OUT",IF(G563="IN","IN","OUT")))</f>
        <v>OUT</v>
      </c>
      <c r="H564" s="14" t="n">
        <f aca="false">H563+IF(F564="",0,F564)</f>
        <v>29.1771379045402</v>
      </c>
      <c r="I564" s="14" t="n">
        <f aca="false">MAX(I563,H564)</f>
        <v>30.7085619299976</v>
      </c>
      <c r="J564" s="14" t="n">
        <f aca="false">I564-H564</f>
        <v>1.53142402545744</v>
      </c>
    </row>
    <row r="565" customFormat="false" ht="15" hidden="false" customHeight="false" outlineLevel="0" collapsed="false">
      <c r="A565" s="12" t="n">
        <f aca="false">Data!A565</f>
        <v>42825</v>
      </c>
      <c r="B565" s="14" t="n">
        <f aca="false">Data!B565</f>
        <v>50.6</v>
      </c>
      <c r="C565" s="0" t="str">
        <f aca="false">IF(Data!D565="","HOLD",IF(AND(G564&lt;&gt;"IN",Data!E565&lt;-5),"BUY",IF(AND(G564="IN",Data!E565&gt;0),"SELL","HOLD")))</f>
        <v>HOLD</v>
      </c>
      <c r="D565" s="14" t="str">
        <f aca="false">IF(C565="BUY",B565,IF(G564="IN",D564,""))</f>
        <v/>
      </c>
      <c r="E565" s="14" t="str">
        <f aca="false">IF(C565="SELL",B565,"")</f>
        <v/>
      </c>
      <c r="F565" s="14" t="str">
        <f aca="false">IF(E565="","",(E565-D565)/D565*100)</f>
        <v/>
      </c>
      <c r="G565" s="0" t="str">
        <f aca="false">IF(C565="BUY","IN",IF(C565="SELL","OUT",IF(G564="IN","IN","OUT")))</f>
        <v>OUT</v>
      </c>
      <c r="H565" s="14" t="n">
        <f aca="false">H564+IF(F565="",0,F565)</f>
        <v>29.1771379045402</v>
      </c>
      <c r="I565" s="14" t="n">
        <f aca="false">MAX(I564,H565)</f>
        <v>30.7085619299976</v>
      </c>
      <c r="J565" s="14" t="n">
        <f aca="false">I565-H565</f>
        <v>1.53142402545744</v>
      </c>
    </row>
    <row r="566" customFormat="false" ht="15" hidden="false" customHeight="false" outlineLevel="0" collapsed="false">
      <c r="A566" s="12" t="n">
        <f aca="false">Data!A566</f>
        <v>42828</v>
      </c>
      <c r="B566" s="14" t="n">
        <f aca="false">Data!B566</f>
        <v>50.24</v>
      </c>
      <c r="C566" s="0" t="str">
        <f aca="false">IF(Data!D566="","HOLD",IF(AND(G565&lt;&gt;"IN",Data!E566&lt;-5),"BUY",IF(AND(G565="IN",Data!E566&gt;0),"SELL","HOLD")))</f>
        <v>HOLD</v>
      </c>
      <c r="D566" s="14" t="str">
        <f aca="false">IF(C566="BUY",B566,IF(G565="IN",D565,""))</f>
        <v/>
      </c>
      <c r="E566" s="14" t="str">
        <f aca="false">IF(C566="SELL",B566,"")</f>
        <v/>
      </c>
      <c r="F566" s="14" t="str">
        <f aca="false">IF(E566="","",(E566-D566)/D566*100)</f>
        <v/>
      </c>
      <c r="G566" s="0" t="str">
        <f aca="false">IF(C566="BUY","IN",IF(C566="SELL","OUT",IF(G565="IN","IN","OUT")))</f>
        <v>OUT</v>
      </c>
      <c r="H566" s="14" t="n">
        <f aca="false">H565+IF(F566="",0,F566)</f>
        <v>29.1771379045402</v>
      </c>
      <c r="I566" s="14" t="n">
        <f aca="false">MAX(I565,H566)</f>
        <v>30.7085619299976</v>
      </c>
      <c r="J566" s="14" t="n">
        <f aca="false">I566-H566</f>
        <v>1.53142402545744</v>
      </c>
    </row>
    <row r="567" customFormat="false" ht="15" hidden="false" customHeight="false" outlineLevel="0" collapsed="false">
      <c r="A567" s="12" t="n">
        <f aca="false">Data!A567</f>
        <v>42829</v>
      </c>
      <c r="B567" s="14" t="n">
        <f aca="false">Data!B567</f>
        <v>51.03</v>
      </c>
      <c r="C567" s="0" t="str">
        <f aca="false">IF(Data!D567="","HOLD",IF(AND(G566&lt;&gt;"IN",Data!E567&lt;-5),"BUY",IF(AND(G566="IN",Data!E567&gt;0),"SELL","HOLD")))</f>
        <v>HOLD</v>
      </c>
      <c r="D567" s="14" t="str">
        <f aca="false">IF(C567="BUY",B567,IF(G566="IN",D566,""))</f>
        <v/>
      </c>
      <c r="E567" s="14" t="str">
        <f aca="false">IF(C567="SELL",B567,"")</f>
        <v/>
      </c>
      <c r="F567" s="14" t="str">
        <f aca="false">IF(E567="","",(E567-D567)/D567*100)</f>
        <v/>
      </c>
      <c r="G567" s="0" t="str">
        <f aca="false">IF(C567="BUY","IN",IF(C567="SELL","OUT",IF(G566="IN","IN","OUT")))</f>
        <v>OUT</v>
      </c>
      <c r="H567" s="14" t="n">
        <f aca="false">H566+IF(F567="",0,F567)</f>
        <v>29.1771379045402</v>
      </c>
      <c r="I567" s="14" t="n">
        <f aca="false">MAX(I566,H567)</f>
        <v>30.7085619299976</v>
      </c>
      <c r="J567" s="14" t="n">
        <f aca="false">I567-H567</f>
        <v>1.53142402545744</v>
      </c>
    </row>
    <row r="568" customFormat="false" ht="15" hidden="false" customHeight="false" outlineLevel="0" collapsed="false">
      <c r="A568" s="12" t="n">
        <f aca="false">Data!A568</f>
        <v>42830</v>
      </c>
      <c r="B568" s="14" t="n">
        <f aca="false">Data!B568</f>
        <v>51.15</v>
      </c>
      <c r="C568" s="0" t="str">
        <f aca="false">IF(Data!D568="","HOLD",IF(AND(G567&lt;&gt;"IN",Data!E568&lt;-5),"BUY",IF(AND(G567="IN",Data!E568&gt;0),"SELL","HOLD")))</f>
        <v>HOLD</v>
      </c>
      <c r="D568" s="14" t="str">
        <f aca="false">IF(C568="BUY",B568,IF(G567="IN",D567,""))</f>
        <v/>
      </c>
      <c r="E568" s="14" t="str">
        <f aca="false">IF(C568="SELL",B568,"")</f>
        <v/>
      </c>
      <c r="F568" s="14" t="str">
        <f aca="false">IF(E568="","",(E568-D568)/D568*100)</f>
        <v/>
      </c>
      <c r="G568" s="0" t="str">
        <f aca="false">IF(C568="BUY","IN",IF(C568="SELL","OUT",IF(G567="IN","IN","OUT")))</f>
        <v>OUT</v>
      </c>
      <c r="H568" s="14" t="n">
        <f aca="false">H567+IF(F568="",0,F568)</f>
        <v>29.1771379045402</v>
      </c>
      <c r="I568" s="14" t="n">
        <f aca="false">MAX(I567,H568)</f>
        <v>30.7085619299976</v>
      </c>
      <c r="J568" s="14" t="n">
        <f aca="false">I568-H568</f>
        <v>1.53142402545744</v>
      </c>
    </row>
    <row r="569" customFormat="false" ht="15" hidden="false" customHeight="false" outlineLevel="0" collapsed="false">
      <c r="A569" s="12" t="n">
        <f aca="false">Data!A569</f>
        <v>42831</v>
      </c>
      <c r="B569" s="14" t="n">
        <f aca="false">Data!B569</f>
        <v>51.7</v>
      </c>
      <c r="C569" s="0" t="str">
        <f aca="false">IF(Data!D569="","HOLD",IF(AND(G568&lt;&gt;"IN",Data!E569&lt;-5),"BUY",IF(AND(G568="IN",Data!E569&gt;0),"SELL","HOLD")))</f>
        <v>HOLD</v>
      </c>
      <c r="D569" s="14" t="str">
        <f aca="false">IF(C569="BUY",B569,IF(G568="IN",D568,""))</f>
        <v/>
      </c>
      <c r="E569" s="14" t="str">
        <f aca="false">IF(C569="SELL",B569,"")</f>
        <v/>
      </c>
      <c r="F569" s="14" t="str">
        <f aca="false">IF(E569="","",(E569-D569)/D569*100)</f>
        <v/>
      </c>
      <c r="G569" s="0" t="str">
        <f aca="false">IF(C569="BUY","IN",IF(C569="SELL","OUT",IF(G568="IN","IN","OUT")))</f>
        <v>OUT</v>
      </c>
      <c r="H569" s="14" t="n">
        <f aca="false">H568+IF(F569="",0,F569)</f>
        <v>29.1771379045402</v>
      </c>
      <c r="I569" s="14" t="n">
        <f aca="false">MAX(I568,H569)</f>
        <v>30.7085619299976</v>
      </c>
      <c r="J569" s="14" t="n">
        <f aca="false">I569-H569</f>
        <v>1.53142402545744</v>
      </c>
    </row>
    <row r="570" customFormat="false" ht="15" hidden="false" customHeight="false" outlineLevel="0" collapsed="false">
      <c r="A570" s="12" t="n">
        <f aca="false">Data!A570</f>
        <v>42832</v>
      </c>
      <c r="B570" s="14" t="n">
        <f aca="false">Data!B570</f>
        <v>52.24</v>
      </c>
      <c r="C570" s="0" t="str">
        <f aca="false">IF(Data!D570="","HOLD",IF(AND(G569&lt;&gt;"IN",Data!E570&lt;-5),"BUY",IF(AND(G569="IN",Data!E570&gt;0),"SELL","HOLD")))</f>
        <v>HOLD</v>
      </c>
      <c r="D570" s="14" t="str">
        <f aca="false">IF(C570="BUY",B570,IF(G569="IN",D569,""))</f>
        <v/>
      </c>
      <c r="E570" s="14" t="str">
        <f aca="false">IF(C570="SELL",B570,"")</f>
        <v/>
      </c>
      <c r="F570" s="14" t="str">
        <f aca="false">IF(E570="","",(E570-D570)/D570*100)</f>
        <v/>
      </c>
      <c r="G570" s="0" t="str">
        <f aca="false">IF(C570="BUY","IN",IF(C570="SELL","OUT",IF(G569="IN","IN","OUT")))</f>
        <v>OUT</v>
      </c>
      <c r="H570" s="14" t="n">
        <f aca="false">H569+IF(F570="",0,F570)</f>
        <v>29.1771379045402</v>
      </c>
      <c r="I570" s="14" t="n">
        <f aca="false">MAX(I569,H570)</f>
        <v>30.7085619299976</v>
      </c>
      <c r="J570" s="14" t="n">
        <f aca="false">I570-H570</f>
        <v>1.53142402545744</v>
      </c>
    </row>
    <row r="571" customFormat="false" ht="15" hidden="false" customHeight="false" outlineLevel="0" collapsed="false">
      <c r="A571" s="12" t="n">
        <f aca="false">Data!A571</f>
        <v>42835</v>
      </c>
      <c r="B571" s="14" t="n">
        <f aca="false">Data!B571</f>
        <v>53.08</v>
      </c>
      <c r="C571" s="0" t="str">
        <f aca="false">IF(Data!D571="","HOLD",IF(AND(G570&lt;&gt;"IN",Data!E571&lt;-5),"BUY",IF(AND(G570="IN",Data!E571&gt;0),"SELL","HOLD")))</f>
        <v>HOLD</v>
      </c>
      <c r="D571" s="14" t="str">
        <f aca="false">IF(C571="BUY",B571,IF(G570="IN",D570,""))</f>
        <v/>
      </c>
      <c r="E571" s="14" t="str">
        <f aca="false">IF(C571="SELL",B571,"")</f>
        <v/>
      </c>
      <c r="F571" s="14" t="str">
        <f aca="false">IF(E571="","",(E571-D571)/D571*100)</f>
        <v/>
      </c>
      <c r="G571" s="0" t="str">
        <f aca="false">IF(C571="BUY","IN",IF(C571="SELL","OUT",IF(G570="IN","IN","OUT")))</f>
        <v>OUT</v>
      </c>
      <c r="H571" s="14" t="n">
        <f aca="false">H570+IF(F571="",0,F571)</f>
        <v>29.1771379045402</v>
      </c>
      <c r="I571" s="14" t="n">
        <f aca="false">MAX(I570,H571)</f>
        <v>30.7085619299976</v>
      </c>
      <c r="J571" s="14" t="n">
        <f aca="false">I571-H571</f>
        <v>1.53142402545744</v>
      </c>
    </row>
    <row r="572" customFormat="false" ht="15" hidden="false" customHeight="false" outlineLevel="0" collapsed="false">
      <c r="A572" s="12" t="n">
        <f aca="false">Data!A572</f>
        <v>42836</v>
      </c>
      <c r="B572" s="14" t="n">
        <f aca="false">Data!B572</f>
        <v>53.4</v>
      </c>
      <c r="C572" s="0" t="str">
        <f aca="false">IF(Data!D572="","HOLD",IF(AND(G571&lt;&gt;"IN",Data!E572&lt;-5),"BUY",IF(AND(G571="IN",Data!E572&gt;0),"SELL","HOLD")))</f>
        <v>HOLD</v>
      </c>
      <c r="D572" s="14" t="str">
        <f aca="false">IF(C572="BUY",B572,IF(G571="IN",D571,""))</f>
        <v/>
      </c>
      <c r="E572" s="14" t="str">
        <f aca="false">IF(C572="SELL",B572,"")</f>
        <v/>
      </c>
      <c r="F572" s="14" t="str">
        <f aca="false">IF(E572="","",(E572-D572)/D572*100)</f>
        <v/>
      </c>
      <c r="G572" s="0" t="str">
        <f aca="false">IF(C572="BUY","IN",IF(C572="SELL","OUT",IF(G571="IN","IN","OUT")))</f>
        <v>OUT</v>
      </c>
      <c r="H572" s="14" t="n">
        <f aca="false">H571+IF(F572="",0,F572)</f>
        <v>29.1771379045402</v>
      </c>
      <c r="I572" s="14" t="n">
        <f aca="false">MAX(I571,H572)</f>
        <v>30.7085619299976</v>
      </c>
      <c r="J572" s="14" t="n">
        <f aca="false">I572-H572</f>
        <v>1.53142402545744</v>
      </c>
    </row>
    <row r="573" customFormat="false" ht="15" hidden="false" customHeight="false" outlineLevel="0" collapsed="false">
      <c r="A573" s="12" t="n">
        <f aca="false">Data!A573</f>
        <v>42837</v>
      </c>
      <c r="B573" s="14" t="n">
        <f aca="false">Data!B573</f>
        <v>53.11</v>
      </c>
      <c r="C573" s="0" t="str">
        <f aca="false">IF(Data!D573="","HOLD",IF(AND(G572&lt;&gt;"IN",Data!E573&lt;-5),"BUY",IF(AND(G572="IN",Data!E573&gt;0),"SELL","HOLD")))</f>
        <v>HOLD</v>
      </c>
      <c r="D573" s="14" t="str">
        <f aca="false">IF(C573="BUY",B573,IF(G572="IN",D572,""))</f>
        <v/>
      </c>
      <c r="E573" s="14" t="str">
        <f aca="false">IF(C573="SELL",B573,"")</f>
        <v/>
      </c>
      <c r="F573" s="14" t="str">
        <f aca="false">IF(E573="","",(E573-D573)/D573*100)</f>
        <v/>
      </c>
      <c r="G573" s="0" t="str">
        <f aca="false">IF(C573="BUY","IN",IF(C573="SELL","OUT",IF(G572="IN","IN","OUT")))</f>
        <v>OUT</v>
      </c>
      <c r="H573" s="14" t="n">
        <f aca="false">H572+IF(F573="",0,F573)</f>
        <v>29.1771379045402</v>
      </c>
      <c r="I573" s="14" t="n">
        <f aca="false">MAX(I572,H573)</f>
        <v>30.7085619299976</v>
      </c>
      <c r="J573" s="14" t="n">
        <f aca="false">I573-H573</f>
        <v>1.53142402545744</v>
      </c>
    </row>
    <row r="574" customFormat="false" ht="15" hidden="false" customHeight="false" outlineLevel="0" collapsed="false">
      <c r="A574" s="12" t="n">
        <f aca="false">Data!A574</f>
        <v>42838</v>
      </c>
      <c r="B574" s="14" t="n">
        <f aca="false">Data!B574</f>
        <v>53.18</v>
      </c>
      <c r="C574" s="0" t="str">
        <f aca="false">IF(Data!D574="","HOLD",IF(AND(G573&lt;&gt;"IN",Data!E574&lt;-5),"BUY",IF(AND(G573="IN",Data!E574&gt;0),"SELL","HOLD")))</f>
        <v>HOLD</v>
      </c>
      <c r="D574" s="14" t="str">
        <f aca="false">IF(C574="BUY",B574,IF(G573="IN",D573,""))</f>
        <v/>
      </c>
      <c r="E574" s="14" t="str">
        <f aca="false">IF(C574="SELL",B574,"")</f>
        <v/>
      </c>
      <c r="F574" s="14" t="str">
        <f aca="false">IF(E574="","",(E574-D574)/D574*100)</f>
        <v/>
      </c>
      <c r="G574" s="0" t="str">
        <f aca="false">IF(C574="BUY","IN",IF(C574="SELL","OUT",IF(G573="IN","IN","OUT")))</f>
        <v>OUT</v>
      </c>
      <c r="H574" s="14" t="n">
        <f aca="false">H573+IF(F574="",0,F574)</f>
        <v>29.1771379045402</v>
      </c>
      <c r="I574" s="14" t="n">
        <f aca="false">MAX(I573,H574)</f>
        <v>30.7085619299976</v>
      </c>
      <c r="J574" s="14" t="n">
        <f aca="false">I574-H574</f>
        <v>1.53142402545744</v>
      </c>
    </row>
    <row r="575" customFormat="false" ht="15" hidden="false" customHeight="false" outlineLevel="0" collapsed="false">
      <c r="A575" s="12" t="n">
        <f aca="false">Data!A575</f>
        <v>42842</v>
      </c>
      <c r="B575" s="14" t="n">
        <f aca="false">Data!B575</f>
        <v>52.65</v>
      </c>
      <c r="C575" s="0" t="str">
        <f aca="false">IF(Data!D575="","HOLD",IF(AND(G574&lt;&gt;"IN",Data!E575&lt;-5),"BUY",IF(AND(G574="IN",Data!E575&gt;0),"SELL","HOLD")))</f>
        <v>HOLD</v>
      </c>
      <c r="D575" s="14" t="str">
        <f aca="false">IF(C575="BUY",B575,IF(G574="IN",D574,""))</f>
        <v/>
      </c>
      <c r="E575" s="14" t="str">
        <f aca="false">IF(C575="SELL",B575,"")</f>
        <v/>
      </c>
      <c r="F575" s="14" t="str">
        <f aca="false">IF(E575="","",(E575-D575)/D575*100)</f>
        <v/>
      </c>
      <c r="G575" s="0" t="str">
        <f aca="false">IF(C575="BUY","IN",IF(C575="SELL","OUT",IF(G574="IN","IN","OUT")))</f>
        <v>OUT</v>
      </c>
      <c r="H575" s="14" t="n">
        <f aca="false">H574+IF(F575="",0,F575)</f>
        <v>29.1771379045402</v>
      </c>
      <c r="I575" s="14" t="n">
        <f aca="false">MAX(I574,H575)</f>
        <v>30.7085619299976</v>
      </c>
      <c r="J575" s="14" t="n">
        <f aca="false">I575-H575</f>
        <v>1.53142402545744</v>
      </c>
    </row>
    <row r="576" customFormat="false" ht="15" hidden="false" customHeight="false" outlineLevel="0" collapsed="false">
      <c r="A576" s="12" t="n">
        <f aca="false">Data!A576</f>
        <v>42843</v>
      </c>
      <c r="B576" s="14" t="n">
        <f aca="false">Data!B576</f>
        <v>52.41</v>
      </c>
      <c r="C576" s="0" t="str">
        <f aca="false">IF(Data!D576="","HOLD",IF(AND(G575&lt;&gt;"IN",Data!E576&lt;-5),"BUY",IF(AND(G575="IN",Data!E576&gt;0),"SELL","HOLD")))</f>
        <v>HOLD</v>
      </c>
      <c r="D576" s="14" t="str">
        <f aca="false">IF(C576="BUY",B576,IF(G575="IN",D575,""))</f>
        <v/>
      </c>
      <c r="E576" s="14" t="str">
        <f aca="false">IF(C576="SELL",B576,"")</f>
        <v/>
      </c>
      <c r="F576" s="14" t="str">
        <f aca="false">IF(E576="","",(E576-D576)/D576*100)</f>
        <v/>
      </c>
      <c r="G576" s="0" t="str">
        <f aca="false">IF(C576="BUY","IN",IF(C576="SELL","OUT",IF(G575="IN","IN","OUT")))</f>
        <v>OUT</v>
      </c>
      <c r="H576" s="14" t="n">
        <f aca="false">H575+IF(F576="",0,F576)</f>
        <v>29.1771379045402</v>
      </c>
      <c r="I576" s="14" t="n">
        <f aca="false">MAX(I575,H576)</f>
        <v>30.7085619299976</v>
      </c>
      <c r="J576" s="14" t="n">
        <f aca="false">I576-H576</f>
        <v>1.53142402545744</v>
      </c>
    </row>
    <row r="577" customFormat="false" ht="15" hidden="false" customHeight="false" outlineLevel="0" collapsed="false">
      <c r="A577" s="12" t="n">
        <f aca="false">Data!A577</f>
        <v>42844</v>
      </c>
      <c r="B577" s="14" t="n">
        <f aca="false">Data!B577</f>
        <v>50.44</v>
      </c>
      <c r="C577" s="0" t="str">
        <f aca="false">IF(Data!D577="","HOLD",IF(AND(G576&lt;&gt;"IN",Data!E577&lt;-5),"BUY",IF(AND(G576="IN",Data!E577&gt;0),"SELL","HOLD")))</f>
        <v>HOLD</v>
      </c>
      <c r="D577" s="14" t="str">
        <f aca="false">IF(C577="BUY",B577,IF(G576="IN",D576,""))</f>
        <v/>
      </c>
      <c r="E577" s="14" t="str">
        <f aca="false">IF(C577="SELL",B577,"")</f>
        <v/>
      </c>
      <c r="F577" s="14" t="str">
        <f aca="false">IF(E577="","",(E577-D577)/D577*100)</f>
        <v/>
      </c>
      <c r="G577" s="0" t="str">
        <f aca="false">IF(C577="BUY","IN",IF(C577="SELL","OUT",IF(G576="IN","IN","OUT")))</f>
        <v>OUT</v>
      </c>
      <c r="H577" s="14" t="n">
        <f aca="false">H576+IF(F577="",0,F577)</f>
        <v>29.1771379045402</v>
      </c>
      <c r="I577" s="14" t="n">
        <f aca="false">MAX(I576,H577)</f>
        <v>30.7085619299976</v>
      </c>
      <c r="J577" s="14" t="n">
        <f aca="false">I577-H577</f>
        <v>1.53142402545744</v>
      </c>
    </row>
    <row r="578" customFormat="false" ht="15" hidden="false" customHeight="false" outlineLevel="0" collapsed="false">
      <c r="A578" s="12" t="n">
        <f aca="false">Data!A578</f>
        <v>42845</v>
      </c>
      <c r="B578" s="14" t="n">
        <f aca="false">Data!B578</f>
        <v>50.27</v>
      </c>
      <c r="C578" s="0" t="str">
        <f aca="false">IF(Data!D578="","HOLD",IF(AND(G577&lt;&gt;"IN",Data!E578&lt;-5),"BUY",IF(AND(G577="IN",Data!E578&gt;0),"SELL","HOLD")))</f>
        <v>HOLD</v>
      </c>
      <c r="D578" s="14" t="str">
        <f aca="false">IF(C578="BUY",B578,IF(G577="IN",D577,""))</f>
        <v/>
      </c>
      <c r="E578" s="14" t="str">
        <f aca="false">IF(C578="SELL",B578,"")</f>
        <v/>
      </c>
      <c r="F578" s="14" t="str">
        <f aca="false">IF(E578="","",(E578-D578)/D578*100)</f>
        <v/>
      </c>
      <c r="G578" s="0" t="str">
        <f aca="false">IF(C578="BUY","IN",IF(C578="SELL","OUT",IF(G577="IN","IN","OUT")))</f>
        <v>OUT</v>
      </c>
      <c r="H578" s="14" t="n">
        <f aca="false">H577+IF(F578="",0,F578)</f>
        <v>29.1771379045402</v>
      </c>
      <c r="I578" s="14" t="n">
        <f aca="false">MAX(I577,H578)</f>
        <v>30.7085619299976</v>
      </c>
      <c r="J578" s="14" t="n">
        <f aca="false">I578-H578</f>
        <v>1.53142402545744</v>
      </c>
    </row>
    <row r="579" customFormat="false" ht="15" hidden="false" customHeight="false" outlineLevel="0" collapsed="false">
      <c r="A579" s="12" t="n">
        <f aca="false">Data!A579</f>
        <v>42846</v>
      </c>
      <c r="B579" s="14" t="n">
        <f aca="false">Data!B579</f>
        <v>49.62</v>
      </c>
      <c r="C579" s="0" t="str">
        <f aca="false">IF(Data!D579="","HOLD",IF(AND(G578&lt;&gt;"IN",Data!E579&lt;-5),"BUY",IF(AND(G578="IN",Data!E579&gt;0),"SELL","HOLD")))</f>
        <v>HOLD</v>
      </c>
      <c r="D579" s="14" t="str">
        <f aca="false">IF(C579="BUY",B579,IF(G578="IN",D578,""))</f>
        <v/>
      </c>
      <c r="E579" s="14" t="str">
        <f aca="false">IF(C579="SELL",B579,"")</f>
        <v/>
      </c>
      <c r="F579" s="14" t="str">
        <f aca="false">IF(E579="","",(E579-D579)/D579*100)</f>
        <v/>
      </c>
      <c r="G579" s="0" t="str">
        <f aca="false">IF(C579="BUY","IN",IF(C579="SELL","OUT",IF(G578="IN","IN","OUT")))</f>
        <v>OUT</v>
      </c>
      <c r="H579" s="14" t="n">
        <f aca="false">H578+IF(F579="",0,F579)</f>
        <v>29.1771379045402</v>
      </c>
      <c r="I579" s="14" t="n">
        <f aca="false">MAX(I578,H579)</f>
        <v>30.7085619299976</v>
      </c>
      <c r="J579" s="14" t="n">
        <f aca="false">I579-H579</f>
        <v>1.53142402545744</v>
      </c>
    </row>
    <row r="580" customFormat="false" ht="15" hidden="false" customHeight="false" outlineLevel="0" collapsed="false">
      <c r="A580" s="12" t="n">
        <f aca="false">Data!A580</f>
        <v>42849</v>
      </c>
      <c r="B580" s="14" t="n">
        <f aca="false">Data!B580</f>
        <v>49.23</v>
      </c>
      <c r="C580" s="0" t="str">
        <f aca="false">IF(Data!D580="","HOLD",IF(AND(G579&lt;&gt;"IN",Data!E580&lt;-5),"BUY",IF(AND(G579="IN",Data!E580&gt;0),"SELL","HOLD")))</f>
        <v>HOLD</v>
      </c>
      <c r="D580" s="14" t="str">
        <f aca="false">IF(C580="BUY",B580,IF(G579="IN",D579,""))</f>
        <v/>
      </c>
      <c r="E580" s="14" t="str">
        <f aca="false">IF(C580="SELL",B580,"")</f>
        <v/>
      </c>
      <c r="F580" s="14" t="str">
        <f aca="false">IF(E580="","",(E580-D580)/D580*100)</f>
        <v/>
      </c>
      <c r="G580" s="0" t="str">
        <f aca="false">IF(C580="BUY","IN",IF(C580="SELL","OUT",IF(G579="IN","IN","OUT")))</f>
        <v>OUT</v>
      </c>
      <c r="H580" s="14" t="n">
        <f aca="false">H579+IF(F580="",0,F580)</f>
        <v>29.1771379045402</v>
      </c>
      <c r="I580" s="14" t="n">
        <f aca="false">MAX(I579,H580)</f>
        <v>30.7085619299976</v>
      </c>
      <c r="J580" s="14" t="n">
        <f aca="false">I580-H580</f>
        <v>1.53142402545744</v>
      </c>
    </row>
    <row r="581" customFormat="false" ht="15" hidden="false" customHeight="false" outlineLevel="0" collapsed="false">
      <c r="A581" s="12" t="n">
        <f aca="false">Data!A581</f>
        <v>42850</v>
      </c>
      <c r="B581" s="14" t="n">
        <f aca="false">Data!B581</f>
        <v>49.56</v>
      </c>
      <c r="C581" s="0" t="str">
        <f aca="false">IF(Data!D581="","HOLD",IF(AND(G580&lt;&gt;"IN",Data!E581&lt;-5),"BUY",IF(AND(G580="IN",Data!E581&gt;0),"SELL","HOLD")))</f>
        <v>HOLD</v>
      </c>
      <c r="D581" s="14" t="str">
        <f aca="false">IF(C581="BUY",B581,IF(G580="IN",D580,""))</f>
        <v/>
      </c>
      <c r="E581" s="14" t="str">
        <f aca="false">IF(C581="SELL",B581,"")</f>
        <v/>
      </c>
      <c r="F581" s="14" t="str">
        <f aca="false">IF(E581="","",(E581-D581)/D581*100)</f>
        <v/>
      </c>
      <c r="G581" s="0" t="str">
        <f aca="false">IF(C581="BUY","IN",IF(C581="SELL","OUT",IF(G580="IN","IN","OUT")))</f>
        <v>OUT</v>
      </c>
      <c r="H581" s="14" t="n">
        <f aca="false">H580+IF(F581="",0,F581)</f>
        <v>29.1771379045402</v>
      </c>
      <c r="I581" s="14" t="n">
        <f aca="false">MAX(I580,H581)</f>
        <v>30.7085619299976</v>
      </c>
      <c r="J581" s="14" t="n">
        <f aca="false">I581-H581</f>
        <v>1.53142402545744</v>
      </c>
    </row>
    <row r="582" customFormat="false" ht="15" hidden="false" customHeight="false" outlineLevel="0" collapsed="false">
      <c r="A582" s="12" t="n">
        <f aca="false">Data!A582</f>
        <v>42851</v>
      </c>
      <c r="B582" s="14" t="n">
        <f aca="false">Data!B582</f>
        <v>49.62</v>
      </c>
      <c r="C582" s="0" t="str">
        <f aca="false">IF(Data!D582="","HOLD",IF(AND(G581&lt;&gt;"IN",Data!E582&lt;-5),"BUY",IF(AND(G581="IN",Data!E582&gt;0),"SELL","HOLD")))</f>
        <v>HOLD</v>
      </c>
      <c r="D582" s="14" t="str">
        <f aca="false">IF(C582="BUY",B582,IF(G581="IN",D581,""))</f>
        <v/>
      </c>
      <c r="E582" s="14" t="str">
        <f aca="false">IF(C582="SELL",B582,"")</f>
        <v/>
      </c>
      <c r="F582" s="14" t="str">
        <f aca="false">IF(E582="","",(E582-D582)/D582*100)</f>
        <v/>
      </c>
      <c r="G582" s="0" t="str">
        <f aca="false">IF(C582="BUY","IN",IF(C582="SELL","OUT",IF(G581="IN","IN","OUT")))</f>
        <v>OUT</v>
      </c>
      <c r="H582" s="14" t="n">
        <f aca="false">H581+IF(F582="",0,F582)</f>
        <v>29.1771379045402</v>
      </c>
      <c r="I582" s="14" t="n">
        <f aca="false">MAX(I581,H582)</f>
        <v>30.7085619299976</v>
      </c>
      <c r="J582" s="14" t="n">
        <f aca="false">I582-H582</f>
        <v>1.53142402545744</v>
      </c>
    </row>
    <row r="583" customFormat="false" ht="15" hidden="false" customHeight="false" outlineLevel="0" collapsed="false">
      <c r="A583" s="12" t="n">
        <f aca="false">Data!A583</f>
        <v>42852</v>
      </c>
      <c r="B583" s="14" t="n">
        <f aca="false">Data!B583</f>
        <v>48.97</v>
      </c>
      <c r="C583" s="0" t="str">
        <f aca="false">IF(Data!D583="","HOLD",IF(AND(G582&lt;&gt;"IN",Data!E583&lt;-5),"BUY",IF(AND(G582="IN",Data!E583&gt;0),"SELL","HOLD")))</f>
        <v>HOLD</v>
      </c>
      <c r="D583" s="14" t="str">
        <f aca="false">IF(C583="BUY",B583,IF(G582="IN",D582,""))</f>
        <v/>
      </c>
      <c r="E583" s="14" t="str">
        <f aca="false">IF(C583="SELL",B583,"")</f>
        <v/>
      </c>
      <c r="F583" s="14" t="str">
        <f aca="false">IF(E583="","",(E583-D583)/D583*100)</f>
        <v/>
      </c>
      <c r="G583" s="0" t="str">
        <f aca="false">IF(C583="BUY","IN",IF(C583="SELL","OUT",IF(G582="IN","IN","OUT")))</f>
        <v>OUT</v>
      </c>
      <c r="H583" s="14" t="n">
        <f aca="false">H582+IF(F583="",0,F583)</f>
        <v>29.1771379045402</v>
      </c>
      <c r="I583" s="14" t="n">
        <f aca="false">MAX(I582,H583)</f>
        <v>30.7085619299976</v>
      </c>
      <c r="J583" s="14" t="n">
        <f aca="false">I583-H583</f>
        <v>1.53142402545744</v>
      </c>
    </row>
    <row r="584" customFormat="false" ht="15" hidden="false" customHeight="false" outlineLevel="0" collapsed="false">
      <c r="A584" s="12" t="n">
        <f aca="false">Data!A584</f>
        <v>42853</v>
      </c>
      <c r="B584" s="14" t="n">
        <f aca="false">Data!B584</f>
        <v>49.33</v>
      </c>
      <c r="C584" s="0" t="str">
        <f aca="false">IF(Data!D584="","HOLD",IF(AND(G583&lt;&gt;"IN",Data!E584&lt;-5),"BUY",IF(AND(G583="IN",Data!E584&gt;0),"SELL","HOLD")))</f>
        <v>HOLD</v>
      </c>
      <c r="D584" s="14" t="str">
        <f aca="false">IF(C584="BUY",B584,IF(G583="IN",D583,""))</f>
        <v/>
      </c>
      <c r="E584" s="14" t="str">
        <f aca="false">IF(C584="SELL",B584,"")</f>
        <v/>
      </c>
      <c r="F584" s="14" t="str">
        <f aca="false">IF(E584="","",(E584-D584)/D584*100)</f>
        <v/>
      </c>
      <c r="G584" s="0" t="str">
        <f aca="false">IF(C584="BUY","IN",IF(C584="SELL","OUT",IF(G583="IN","IN","OUT")))</f>
        <v>OUT</v>
      </c>
      <c r="H584" s="14" t="n">
        <f aca="false">H583+IF(F584="",0,F584)</f>
        <v>29.1771379045402</v>
      </c>
      <c r="I584" s="14" t="n">
        <f aca="false">MAX(I583,H584)</f>
        <v>30.7085619299976</v>
      </c>
      <c r="J584" s="14" t="n">
        <f aca="false">I584-H584</f>
        <v>1.53142402545744</v>
      </c>
    </row>
    <row r="585" customFormat="false" ht="15" hidden="false" customHeight="false" outlineLevel="0" collapsed="false">
      <c r="A585" s="12" t="n">
        <f aca="false">Data!A585</f>
        <v>42856</v>
      </c>
      <c r="B585" s="14" t="n">
        <f aca="false">Data!B585</f>
        <v>48.84</v>
      </c>
      <c r="C585" s="0" t="str">
        <f aca="false">IF(Data!D585="","HOLD",IF(AND(G584&lt;&gt;"IN",Data!E585&lt;-5),"BUY",IF(AND(G584="IN",Data!E585&gt;0),"SELL","HOLD")))</f>
        <v>HOLD</v>
      </c>
      <c r="D585" s="14" t="str">
        <f aca="false">IF(C585="BUY",B585,IF(G584="IN",D584,""))</f>
        <v/>
      </c>
      <c r="E585" s="14" t="str">
        <f aca="false">IF(C585="SELL",B585,"")</f>
        <v/>
      </c>
      <c r="F585" s="14" t="str">
        <f aca="false">IF(E585="","",(E585-D585)/D585*100)</f>
        <v/>
      </c>
      <c r="G585" s="0" t="str">
        <f aca="false">IF(C585="BUY","IN",IF(C585="SELL","OUT",IF(G584="IN","IN","OUT")))</f>
        <v>OUT</v>
      </c>
      <c r="H585" s="14" t="n">
        <f aca="false">H584+IF(F585="",0,F585)</f>
        <v>29.1771379045402</v>
      </c>
      <c r="I585" s="14" t="n">
        <f aca="false">MAX(I584,H585)</f>
        <v>30.7085619299976</v>
      </c>
      <c r="J585" s="14" t="n">
        <f aca="false">I585-H585</f>
        <v>1.53142402545744</v>
      </c>
    </row>
    <row r="586" customFormat="false" ht="15" hidden="false" customHeight="false" outlineLevel="0" collapsed="false">
      <c r="A586" s="12" t="n">
        <f aca="false">Data!A586</f>
        <v>42857</v>
      </c>
      <c r="B586" s="14" t="n">
        <f aca="false">Data!B586</f>
        <v>47.66</v>
      </c>
      <c r="C586" s="0" t="str">
        <f aca="false">IF(Data!D586="","HOLD",IF(AND(G585&lt;&gt;"IN",Data!E586&lt;-5),"BUY",IF(AND(G585="IN",Data!E586&gt;0),"SELL","HOLD")))</f>
        <v>BUY</v>
      </c>
      <c r="D586" s="14" t="n">
        <f aca="false">IF(C586="BUY",B586,IF(G585="IN",D585,""))</f>
        <v>47.66</v>
      </c>
      <c r="E586" s="14" t="str">
        <f aca="false">IF(C586="SELL",B586,"")</f>
        <v/>
      </c>
      <c r="F586" s="14" t="str">
        <f aca="false">IF(E586="","",(E586-D586)/D586*100)</f>
        <v/>
      </c>
      <c r="G586" s="0" t="str">
        <f aca="false">IF(C586="BUY","IN",IF(C586="SELL","OUT",IF(G585="IN","IN","OUT")))</f>
        <v>IN</v>
      </c>
      <c r="H586" s="14" t="n">
        <f aca="false">H585+IF(F586="",0,F586)</f>
        <v>29.1771379045402</v>
      </c>
      <c r="I586" s="14" t="n">
        <f aca="false">MAX(I585,H586)</f>
        <v>30.7085619299976</v>
      </c>
      <c r="J586" s="14" t="n">
        <f aca="false">I586-H586</f>
        <v>1.53142402545744</v>
      </c>
    </row>
    <row r="587" customFormat="false" ht="15" hidden="false" customHeight="false" outlineLevel="0" collapsed="false">
      <c r="A587" s="12" t="n">
        <f aca="false">Data!A587</f>
        <v>42858</v>
      </c>
      <c r="B587" s="14" t="n">
        <f aca="false">Data!B587</f>
        <v>47.82</v>
      </c>
      <c r="C587" s="0" t="str">
        <f aca="false">IF(Data!D587="","HOLD",IF(AND(G586&lt;&gt;"IN",Data!E587&lt;-5),"BUY",IF(AND(G586="IN",Data!E587&gt;0),"SELL","HOLD")))</f>
        <v>HOLD</v>
      </c>
      <c r="D587" s="14" t="n">
        <f aca="false">IF(C587="BUY",B587,IF(G586="IN",D586,""))</f>
        <v>47.66</v>
      </c>
      <c r="E587" s="14" t="str">
        <f aca="false">IF(C587="SELL",B587,"")</f>
        <v/>
      </c>
      <c r="F587" s="14" t="str">
        <f aca="false">IF(E587="","",(E587-D587)/D587*100)</f>
        <v/>
      </c>
      <c r="G587" s="0" t="str">
        <f aca="false">IF(C587="BUY","IN",IF(C587="SELL","OUT",IF(G586="IN","IN","OUT")))</f>
        <v>IN</v>
      </c>
      <c r="H587" s="14" t="n">
        <f aca="false">H586+IF(F587="",0,F587)</f>
        <v>29.1771379045402</v>
      </c>
      <c r="I587" s="14" t="n">
        <f aca="false">MAX(I586,H587)</f>
        <v>30.7085619299976</v>
      </c>
      <c r="J587" s="14" t="n">
        <f aca="false">I587-H587</f>
        <v>1.53142402545744</v>
      </c>
    </row>
    <row r="588" customFormat="false" ht="15" hidden="false" customHeight="false" outlineLevel="0" collapsed="false">
      <c r="A588" s="12" t="n">
        <f aca="false">Data!A588</f>
        <v>42859</v>
      </c>
      <c r="B588" s="14" t="n">
        <f aca="false">Data!B588</f>
        <v>45.52</v>
      </c>
      <c r="C588" s="0" t="str">
        <f aca="false">IF(Data!D588="","HOLD",IF(AND(G587&lt;&gt;"IN",Data!E588&lt;-5),"BUY",IF(AND(G587="IN",Data!E588&gt;0),"SELL","HOLD")))</f>
        <v>HOLD</v>
      </c>
      <c r="D588" s="14" t="n">
        <f aca="false">IF(C588="BUY",B588,IF(G587="IN",D587,""))</f>
        <v>47.66</v>
      </c>
      <c r="E588" s="14" t="str">
        <f aca="false">IF(C588="SELL",B588,"")</f>
        <v/>
      </c>
      <c r="F588" s="14" t="str">
        <f aca="false">IF(E588="","",(E588-D588)/D588*100)</f>
        <v/>
      </c>
      <c r="G588" s="0" t="str">
        <f aca="false">IF(C588="BUY","IN",IF(C588="SELL","OUT",IF(G587="IN","IN","OUT")))</f>
        <v>IN</v>
      </c>
      <c r="H588" s="14" t="n">
        <f aca="false">H587+IF(F588="",0,F588)</f>
        <v>29.1771379045402</v>
      </c>
      <c r="I588" s="14" t="n">
        <f aca="false">MAX(I587,H588)</f>
        <v>30.7085619299976</v>
      </c>
      <c r="J588" s="14" t="n">
        <f aca="false">I588-H588</f>
        <v>1.53142402545744</v>
      </c>
    </row>
    <row r="589" customFormat="false" ht="15" hidden="false" customHeight="false" outlineLevel="0" collapsed="false">
      <c r="A589" s="12" t="n">
        <f aca="false">Data!A589</f>
        <v>42860</v>
      </c>
      <c r="B589" s="14" t="n">
        <f aca="false">Data!B589</f>
        <v>46.22</v>
      </c>
      <c r="C589" s="0" t="str">
        <f aca="false">IF(Data!D589="","HOLD",IF(AND(G588&lt;&gt;"IN",Data!E589&lt;-5),"BUY",IF(AND(G588="IN",Data!E589&gt;0),"SELL","HOLD")))</f>
        <v>HOLD</v>
      </c>
      <c r="D589" s="14" t="n">
        <f aca="false">IF(C589="BUY",B589,IF(G588="IN",D588,""))</f>
        <v>47.66</v>
      </c>
      <c r="E589" s="14" t="str">
        <f aca="false">IF(C589="SELL",B589,"")</f>
        <v/>
      </c>
      <c r="F589" s="14" t="str">
        <f aca="false">IF(E589="","",(E589-D589)/D589*100)</f>
        <v/>
      </c>
      <c r="G589" s="0" t="str">
        <f aca="false">IF(C589="BUY","IN",IF(C589="SELL","OUT",IF(G588="IN","IN","OUT")))</f>
        <v>IN</v>
      </c>
      <c r="H589" s="14" t="n">
        <f aca="false">H588+IF(F589="",0,F589)</f>
        <v>29.1771379045402</v>
      </c>
      <c r="I589" s="14" t="n">
        <f aca="false">MAX(I588,H589)</f>
        <v>30.7085619299976</v>
      </c>
      <c r="J589" s="14" t="n">
        <f aca="false">I589-H589</f>
        <v>1.53142402545744</v>
      </c>
    </row>
    <row r="590" customFormat="false" ht="15" hidden="false" customHeight="false" outlineLevel="0" collapsed="false">
      <c r="A590" s="12" t="n">
        <f aca="false">Data!A590</f>
        <v>42863</v>
      </c>
      <c r="B590" s="14" t="n">
        <f aca="false">Data!B590</f>
        <v>46.43</v>
      </c>
      <c r="C590" s="0" t="str">
        <f aca="false">IF(Data!D590="","HOLD",IF(AND(G589&lt;&gt;"IN",Data!E590&lt;-5),"BUY",IF(AND(G589="IN",Data!E590&gt;0),"SELL","HOLD")))</f>
        <v>HOLD</v>
      </c>
      <c r="D590" s="14" t="n">
        <f aca="false">IF(C590="BUY",B590,IF(G589="IN",D589,""))</f>
        <v>47.66</v>
      </c>
      <c r="E590" s="14" t="str">
        <f aca="false">IF(C590="SELL",B590,"")</f>
        <v/>
      </c>
      <c r="F590" s="14" t="str">
        <f aca="false">IF(E590="","",(E590-D590)/D590*100)</f>
        <v/>
      </c>
      <c r="G590" s="0" t="str">
        <f aca="false">IF(C590="BUY","IN",IF(C590="SELL","OUT",IF(G589="IN","IN","OUT")))</f>
        <v>IN</v>
      </c>
      <c r="H590" s="14" t="n">
        <f aca="false">H589+IF(F590="",0,F590)</f>
        <v>29.1771379045402</v>
      </c>
      <c r="I590" s="14" t="n">
        <f aca="false">MAX(I589,H590)</f>
        <v>30.7085619299976</v>
      </c>
      <c r="J590" s="14" t="n">
        <f aca="false">I590-H590</f>
        <v>1.53142402545744</v>
      </c>
    </row>
    <row r="591" customFormat="false" ht="15" hidden="false" customHeight="false" outlineLevel="0" collapsed="false">
      <c r="A591" s="12" t="n">
        <f aca="false">Data!A591</f>
        <v>42864</v>
      </c>
      <c r="B591" s="14" t="n">
        <f aca="false">Data!B591</f>
        <v>45.88</v>
      </c>
      <c r="C591" s="0" t="str">
        <f aca="false">IF(Data!D591="","HOLD",IF(AND(G590&lt;&gt;"IN",Data!E591&lt;-5),"BUY",IF(AND(G590="IN",Data!E591&gt;0),"SELL","HOLD")))</f>
        <v>HOLD</v>
      </c>
      <c r="D591" s="14" t="n">
        <f aca="false">IF(C591="BUY",B591,IF(G590="IN",D590,""))</f>
        <v>47.66</v>
      </c>
      <c r="E591" s="14" t="str">
        <f aca="false">IF(C591="SELL",B591,"")</f>
        <v/>
      </c>
      <c r="F591" s="14" t="str">
        <f aca="false">IF(E591="","",(E591-D591)/D591*100)</f>
        <v/>
      </c>
      <c r="G591" s="0" t="str">
        <f aca="false">IF(C591="BUY","IN",IF(C591="SELL","OUT",IF(G590="IN","IN","OUT")))</f>
        <v>IN</v>
      </c>
      <c r="H591" s="14" t="n">
        <f aca="false">H590+IF(F591="",0,F591)</f>
        <v>29.1771379045402</v>
      </c>
      <c r="I591" s="14" t="n">
        <f aca="false">MAX(I590,H591)</f>
        <v>30.7085619299976</v>
      </c>
      <c r="J591" s="14" t="n">
        <f aca="false">I591-H591</f>
        <v>1.53142402545744</v>
      </c>
    </row>
    <row r="592" customFormat="false" ht="15" hidden="false" customHeight="false" outlineLevel="0" collapsed="false">
      <c r="A592" s="12" t="n">
        <f aca="false">Data!A592</f>
        <v>42865</v>
      </c>
      <c r="B592" s="14" t="n">
        <f aca="false">Data!B592</f>
        <v>47.33</v>
      </c>
      <c r="C592" s="0" t="str">
        <f aca="false">IF(Data!D592="","HOLD",IF(AND(G591&lt;&gt;"IN",Data!E592&lt;-5),"BUY",IF(AND(G591="IN",Data!E592&gt;0),"SELL","HOLD")))</f>
        <v>HOLD</v>
      </c>
      <c r="D592" s="14" t="n">
        <f aca="false">IF(C592="BUY",B592,IF(G591="IN",D591,""))</f>
        <v>47.66</v>
      </c>
      <c r="E592" s="14" t="str">
        <f aca="false">IF(C592="SELL",B592,"")</f>
        <v/>
      </c>
      <c r="F592" s="14" t="str">
        <f aca="false">IF(E592="","",(E592-D592)/D592*100)</f>
        <v/>
      </c>
      <c r="G592" s="0" t="str">
        <f aca="false">IF(C592="BUY","IN",IF(C592="SELL","OUT",IF(G591="IN","IN","OUT")))</f>
        <v>IN</v>
      </c>
      <c r="H592" s="14" t="n">
        <f aca="false">H591+IF(F592="",0,F592)</f>
        <v>29.1771379045402</v>
      </c>
      <c r="I592" s="14" t="n">
        <f aca="false">MAX(I591,H592)</f>
        <v>30.7085619299976</v>
      </c>
      <c r="J592" s="14" t="n">
        <f aca="false">I592-H592</f>
        <v>1.53142402545744</v>
      </c>
    </row>
    <row r="593" customFormat="false" ht="15" hidden="false" customHeight="false" outlineLevel="0" collapsed="false">
      <c r="A593" s="12" t="n">
        <f aca="false">Data!A593</f>
        <v>42866</v>
      </c>
      <c r="B593" s="14" t="n">
        <f aca="false">Data!B593</f>
        <v>47.83</v>
      </c>
      <c r="C593" s="0" t="str">
        <f aca="false">IF(Data!D593="","HOLD",IF(AND(G592&lt;&gt;"IN",Data!E593&lt;-5),"BUY",IF(AND(G592="IN",Data!E593&gt;0),"SELL","HOLD")))</f>
        <v>HOLD</v>
      </c>
      <c r="D593" s="14" t="n">
        <f aca="false">IF(C593="BUY",B593,IF(G592="IN",D592,""))</f>
        <v>47.66</v>
      </c>
      <c r="E593" s="14" t="str">
        <f aca="false">IF(C593="SELL",B593,"")</f>
        <v/>
      </c>
      <c r="F593" s="14" t="str">
        <f aca="false">IF(E593="","",(E593-D593)/D593*100)</f>
        <v/>
      </c>
      <c r="G593" s="0" t="str">
        <f aca="false">IF(C593="BUY","IN",IF(C593="SELL","OUT",IF(G592="IN","IN","OUT")))</f>
        <v>IN</v>
      </c>
      <c r="H593" s="14" t="n">
        <f aca="false">H592+IF(F593="",0,F593)</f>
        <v>29.1771379045402</v>
      </c>
      <c r="I593" s="14" t="n">
        <f aca="false">MAX(I592,H593)</f>
        <v>30.7085619299976</v>
      </c>
      <c r="J593" s="14" t="n">
        <f aca="false">I593-H593</f>
        <v>1.53142402545744</v>
      </c>
    </row>
    <row r="594" customFormat="false" ht="15" hidden="false" customHeight="false" outlineLevel="0" collapsed="false">
      <c r="A594" s="12" t="n">
        <f aca="false">Data!A594</f>
        <v>42867</v>
      </c>
      <c r="B594" s="14" t="n">
        <f aca="false">Data!B594</f>
        <v>47.84</v>
      </c>
      <c r="C594" s="0" t="str">
        <f aca="false">IF(Data!D594="","HOLD",IF(AND(G593&lt;&gt;"IN",Data!E594&lt;-5),"BUY",IF(AND(G593="IN",Data!E594&gt;0),"SELL","HOLD")))</f>
        <v>HOLD</v>
      </c>
      <c r="D594" s="14" t="n">
        <f aca="false">IF(C594="BUY",B594,IF(G593="IN",D593,""))</f>
        <v>47.66</v>
      </c>
      <c r="E594" s="14" t="str">
        <f aca="false">IF(C594="SELL",B594,"")</f>
        <v/>
      </c>
      <c r="F594" s="14" t="str">
        <f aca="false">IF(E594="","",(E594-D594)/D594*100)</f>
        <v/>
      </c>
      <c r="G594" s="0" t="str">
        <f aca="false">IF(C594="BUY","IN",IF(C594="SELL","OUT",IF(G593="IN","IN","OUT")))</f>
        <v>IN</v>
      </c>
      <c r="H594" s="14" t="n">
        <f aca="false">H593+IF(F594="",0,F594)</f>
        <v>29.1771379045402</v>
      </c>
      <c r="I594" s="14" t="n">
        <f aca="false">MAX(I593,H594)</f>
        <v>30.7085619299976</v>
      </c>
      <c r="J594" s="14" t="n">
        <f aca="false">I594-H594</f>
        <v>1.53142402545744</v>
      </c>
    </row>
    <row r="595" customFormat="false" ht="15" hidden="false" customHeight="false" outlineLevel="0" collapsed="false">
      <c r="A595" s="12" t="n">
        <f aca="false">Data!A595</f>
        <v>42870</v>
      </c>
      <c r="B595" s="14" t="n">
        <f aca="false">Data!B595</f>
        <v>48.85</v>
      </c>
      <c r="C595" s="0" t="str">
        <f aca="false">IF(Data!D595="","HOLD",IF(AND(G594&lt;&gt;"IN",Data!E595&lt;-5),"BUY",IF(AND(G594="IN",Data!E595&gt;0),"SELL","HOLD")))</f>
        <v>SELL</v>
      </c>
      <c r="D595" s="14" t="n">
        <f aca="false">IF(C595="BUY",B595,IF(G594="IN",D594,""))</f>
        <v>47.66</v>
      </c>
      <c r="E595" s="14" t="n">
        <f aca="false">IF(C595="SELL",B595,"")</f>
        <v>48.85</v>
      </c>
      <c r="F595" s="14" t="n">
        <f aca="false">IF(E595="","",(E595-D595)/D595*100)</f>
        <v>2.49685270667227</v>
      </c>
      <c r="G595" s="0" t="str">
        <f aca="false">IF(C595="BUY","IN",IF(C595="SELL","OUT",IF(G594="IN","IN","OUT")))</f>
        <v>OUT</v>
      </c>
      <c r="H595" s="14" t="n">
        <f aca="false">H594+IF(F595="",0,F595)</f>
        <v>31.6739906112124</v>
      </c>
      <c r="I595" s="14" t="n">
        <f aca="false">MAX(I594,H595)</f>
        <v>31.6739906112124</v>
      </c>
      <c r="J595" s="14" t="n">
        <f aca="false">I595-H595</f>
        <v>0</v>
      </c>
    </row>
    <row r="596" customFormat="false" ht="15" hidden="false" customHeight="false" outlineLevel="0" collapsed="false">
      <c r="A596" s="12" t="n">
        <f aca="false">Data!A596</f>
        <v>42871</v>
      </c>
      <c r="B596" s="14" t="n">
        <f aca="false">Data!B596</f>
        <v>48.66</v>
      </c>
      <c r="C596" s="0" t="str">
        <f aca="false">IF(Data!D596="","HOLD",IF(AND(G595&lt;&gt;"IN",Data!E596&lt;-5),"BUY",IF(AND(G595="IN",Data!E596&gt;0),"SELL","HOLD")))</f>
        <v>HOLD</v>
      </c>
      <c r="D596" s="14" t="str">
        <f aca="false">IF(C596="BUY",B596,IF(G595="IN",D595,""))</f>
        <v/>
      </c>
      <c r="E596" s="14" t="str">
        <f aca="false">IF(C596="SELL",B596,"")</f>
        <v/>
      </c>
      <c r="F596" s="14" t="str">
        <f aca="false">IF(E596="","",(E596-D596)/D596*100)</f>
        <v/>
      </c>
      <c r="G596" s="0" t="str">
        <f aca="false">IF(C596="BUY","IN",IF(C596="SELL","OUT",IF(G595="IN","IN","OUT")))</f>
        <v>OUT</v>
      </c>
      <c r="H596" s="14" t="n">
        <f aca="false">H595+IF(F596="",0,F596)</f>
        <v>31.6739906112124</v>
      </c>
      <c r="I596" s="14" t="n">
        <f aca="false">MAX(I595,H596)</f>
        <v>31.6739906112124</v>
      </c>
      <c r="J596" s="14" t="n">
        <f aca="false">I596-H596</f>
        <v>0</v>
      </c>
    </row>
    <row r="597" customFormat="false" ht="15" hidden="false" customHeight="false" outlineLevel="0" collapsed="false">
      <c r="A597" s="12" t="n">
        <f aca="false">Data!A597</f>
        <v>42872</v>
      </c>
      <c r="B597" s="14" t="n">
        <f aca="false">Data!B597</f>
        <v>49.07</v>
      </c>
      <c r="C597" s="0" t="str">
        <f aca="false">IF(Data!D597="","HOLD",IF(AND(G596&lt;&gt;"IN",Data!E597&lt;-5),"BUY",IF(AND(G596="IN",Data!E597&gt;0),"SELL","HOLD")))</f>
        <v>HOLD</v>
      </c>
      <c r="D597" s="14" t="str">
        <f aca="false">IF(C597="BUY",B597,IF(G596="IN",D596,""))</f>
        <v/>
      </c>
      <c r="E597" s="14" t="str">
        <f aca="false">IF(C597="SELL",B597,"")</f>
        <v/>
      </c>
      <c r="F597" s="14" t="str">
        <f aca="false">IF(E597="","",(E597-D597)/D597*100)</f>
        <v/>
      </c>
      <c r="G597" s="0" t="str">
        <f aca="false">IF(C597="BUY","IN",IF(C597="SELL","OUT",IF(G596="IN","IN","OUT")))</f>
        <v>OUT</v>
      </c>
      <c r="H597" s="14" t="n">
        <f aca="false">H596+IF(F597="",0,F597)</f>
        <v>31.6739906112124</v>
      </c>
      <c r="I597" s="14" t="n">
        <f aca="false">MAX(I596,H597)</f>
        <v>31.6739906112124</v>
      </c>
      <c r="J597" s="14" t="n">
        <f aca="false">I597-H597</f>
        <v>0</v>
      </c>
    </row>
    <row r="598" customFormat="false" ht="15" hidden="false" customHeight="false" outlineLevel="0" collapsed="false">
      <c r="A598" s="12" t="n">
        <f aca="false">Data!A598</f>
        <v>42873</v>
      </c>
      <c r="B598" s="14" t="n">
        <f aca="false">Data!B598</f>
        <v>49.35</v>
      </c>
      <c r="C598" s="0" t="str">
        <f aca="false">IF(Data!D598="","HOLD",IF(AND(G597&lt;&gt;"IN",Data!E598&lt;-5),"BUY",IF(AND(G597="IN",Data!E598&gt;0),"SELL","HOLD")))</f>
        <v>HOLD</v>
      </c>
      <c r="D598" s="14" t="str">
        <f aca="false">IF(C598="BUY",B598,IF(G597="IN",D597,""))</f>
        <v/>
      </c>
      <c r="E598" s="14" t="str">
        <f aca="false">IF(C598="SELL",B598,"")</f>
        <v/>
      </c>
      <c r="F598" s="14" t="str">
        <f aca="false">IF(E598="","",(E598-D598)/D598*100)</f>
        <v/>
      </c>
      <c r="G598" s="0" t="str">
        <f aca="false">IF(C598="BUY","IN",IF(C598="SELL","OUT",IF(G597="IN","IN","OUT")))</f>
        <v>OUT</v>
      </c>
      <c r="H598" s="14" t="n">
        <f aca="false">H597+IF(F598="",0,F598)</f>
        <v>31.6739906112124</v>
      </c>
      <c r="I598" s="14" t="n">
        <f aca="false">MAX(I597,H598)</f>
        <v>31.6739906112124</v>
      </c>
      <c r="J598" s="14" t="n">
        <f aca="false">I598-H598</f>
        <v>0</v>
      </c>
    </row>
    <row r="599" customFormat="false" ht="15" hidden="false" customHeight="false" outlineLevel="0" collapsed="false">
      <c r="A599" s="12" t="n">
        <f aca="false">Data!A599</f>
        <v>42874</v>
      </c>
      <c r="B599" s="14" t="n">
        <f aca="false">Data!B599</f>
        <v>50.33</v>
      </c>
      <c r="C599" s="0" t="str">
        <f aca="false">IF(Data!D599="","HOLD",IF(AND(G598&lt;&gt;"IN",Data!E599&lt;-5),"BUY",IF(AND(G598="IN",Data!E599&gt;0),"SELL","HOLD")))</f>
        <v>HOLD</v>
      </c>
      <c r="D599" s="14" t="str">
        <f aca="false">IF(C599="BUY",B599,IF(G598="IN",D598,""))</f>
        <v/>
      </c>
      <c r="E599" s="14" t="str">
        <f aca="false">IF(C599="SELL",B599,"")</f>
        <v/>
      </c>
      <c r="F599" s="14" t="str">
        <f aca="false">IF(E599="","",(E599-D599)/D599*100)</f>
        <v/>
      </c>
      <c r="G599" s="0" t="str">
        <f aca="false">IF(C599="BUY","IN",IF(C599="SELL","OUT",IF(G598="IN","IN","OUT")))</f>
        <v>OUT</v>
      </c>
      <c r="H599" s="14" t="n">
        <f aca="false">H598+IF(F599="",0,F599)</f>
        <v>31.6739906112124</v>
      </c>
      <c r="I599" s="14" t="n">
        <f aca="false">MAX(I598,H599)</f>
        <v>31.6739906112124</v>
      </c>
      <c r="J599" s="14" t="n">
        <f aca="false">I599-H599</f>
        <v>0</v>
      </c>
    </row>
    <row r="600" customFormat="false" ht="15" hidden="false" customHeight="false" outlineLevel="0" collapsed="false">
      <c r="A600" s="12" t="n">
        <f aca="false">Data!A600</f>
        <v>42877</v>
      </c>
      <c r="B600" s="14" t="n">
        <f aca="false">Data!B600</f>
        <v>50.73</v>
      </c>
      <c r="C600" s="0" t="str">
        <f aca="false">IF(Data!D600="","HOLD",IF(AND(G599&lt;&gt;"IN",Data!E600&lt;-5),"BUY",IF(AND(G599="IN",Data!E600&gt;0),"SELL","HOLD")))</f>
        <v>HOLD</v>
      </c>
      <c r="D600" s="14" t="str">
        <f aca="false">IF(C600="BUY",B600,IF(G599="IN",D599,""))</f>
        <v/>
      </c>
      <c r="E600" s="14" t="str">
        <f aca="false">IF(C600="SELL",B600,"")</f>
        <v/>
      </c>
      <c r="F600" s="14" t="str">
        <f aca="false">IF(E600="","",(E600-D600)/D600*100)</f>
        <v/>
      </c>
      <c r="G600" s="0" t="str">
        <f aca="false">IF(C600="BUY","IN",IF(C600="SELL","OUT",IF(G599="IN","IN","OUT")))</f>
        <v>OUT</v>
      </c>
      <c r="H600" s="14" t="n">
        <f aca="false">H599+IF(F600="",0,F600)</f>
        <v>31.6739906112124</v>
      </c>
      <c r="I600" s="14" t="n">
        <f aca="false">MAX(I599,H600)</f>
        <v>31.6739906112124</v>
      </c>
      <c r="J600" s="14" t="n">
        <f aca="false">I600-H600</f>
        <v>0</v>
      </c>
    </row>
    <row r="601" customFormat="false" ht="15" hidden="false" customHeight="false" outlineLevel="0" collapsed="false">
      <c r="A601" s="12" t="n">
        <f aca="false">Data!A601</f>
        <v>42878</v>
      </c>
      <c r="B601" s="14" t="n">
        <f aca="false">Data!B601</f>
        <v>51.47</v>
      </c>
      <c r="C601" s="0" t="str">
        <f aca="false">IF(Data!D601="","HOLD",IF(AND(G600&lt;&gt;"IN",Data!E601&lt;-5),"BUY",IF(AND(G600="IN",Data!E601&gt;0),"SELL","HOLD")))</f>
        <v>HOLD</v>
      </c>
      <c r="D601" s="14" t="str">
        <f aca="false">IF(C601="BUY",B601,IF(G600="IN",D600,""))</f>
        <v/>
      </c>
      <c r="E601" s="14" t="str">
        <f aca="false">IF(C601="SELL",B601,"")</f>
        <v/>
      </c>
      <c r="F601" s="14" t="str">
        <f aca="false">IF(E601="","",(E601-D601)/D601*100)</f>
        <v/>
      </c>
      <c r="G601" s="0" t="str">
        <f aca="false">IF(C601="BUY","IN",IF(C601="SELL","OUT",IF(G600="IN","IN","OUT")))</f>
        <v>OUT</v>
      </c>
      <c r="H601" s="14" t="n">
        <f aca="false">H600+IF(F601="",0,F601)</f>
        <v>31.6739906112124</v>
      </c>
      <c r="I601" s="14" t="n">
        <f aca="false">MAX(I600,H601)</f>
        <v>31.6739906112124</v>
      </c>
      <c r="J601" s="14" t="n">
        <f aca="false">I601-H601</f>
        <v>0</v>
      </c>
    </row>
    <row r="602" customFormat="false" ht="15" hidden="false" customHeight="false" outlineLevel="0" collapsed="false">
      <c r="A602" s="12" t="n">
        <f aca="false">Data!A602</f>
        <v>42879</v>
      </c>
      <c r="B602" s="14" t="n">
        <f aca="false">Data!B602</f>
        <v>51.36</v>
      </c>
      <c r="C602" s="0" t="str">
        <f aca="false">IF(Data!D602="","HOLD",IF(AND(G601&lt;&gt;"IN",Data!E602&lt;-5),"BUY",IF(AND(G601="IN",Data!E602&gt;0),"SELL","HOLD")))</f>
        <v>HOLD</v>
      </c>
      <c r="D602" s="14" t="str">
        <f aca="false">IF(C602="BUY",B602,IF(G601="IN",D601,""))</f>
        <v/>
      </c>
      <c r="E602" s="14" t="str">
        <f aca="false">IF(C602="SELL",B602,"")</f>
        <v/>
      </c>
      <c r="F602" s="14" t="str">
        <f aca="false">IF(E602="","",(E602-D602)/D602*100)</f>
        <v/>
      </c>
      <c r="G602" s="0" t="str">
        <f aca="false">IF(C602="BUY","IN",IF(C602="SELL","OUT",IF(G601="IN","IN","OUT")))</f>
        <v>OUT</v>
      </c>
      <c r="H602" s="14" t="n">
        <f aca="false">H601+IF(F602="",0,F602)</f>
        <v>31.6739906112124</v>
      </c>
      <c r="I602" s="14" t="n">
        <f aca="false">MAX(I601,H602)</f>
        <v>31.6739906112124</v>
      </c>
      <c r="J602" s="14" t="n">
        <f aca="false">I602-H602</f>
        <v>0</v>
      </c>
    </row>
    <row r="603" customFormat="false" ht="15" hidden="false" customHeight="false" outlineLevel="0" collapsed="false">
      <c r="A603" s="12" t="n">
        <f aca="false">Data!A603</f>
        <v>42880</v>
      </c>
      <c r="B603" s="14" t="n">
        <f aca="false">Data!B603</f>
        <v>48.9</v>
      </c>
      <c r="C603" s="0" t="str">
        <f aca="false">IF(Data!D603="","HOLD",IF(AND(G602&lt;&gt;"IN",Data!E603&lt;-5),"BUY",IF(AND(G602="IN",Data!E603&gt;0),"SELL","HOLD")))</f>
        <v>HOLD</v>
      </c>
      <c r="D603" s="14" t="str">
        <f aca="false">IF(C603="BUY",B603,IF(G602="IN",D602,""))</f>
        <v/>
      </c>
      <c r="E603" s="14" t="str">
        <f aca="false">IF(C603="SELL",B603,"")</f>
        <v/>
      </c>
      <c r="F603" s="14" t="str">
        <f aca="false">IF(E603="","",(E603-D603)/D603*100)</f>
        <v/>
      </c>
      <c r="G603" s="0" t="str">
        <f aca="false">IF(C603="BUY","IN",IF(C603="SELL","OUT",IF(G602="IN","IN","OUT")))</f>
        <v>OUT</v>
      </c>
      <c r="H603" s="14" t="n">
        <f aca="false">H602+IF(F603="",0,F603)</f>
        <v>31.6739906112124</v>
      </c>
      <c r="I603" s="14" t="n">
        <f aca="false">MAX(I602,H603)</f>
        <v>31.6739906112124</v>
      </c>
      <c r="J603" s="14" t="n">
        <f aca="false">I603-H603</f>
        <v>0</v>
      </c>
    </row>
    <row r="604" customFormat="false" ht="15" hidden="false" customHeight="false" outlineLevel="0" collapsed="false">
      <c r="A604" s="12" t="n">
        <f aca="false">Data!A604</f>
        <v>42881</v>
      </c>
      <c r="B604" s="14" t="n">
        <f aca="false">Data!B604</f>
        <v>49.8</v>
      </c>
      <c r="C604" s="0" t="str">
        <f aca="false">IF(Data!D604="","HOLD",IF(AND(G603&lt;&gt;"IN",Data!E604&lt;-5),"BUY",IF(AND(G603="IN",Data!E604&gt;0),"SELL","HOLD")))</f>
        <v>HOLD</v>
      </c>
      <c r="D604" s="14" t="str">
        <f aca="false">IF(C604="BUY",B604,IF(G603="IN",D603,""))</f>
        <v/>
      </c>
      <c r="E604" s="14" t="str">
        <f aca="false">IF(C604="SELL",B604,"")</f>
        <v/>
      </c>
      <c r="F604" s="14" t="str">
        <f aca="false">IF(E604="","",(E604-D604)/D604*100)</f>
        <v/>
      </c>
      <c r="G604" s="0" t="str">
        <f aca="false">IF(C604="BUY","IN",IF(C604="SELL","OUT",IF(G603="IN","IN","OUT")))</f>
        <v>OUT</v>
      </c>
      <c r="H604" s="14" t="n">
        <f aca="false">H603+IF(F604="",0,F604)</f>
        <v>31.6739906112124</v>
      </c>
      <c r="I604" s="14" t="n">
        <f aca="false">MAX(I603,H604)</f>
        <v>31.6739906112124</v>
      </c>
      <c r="J604" s="14" t="n">
        <f aca="false">I604-H604</f>
        <v>0</v>
      </c>
    </row>
    <row r="605" customFormat="false" ht="15" hidden="false" customHeight="false" outlineLevel="0" collapsed="false">
      <c r="A605" s="12" t="n">
        <f aca="false">Data!A605</f>
        <v>42885</v>
      </c>
      <c r="B605" s="14" t="n">
        <f aca="false">Data!B605</f>
        <v>49.66</v>
      </c>
      <c r="C605" s="0" t="str">
        <f aca="false">IF(Data!D605="","HOLD",IF(AND(G604&lt;&gt;"IN",Data!E605&lt;-5),"BUY",IF(AND(G604="IN",Data!E605&gt;0),"SELL","HOLD")))</f>
        <v>HOLD</v>
      </c>
      <c r="D605" s="14" t="str">
        <f aca="false">IF(C605="BUY",B605,IF(G604="IN",D604,""))</f>
        <v/>
      </c>
      <c r="E605" s="14" t="str">
        <f aca="false">IF(C605="SELL",B605,"")</f>
        <v/>
      </c>
      <c r="F605" s="14" t="str">
        <f aca="false">IF(E605="","",(E605-D605)/D605*100)</f>
        <v/>
      </c>
      <c r="G605" s="0" t="str">
        <f aca="false">IF(C605="BUY","IN",IF(C605="SELL","OUT",IF(G604="IN","IN","OUT")))</f>
        <v>OUT</v>
      </c>
      <c r="H605" s="14" t="n">
        <f aca="false">H604+IF(F605="",0,F605)</f>
        <v>31.6739906112124</v>
      </c>
      <c r="I605" s="14" t="n">
        <f aca="false">MAX(I604,H605)</f>
        <v>31.6739906112124</v>
      </c>
      <c r="J605" s="14" t="n">
        <f aca="false">I605-H605</f>
        <v>0</v>
      </c>
    </row>
    <row r="606" customFormat="false" ht="15" hidden="false" customHeight="false" outlineLevel="0" collapsed="false">
      <c r="A606" s="12" t="n">
        <f aca="false">Data!A606</f>
        <v>42886</v>
      </c>
      <c r="B606" s="14" t="n">
        <f aca="false">Data!B606</f>
        <v>48.32</v>
      </c>
      <c r="C606" s="0" t="str">
        <f aca="false">IF(Data!D606="","HOLD",IF(AND(G605&lt;&gt;"IN",Data!E606&lt;-5),"BUY",IF(AND(G605="IN",Data!E606&gt;0),"SELL","HOLD")))</f>
        <v>HOLD</v>
      </c>
      <c r="D606" s="14" t="str">
        <f aca="false">IF(C606="BUY",B606,IF(G605="IN",D605,""))</f>
        <v/>
      </c>
      <c r="E606" s="14" t="str">
        <f aca="false">IF(C606="SELL",B606,"")</f>
        <v/>
      </c>
      <c r="F606" s="14" t="str">
        <f aca="false">IF(E606="","",(E606-D606)/D606*100)</f>
        <v/>
      </c>
      <c r="G606" s="0" t="str">
        <f aca="false">IF(C606="BUY","IN",IF(C606="SELL","OUT",IF(G605="IN","IN","OUT")))</f>
        <v>OUT</v>
      </c>
      <c r="H606" s="14" t="n">
        <f aca="false">H605+IF(F606="",0,F606)</f>
        <v>31.6739906112124</v>
      </c>
      <c r="I606" s="14" t="n">
        <f aca="false">MAX(I605,H606)</f>
        <v>31.6739906112124</v>
      </c>
      <c r="J606" s="14" t="n">
        <f aca="false">I606-H606</f>
        <v>0</v>
      </c>
    </row>
    <row r="607" customFormat="false" ht="15" hidden="false" customHeight="false" outlineLevel="0" collapsed="false">
      <c r="A607" s="12" t="n">
        <f aca="false">Data!A607</f>
        <v>42887</v>
      </c>
      <c r="B607" s="14" t="n">
        <f aca="false">Data!B607</f>
        <v>48.36</v>
      </c>
      <c r="C607" s="0" t="str">
        <f aca="false">IF(Data!D607="","HOLD",IF(AND(G606&lt;&gt;"IN",Data!E607&lt;-5),"BUY",IF(AND(G606="IN",Data!E607&gt;0),"SELL","HOLD")))</f>
        <v>HOLD</v>
      </c>
      <c r="D607" s="14" t="str">
        <f aca="false">IF(C607="BUY",B607,IF(G606="IN",D606,""))</f>
        <v/>
      </c>
      <c r="E607" s="14" t="str">
        <f aca="false">IF(C607="SELL",B607,"")</f>
        <v/>
      </c>
      <c r="F607" s="14" t="str">
        <f aca="false">IF(E607="","",(E607-D607)/D607*100)</f>
        <v/>
      </c>
      <c r="G607" s="0" t="str">
        <f aca="false">IF(C607="BUY","IN",IF(C607="SELL","OUT",IF(G606="IN","IN","OUT")))</f>
        <v>OUT</v>
      </c>
      <c r="H607" s="14" t="n">
        <f aca="false">H606+IF(F607="",0,F607)</f>
        <v>31.6739906112124</v>
      </c>
      <c r="I607" s="14" t="n">
        <f aca="false">MAX(I606,H607)</f>
        <v>31.6739906112124</v>
      </c>
      <c r="J607" s="14" t="n">
        <f aca="false">I607-H607</f>
        <v>0</v>
      </c>
    </row>
    <row r="608" customFormat="false" ht="15" hidden="false" customHeight="false" outlineLevel="0" collapsed="false">
      <c r="A608" s="12" t="n">
        <f aca="false">Data!A608</f>
        <v>42888</v>
      </c>
      <c r="B608" s="14" t="n">
        <f aca="false">Data!B608</f>
        <v>47.66</v>
      </c>
      <c r="C608" s="0" t="str">
        <f aca="false">IF(Data!D608="","HOLD",IF(AND(G607&lt;&gt;"IN",Data!E608&lt;-5),"BUY",IF(AND(G607="IN",Data!E608&gt;0),"SELL","HOLD")))</f>
        <v>HOLD</v>
      </c>
      <c r="D608" s="14" t="str">
        <f aca="false">IF(C608="BUY",B608,IF(G607="IN",D607,""))</f>
        <v/>
      </c>
      <c r="E608" s="14" t="str">
        <f aca="false">IF(C608="SELL",B608,"")</f>
        <v/>
      </c>
      <c r="F608" s="14" t="str">
        <f aca="false">IF(E608="","",(E608-D608)/D608*100)</f>
        <v/>
      </c>
      <c r="G608" s="0" t="str">
        <f aca="false">IF(C608="BUY","IN",IF(C608="SELL","OUT",IF(G607="IN","IN","OUT")))</f>
        <v>OUT</v>
      </c>
      <c r="H608" s="14" t="n">
        <f aca="false">H607+IF(F608="",0,F608)</f>
        <v>31.6739906112124</v>
      </c>
      <c r="I608" s="14" t="n">
        <f aca="false">MAX(I607,H608)</f>
        <v>31.6739906112124</v>
      </c>
      <c r="J608" s="14" t="n">
        <f aca="false">I608-H608</f>
        <v>0</v>
      </c>
    </row>
    <row r="609" customFormat="false" ht="15" hidden="false" customHeight="false" outlineLevel="0" collapsed="false">
      <c r="A609" s="12" t="n">
        <f aca="false">Data!A609</f>
        <v>42891</v>
      </c>
      <c r="B609" s="14" t="n">
        <f aca="false">Data!B609</f>
        <v>47.4</v>
      </c>
      <c r="C609" s="0" t="str">
        <f aca="false">IF(Data!D609="","HOLD",IF(AND(G608&lt;&gt;"IN",Data!E609&lt;-5),"BUY",IF(AND(G608="IN",Data!E609&gt;0),"SELL","HOLD")))</f>
        <v>HOLD</v>
      </c>
      <c r="D609" s="14" t="str">
        <f aca="false">IF(C609="BUY",B609,IF(G608="IN",D608,""))</f>
        <v/>
      </c>
      <c r="E609" s="14" t="str">
        <f aca="false">IF(C609="SELL",B609,"")</f>
        <v/>
      </c>
      <c r="F609" s="14" t="str">
        <f aca="false">IF(E609="","",(E609-D609)/D609*100)</f>
        <v/>
      </c>
      <c r="G609" s="0" t="str">
        <f aca="false">IF(C609="BUY","IN",IF(C609="SELL","OUT",IF(G608="IN","IN","OUT")))</f>
        <v>OUT</v>
      </c>
      <c r="H609" s="14" t="n">
        <f aca="false">H608+IF(F609="",0,F609)</f>
        <v>31.6739906112124</v>
      </c>
      <c r="I609" s="14" t="n">
        <f aca="false">MAX(I608,H609)</f>
        <v>31.6739906112124</v>
      </c>
      <c r="J609" s="14" t="n">
        <f aca="false">I609-H609</f>
        <v>0</v>
      </c>
    </row>
    <row r="610" customFormat="false" ht="15" hidden="false" customHeight="false" outlineLevel="0" collapsed="false">
      <c r="A610" s="12" t="n">
        <f aca="false">Data!A610</f>
        <v>42892</v>
      </c>
      <c r="B610" s="14" t="n">
        <f aca="false">Data!B610</f>
        <v>48.19</v>
      </c>
      <c r="C610" s="0" t="str">
        <f aca="false">IF(Data!D610="","HOLD",IF(AND(G609&lt;&gt;"IN",Data!E610&lt;-5),"BUY",IF(AND(G609="IN",Data!E610&gt;0),"SELL","HOLD")))</f>
        <v>HOLD</v>
      </c>
      <c r="D610" s="14" t="str">
        <f aca="false">IF(C610="BUY",B610,IF(G609="IN",D609,""))</f>
        <v/>
      </c>
      <c r="E610" s="14" t="str">
        <f aca="false">IF(C610="SELL",B610,"")</f>
        <v/>
      </c>
      <c r="F610" s="14" t="str">
        <f aca="false">IF(E610="","",(E610-D610)/D610*100)</f>
        <v/>
      </c>
      <c r="G610" s="0" t="str">
        <f aca="false">IF(C610="BUY","IN",IF(C610="SELL","OUT",IF(G609="IN","IN","OUT")))</f>
        <v>OUT</v>
      </c>
      <c r="H610" s="14" t="n">
        <f aca="false">H609+IF(F610="",0,F610)</f>
        <v>31.6739906112124</v>
      </c>
      <c r="I610" s="14" t="n">
        <f aca="false">MAX(I609,H610)</f>
        <v>31.6739906112124</v>
      </c>
      <c r="J610" s="14" t="n">
        <f aca="false">I610-H610</f>
        <v>0</v>
      </c>
    </row>
    <row r="611" customFormat="false" ht="15" hidden="false" customHeight="false" outlineLevel="0" collapsed="false">
      <c r="A611" s="12" t="n">
        <f aca="false">Data!A611</f>
        <v>42893</v>
      </c>
      <c r="B611" s="14" t="n">
        <f aca="false">Data!B611</f>
        <v>45.72</v>
      </c>
      <c r="C611" s="0" t="str">
        <f aca="false">IF(Data!D611="","HOLD",IF(AND(G610&lt;&gt;"IN",Data!E611&lt;-5),"BUY",IF(AND(G610="IN",Data!E611&gt;0),"SELL","HOLD")))</f>
        <v>BUY</v>
      </c>
      <c r="D611" s="14" t="n">
        <f aca="false">IF(C611="BUY",B611,IF(G610="IN",D610,""))</f>
        <v>45.72</v>
      </c>
      <c r="E611" s="14" t="str">
        <f aca="false">IF(C611="SELL",B611,"")</f>
        <v/>
      </c>
      <c r="F611" s="14" t="str">
        <f aca="false">IF(E611="","",(E611-D611)/D611*100)</f>
        <v/>
      </c>
      <c r="G611" s="0" t="str">
        <f aca="false">IF(C611="BUY","IN",IF(C611="SELL","OUT",IF(G610="IN","IN","OUT")))</f>
        <v>IN</v>
      </c>
      <c r="H611" s="14" t="n">
        <f aca="false">H610+IF(F611="",0,F611)</f>
        <v>31.6739906112124</v>
      </c>
      <c r="I611" s="14" t="n">
        <f aca="false">MAX(I610,H611)</f>
        <v>31.6739906112124</v>
      </c>
      <c r="J611" s="14" t="n">
        <f aca="false">I611-H611</f>
        <v>0</v>
      </c>
    </row>
    <row r="612" customFormat="false" ht="15" hidden="false" customHeight="false" outlineLevel="0" collapsed="false">
      <c r="A612" s="12" t="n">
        <f aca="false">Data!A612</f>
        <v>42894</v>
      </c>
      <c r="B612" s="14" t="n">
        <f aca="false">Data!B612</f>
        <v>45.64</v>
      </c>
      <c r="C612" s="0" t="str">
        <f aca="false">IF(Data!D612="","HOLD",IF(AND(G611&lt;&gt;"IN",Data!E612&lt;-5),"BUY",IF(AND(G611="IN",Data!E612&gt;0),"SELL","HOLD")))</f>
        <v>HOLD</v>
      </c>
      <c r="D612" s="14" t="n">
        <f aca="false">IF(C612="BUY",B612,IF(G611="IN",D611,""))</f>
        <v>45.72</v>
      </c>
      <c r="E612" s="14" t="str">
        <f aca="false">IF(C612="SELL",B612,"")</f>
        <v/>
      </c>
      <c r="F612" s="14" t="str">
        <f aca="false">IF(E612="","",(E612-D612)/D612*100)</f>
        <v/>
      </c>
      <c r="G612" s="0" t="str">
        <f aca="false">IF(C612="BUY","IN",IF(C612="SELL","OUT",IF(G611="IN","IN","OUT")))</f>
        <v>IN</v>
      </c>
      <c r="H612" s="14" t="n">
        <f aca="false">H611+IF(F612="",0,F612)</f>
        <v>31.6739906112124</v>
      </c>
      <c r="I612" s="14" t="n">
        <f aca="false">MAX(I611,H612)</f>
        <v>31.6739906112124</v>
      </c>
      <c r="J612" s="14" t="n">
        <f aca="false">I612-H612</f>
        <v>0</v>
      </c>
    </row>
    <row r="613" customFormat="false" ht="15" hidden="false" customHeight="false" outlineLevel="0" collapsed="false">
      <c r="A613" s="12" t="n">
        <f aca="false">Data!A613</f>
        <v>42895</v>
      </c>
      <c r="B613" s="14" t="n">
        <f aca="false">Data!B613</f>
        <v>45.83</v>
      </c>
      <c r="C613" s="0" t="str">
        <f aca="false">IF(Data!D613="","HOLD",IF(AND(G612&lt;&gt;"IN",Data!E613&lt;-5),"BUY",IF(AND(G612="IN",Data!E613&gt;0),"SELL","HOLD")))</f>
        <v>HOLD</v>
      </c>
      <c r="D613" s="14" t="n">
        <f aca="false">IF(C613="BUY",B613,IF(G612="IN",D612,""))</f>
        <v>45.72</v>
      </c>
      <c r="E613" s="14" t="str">
        <f aca="false">IF(C613="SELL",B613,"")</f>
        <v/>
      </c>
      <c r="F613" s="14" t="str">
        <f aca="false">IF(E613="","",(E613-D613)/D613*100)</f>
        <v/>
      </c>
      <c r="G613" s="0" t="str">
        <f aca="false">IF(C613="BUY","IN",IF(C613="SELL","OUT",IF(G612="IN","IN","OUT")))</f>
        <v>IN</v>
      </c>
      <c r="H613" s="14" t="n">
        <f aca="false">H612+IF(F613="",0,F613)</f>
        <v>31.6739906112124</v>
      </c>
      <c r="I613" s="14" t="n">
        <f aca="false">MAX(I612,H613)</f>
        <v>31.6739906112124</v>
      </c>
      <c r="J613" s="14" t="n">
        <f aca="false">I613-H613</f>
        <v>0</v>
      </c>
    </row>
    <row r="614" customFormat="false" ht="15" hidden="false" customHeight="false" outlineLevel="0" collapsed="false">
      <c r="A614" s="12" t="n">
        <f aca="false">Data!A614</f>
        <v>42898</v>
      </c>
      <c r="B614" s="14" t="n">
        <f aca="false">Data!B614</f>
        <v>46.08</v>
      </c>
      <c r="C614" s="0" t="str">
        <f aca="false">IF(Data!D614="","HOLD",IF(AND(G613&lt;&gt;"IN",Data!E614&lt;-5),"BUY",IF(AND(G613="IN",Data!E614&gt;0),"SELL","HOLD")))</f>
        <v>HOLD</v>
      </c>
      <c r="D614" s="14" t="n">
        <f aca="false">IF(C614="BUY",B614,IF(G613="IN",D613,""))</f>
        <v>45.72</v>
      </c>
      <c r="E614" s="14" t="str">
        <f aca="false">IF(C614="SELL",B614,"")</f>
        <v/>
      </c>
      <c r="F614" s="14" t="str">
        <f aca="false">IF(E614="","",(E614-D614)/D614*100)</f>
        <v/>
      </c>
      <c r="G614" s="0" t="str">
        <f aca="false">IF(C614="BUY","IN",IF(C614="SELL","OUT",IF(G613="IN","IN","OUT")))</f>
        <v>IN</v>
      </c>
      <c r="H614" s="14" t="n">
        <f aca="false">H613+IF(F614="",0,F614)</f>
        <v>31.6739906112124</v>
      </c>
      <c r="I614" s="14" t="n">
        <f aca="false">MAX(I613,H614)</f>
        <v>31.6739906112124</v>
      </c>
      <c r="J614" s="14" t="n">
        <f aca="false">I614-H614</f>
        <v>0</v>
      </c>
    </row>
    <row r="615" customFormat="false" ht="15" hidden="false" customHeight="false" outlineLevel="0" collapsed="false">
      <c r="A615" s="12" t="n">
        <f aca="false">Data!A615</f>
        <v>42899</v>
      </c>
      <c r="B615" s="14" t="n">
        <f aca="false">Data!B615</f>
        <v>46.46</v>
      </c>
      <c r="C615" s="0" t="str">
        <f aca="false">IF(Data!D615="","HOLD",IF(AND(G614&lt;&gt;"IN",Data!E615&lt;-5),"BUY",IF(AND(G614="IN",Data!E615&gt;0),"SELL","HOLD")))</f>
        <v>HOLD</v>
      </c>
      <c r="D615" s="14" t="n">
        <f aca="false">IF(C615="BUY",B615,IF(G614="IN",D614,""))</f>
        <v>45.72</v>
      </c>
      <c r="E615" s="14" t="str">
        <f aca="false">IF(C615="SELL",B615,"")</f>
        <v/>
      </c>
      <c r="F615" s="14" t="str">
        <f aca="false">IF(E615="","",(E615-D615)/D615*100)</f>
        <v/>
      </c>
      <c r="G615" s="0" t="str">
        <f aca="false">IF(C615="BUY","IN",IF(C615="SELL","OUT",IF(G614="IN","IN","OUT")))</f>
        <v>IN</v>
      </c>
      <c r="H615" s="14" t="n">
        <f aca="false">H614+IF(F615="",0,F615)</f>
        <v>31.6739906112124</v>
      </c>
      <c r="I615" s="14" t="n">
        <f aca="false">MAX(I614,H615)</f>
        <v>31.6739906112124</v>
      </c>
      <c r="J615" s="14" t="n">
        <f aca="false">I615-H615</f>
        <v>0</v>
      </c>
    </row>
    <row r="616" customFormat="false" ht="15" hidden="false" customHeight="false" outlineLevel="0" collapsed="false">
      <c r="A616" s="12" t="n">
        <f aca="false">Data!A616</f>
        <v>42900</v>
      </c>
      <c r="B616" s="14" t="n">
        <f aca="false">Data!B616</f>
        <v>44.73</v>
      </c>
      <c r="C616" s="0" t="str">
        <f aca="false">IF(Data!D616="","HOLD",IF(AND(G615&lt;&gt;"IN",Data!E616&lt;-5),"BUY",IF(AND(G615="IN",Data!E616&gt;0),"SELL","HOLD")))</f>
        <v>HOLD</v>
      </c>
      <c r="D616" s="14" t="n">
        <f aca="false">IF(C616="BUY",B616,IF(G615="IN",D615,""))</f>
        <v>45.72</v>
      </c>
      <c r="E616" s="14" t="str">
        <f aca="false">IF(C616="SELL",B616,"")</f>
        <v/>
      </c>
      <c r="F616" s="14" t="str">
        <f aca="false">IF(E616="","",(E616-D616)/D616*100)</f>
        <v/>
      </c>
      <c r="G616" s="0" t="str">
        <f aca="false">IF(C616="BUY","IN",IF(C616="SELL","OUT",IF(G615="IN","IN","OUT")))</f>
        <v>IN</v>
      </c>
      <c r="H616" s="14" t="n">
        <f aca="false">H615+IF(F616="",0,F616)</f>
        <v>31.6739906112124</v>
      </c>
      <c r="I616" s="14" t="n">
        <f aca="false">MAX(I615,H616)</f>
        <v>31.6739906112124</v>
      </c>
      <c r="J616" s="14" t="n">
        <f aca="false">I616-H616</f>
        <v>0</v>
      </c>
    </row>
    <row r="617" customFormat="false" ht="15" hidden="false" customHeight="false" outlineLevel="0" collapsed="false">
      <c r="A617" s="12" t="n">
        <f aca="false">Data!A617</f>
        <v>42901</v>
      </c>
      <c r="B617" s="14" t="n">
        <f aca="false">Data!B617</f>
        <v>44.46</v>
      </c>
      <c r="C617" s="0" t="str">
        <f aca="false">IF(Data!D617="","HOLD",IF(AND(G616&lt;&gt;"IN",Data!E617&lt;-5),"BUY",IF(AND(G616="IN",Data!E617&gt;0),"SELL","HOLD")))</f>
        <v>HOLD</v>
      </c>
      <c r="D617" s="14" t="n">
        <f aca="false">IF(C617="BUY",B617,IF(G616="IN",D616,""))</f>
        <v>45.72</v>
      </c>
      <c r="E617" s="14" t="str">
        <f aca="false">IF(C617="SELL",B617,"")</f>
        <v/>
      </c>
      <c r="F617" s="14" t="str">
        <f aca="false">IF(E617="","",(E617-D617)/D617*100)</f>
        <v/>
      </c>
      <c r="G617" s="0" t="str">
        <f aca="false">IF(C617="BUY","IN",IF(C617="SELL","OUT",IF(G616="IN","IN","OUT")))</f>
        <v>IN</v>
      </c>
      <c r="H617" s="14" t="n">
        <f aca="false">H616+IF(F617="",0,F617)</f>
        <v>31.6739906112124</v>
      </c>
      <c r="I617" s="14" t="n">
        <f aca="false">MAX(I616,H617)</f>
        <v>31.6739906112124</v>
      </c>
      <c r="J617" s="14" t="n">
        <f aca="false">I617-H617</f>
        <v>0</v>
      </c>
    </row>
    <row r="618" customFormat="false" ht="15" hidden="false" customHeight="false" outlineLevel="0" collapsed="false">
      <c r="A618" s="12" t="n">
        <f aca="false">Data!A618</f>
        <v>42902</v>
      </c>
      <c r="B618" s="14" t="n">
        <f aca="false">Data!B618</f>
        <v>44.74</v>
      </c>
      <c r="C618" s="0" t="str">
        <f aca="false">IF(Data!D618="","HOLD",IF(AND(G617&lt;&gt;"IN",Data!E618&lt;-5),"BUY",IF(AND(G617="IN",Data!E618&gt;0),"SELL","HOLD")))</f>
        <v>HOLD</v>
      </c>
      <c r="D618" s="14" t="n">
        <f aca="false">IF(C618="BUY",B618,IF(G617="IN",D617,""))</f>
        <v>45.72</v>
      </c>
      <c r="E618" s="14" t="str">
        <f aca="false">IF(C618="SELL",B618,"")</f>
        <v/>
      </c>
      <c r="F618" s="14" t="str">
        <f aca="false">IF(E618="","",(E618-D618)/D618*100)</f>
        <v/>
      </c>
      <c r="G618" s="0" t="str">
        <f aca="false">IF(C618="BUY","IN",IF(C618="SELL","OUT",IF(G617="IN","IN","OUT")))</f>
        <v>IN</v>
      </c>
      <c r="H618" s="14" t="n">
        <f aca="false">H617+IF(F618="",0,F618)</f>
        <v>31.6739906112124</v>
      </c>
      <c r="I618" s="14" t="n">
        <f aca="false">MAX(I617,H618)</f>
        <v>31.6739906112124</v>
      </c>
      <c r="J618" s="14" t="n">
        <f aca="false">I618-H618</f>
        <v>0</v>
      </c>
    </row>
    <row r="619" customFormat="false" ht="15" hidden="false" customHeight="false" outlineLevel="0" collapsed="false">
      <c r="A619" s="12" t="n">
        <f aca="false">Data!A619</f>
        <v>42905</v>
      </c>
      <c r="B619" s="14" t="n">
        <f aca="false">Data!B619</f>
        <v>44.2</v>
      </c>
      <c r="C619" s="0" t="str">
        <f aca="false">IF(Data!D619="","HOLD",IF(AND(G618&lt;&gt;"IN",Data!E619&lt;-5),"BUY",IF(AND(G618="IN",Data!E619&gt;0),"SELL","HOLD")))</f>
        <v>HOLD</v>
      </c>
      <c r="D619" s="14" t="n">
        <f aca="false">IF(C619="BUY",B619,IF(G618="IN",D618,""))</f>
        <v>45.72</v>
      </c>
      <c r="E619" s="14" t="str">
        <f aca="false">IF(C619="SELL",B619,"")</f>
        <v/>
      </c>
      <c r="F619" s="14" t="str">
        <f aca="false">IF(E619="","",(E619-D619)/D619*100)</f>
        <v/>
      </c>
      <c r="G619" s="0" t="str">
        <f aca="false">IF(C619="BUY","IN",IF(C619="SELL","OUT",IF(G618="IN","IN","OUT")))</f>
        <v>IN</v>
      </c>
      <c r="H619" s="14" t="n">
        <f aca="false">H618+IF(F619="",0,F619)</f>
        <v>31.6739906112124</v>
      </c>
      <c r="I619" s="14" t="n">
        <f aca="false">MAX(I618,H619)</f>
        <v>31.6739906112124</v>
      </c>
      <c r="J619" s="14" t="n">
        <f aca="false">I619-H619</f>
        <v>0</v>
      </c>
    </row>
    <row r="620" customFormat="false" ht="15" hidden="false" customHeight="false" outlineLevel="0" collapsed="false">
      <c r="A620" s="12" t="n">
        <f aca="false">Data!A620</f>
        <v>42906</v>
      </c>
      <c r="B620" s="14" t="n">
        <f aca="false">Data!B620</f>
        <v>43.23</v>
      </c>
      <c r="C620" s="0" t="str">
        <f aca="false">IF(Data!D620="","HOLD",IF(AND(G619&lt;&gt;"IN",Data!E620&lt;-5),"BUY",IF(AND(G619="IN",Data!E620&gt;0),"SELL","HOLD")))</f>
        <v>HOLD</v>
      </c>
      <c r="D620" s="14" t="n">
        <f aca="false">IF(C620="BUY",B620,IF(G619="IN",D619,""))</f>
        <v>45.72</v>
      </c>
      <c r="E620" s="14" t="str">
        <f aca="false">IF(C620="SELL",B620,"")</f>
        <v/>
      </c>
      <c r="F620" s="14" t="str">
        <f aca="false">IF(E620="","",(E620-D620)/D620*100)</f>
        <v/>
      </c>
      <c r="G620" s="0" t="str">
        <f aca="false">IF(C620="BUY","IN",IF(C620="SELL","OUT",IF(G619="IN","IN","OUT")))</f>
        <v>IN</v>
      </c>
      <c r="H620" s="14" t="n">
        <f aca="false">H619+IF(F620="",0,F620)</f>
        <v>31.6739906112124</v>
      </c>
      <c r="I620" s="14" t="n">
        <f aca="false">MAX(I619,H620)</f>
        <v>31.6739906112124</v>
      </c>
      <c r="J620" s="14" t="n">
        <f aca="false">I620-H620</f>
        <v>0</v>
      </c>
    </row>
    <row r="621" customFormat="false" ht="15" hidden="false" customHeight="false" outlineLevel="0" collapsed="false">
      <c r="A621" s="12" t="n">
        <f aca="false">Data!A621</f>
        <v>42907</v>
      </c>
      <c r="B621" s="14" t="n">
        <f aca="false">Data!B621</f>
        <v>42.53</v>
      </c>
      <c r="C621" s="0" t="str">
        <f aca="false">IF(Data!D621="","HOLD",IF(AND(G620&lt;&gt;"IN",Data!E621&lt;-5),"BUY",IF(AND(G620="IN",Data!E621&gt;0),"SELL","HOLD")))</f>
        <v>HOLD</v>
      </c>
      <c r="D621" s="14" t="n">
        <f aca="false">IF(C621="BUY",B621,IF(G620="IN",D620,""))</f>
        <v>45.72</v>
      </c>
      <c r="E621" s="14" t="str">
        <f aca="false">IF(C621="SELL",B621,"")</f>
        <v/>
      </c>
      <c r="F621" s="14" t="str">
        <f aca="false">IF(E621="","",(E621-D621)/D621*100)</f>
        <v/>
      </c>
      <c r="G621" s="0" t="str">
        <f aca="false">IF(C621="BUY","IN",IF(C621="SELL","OUT",IF(G620="IN","IN","OUT")))</f>
        <v>IN</v>
      </c>
      <c r="H621" s="14" t="n">
        <f aca="false">H620+IF(F621="",0,F621)</f>
        <v>31.6739906112124</v>
      </c>
      <c r="I621" s="14" t="n">
        <f aca="false">MAX(I620,H621)</f>
        <v>31.6739906112124</v>
      </c>
      <c r="J621" s="14" t="n">
        <f aca="false">I621-H621</f>
        <v>0</v>
      </c>
    </row>
    <row r="622" customFormat="false" ht="15" hidden="false" customHeight="false" outlineLevel="0" collapsed="false">
      <c r="A622" s="12" t="n">
        <f aca="false">Data!A622</f>
        <v>42908</v>
      </c>
      <c r="B622" s="14" t="n">
        <f aca="false">Data!B622</f>
        <v>42.74</v>
      </c>
      <c r="C622" s="0" t="str">
        <f aca="false">IF(Data!D622="","HOLD",IF(AND(G621&lt;&gt;"IN",Data!E622&lt;-5),"BUY",IF(AND(G621="IN",Data!E622&gt;0),"SELL","HOLD")))</f>
        <v>HOLD</v>
      </c>
      <c r="D622" s="14" t="n">
        <f aca="false">IF(C622="BUY",B622,IF(G621="IN",D621,""))</f>
        <v>45.72</v>
      </c>
      <c r="E622" s="14" t="str">
        <f aca="false">IF(C622="SELL",B622,"")</f>
        <v/>
      </c>
      <c r="F622" s="14" t="str">
        <f aca="false">IF(E622="","",(E622-D622)/D622*100)</f>
        <v/>
      </c>
      <c r="G622" s="0" t="str">
        <f aca="false">IF(C622="BUY","IN",IF(C622="SELL","OUT",IF(G621="IN","IN","OUT")))</f>
        <v>IN</v>
      </c>
      <c r="H622" s="14" t="n">
        <f aca="false">H621+IF(F622="",0,F622)</f>
        <v>31.6739906112124</v>
      </c>
      <c r="I622" s="14" t="n">
        <f aca="false">MAX(I621,H622)</f>
        <v>31.6739906112124</v>
      </c>
      <c r="J622" s="14" t="n">
        <f aca="false">I622-H622</f>
        <v>0</v>
      </c>
    </row>
    <row r="623" customFormat="false" ht="15" hidden="false" customHeight="false" outlineLevel="0" collapsed="false">
      <c r="A623" s="12" t="n">
        <f aca="false">Data!A623</f>
        <v>42909</v>
      </c>
      <c r="B623" s="14" t="n">
        <f aca="false">Data!B623</f>
        <v>43.01</v>
      </c>
      <c r="C623" s="0" t="str">
        <f aca="false">IF(Data!D623="","HOLD",IF(AND(G622&lt;&gt;"IN",Data!E623&lt;-5),"BUY",IF(AND(G622="IN",Data!E623&gt;0),"SELL","HOLD")))</f>
        <v>HOLD</v>
      </c>
      <c r="D623" s="14" t="n">
        <f aca="false">IF(C623="BUY",B623,IF(G622="IN",D622,""))</f>
        <v>45.72</v>
      </c>
      <c r="E623" s="14" t="str">
        <f aca="false">IF(C623="SELL",B623,"")</f>
        <v/>
      </c>
      <c r="F623" s="14" t="str">
        <f aca="false">IF(E623="","",(E623-D623)/D623*100)</f>
        <v/>
      </c>
      <c r="G623" s="0" t="str">
        <f aca="false">IF(C623="BUY","IN",IF(C623="SELL","OUT",IF(G622="IN","IN","OUT")))</f>
        <v>IN</v>
      </c>
      <c r="H623" s="14" t="n">
        <f aca="false">H622+IF(F623="",0,F623)</f>
        <v>31.6739906112124</v>
      </c>
      <c r="I623" s="14" t="n">
        <f aca="false">MAX(I622,H623)</f>
        <v>31.6739906112124</v>
      </c>
      <c r="J623" s="14" t="n">
        <f aca="false">I623-H623</f>
        <v>0</v>
      </c>
    </row>
    <row r="624" customFormat="false" ht="15" hidden="false" customHeight="false" outlineLevel="0" collapsed="false">
      <c r="A624" s="12" t="n">
        <f aca="false">Data!A624</f>
        <v>42912</v>
      </c>
      <c r="B624" s="14" t="n">
        <f aca="false">Data!B624</f>
        <v>43.38</v>
      </c>
      <c r="C624" s="0" t="str">
        <f aca="false">IF(Data!D624="","HOLD",IF(AND(G623&lt;&gt;"IN",Data!E624&lt;-5),"BUY",IF(AND(G623="IN",Data!E624&gt;0),"SELL","HOLD")))</f>
        <v>HOLD</v>
      </c>
      <c r="D624" s="14" t="n">
        <f aca="false">IF(C624="BUY",B624,IF(G623="IN",D623,""))</f>
        <v>45.72</v>
      </c>
      <c r="E624" s="14" t="str">
        <f aca="false">IF(C624="SELL",B624,"")</f>
        <v/>
      </c>
      <c r="F624" s="14" t="str">
        <f aca="false">IF(E624="","",(E624-D624)/D624*100)</f>
        <v/>
      </c>
      <c r="G624" s="0" t="str">
        <f aca="false">IF(C624="BUY","IN",IF(C624="SELL","OUT",IF(G623="IN","IN","OUT")))</f>
        <v>IN</v>
      </c>
      <c r="H624" s="14" t="n">
        <f aca="false">H623+IF(F624="",0,F624)</f>
        <v>31.6739906112124</v>
      </c>
      <c r="I624" s="14" t="n">
        <f aca="false">MAX(I623,H624)</f>
        <v>31.6739906112124</v>
      </c>
      <c r="J624" s="14" t="n">
        <f aca="false">I624-H624</f>
        <v>0</v>
      </c>
    </row>
    <row r="625" customFormat="false" ht="15" hidden="false" customHeight="false" outlineLevel="0" collapsed="false">
      <c r="A625" s="12" t="n">
        <f aca="false">Data!A625</f>
        <v>42913</v>
      </c>
      <c r="B625" s="14" t="n">
        <f aca="false">Data!B625</f>
        <v>44.24</v>
      </c>
      <c r="C625" s="0" t="str">
        <f aca="false">IF(Data!D625="","HOLD",IF(AND(G624&lt;&gt;"IN",Data!E625&lt;-5),"BUY",IF(AND(G624="IN",Data!E625&gt;0),"SELL","HOLD")))</f>
        <v>HOLD</v>
      </c>
      <c r="D625" s="14" t="n">
        <f aca="false">IF(C625="BUY",B625,IF(G624="IN",D624,""))</f>
        <v>45.72</v>
      </c>
      <c r="E625" s="14" t="str">
        <f aca="false">IF(C625="SELL",B625,"")</f>
        <v/>
      </c>
      <c r="F625" s="14" t="str">
        <f aca="false">IF(E625="","",(E625-D625)/D625*100)</f>
        <v/>
      </c>
      <c r="G625" s="0" t="str">
        <f aca="false">IF(C625="BUY","IN",IF(C625="SELL","OUT",IF(G624="IN","IN","OUT")))</f>
        <v>IN</v>
      </c>
      <c r="H625" s="14" t="n">
        <f aca="false">H624+IF(F625="",0,F625)</f>
        <v>31.6739906112124</v>
      </c>
      <c r="I625" s="14" t="n">
        <f aca="false">MAX(I624,H625)</f>
        <v>31.6739906112124</v>
      </c>
      <c r="J625" s="14" t="n">
        <f aca="false">I625-H625</f>
        <v>0</v>
      </c>
    </row>
    <row r="626" customFormat="false" ht="15" hidden="false" customHeight="false" outlineLevel="0" collapsed="false">
      <c r="A626" s="12" t="n">
        <f aca="false">Data!A626</f>
        <v>42914</v>
      </c>
      <c r="B626" s="14" t="n">
        <f aca="false">Data!B626</f>
        <v>44.74</v>
      </c>
      <c r="C626" s="0" t="str">
        <f aca="false">IF(Data!D626="","HOLD",IF(AND(G625&lt;&gt;"IN",Data!E626&lt;-5),"BUY",IF(AND(G625="IN",Data!E626&gt;0),"SELL","HOLD")))</f>
        <v>HOLD</v>
      </c>
      <c r="D626" s="14" t="n">
        <f aca="false">IF(C626="BUY",B626,IF(G625="IN",D625,""))</f>
        <v>45.72</v>
      </c>
      <c r="E626" s="14" t="str">
        <f aca="false">IF(C626="SELL",B626,"")</f>
        <v/>
      </c>
      <c r="F626" s="14" t="str">
        <f aca="false">IF(E626="","",(E626-D626)/D626*100)</f>
        <v/>
      </c>
      <c r="G626" s="0" t="str">
        <f aca="false">IF(C626="BUY","IN",IF(C626="SELL","OUT",IF(G625="IN","IN","OUT")))</f>
        <v>IN</v>
      </c>
      <c r="H626" s="14" t="n">
        <f aca="false">H625+IF(F626="",0,F626)</f>
        <v>31.6739906112124</v>
      </c>
      <c r="I626" s="14" t="n">
        <f aca="false">MAX(I625,H626)</f>
        <v>31.6739906112124</v>
      </c>
      <c r="J626" s="14" t="n">
        <f aca="false">I626-H626</f>
        <v>0</v>
      </c>
    </row>
    <row r="627" customFormat="false" ht="15" hidden="false" customHeight="false" outlineLevel="0" collapsed="false">
      <c r="A627" s="12" t="n">
        <f aca="false">Data!A627</f>
        <v>42915</v>
      </c>
      <c r="B627" s="14" t="n">
        <f aca="false">Data!B627</f>
        <v>44.93</v>
      </c>
      <c r="C627" s="0" t="str">
        <f aca="false">IF(Data!D627="","HOLD",IF(AND(G626&lt;&gt;"IN",Data!E627&lt;-5),"BUY",IF(AND(G626="IN",Data!E627&gt;0),"SELL","HOLD")))</f>
        <v>HOLD</v>
      </c>
      <c r="D627" s="14" t="n">
        <f aca="false">IF(C627="BUY",B627,IF(G626="IN",D626,""))</f>
        <v>45.72</v>
      </c>
      <c r="E627" s="14" t="str">
        <f aca="false">IF(C627="SELL",B627,"")</f>
        <v/>
      </c>
      <c r="F627" s="14" t="str">
        <f aca="false">IF(E627="","",(E627-D627)/D627*100)</f>
        <v/>
      </c>
      <c r="G627" s="0" t="str">
        <f aca="false">IF(C627="BUY","IN",IF(C627="SELL","OUT",IF(G626="IN","IN","OUT")))</f>
        <v>IN</v>
      </c>
      <c r="H627" s="14" t="n">
        <f aca="false">H626+IF(F627="",0,F627)</f>
        <v>31.6739906112124</v>
      </c>
      <c r="I627" s="14" t="n">
        <f aca="false">MAX(I626,H627)</f>
        <v>31.6739906112124</v>
      </c>
      <c r="J627" s="14" t="n">
        <f aca="false">I627-H627</f>
        <v>0</v>
      </c>
    </row>
    <row r="628" customFormat="false" ht="15" hidden="false" customHeight="false" outlineLevel="0" collapsed="false">
      <c r="A628" s="12" t="n">
        <f aca="false">Data!A628</f>
        <v>42916</v>
      </c>
      <c r="B628" s="14" t="n">
        <f aca="false">Data!B628</f>
        <v>46.04</v>
      </c>
      <c r="C628" s="0" t="str">
        <f aca="false">IF(Data!D628="","HOLD",IF(AND(G627&lt;&gt;"IN",Data!E628&lt;-5),"BUY",IF(AND(G627="IN",Data!E628&gt;0),"SELL","HOLD")))</f>
        <v>SELL</v>
      </c>
      <c r="D628" s="14" t="n">
        <f aca="false">IF(C628="BUY",B628,IF(G627="IN",D627,""))</f>
        <v>45.72</v>
      </c>
      <c r="E628" s="14" t="n">
        <f aca="false">IF(C628="SELL",B628,"")</f>
        <v>46.04</v>
      </c>
      <c r="F628" s="14" t="n">
        <f aca="false">IF(E628="","",(E628-D628)/D628*100)</f>
        <v>0.699912510936134</v>
      </c>
      <c r="G628" s="0" t="str">
        <f aca="false">IF(C628="BUY","IN",IF(C628="SELL","OUT",IF(G627="IN","IN","OUT")))</f>
        <v>OUT</v>
      </c>
      <c r="H628" s="14" t="n">
        <f aca="false">H627+IF(F628="",0,F628)</f>
        <v>32.3739031221486</v>
      </c>
      <c r="I628" s="14" t="n">
        <f aca="false">MAX(I627,H628)</f>
        <v>32.3739031221486</v>
      </c>
      <c r="J628" s="14" t="n">
        <f aca="false">I628-H628</f>
        <v>0</v>
      </c>
    </row>
    <row r="629" customFormat="false" ht="15" hidden="false" customHeight="false" outlineLevel="0" collapsed="false">
      <c r="A629" s="12" t="n">
        <f aca="false">Data!A629</f>
        <v>42919</v>
      </c>
      <c r="B629" s="14" t="n">
        <f aca="false">Data!B629</f>
        <v>47.07</v>
      </c>
      <c r="C629" s="0" t="str">
        <f aca="false">IF(Data!D629="","HOLD",IF(AND(G628&lt;&gt;"IN",Data!E629&lt;-5),"BUY",IF(AND(G628="IN",Data!E629&gt;0),"SELL","HOLD")))</f>
        <v>HOLD</v>
      </c>
      <c r="D629" s="14" t="str">
        <f aca="false">IF(C629="BUY",B629,IF(G628="IN",D628,""))</f>
        <v/>
      </c>
      <c r="E629" s="14" t="str">
        <f aca="false">IF(C629="SELL",B629,"")</f>
        <v/>
      </c>
      <c r="F629" s="14" t="str">
        <f aca="false">IF(E629="","",(E629-D629)/D629*100)</f>
        <v/>
      </c>
      <c r="G629" s="0" t="str">
        <f aca="false">IF(C629="BUY","IN",IF(C629="SELL","OUT",IF(G628="IN","IN","OUT")))</f>
        <v>OUT</v>
      </c>
      <c r="H629" s="14" t="n">
        <f aca="false">H628+IF(F629="",0,F629)</f>
        <v>32.3739031221486</v>
      </c>
      <c r="I629" s="14" t="n">
        <f aca="false">MAX(I628,H629)</f>
        <v>32.3739031221486</v>
      </c>
      <c r="J629" s="14" t="n">
        <f aca="false">I629-H629</f>
        <v>0</v>
      </c>
    </row>
    <row r="630" customFormat="false" ht="15" hidden="false" customHeight="false" outlineLevel="0" collapsed="false">
      <c r="A630" s="12" t="n">
        <f aca="false">Data!A630</f>
        <v>42921</v>
      </c>
      <c r="B630" s="14" t="n">
        <f aca="false">Data!B630</f>
        <v>45.13</v>
      </c>
      <c r="C630" s="0" t="str">
        <f aca="false">IF(Data!D630="","HOLD",IF(AND(G629&lt;&gt;"IN",Data!E630&lt;-5),"BUY",IF(AND(G629="IN",Data!E630&gt;0),"SELL","HOLD")))</f>
        <v>HOLD</v>
      </c>
      <c r="D630" s="14" t="str">
        <f aca="false">IF(C630="BUY",B630,IF(G629="IN",D629,""))</f>
        <v/>
      </c>
      <c r="E630" s="14" t="str">
        <f aca="false">IF(C630="SELL",B630,"")</f>
        <v/>
      </c>
      <c r="F630" s="14" t="str">
        <f aca="false">IF(E630="","",(E630-D630)/D630*100)</f>
        <v/>
      </c>
      <c r="G630" s="0" t="str">
        <f aca="false">IF(C630="BUY","IN",IF(C630="SELL","OUT",IF(G629="IN","IN","OUT")))</f>
        <v>OUT</v>
      </c>
      <c r="H630" s="14" t="n">
        <f aca="false">H629+IF(F630="",0,F630)</f>
        <v>32.3739031221486</v>
      </c>
      <c r="I630" s="14" t="n">
        <f aca="false">MAX(I629,H630)</f>
        <v>32.3739031221486</v>
      </c>
      <c r="J630" s="14" t="n">
        <f aca="false">I630-H630</f>
        <v>0</v>
      </c>
    </row>
    <row r="631" customFormat="false" ht="15" hidden="false" customHeight="false" outlineLevel="0" collapsed="false">
      <c r="A631" s="12" t="n">
        <f aca="false">Data!A631</f>
        <v>42922</v>
      </c>
      <c r="B631" s="14" t="n">
        <f aca="false">Data!B631</f>
        <v>45.52</v>
      </c>
      <c r="C631" s="0" t="str">
        <f aca="false">IF(Data!D631="","HOLD",IF(AND(G630&lt;&gt;"IN",Data!E631&lt;-5),"BUY",IF(AND(G630="IN",Data!E631&gt;0),"SELL","HOLD")))</f>
        <v>HOLD</v>
      </c>
      <c r="D631" s="14" t="str">
        <f aca="false">IF(C631="BUY",B631,IF(G630="IN",D630,""))</f>
        <v/>
      </c>
      <c r="E631" s="14" t="str">
        <f aca="false">IF(C631="SELL",B631,"")</f>
        <v/>
      </c>
      <c r="F631" s="14" t="str">
        <f aca="false">IF(E631="","",(E631-D631)/D631*100)</f>
        <v/>
      </c>
      <c r="G631" s="0" t="str">
        <f aca="false">IF(C631="BUY","IN",IF(C631="SELL","OUT",IF(G630="IN","IN","OUT")))</f>
        <v>OUT</v>
      </c>
      <c r="H631" s="14" t="n">
        <f aca="false">H630+IF(F631="",0,F631)</f>
        <v>32.3739031221486</v>
      </c>
      <c r="I631" s="14" t="n">
        <f aca="false">MAX(I630,H631)</f>
        <v>32.3739031221486</v>
      </c>
      <c r="J631" s="14" t="n">
        <f aca="false">I631-H631</f>
        <v>0</v>
      </c>
    </row>
    <row r="632" customFormat="false" ht="15" hidden="false" customHeight="false" outlineLevel="0" collapsed="false">
      <c r="A632" s="12" t="n">
        <f aca="false">Data!A632</f>
        <v>42923</v>
      </c>
      <c r="B632" s="14" t="n">
        <f aca="false">Data!B632</f>
        <v>44.23</v>
      </c>
      <c r="C632" s="0" t="str">
        <f aca="false">IF(Data!D632="","HOLD",IF(AND(G631&lt;&gt;"IN",Data!E632&lt;-5),"BUY",IF(AND(G631="IN",Data!E632&gt;0),"SELL","HOLD")))</f>
        <v>HOLD</v>
      </c>
      <c r="D632" s="14" t="str">
        <f aca="false">IF(C632="BUY",B632,IF(G631="IN",D631,""))</f>
        <v/>
      </c>
      <c r="E632" s="14" t="str">
        <f aca="false">IF(C632="SELL",B632,"")</f>
        <v/>
      </c>
      <c r="F632" s="14" t="str">
        <f aca="false">IF(E632="","",(E632-D632)/D632*100)</f>
        <v/>
      </c>
      <c r="G632" s="0" t="str">
        <f aca="false">IF(C632="BUY","IN",IF(C632="SELL","OUT",IF(G631="IN","IN","OUT")))</f>
        <v>OUT</v>
      </c>
      <c r="H632" s="14" t="n">
        <f aca="false">H631+IF(F632="",0,F632)</f>
        <v>32.3739031221486</v>
      </c>
      <c r="I632" s="14" t="n">
        <f aca="false">MAX(I631,H632)</f>
        <v>32.3739031221486</v>
      </c>
      <c r="J632" s="14" t="n">
        <f aca="false">I632-H632</f>
        <v>0</v>
      </c>
    </row>
    <row r="633" customFormat="false" ht="15" hidden="false" customHeight="false" outlineLevel="0" collapsed="false">
      <c r="A633" s="12" t="n">
        <f aca="false">Data!A633</f>
        <v>42926</v>
      </c>
      <c r="B633" s="14" t="n">
        <f aca="false">Data!B633</f>
        <v>44.4</v>
      </c>
      <c r="C633" s="0" t="str">
        <f aca="false">IF(Data!D633="","HOLD",IF(AND(G632&lt;&gt;"IN",Data!E633&lt;-5),"BUY",IF(AND(G632="IN",Data!E633&gt;0),"SELL","HOLD")))</f>
        <v>HOLD</v>
      </c>
      <c r="D633" s="14" t="str">
        <f aca="false">IF(C633="BUY",B633,IF(G632="IN",D632,""))</f>
        <v/>
      </c>
      <c r="E633" s="14" t="str">
        <f aca="false">IF(C633="SELL",B633,"")</f>
        <v/>
      </c>
      <c r="F633" s="14" t="str">
        <f aca="false">IF(E633="","",(E633-D633)/D633*100)</f>
        <v/>
      </c>
      <c r="G633" s="0" t="str">
        <f aca="false">IF(C633="BUY","IN",IF(C633="SELL","OUT",IF(G632="IN","IN","OUT")))</f>
        <v>OUT</v>
      </c>
      <c r="H633" s="14" t="n">
        <f aca="false">H632+IF(F633="",0,F633)</f>
        <v>32.3739031221486</v>
      </c>
      <c r="I633" s="14" t="n">
        <f aca="false">MAX(I632,H633)</f>
        <v>32.3739031221486</v>
      </c>
      <c r="J633" s="14" t="n">
        <f aca="false">I633-H633</f>
        <v>0</v>
      </c>
    </row>
    <row r="634" customFormat="false" ht="15" hidden="false" customHeight="false" outlineLevel="0" collapsed="false">
      <c r="A634" s="12" t="n">
        <f aca="false">Data!A634</f>
        <v>42927</v>
      </c>
      <c r="B634" s="14" t="n">
        <f aca="false">Data!B634</f>
        <v>45.04</v>
      </c>
      <c r="C634" s="0" t="str">
        <f aca="false">IF(Data!D634="","HOLD",IF(AND(G633&lt;&gt;"IN",Data!E634&lt;-5),"BUY",IF(AND(G633="IN",Data!E634&gt;0),"SELL","HOLD")))</f>
        <v>HOLD</v>
      </c>
      <c r="D634" s="14" t="str">
        <f aca="false">IF(C634="BUY",B634,IF(G633="IN",D633,""))</f>
        <v/>
      </c>
      <c r="E634" s="14" t="str">
        <f aca="false">IF(C634="SELL",B634,"")</f>
        <v/>
      </c>
      <c r="F634" s="14" t="str">
        <f aca="false">IF(E634="","",(E634-D634)/D634*100)</f>
        <v/>
      </c>
      <c r="G634" s="0" t="str">
        <f aca="false">IF(C634="BUY","IN",IF(C634="SELL","OUT",IF(G633="IN","IN","OUT")))</f>
        <v>OUT</v>
      </c>
      <c r="H634" s="14" t="n">
        <f aca="false">H633+IF(F634="",0,F634)</f>
        <v>32.3739031221486</v>
      </c>
      <c r="I634" s="14" t="n">
        <f aca="false">MAX(I633,H634)</f>
        <v>32.3739031221486</v>
      </c>
      <c r="J634" s="14" t="n">
        <f aca="false">I634-H634</f>
        <v>0</v>
      </c>
    </row>
    <row r="635" customFormat="false" ht="15" hidden="false" customHeight="false" outlineLevel="0" collapsed="false">
      <c r="A635" s="12" t="n">
        <f aca="false">Data!A635</f>
        <v>42928</v>
      </c>
      <c r="B635" s="14" t="n">
        <f aca="false">Data!B635</f>
        <v>45.49</v>
      </c>
      <c r="C635" s="0" t="str">
        <f aca="false">IF(Data!D635="","HOLD",IF(AND(G634&lt;&gt;"IN",Data!E635&lt;-5),"BUY",IF(AND(G634="IN",Data!E635&gt;0),"SELL","HOLD")))</f>
        <v>HOLD</v>
      </c>
      <c r="D635" s="14" t="str">
        <f aca="false">IF(C635="BUY",B635,IF(G634="IN",D634,""))</f>
        <v/>
      </c>
      <c r="E635" s="14" t="str">
        <f aca="false">IF(C635="SELL",B635,"")</f>
        <v/>
      </c>
      <c r="F635" s="14" t="str">
        <f aca="false">IF(E635="","",(E635-D635)/D635*100)</f>
        <v/>
      </c>
      <c r="G635" s="0" t="str">
        <f aca="false">IF(C635="BUY","IN",IF(C635="SELL","OUT",IF(G634="IN","IN","OUT")))</f>
        <v>OUT</v>
      </c>
      <c r="H635" s="14" t="n">
        <f aca="false">H634+IF(F635="",0,F635)</f>
        <v>32.3739031221486</v>
      </c>
      <c r="I635" s="14" t="n">
        <f aca="false">MAX(I634,H635)</f>
        <v>32.3739031221486</v>
      </c>
      <c r="J635" s="14" t="n">
        <f aca="false">I635-H635</f>
        <v>0</v>
      </c>
    </row>
    <row r="636" customFormat="false" ht="15" hidden="false" customHeight="false" outlineLevel="0" collapsed="false">
      <c r="A636" s="12" t="n">
        <f aca="false">Data!A636</f>
        <v>42929</v>
      </c>
      <c r="B636" s="14" t="n">
        <f aca="false">Data!B636</f>
        <v>46.08</v>
      </c>
      <c r="C636" s="0" t="str">
        <f aca="false">IF(Data!D636="","HOLD",IF(AND(G635&lt;&gt;"IN",Data!E636&lt;-5),"BUY",IF(AND(G635="IN",Data!E636&gt;0),"SELL","HOLD")))</f>
        <v>HOLD</v>
      </c>
      <c r="D636" s="14" t="str">
        <f aca="false">IF(C636="BUY",B636,IF(G635="IN",D635,""))</f>
        <v/>
      </c>
      <c r="E636" s="14" t="str">
        <f aca="false">IF(C636="SELL",B636,"")</f>
        <v/>
      </c>
      <c r="F636" s="14" t="str">
        <f aca="false">IF(E636="","",(E636-D636)/D636*100)</f>
        <v/>
      </c>
      <c r="G636" s="0" t="str">
        <f aca="false">IF(C636="BUY","IN",IF(C636="SELL","OUT",IF(G635="IN","IN","OUT")))</f>
        <v>OUT</v>
      </c>
      <c r="H636" s="14" t="n">
        <f aca="false">H635+IF(F636="",0,F636)</f>
        <v>32.3739031221486</v>
      </c>
      <c r="I636" s="14" t="n">
        <f aca="false">MAX(I635,H636)</f>
        <v>32.3739031221486</v>
      </c>
      <c r="J636" s="14" t="n">
        <f aca="false">I636-H636</f>
        <v>0</v>
      </c>
    </row>
    <row r="637" customFormat="false" ht="15" hidden="false" customHeight="false" outlineLevel="0" collapsed="false">
      <c r="A637" s="12" t="n">
        <f aca="false">Data!A637</f>
        <v>42930</v>
      </c>
      <c r="B637" s="14" t="n">
        <f aca="false">Data!B637</f>
        <v>46.54</v>
      </c>
      <c r="C637" s="0" t="str">
        <f aca="false">IF(Data!D637="","HOLD",IF(AND(G636&lt;&gt;"IN",Data!E637&lt;-5),"BUY",IF(AND(G636="IN",Data!E637&gt;0),"SELL","HOLD")))</f>
        <v>HOLD</v>
      </c>
      <c r="D637" s="14" t="str">
        <f aca="false">IF(C637="BUY",B637,IF(G636="IN",D636,""))</f>
        <v/>
      </c>
      <c r="E637" s="14" t="str">
        <f aca="false">IF(C637="SELL",B637,"")</f>
        <v/>
      </c>
      <c r="F637" s="14" t="str">
        <f aca="false">IF(E637="","",(E637-D637)/D637*100)</f>
        <v/>
      </c>
      <c r="G637" s="0" t="str">
        <f aca="false">IF(C637="BUY","IN",IF(C637="SELL","OUT",IF(G636="IN","IN","OUT")))</f>
        <v>OUT</v>
      </c>
      <c r="H637" s="14" t="n">
        <f aca="false">H636+IF(F637="",0,F637)</f>
        <v>32.3739031221486</v>
      </c>
      <c r="I637" s="14" t="n">
        <f aca="false">MAX(I636,H637)</f>
        <v>32.3739031221486</v>
      </c>
      <c r="J637" s="14" t="n">
        <f aca="false">I637-H637</f>
        <v>0</v>
      </c>
    </row>
    <row r="638" customFormat="false" ht="15" hidden="false" customHeight="false" outlineLevel="0" collapsed="false">
      <c r="A638" s="12" t="n">
        <f aca="false">Data!A638</f>
        <v>42933</v>
      </c>
      <c r="B638" s="14" t="n">
        <f aca="false">Data!B638</f>
        <v>46.02</v>
      </c>
      <c r="C638" s="0" t="str">
        <f aca="false">IF(Data!D638="","HOLD",IF(AND(G637&lt;&gt;"IN",Data!E638&lt;-5),"BUY",IF(AND(G637="IN",Data!E638&gt;0),"SELL","HOLD")))</f>
        <v>HOLD</v>
      </c>
      <c r="D638" s="14" t="str">
        <f aca="false">IF(C638="BUY",B638,IF(G637="IN",D637,""))</f>
        <v/>
      </c>
      <c r="E638" s="14" t="str">
        <f aca="false">IF(C638="SELL",B638,"")</f>
        <v/>
      </c>
      <c r="F638" s="14" t="str">
        <f aca="false">IF(E638="","",(E638-D638)/D638*100)</f>
        <v/>
      </c>
      <c r="G638" s="0" t="str">
        <f aca="false">IF(C638="BUY","IN",IF(C638="SELL","OUT",IF(G637="IN","IN","OUT")))</f>
        <v>OUT</v>
      </c>
      <c r="H638" s="14" t="n">
        <f aca="false">H637+IF(F638="",0,F638)</f>
        <v>32.3739031221486</v>
      </c>
      <c r="I638" s="14" t="n">
        <f aca="false">MAX(I637,H638)</f>
        <v>32.3739031221486</v>
      </c>
      <c r="J638" s="14" t="n">
        <f aca="false">I638-H638</f>
        <v>0</v>
      </c>
    </row>
    <row r="639" customFormat="false" ht="15" hidden="false" customHeight="false" outlineLevel="0" collapsed="false">
      <c r="A639" s="12" t="n">
        <f aca="false">Data!A639</f>
        <v>42934</v>
      </c>
      <c r="B639" s="14" t="n">
        <f aca="false">Data!B639</f>
        <v>46.4</v>
      </c>
      <c r="C639" s="0" t="str">
        <f aca="false">IF(Data!D639="","HOLD",IF(AND(G638&lt;&gt;"IN",Data!E639&lt;-5),"BUY",IF(AND(G638="IN",Data!E639&gt;0),"SELL","HOLD")))</f>
        <v>HOLD</v>
      </c>
      <c r="D639" s="14" t="str">
        <f aca="false">IF(C639="BUY",B639,IF(G638="IN",D638,""))</f>
        <v/>
      </c>
      <c r="E639" s="14" t="str">
        <f aca="false">IF(C639="SELL",B639,"")</f>
        <v/>
      </c>
      <c r="F639" s="14" t="str">
        <f aca="false">IF(E639="","",(E639-D639)/D639*100)</f>
        <v/>
      </c>
      <c r="G639" s="0" t="str">
        <f aca="false">IF(C639="BUY","IN",IF(C639="SELL","OUT",IF(G638="IN","IN","OUT")))</f>
        <v>OUT</v>
      </c>
      <c r="H639" s="14" t="n">
        <f aca="false">H638+IF(F639="",0,F639)</f>
        <v>32.3739031221486</v>
      </c>
      <c r="I639" s="14" t="n">
        <f aca="false">MAX(I638,H639)</f>
        <v>32.3739031221486</v>
      </c>
      <c r="J639" s="14" t="n">
        <f aca="false">I639-H639</f>
        <v>0</v>
      </c>
    </row>
    <row r="640" customFormat="false" ht="15" hidden="false" customHeight="false" outlineLevel="0" collapsed="false">
      <c r="A640" s="12" t="n">
        <f aca="false">Data!A640</f>
        <v>42935</v>
      </c>
      <c r="B640" s="14" t="n">
        <f aca="false">Data!B640</f>
        <v>47.12</v>
      </c>
      <c r="C640" s="0" t="str">
        <f aca="false">IF(Data!D640="","HOLD",IF(AND(G639&lt;&gt;"IN",Data!E640&lt;-5),"BUY",IF(AND(G639="IN",Data!E640&gt;0),"SELL","HOLD")))</f>
        <v>HOLD</v>
      </c>
      <c r="D640" s="14" t="str">
        <f aca="false">IF(C640="BUY",B640,IF(G639="IN",D639,""))</f>
        <v/>
      </c>
      <c r="E640" s="14" t="str">
        <f aca="false">IF(C640="SELL",B640,"")</f>
        <v/>
      </c>
      <c r="F640" s="14" t="str">
        <f aca="false">IF(E640="","",(E640-D640)/D640*100)</f>
        <v/>
      </c>
      <c r="G640" s="0" t="str">
        <f aca="false">IF(C640="BUY","IN",IF(C640="SELL","OUT",IF(G639="IN","IN","OUT")))</f>
        <v>OUT</v>
      </c>
      <c r="H640" s="14" t="n">
        <f aca="false">H639+IF(F640="",0,F640)</f>
        <v>32.3739031221486</v>
      </c>
      <c r="I640" s="14" t="n">
        <f aca="false">MAX(I639,H640)</f>
        <v>32.3739031221486</v>
      </c>
      <c r="J640" s="14" t="n">
        <f aca="false">I640-H640</f>
        <v>0</v>
      </c>
    </row>
    <row r="641" customFormat="false" ht="15" hidden="false" customHeight="false" outlineLevel="0" collapsed="false">
      <c r="A641" s="12" t="n">
        <f aca="false">Data!A641</f>
        <v>42936</v>
      </c>
      <c r="B641" s="14" t="n">
        <f aca="false">Data!B641</f>
        <v>46.79</v>
      </c>
      <c r="C641" s="0" t="str">
        <f aca="false">IF(Data!D641="","HOLD",IF(AND(G640&lt;&gt;"IN",Data!E641&lt;-5),"BUY",IF(AND(G640="IN",Data!E641&gt;0),"SELL","HOLD")))</f>
        <v>HOLD</v>
      </c>
      <c r="D641" s="14" t="str">
        <f aca="false">IF(C641="BUY",B641,IF(G640="IN",D640,""))</f>
        <v/>
      </c>
      <c r="E641" s="14" t="str">
        <f aca="false">IF(C641="SELL",B641,"")</f>
        <v/>
      </c>
      <c r="F641" s="14" t="str">
        <f aca="false">IF(E641="","",(E641-D641)/D641*100)</f>
        <v/>
      </c>
      <c r="G641" s="0" t="str">
        <f aca="false">IF(C641="BUY","IN",IF(C641="SELL","OUT",IF(G640="IN","IN","OUT")))</f>
        <v>OUT</v>
      </c>
      <c r="H641" s="14" t="n">
        <f aca="false">H640+IF(F641="",0,F641)</f>
        <v>32.3739031221486</v>
      </c>
      <c r="I641" s="14" t="n">
        <f aca="false">MAX(I640,H641)</f>
        <v>32.3739031221486</v>
      </c>
      <c r="J641" s="14" t="n">
        <f aca="false">I641-H641</f>
        <v>0</v>
      </c>
    </row>
    <row r="642" customFormat="false" ht="15" hidden="false" customHeight="false" outlineLevel="0" collapsed="false">
      <c r="A642" s="12" t="n">
        <f aca="false">Data!A642</f>
        <v>42937</v>
      </c>
      <c r="B642" s="14" t="n">
        <f aca="false">Data!B642</f>
        <v>45.77</v>
      </c>
      <c r="C642" s="0" t="str">
        <f aca="false">IF(Data!D642="","HOLD",IF(AND(G641&lt;&gt;"IN",Data!E642&lt;-5),"BUY",IF(AND(G641="IN",Data!E642&gt;0),"SELL","HOLD")))</f>
        <v>HOLD</v>
      </c>
      <c r="D642" s="14" t="str">
        <f aca="false">IF(C642="BUY",B642,IF(G641="IN",D641,""))</f>
        <v/>
      </c>
      <c r="E642" s="14" t="str">
        <f aca="false">IF(C642="SELL",B642,"")</f>
        <v/>
      </c>
      <c r="F642" s="14" t="str">
        <f aca="false">IF(E642="","",(E642-D642)/D642*100)</f>
        <v/>
      </c>
      <c r="G642" s="0" t="str">
        <f aca="false">IF(C642="BUY","IN",IF(C642="SELL","OUT",IF(G641="IN","IN","OUT")))</f>
        <v>OUT</v>
      </c>
      <c r="H642" s="14" t="n">
        <f aca="false">H641+IF(F642="",0,F642)</f>
        <v>32.3739031221486</v>
      </c>
      <c r="I642" s="14" t="n">
        <f aca="false">MAX(I641,H642)</f>
        <v>32.3739031221486</v>
      </c>
      <c r="J642" s="14" t="n">
        <f aca="false">I642-H642</f>
        <v>0</v>
      </c>
    </row>
    <row r="643" customFormat="false" ht="15" hidden="false" customHeight="false" outlineLevel="0" collapsed="false">
      <c r="A643" s="12" t="n">
        <f aca="false">Data!A643</f>
        <v>42940</v>
      </c>
      <c r="B643" s="14" t="n">
        <f aca="false">Data!B643</f>
        <v>46.34</v>
      </c>
      <c r="C643" s="0" t="str">
        <f aca="false">IF(Data!D643="","HOLD",IF(AND(G642&lt;&gt;"IN",Data!E643&lt;-5),"BUY",IF(AND(G642="IN",Data!E643&gt;0),"SELL","HOLD")))</f>
        <v>HOLD</v>
      </c>
      <c r="D643" s="14" t="str">
        <f aca="false">IF(C643="BUY",B643,IF(G642="IN",D642,""))</f>
        <v/>
      </c>
      <c r="E643" s="14" t="str">
        <f aca="false">IF(C643="SELL",B643,"")</f>
        <v/>
      </c>
      <c r="F643" s="14" t="str">
        <f aca="false">IF(E643="","",(E643-D643)/D643*100)</f>
        <v/>
      </c>
      <c r="G643" s="0" t="str">
        <f aca="false">IF(C643="BUY","IN",IF(C643="SELL","OUT",IF(G642="IN","IN","OUT")))</f>
        <v>OUT</v>
      </c>
      <c r="H643" s="14" t="n">
        <f aca="false">H642+IF(F643="",0,F643)</f>
        <v>32.3739031221486</v>
      </c>
      <c r="I643" s="14" t="n">
        <f aca="false">MAX(I642,H643)</f>
        <v>32.3739031221486</v>
      </c>
      <c r="J643" s="14" t="n">
        <f aca="false">I643-H643</f>
        <v>0</v>
      </c>
    </row>
    <row r="644" customFormat="false" ht="15" hidden="false" customHeight="false" outlineLevel="0" collapsed="false">
      <c r="A644" s="12" t="n">
        <f aca="false">Data!A644</f>
        <v>42941</v>
      </c>
      <c r="B644" s="14" t="n">
        <f aca="false">Data!B644</f>
        <v>47.89</v>
      </c>
      <c r="C644" s="0" t="str">
        <f aca="false">IF(Data!D644="","HOLD",IF(AND(G643&lt;&gt;"IN",Data!E644&lt;-5),"BUY",IF(AND(G643="IN",Data!E644&gt;0),"SELL","HOLD")))</f>
        <v>HOLD</v>
      </c>
      <c r="D644" s="14" t="str">
        <f aca="false">IF(C644="BUY",B644,IF(G643="IN",D643,""))</f>
        <v/>
      </c>
      <c r="E644" s="14" t="str">
        <f aca="false">IF(C644="SELL",B644,"")</f>
        <v/>
      </c>
      <c r="F644" s="14" t="str">
        <f aca="false">IF(E644="","",(E644-D644)/D644*100)</f>
        <v/>
      </c>
      <c r="G644" s="0" t="str">
        <f aca="false">IF(C644="BUY","IN",IF(C644="SELL","OUT",IF(G643="IN","IN","OUT")))</f>
        <v>OUT</v>
      </c>
      <c r="H644" s="14" t="n">
        <f aca="false">H643+IF(F644="",0,F644)</f>
        <v>32.3739031221486</v>
      </c>
      <c r="I644" s="14" t="n">
        <f aca="false">MAX(I643,H644)</f>
        <v>32.3739031221486</v>
      </c>
      <c r="J644" s="14" t="n">
        <f aca="false">I644-H644</f>
        <v>0</v>
      </c>
    </row>
    <row r="645" customFormat="false" ht="15" hidden="false" customHeight="false" outlineLevel="0" collapsed="false">
      <c r="A645" s="12" t="n">
        <f aca="false">Data!A645</f>
        <v>42942</v>
      </c>
      <c r="B645" s="14" t="n">
        <f aca="false">Data!B645</f>
        <v>48.75</v>
      </c>
      <c r="C645" s="0" t="str">
        <f aca="false">IF(Data!D645="","HOLD",IF(AND(G644&lt;&gt;"IN",Data!E645&lt;-5),"BUY",IF(AND(G644="IN",Data!E645&gt;0),"SELL","HOLD")))</f>
        <v>HOLD</v>
      </c>
      <c r="D645" s="14" t="str">
        <f aca="false">IF(C645="BUY",B645,IF(G644="IN",D644,""))</f>
        <v/>
      </c>
      <c r="E645" s="14" t="str">
        <f aca="false">IF(C645="SELL",B645,"")</f>
        <v/>
      </c>
      <c r="F645" s="14" t="str">
        <f aca="false">IF(E645="","",(E645-D645)/D645*100)</f>
        <v/>
      </c>
      <c r="G645" s="0" t="str">
        <f aca="false">IF(C645="BUY","IN",IF(C645="SELL","OUT",IF(G644="IN","IN","OUT")))</f>
        <v>OUT</v>
      </c>
      <c r="H645" s="14" t="n">
        <f aca="false">H644+IF(F645="",0,F645)</f>
        <v>32.3739031221486</v>
      </c>
      <c r="I645" s="14" t="n">
        <f aca="false">MAX(I644,H645)</f>
        <v>32.3739031221486</v>
      </c>
      <c r="J645" s="14" t="n">
        <f aca="false">I645-H645</f>
        <v>0</v>
      </c>
    </row>
    <row r="646" customFormat="false" ht="15" hidden="false" customHeight="false" outlineLevel="0" collapsed="false">
      <c r="A646" s="12" t="n">
        <f aca="false">Data!A646</f>
        <v>42943</v>
      </c>
      <c r="B646" s="14" t="n">
        <f aca="false">Data!B646</f>
        <v>49.04</v>
      </c>
      <c r="C646" s="0" t="str">
        <f aca="false">IF(Data!D646="","HOLD",IF(AND(G645&lt;&gt;"IN",Data!E646&lt;-5),"BUY",IF(AND(G645="IN",Data!E646&gt;0),"SELL","HOLD")))</f>
        <v>HOLD</v>
      </c>
      <c r="D646" s="14" t="str">
        <f aca="false">IF(C646="BUY",B646,IF(G645="IN",D645,""))</f>
        <v/>
      </c>
      <c r="E646" s="14" t="str">
        <f aca="false">IF(C646="SELL",B646,"")</f>
        <v/>
      </c>
      <c r="F646" s="14" t="str">
        <f aca="false">IF(E646="","",(E646-D646)/D646*100)</f>
        <v/>
      </c>
      <c r="G646" s="0" t="str">
        <f aca="false">IF(C646="BUY","IN",IF(C646="SELL","OUT",IF(G645="IN","IN","OUT")))</f>
        <v>OUT</v>
      </c>
      <c r="H646" s="14" t="n">
        <f aca="false">H645+IF(F646="",0,F646)</f>
        <v>32.3739031221486</v>
      </c>
      <c r="I646" s="14" t="n">
        <f aca="false">MAX(I645,H646)</f>
        <v>32.3739031221486</v>
      </c>
      <c r="J646" s="14" t="n">
        <f aca="false">I646-H646</f>
        <v>0</v>
      </c>
    </row>
    <row r="647" customFormat="false" ht="15" hidden="false" customHeight="false" outlineLevel="0" collapsed="false">
      <c r="A647" s="12" t="n">
        <f aca="false">Data!A647</f>
        <v>42944</v>
      </c>
      <c r="B647" s="14" t="n">
        <f aca="false">Data!B647</f>
        <v>49.71</v>
      </c>
      <c r="C647" s="0" t="str">
        <f aca="false">IF(Data!D647="","HOLD",IF(AND(G646&lt;&gt;"IN",Data!E647&lt;-5),"BUY",IF(AND(G646="IN",Data!E647&gt;0),"SELL","HOLD")))</f>
        <v>HOLD</v>
      </c>
      <c r="D647" s="14" t="str">
        <f aca="false">IF(C647="BUY",B647,IF(G646="IN",D646,""))</f>
        <v/>
      </c>
      <c r="E647" s="14" t="str">
        <f aca="false">IF(C647="SELL",B647,"")</f>
        <v/>
      </c>
      <c r="F647" s="14" t="str">
        <f aca="false">IF(E647="","",(E647-D647)/D647*100)</f>
        <v/>
      </c>
      <c r="G647" s="0" t="str">
        <f aca="false">IF(C647="BUY","IN",IF(C647="SELL","OUT",IF(G646="IN","IN","OUT")))</f>
        <v>OUT</v>
      </c>
      <c r="H647" s="14" t="n">
        <f aca="false">H646+IF(F647="",0,F647)</f>
        <v>32.3739031221486</v>
      </c>
      <c r="I647" s="14" t="n">
        <f aca="false">MAX(I646,H647)</f>
        <v>32.3739031221486</v>
      </c>
      <c r="J647" s="14" t="n">
        <f aca="false">I647-H647</f>
        <v>0</v>
      </c>
    </row>
    <row r="648" customFormat="false" ht="15" hidden="false" customHeight="false" outlineLevel="0" collapsed="false">
      <c r="A648" s="12" t="n">
        <f aca="false">Data!A648</f>
        <v>42947</v>
      </c>
      <c r="B648" s="14" t="n">
        <f aca="false">Data!B648</f>
        <v>50.17</v>
      </c>
      <c r="C648" s="0" t="str">
        <f aca="false">IF(Data!D648="","HOLD",IF(AND(G647&lt;&gt;"IN",Data!E648&lt;-5),"BUY",IF(AND(G647="IN",Data!E648&gt;0),"SELL","HOLD")))</f>
        <v>HOLD</v>
      </c>
      <c r="D648" s="14" t="str">
        <f aca="false">IF(C648="BUY",B648,IF(G647="IN",D647,""))</f>
        <v/>
      </c>
      <c r="E648" s="14" t="str">
        <f aca="false">IF(C648="SELL",B648,"")</f>
        <v/>
      </c>
      <c r="F648" s="14" t="str">
        <f aca="false">IF(E648="","",(E648-D648)/D648*100)</f>
        <v/>
      </c>
      <c r="G648" s="0" t="str">
        <f aca="false">IF(C648="BUY","IN",IF(C648="SELL","OUT",IF(G647="IN","IN","OUT")))</f>
        <v>OUT</v>
      </c>
      <c r="H648" s="14" t="n">
        <f aca="false">H647+IF(F648="",0,F648)</f>
        <v>32.3739031221486</v>
      </c>
      <c r="I648" s="14" t="n">
        <f aca="false">MAX(I647,H648)</f>
        <v>32.3739031221486</v>
      </c>
      <c r="J648" s="14" t="n">
        <f aca="false">I648-H648</f>
        <v>0</v>
      </c>
    </row>
    <row r="649" customFormat="false" ht="15" hidden="false" customHeight="false" outlineLevel="0" collapsed="false">
      <c r="A649" s="12" t="n">
        <f aca="false">Data!A649</f>
        <v>42948</v>
      </c>
      <c r="B649" s="14" t="n">
        <f aca="false">Data!B649</f>
        <v>49.16</v>
      </c>
      <c r="C649" s="0" t="str">
        <f aca="false">IF(Data!D649="","HOLD",IF(AND(G648&lt;&gt;"IN",Data!E649&lt;-5),"BUY",IF(AND(G648="IN",Data!E649&gt;0),"SELL","HOLD")))</f>
        <v>HOLD</v>
      </c>
      <c r="D649" s="14" t="str">
        <f aca="false">IF(C649="BUY",B649,IF(G648="IN",D648,""))</f>
        <v/>
      </c>
      <c r="E649" s="14" t="str">
        <f aca="false">IF(C649="SELL",B649,"")</f>
        <v/>
      </c>
      <c r="F649" s="14" t="str">
        <f aca="false">IF(E649="","",(E649-D649)/D649*100)</f>
        <v/>
      </c>
      <c r="G649" s="0" t="str">
        <f aca="false">IF(C649="BUY","IN",IF(C649="SELL","OUT",IF(G648="IN","IN","OUT")))</f>
        <v>OUT</v>
      </c>
      <c r="H649" s="14" t="n">
        <f aca="false">H648+IF(F649="",0,F649)</f>
        <v>32.3739031221486</v>
      </c>
      <c r="I649" s="14" t="n">
        <f aca="false">MAX(I648,H649)</f>
        <v>32.3739031221486</v>
      </c>
      <c r="J649" s="14" t="n">
        <f aca="false">I649-H649</f>
        <v>0</v>
      </c>
    </row>
    <row r="650" customFormat="false" ht="15" hidden="false" customHeight="false" outlineLevel="0" collapsed="false">
      <c r="A650" s="12" t="n">
        <f aca="false">Data!A650</f>
        <v>42949</v>
      </c>
      <c r="B650" s="14" t="n">
        <f aca="false">Data!B650</f>
        <v>49.59</v>
      </c>
      <c r="C650" s="0" t="str">
        <f aca="false">IF(Data!D650="","HOLD",IF(AND(G649&lt;&gt;"IN",Data!E650&lt;-5),"BUY",IF(AND(G649="IN",Data!E650&gt;0),"SELL","HOLD")))</f>
        <v>HOLD</v>
      </c>
      <c r="D650" s="14" t="str">
        <f aca="false">IF(C650="BUY",B650,IF(G649="IN",D649,""))</f>
        <v/>
      </c>
      <c r="E650" s="14" t="str">
        <f aca="false">IF(C650="SELL",B650,"")</f>
        <v/>
      </c>
      <c r="F650" s="14" t="str">
        <f aca="false">IF(E650="","",(E650-D650)/D650*100)</f>
        <v/>
      </c>
      <c r="G650" s="0" t="str">
        <f aca="false">IF(C650="BUY","IN",IF(C650="SELL","OUT",IF(G649="IN","IN","OUT")))</f>
        <v>OUT</v>
      </c>
      <c r="H650" s="14" t="n">
        <f aca="false">H649+IF(F650="",0,F650)</f>
        <v>32.3739031221486</v>
      </c>
      <c r="I650" s="14" t="n">
        <f aca="false">MAX(I649,H650)</f>
        <v>32.3739031221486</v>
      </c>
      <c r="J650" s="14" t="n">
        <f aca="false">I650-H650</f>
        <v>0</v>
      </c>
    </row>
    <row r="651" customFormat="false" ht="15" hidden="false" customHeight="false" outlineLevel="0" collapsed="false">
      <c r="A651" s="12" t="n">
        <f aca="false">Data!A651</f>
        <v>42950</v>
      </c>
      <c r="B651" s="14" t="n">
        <f aca="false">Data!B651</f>
        <v>49.03</v>
      </c>
      <c r="C651" s="0" t="str">
        <f aca="false">IF(Data!D651="","HOLD",IF(AND(G650&lt;&gt;"IN",Data!E651&lt;-5),"BUY",IF(AND(G650="IN",Data!E651&gt;0),"SELL","HOLD")))</f>
        <v>HOLD</v>
      </c>
      <c r="D651" s="14" t="str">
        <f aca="false">IF(C651="BUY",B651,IF(G650="IN",D650,""))</f>
        <v/>
      </c>
      <c r="E651" s="14" t="str">
        <f aca="false">IF(C651="SELL",B651,"")</f>
        <v/>
      </c>
      <c r="F651" s="14" t="str">
        <f aca="false">IF(E651="","",(E651-D651)/D651*100)</f>
        <v/>
      </c>
      <c r="G651" s="0" t="str">
        <f aca="false">IF(C651="BUY","IN",IF(C651="SELL","OUT",IF(G650="IN","IN","OUT")))</f>
        <v>OUT</v>
      </c>
      <c r="H651" s="14" t="n">
        <f aca="false">H650+IF(F651="",0,F651)</f>
        <v>32.3739031221486</v>
      </c>
      <c r="I651" s="14" t="n">
        <f aca="false">MAX(I650,H651)</f>
        <v>32.3739031221486</v>
      </c>
      <c r="J651" s="14" t="n">
        <f aca="false">I651-H651</f>
        <v>0</v>
      </c>
    </row>
    <row r="652" customFormat="false" ht="15" hidden="false" customHeight="false" outlineLevel="0" collapsed="false">
      <c r="A652" s="12" t="n">
        <f aca="false">Data!A652</f>
        <v>42951</v>
      </c>
      <c r="B652" s="14" t="n">
        <f aca="false">Data!B652</f>
        <v>49.58</v>
      </c>
      <c r="C652" s="0" t="str">
        <f aca="false">IF(Data!D652="","HOLD",IF(AND(G651&lt;&gt;"IN",Data!E652&lt;-5),"BUY",IF(AND(G651="IN",Data!E652&gt;0),"SELL","HOLD")))</f>
        <v>HOLD</v>
      </c>
      <c r="D652" s="14" t="str">
        <f aca="false">IF(C652="BUY",B652,IF(G651="IN",D651,""))</f>
        <v/>
      </c>
      <c r="E652" s="14" t="str">
        <f aca="false">IF(C652="SELL",B652,"")</f>
        <v/>
      </c>
      <c r="F652" s="14" t="str">
        <f aca="false">IF(E652="","",(E652-D652)/D652*100)</f>
        <v/>
      </c>
      <c r="G652" s="0" t="str">
        <f aca="false">IF(C652="BUY","IN",IF(C652="SELL","OUT",IF(G651="IN","IN","OUT")))</f>
        <v>OUT</v>
      </c>
      <c r="H652" s="14" t="n">
        <f aca="false">H651+IF(F652="",0,F652)</f>
        <v>32.3739031221486</v>
      </c>
      <c r="I652" s="14" t="n">
        <f aca="false">MAX(I651,H652)</f>
        <v>32.3739031221486</v>
      </c>
      <c r="J652" s="14" t="n">
        <f aca="false">I652-H652</f>
        <v>0</v>
      </c>
    </row>
    <row r="653" customFormat="false" ht="15" hidden="false" customHeight="false" outlineLevel="0" collapsed="false">
      <c r="A653" s="12" t="n">
        <f aca="false">Data!A653</f>
        <v>42954</v>
      </c>
      <c r="B653" s="14" t="n">
        <f aca="false">Data!B653</f>
        <v>49.39</v>
      </c>
      <c r="C653" s="0" t="str">
        <f aca="false">IF(Data!D653="","HOLD",IF(AND(G652&lt;&gt;"IN",Data!E653&lt;-5),"BUY",IF(AND(G652="IN",Data!E653&gt;0),"SELL","HOLD")))</f>
        <v>HOLD</v>
      </c>
      <c r="D653" s="14" t="str">
        <f aca="false">IF(C653="BUY",B653,IF(G652="IN",D652,""))</f>
        <v/>
      </c>
      <c r="E653" s="14" t="str">
        <f aca="false">IF(C653="SELL",B653,"")</f>
        <v/>
      </c>
      <c r="F653" s="14" t="str">
        <f aca="false">IF(E653="","",(E653-D653)/D653*100)</f>
        <v/>
      </c>
      <c r="G653" s="0" t="str">
        <f aca="false">IF(C653="BUY","IN",IF(C653="SELL","OUT",IF(G652="IN","IN","OUT")))</f>
        <v>OUT</v>
      </c>
      <c r="H653" s="14" t="n">
        <f aca="false">H652+IF(F653="",0,F653)</f>
        <v>32.3739031221486</v>
      </c>
      <c r="I653" s="14" t="n">
        <f aca="false">MAX(I652,H653)</f>
        <v>32.3739031221486</v>
      </c>
      <c r="J653" s="14" t="n">
        <f aca="false">I653-H653</f>
        <v>0</v>
      </c>
    </row>
    <row r="654" customFormat="false" ht="15" hidden="false" customHeight="false" outlineLevel="0" collapsed="false">
      <c r="A654" s="12" t="n">
        <f aca="false">Data!A654</f>
        <v>42955</v>
      </c>
      <c r="B654" s="14" t="n">
        <f aca="false">Data!B654</f>
        <v>49.17</v>
      </c>
      <c r="C654" s="0" t="str">
        <f aca="false">IF(Data!D654="","HOLD",IF(AND(G653&lt;&gt;"IN",Data!E654&lt;-5),"BUY",IF(AND(G653="IN",Data!E654&gt;0),"SELL","HOLD")))</f>
        <v>HOLD</v>
      </c>
      <c r="D654" s="14" t="str">
        <f aca="false">IF(C654="BUY",B654,IF(G653="IN",D653,""))</f>
        <v/>
      </c>
      <c r="E654" s="14" t="str">
        <f aca="false">IF(C654="SELL",B654,"")</f>
        <v/>
      </c>
      <c r="F654" s="14" t="str">
        <f aca="false">IF(E654="","",(E654-D654)/D654*100)</f>
        <v/>
      </c>
      <c r="G654" s="0" t="str">
        <f aca="false">IF(C654="BUY","IN",IF(C654="SELL","OUT",IF(G653="IN","IN","OUT")))</f>
        <v>OUT</v>
      </c>
      <c r="H654" s="14" t="n">
        <f aca="false">H653+IF(F654="",0,F654)</f>
        <v>32.3739031221486</v>
      </c>
      <c r="I654" s="14" t="n">
        <f aca="false">MAX(I653,H654)</f>
        <v>32.3739031221486</v>
      </c>
      <c r="J654" s="14" t="n">
        <f aca="false">I654-H654</f>
        <v>0</v>
      </c>
    </row>
    <row r="655" customFormat="false" ht="15" hidden="false" customHeight="false" outlineLevel="0" collapsed="false">
      <c r="A655" s="12" t="n">
        <f aca="false">Data!A655</f>
        <v>42956</v>
      </c>
      <c r="B655" s="14" t="n">
        <f aca="false">Data!B655</f>
        <v>49.56</v>
      </c>
      <c r="C655" s="0" t="str">
        <f aca="false">IF(Data!D655="","HOLD",IF(AND(G654&lt;&gt;"IN",Data!E655&lt;-5),"BUY",IF(AND(G654="IN",Data!E655&gt;0),"SELL","HOLD")))</f>
        <v>HOLD</v>
      </c>
      <c r="D655" s="14" t="str">
        <f aca="false">IF(C655="BUY",B655,IF(G654="IN",D654,""))</f>
        <v/>
      </c>
      <c r="E655" s="14" t="str">
        <f aca="false">IF(C655="SELL",B655,"")</f>
        <v/>
      </c>
      <c r="F655" s="14" t="str">
        <f aca="false">IF(E655="","",(E655-D655)/D655*100)</f>
        <v/>
      </c>
      <c r="G655" s="0" t="str">
        <f aca="false">IF(C655="BUY","IN",IF(C655="SELL","OUT",IF(G654="IN","IN","OUT")))</f>
        <v>OUT</v>
      </c>
      <c r="H655" s="14" t="n">
        <f aca="false">H654+IF(F655="",0,F655)</f>
        <v>32.3739031221486</v>
      </c>
      <c r="I655" s="14" t="n">
        <f aca="false">MAX(I654,H655)</f>
        <v>32.3739031221486</v>
      </c>
      <c r="J655" s="14" t="n">
        <f aca="false">I655-H655</f>
        <v>0</v>
      </c>
    </row>
    <row r="656" customFormat="false" ht="15" hidden="false" customHeight="false" outlineLevel="0" collapsed="false">
      <c r="A656" s="12" t="n">
        <f aca="false">Data!A656</f>
        <v>42957</v>
      </c>
      <c r="B656" s="14" t="n">
        <f aca="false">Data!B656</f>
        <v>48.59</v>
      </c>
      <c r="C656" s="0" t="str">
        <f aca="false">IF(Data!D656="","HOLD",IF(AND(G655&lt;&gt;"IN",Data!E656&lt;-5),"BUY",IF(AND(G655="IN",Data!E656&gt;0),"SELL","HOLD")))</f>
        <v>HOLD</v>
      </c>
      <c r="D656" s="14" t="str">
        <f aca="false">IF(C656="BUY",B656,IF(G655="IN",D655,""))</f>
        <v/>
      </c>
      <c r="E656" s="14" t="str">
        <f aca="false">IF(C656="SELL",B656,"")</f>
        <v/>
      </c>
      <c r="F656" s="14" t="str">
        <f aca="false">IF(E656="","",(E656-D656)/D656*100)</f>
        <v/>
      </c>
      <c r="G656" s="0" t="str">
        <f aca="false">IF(C656="BUY","IN",IF(C656="SELL","OUT",IF(G655="IN","IN","OUT")))</f>
        <v>OUT</v>
      </c>
      <c r="H656" s="14" t="n">
        <f aca="false">H655+IF(F656="",0,F656)</f>
        <v>32.3739031221486</v>
      </c>
      <c r="I656" s="14" t="n">
        <f aca="false">MAX(I655,H656)</f>
        <v>32.3739031221486</v>
      </c>
      <c r="J656" s="14" t="n">
        <f aca="false">I656-H656</f>
        <v>0</v>
      </c>
    </row>
    <row r="657" customFormat="false" ht="15" hidden="false" customHeight="false" outlineLevel="0" collapsed="false">
      <c r="A657" s="12" t="n">
        <f aca="false">Data!A657</f>
        <v>42958</v>
      </c>
      <c r="B657" s="14" t="n">
        <f aca="false">Data!B657</f>
        <v>48.82</v>
      </c>
      <c r="C657" s="0" t="str">
        <f aca="false">IF(Data!D657="","HOLD",IF(AND(G656&lt;&gt;"IN",Data!E657&lt;-5),"BUY",IF(AND(G656="IN",Data!E657&gt;0),"SELL","HOLD")))</f>
        <v>HOLD</v>
      </c>
      <c r="D657" s="14" t="str">
        <f aca="false">IF(C657="BUY",B657,IF(G656="IN",D656,""))</f>
        <v/>
      </c>
      <c r="E657" s="14" t="str">
        <f aca="false">IF(C657="SELL",B657,"")</f>
        <v/>
      </c>
      <c r="F657" s="14" t="str">
        <f aca="false">IF(E657="","",(E657-D657)/D657*100)</f>
        <v/>
      </c>
      <c r="G657" s="0" t="str">
        <f aca="false">IF(C657="BUY","IN",IF(C657="SELL","OUT",IF(G656="IN","IN","OUT")))</f>
        <v>OUT</v>
      </c>
      <c r="H657" s="14" t="n">
        <f aca="false">H656+IF(F657="",0,F657)</f>
        <v>32.3739031221486</v>
      </c>
      <c r="I657" s="14" t="n">
        <f aca="false">MAX(I656,H657)</f>
        <v>32.3739031221486</v>
      </c>
      <c r="J657" s="14" t="n">
        <f aca="false">I657-H657</f>
        <v>0</v>
      </c>
    </row>
    <row r="658" customFormat="false" ht="15" hidden="false" customHeight="false" outlineLevel="0" collapsed="false">
      <c r="A658" s="12" t="n">
        <f aca="false">Data!A658</f>
        <v>42961</v>
      </c>
      <c r="B658" s="14" t="n">
        <f aca="false">Data!B658</f>
        <v>47.59</v>
      </c>
      <c r="C658" s="0" t="str">
        <f aca="false">IF(Data!D658="","HOLD",IF(AND(G657&lt;&gt;"IN",Data!E658&lt;-5),"BUY",IF(AND(G657="IN",Data!E658&gt;0),"SELL","HOLD")))</f>
        <v>HOLD</v>
      </c>
      <c r="D658" s="14" t="str">
        <f aca="false">IF(C658="BUY",B658,IF(G657="IN",D657,""))</f>
        <v/>
      </c>
      <c r="E658" s="14" t="str">
        <f aca="false">IF(C658="SELL",B658,"")</f>
        <v/>
      </c>
      <c r="F658" s="14" t="str">
        <f aca="false">IF(E658="","",(E658-D658)/D658*100)</f>
        <v/>
      </c>
      <c r="G658" s="0" t="str">
        <f aca="false">IF(C658="BUY","IN",IF(C658="SELL","OUT",IF(G657="IN","IN","OUT")))</f>
        <v>OUT</v>
      </c>
      <c r="H658" s="14" t="n">
        <f aca="false">H657+IF(F658="",0,F658)</f>
        <v>32.3739031221486</v>
      </c>
      <c r="I658" s="14" t="n">
        <f aca="false">MAX(I657,H658)</f>
        <v>32.3739031221486</v>
      </c>
      <c r="J658" s="14" t="n">
        <f aca="false">I658-H658</f>
        <v>0</v>
      </c>
    </row>
    <row r="659" customFormat="false" ht="15" hidden="false" customHeight="false" outlineLevel="0" collapsed="false">
      <c r="A659" s="12" t="n">
        <f aca="false">Data!A659</f>
        <v>42962</v>
      </c>
      <c r="B659" s="14" t="n">
        <f aca="false">Data!B659</f>
        <v>47.55</v>
      </c>
      <c r="C659" s="0" t="str">
        <f aca="false">IF(Data!D659="","HOLD",IF(AND(G658&lt;&gt;"IN",Data!E659&lt;-5),"BUY",IF(AND(G658="IN",Data!E659&gt;0),"SELL","HOLD")))</f>
        <v>HOLD</v>
      </c>
      <c r="D659" s="14" t="str">
        <f aca="false">IF(C659="BUY",B659,IF(G658="IN",D658,""))</f>
        <v/>
      </c>
      <c r="E659" s="14" t="str">
        <f aca="false">IF(C659="SELL",B659,"")</f>
        <v/>
      </c>
      <c r="F659" s="14" t="str">
        <f aca="false">IF(E659="","",(E659-D659)/D659*100)</f>
        <v/>
      </c>
      <c r="G659" s="0" t="str">
        <f aca="false">IF(C659="BUY","IN",IF(C659="SELL","OUT",IF(G658="IN","IN","OUT")))</f>
        <v>OUT</v>
      </c>
      <c r="H659" s="14" t="n">
        <f aca="false">H658+IF(F659="",0,F659)</f>
        <v>32.3739031221486</v>
      </c>
      <c r="I659" s="14" t="n">
        <f aca="false">MAX(I658,H659)</f>
        <v>32.3739031221486</v>
      </c>
      <c r="J659" s="14" t="n">
        <f aca="false">I659-H659</f>
        <v>0</v>
      </c>
    </row>
    <row r="660" customFormat="false" ht="15" hidden="false" customHeight="false" outlineLevel="0" collapsed="false">
      <c r="A660" s="12" t="n">
        <f aca="false">Data!A660</f>
        <v>42963</v>
      </c>
      <c r="B660" s="14" t="n">
        <f aca="false">Data!B660</f>
        <v>46.78</v>
      </c>
      <c r="C660" s="0" t="str">
        <f aca="false">IF(Data!D660="","HOLD",IF(AND(G659&lt;&gt;"IN",Data!E660&lt;-5),"BUY",IF(AND(G659="IN",Data!E660&gt;0),"SELL","HOLD")))</f>
        <v>HOLD</v>
      </c>
      <c r="D660" s="14" t="str">
        <f aca="false">IF(C660="BUY",B660,IF(G659="IN",D659,""))</f>
        <v/>
      </c>
      <c r="E660" s="14" t="str">
        <f aca="false">IF(C660="SELL",B660,"")</f>
        <v/>
      </c>
      <c r="F660" s="14" t="str">
        <f aca="false">IF(E660="","",(E660-D660)/D660*100)</f>
        <v/>
      </c>
      <c r="G660" s="0" t="str">
        <f aca="false">IF(C660="BUY","IN",IF(C660="SELL","OUT",IF(G659="IN","IN","OUT")))</f>
        <v>OUT</v>
      </c>
      <c r="H660" s="14" t="n">
        <f aca="false">H659+IF(F660="",0,F660)</f>
        <v>32.3739031221486</v>
      </c>
      <c r="I660" s="14" t="n">
        <f aca="false">MAX(I659,H660)</f>
        <v>32.3739031221486</v>
      </c>
      <c r="J660" s="14" t="n">
        <f aca="false">I660-H660</f>
        <v>0</v>
      </c>
    </row>
    <row r="661" customFormat="false" ht="15" hidden="false" customHeight="false" outlineLevel="0" collapsed="false">
      <c r="A661" s="12" t="n">
        <f aca="false">Data!A661</f>
        <v>42964</v>
      </c>
      <c r="B661" s="14" t="n">
        <f aca="false">Data!B661</f>
        <v>47.09</v>
      </c>
      <c r="C661" s="0" t="str">
        <f aca="false">IF(Data!D661="","HOLD",IF(AND(G660&lt;&gt;"IN",Data!E661&lt;-5),"BUY",IF(AND(G660="IN",Data!E661&gt;0),"SELL","HOLD")))</f>
        <v>HOLD</v>
      </c>
      <c r="D661" s="14" t="str">
        <f aca="false">IF(C661="BUY",B661,IF(G660="IN",D660,""))</f>
        <v/>
      </c>
      <c r="E661" s="14" t="str">
        <f aca="false">IF(C661="SELL",B661,"")</f>
        <v/>
      </c>
      <c r="F661" s="14" t="str">
        <f aca="false">IF(E661="","",(E661-D661)/D661*100)</f>
        <v/>
      </c>
      <c r="G661" s="0" t="str">
        <f aca="false">IF(C661="BUY","IN",IF(C661="SELL","OUT",IF(G660="IN","IN","OUT")))</f>
        <v>OUT</v>
      </c>
      <c r="H661" s="14" t="n">
        <f aca="false">H660+IF(F661="",0,F661)</f>
        <v>32.3739031221486</v>
      </c>
      <c r="I661" s="14" t="n">
        <f aca="false">MAX(I660,H661)</f>
        <v>32.3739031221486</v>
      </c>
      <c r="J661" s="14" t="n">
        <f aca="false">I661-H661</f>
        <v>0</v>
      </c>
    </row>
    <row r="662" customFormat="false" ht="15" hidden="false" customHeight="false" outlineLevel="0" collapsed="false">
      <c r="A662" s="12" t="n">
        <f aca="false">Data!A662</f>
        <v>42965</v>
      </c>
      <c r="B662" s="14" t="n">
        <f aca="false">Data!B662</f>
        <v>48.51</v>
      </c>
      <c r="C662" s="0" t="str">
        <f aca="false">IF(Data!D662="","HOLD",IF(AND(G661&lt;&gt;"IN",Data!E662&lt;-5),"BUY",IF(AND(G661="IN",Data!E662&gt;0),"SELL","HOLD")))</f>
        <v>HOLD</v>
      </c>
      <c r="D662" s="14" t="str">
        <f aca="false">IF(C662="BUY",B662,IF(G661="IN",D661,""))</f>
        <v/>
      </c>
      <c r="E662" s="14" t="str">
        <f aca="false">IF(C662="SELL",B662,"")</f>
        <v/>
      </c>
      <c r="F662" s="14" t="str">
        <f aca="false">IF(E662="","",(E662-D662)/D662*100)</f>
        <v/>
      </c>
      <c r="G662" s="0" t="str">
        <f aca="false">IF(C662="BUY","IN",IF(C662="SELL","OUT",IF(G661="IN","IN","OUT")))</f>
        <v>OUT</v>
      </c>
      <c r="H662" s="14" t="n">
        <f aca="false">H661+IF(F662="",0,F662)</f>
        <v>32.3739031221486</v>
      </c>
      <c r="I662" s="14" t="n">
        <f aca="false">MAX(I661,H662)</f>
        <v>32.3739031221486</v>
      </c>
      <c r="J662" s="14" t="n">
        <f aca="false">I662-H662</f>
        <v>0</v>
      </c>
    </row>
    <row r="663" customFormat="false" ht="15" hidden="false" customHeight="false" outlineLevel="0" collapsed="false">
      <c r="A663" s="12" t="n">
        <f aca="false">Data!A663</f>
        <v>42968</v>
      </c>
      <c r="B663" s="14" t="n">
        <f aca="false">Data!B663</f>
        <v>47.37</v>
      </c>
      <c r="C663" s="0" t="str">
        <f aca="false">IF(Data!D663="","HOLD",IF(AND(G662&lt;&gt;"IN",Data!E663&lt;-5),"BUY",IF(AND(G662="IN",Data!E663&gt;0),"SELL","HOLD")))</f>
        <v>HOLD</v>
      </c>
      <c r="D663" s="14" t="str">
        <f aca="false">IF(C663="BUY",B663,IF(G662="IN",D662,""))</f>
        <v/>
      </c>
      <c r="E663" s="14" t="str">
        <f aca="false">IF(C663="SELL",B663,"")</f>
        <v/>
      </c>
      <c r="F663" s="14" t="str">
        <f aca="false">IF(E663="","",(E663-D663)/D663*100)</f>
        <v/>
      </c>
      <c r="G663" s="0" t="str">
        <f aca="false">IF(C663="BUY","IN",IF(C663="SELL","OUT",IF(G662="IN","IN","OUT")))</f>
        <v>OUT</v>
      </c>
      <c r="H663" s="14" t="n">
        <f aca="false">H662+IF(F663="",0,F663)</f>
        <v>32.3739031221486</v>
      </c>
      <c r="I663" s="14" t="n">
        <f aca="false">MAX(I662,H663)</f>
        <v>32.3739031221486</v>
      </c>
      <c r="J663" s="14" t="n">
        <f aca="false">I663-H663</f>
        <v>0</v>
      </c>
    </row>
    <row r="664" customFormat="false" ht="15" hidden="false" customHeight="false" outlineLevel="0" collapsed="false">
      <c r="A664" s="12" t="n">
        <f aca="false">Data!A664</f>
        <v>42969</v>
      </c>
      <c r="B664" s="14" t="n">
        <f aca="false">Data!B664</f>
        <v>47.64</v>
      </c>
      <c r="C664" s="0" t="str">
        <f aca="false">IF(Data!D664="","HOLD",IF(AND(G663&lt;&gt;"IN",Data!E664&lt;-5),"BUY",IF(AND(G663="IN",Data!E664&gt;0),"SELL","HOLD")))</f>
        <v>HOLD</v>
      </c>
      <c r="D664" s="14" t="str">
        <f aca="false">IF(C664="BUY",B664,IF(G663="IN",D663,""))</f>
        <v/>
      </c>
      <c r="E664" s="14" t="str">
        <f aca="false">IF(C664="SELL",B664,"")</f>
        <v/>
      </c>
      <c r="F664" s="14" t="str">
        <f aca="false">IF(E664="","",(E664-D664)/D664*100)</f>
        <v/>
      </c>
      <c r="G664" s="0" t="str">
        <f aca="false">IF(C664="BUY","IN",IF(C664="SELL","OUT",IF(G663="IN","IN","OUT")))</f>
        <v>OUT</v>
      </c>
      <c r="H664" s="14" t="n">
        <f aca="false">H663+IF(F664="",0,F664)</f>
        <v>32.3739031221486</v>
      </c>
      <c r="I664" s="14" t="n">
        <f aca="false">MAX(I663,H664)</f>
        <v>32.3739031221486</v>
      </c>
      <c r="J664" s="14" t="n">
        <f aca="false">I664-H664</f>
        <v>0</v>
      </c>
    </row>
    <row r="665" customFormat="false" ht="15" hidden="false" customHeight="false" outlineLevel="0" collapsed="false">
      <c r="A665" s="12" t="n">
        <f aca="false">Data!A665</f>
        <v>42970</v>
      </c>
      <c r="B665" s="14" t="n">
        <f aca="false">Data!B665</f>
        <v>48.41</v>
      </c>
      <c r="C665" s="0" t="str">
        <f aca="false">IF(Data!D665="","HOLD",IF(AND(G664&lt;&gt;"IN",Data!E665&lt;-5),"BUY",IF(AND(G664="IN",Data!E665&gt;0),"SELL","HOLD")))</f>
        <v>HOLD</v>
      </c>
      <c r="D665" s="14" t="str">
        <f aca="false">IF(C665="BUY",B665,IF(G664="IN",D664,""))</f>
        <v/>
      </c>
      <c r="E665" s="14" t="str">
        <f aca="false">IF(C665="SELL",B665,"")</f>
        <v/>
      </c>
      <c r="F665" s="14" t="str">
        <f aca="false">IF(E665="","",(E665-D665)/D665*100)</f>
        <v/>
      </c>
      <c r="G665" s="0" t="str">
        <f aca="false">IF(C665="BUY","IN",IF(C665="SELL","OUT",IF(G664="IN","IN","OUT")))</f>
        <v>OUT</v>
      </c>
      <c r="H665" s="14" t="n">
        <f aca="false">H664+IF(F665="",0,F665)</f>
        <v>32.3739031221486</v>
      </c>
      <c r="I665" s="14" t="n">
        <f aca="false">MAX(I664,H665)</f>
        <v>32.3739031221486</v>
      </c>
      <c r="J665" s="14" t="n">
        <f aca="false">I665-H665</f>
        <v>0</v>
      </c>
    </row>
    <row r="666" customFormat="false" ht="15" hidden="false" customHeight="false" outlineLevel="0" collapsed="false">
      <c r="A666" s="12" t="n">
        <f aca="false">Data!A666</f>
        <v>42971</v>
      </c>
      <c r="B666" s="14" t="n">
        <f aca="false">Data!B666</f>
        <v>47.43</v>
      </c>
      <c r="C666" s="0" t="str">
        <f aca="false">IF(Data!D666="","HOLD",IF(AND(G665&lt;&gt;"IN",Data!E666&lt;-5),"BUY",IF(AND(G665="IN",Data!E666&gt;0),"SELL","HOLD")))</f>
        <v>HOLD</v>
      </c>
      <c r="D666" s="14" t="str">
        <f aca="false">IF(C666="BUY",B666,IF(G665="IN",D665,""))</f>
        <v/>
      </c>
      <c r="E666" s="14" t="str">
        <f aca="false">IF(C666="SELL",B666,"")</f>
        <v/>
      </c>
      <c r="F666" s="14" t="str">
        <f aca="false">IF(E666="","",(E666-D666)/D666*100)</f>
        <v/>
      </c>
      <c r="G666" s="0" t="str">
        <f aca="false">IF(C666="BUY","IN",IF(C666="SELL","OUT",IF(G665="IN","IN","OUT")))</f>
        <v>OUT</v>
      </c>
      <c r="H666" s="14" t="n">
        <f aca="false">H665+IF(F666="",0,F666)</f>
        <v>32.3739031221486</v>
      </c>
      <c r="I666" s="14" t="n">
        <f aca="false">MAX(I665,H666)</f>
        <v>32.3739031221486</v>
      </c>
      <c r="J666" s="14" t="n">
        <f aca="false">I666-H666</f>
        <v>0</v>
      </c>
    </row>
    <row r="667" customFormat="false" ht="15" hidden="false" customHeight="false" outlineLevel="0" collapsed="false">
      <c r="A667" s="12" t="n">
        <f aca="false">Data!A667</f>
        <v>42972</v>
      </c>
      <c r="B667" s="14" t="n">
        <f aca="false">Data!B667</f>
        <v>47.87</v>
      </c>
      <c r="C667" s="0" t="str">
        <f aca="false">IF(Data!D667="","HOLD",IF(AND(G666&lt;&gt;"IN",Data!E667&lt;-5),"BUY",IF(AND(G666="IN",Data!E667&gt;0),"SELL","HOLD")))</f>
        <v>HOLD</v>
      </c>
      <c r="D667" s="14" t="str">
        <f aca="false">IF(C667="BUY",B667,IF(G666="IN",D666,""))</f>
        <v/>
      </c>
      <c r="E667" s="14" t="str">
        <f aca="false">IF(C667="SELL",B667,"")</f>
        <v/>
      </c>
      <c r="F667" s="14" t="str">
        <f aca="false">IF(E667="","",(E667-D667)/D667*100)</f>
        <v/>
      </c>
      <c r="G667" s="0" t="str">
        <f aca="false">IF(C667="BUY","IN",IF(C667="SELL","OUT",IF(G666="IN","IN","OUT")))</f>
        <v>OUT</v>
      </c>
      <c r="H667" s="14" t="n">
        <f aca="false">H666+IF(F667="",0,F667)</f>
        <v>32.3739031221486</v>
      </c>
      <c r="I667" s="14" t="n">
        <f aca="false">MAX(I666,H667)</f>
        <v>32.3739031221486</v>
      </c>
      <c r="J667" s="14" t="n">
        <f aca="false">I667-H667</f>
        <v>0</v>
      </c>
    </row>
    <row r="668" customFormat="false" ht="15" hidden="false" customHeight="false" outlineLevel="0" collapsed="false">
      <c r="A668" s="12" t="n">
        <f aca="false">Data!A668</f>
        <v>42975</v>
      </c>
      <c r="B668" s="14" t="n">
        <f aca="false">Data!B668</f>
        <v>46.57</v>
      </c>
      <c r="C668" s="0" t="str">
        <f aca="false">IF(Data!D668="","HOLD",IF(AND(G667&lt;&gt;"IN",Data!E668&lt;-5),"BUY",IF(AND(G667="IN",Data!E668&gt;0),"SELL","HOLD")))</f>
        <v>HOLD</v>
      </c>
      <c r="D668" s="14" t="str">
        <f aca="false">IF(C668="BUY",B668,IF(G667="IN",D667,""))</f>
        <v/>
      </c>
      <c r="E668" s="14" t="str">
        <f aca="false">IF(C668="SELL",B668,"")</f>
        <v/>
      </c>
      <c r="F668" s="14" t="str">
        <f aca="false">IF(E668="","",(E668-D668)/D668*100)</f>
        <v/>
      </c>
      <c r="G668" s="0" t="str">
        <f aca="false">IF(C668="BUY","IN",IF(C668="SELL","OUT",IF(G667="IN","IN","OUT")))</f>
        <v>OUT</v>
      </c>
      <c r="H668" s="14" t="n">
        <f aca="false">H667+IF(F668="",0,F668)</f>
        <v>32.3739031221486</v>
      </c>
      <c r="I668" s="14" t="n">
        <f aca="false">MAX(I667,H668)</f>
        <v>32.3739031221486</v>
      </c>
      <c r="J668" s="14" t="n">
        <f aca="false">I668-H668</f>
        <v>0</v>
      </c>
    </row>
    <row r="669" customFormat="false" ht="15" hidden="false" customHeight="false" outlineLevel="0" collapsed="false">
      <c r="A669" s="12" t="n">
        <f aca="false">Data!A669</f>
        <v>42976</v>
      </c>
      <c r="B669" s="14" t="n">
        <f aca="false">Data!B669</f>
        <v>46.44</v>
      </c>
      <c r="C669" s="0" t="str">
        <f aca="false">IF(Data!D669="","HOLD",IF(AND(G668&lt;&gt;"IN",Data!E669&lt;-5),"BUY",IF(AND(G668="IN",Data!E669&gt;0),"SELL","HOLD")))</f>
        <v>HOLD</v>
      </c>
      <c r="D669" s="14" t="str">
        <f aca="false">IF(C669="BUY",B669,IF(G668="IN",D668,""))</f>
        <v/>
      </c>
      <c r="E669" s="14" t="str">
        <f aca="false">IF(C669="SELL",B669,"")</f>
        <v/>
      </c>
      <c r="F669" s="14" t="str">
        <f aca="false">IF(E669="","",(E669-D669)/D669*100)</f>
        <v/>
      </c>
      <c r="G669" s="0" t="str">
        <f aca="false">IF(C669="BUY","IN",IF(C669="SELL","OUT",IF(G668="IN","IN","OUT")))</f>
        <v>OUT</v>
      </c>
      <c r="H669" s="14" t="n">
        <f aca="false">H668+IF(F669="",0,F669)</f>
        <v>32.3739031221486</v>
      </c>
      <c r="I669" s="14" t="n">
        <f aca="false">MAX(I668,H669)</f>
        <v>32.3739031221486</v>
      </c>
      <c r="J669" s="14" t="n">
        <f aca="false">I669-H669</f>
        <v>0</v>
      </c>
    </row>
    <row r="670" customFormat="false" ht="15" hidden="false" customHeight="false" outlineLevel="0" collapsed="false">
      <c r="A670" s="12" t="n">
        <f aca="false">Data!A670</f>
        <v>42977</v>
      </c>
      <c r="B670" s="14" t="n">
        <f aca="false">Data!B670</f>
        <v>45.96</v>
      </c>
      <c r="C670" s="0" t="str">
        <f aca="false">IF(Data!D670="","HOLD",IF(AND(G669&lt;&gt;"IN",Data!E670&lt;-5),"BUY",IF(AND(G669="IN",Data!E670&gt;0),"SELL","HOLD")))</f>
        <v>HOLD</v>
      </c>
      <c r="D670" s="14" t="str">
        <f aca="false">IF(C670="BUY",B670,IF(G669="IN",D669,""))</f>
        <v/>
      </c>
      <c r="E670" s="14" t="str">
        <f aca="false">IF(C670="SELL",B670,"")</f>
        <v/>
      </c>
      <c r="F670" s="14" t="str">
        <f aca="false">IF(E670="","",(E670-D670)/D670*100)</f>
        <v/>
      </c>
      <c r="G670" s="0" t="str">
        <f aca="false">IF(C670="BUY","IN",IF(C670="SELL","OUT",IF(G669="IN","IN","OUT")))</f>
        <v>OUT</v>
      </c>
      <c r="H670" s="14" t="n">
        <f aca="false">H669+IF(F670="",0,F670)</f>
        <v>32.3739031221486</v>
      </c>
      <c r="I670" s="14" t="n">
        <f aca="false">MAX(I669,H670)</f>
        <v>32.3739031221486</v>
      </c>
      <c r="J670" s="14" t="n">
        <f aca="false">I670-H670</f>
        <v>0</v>
      </c>
    </row>
    <row r="671" customFormat="false" ht="15" hidden="false" customHeight="false" outlineLevel="0" collapsed="false">
      <c r="A671" s="12" t="n">
        <f aca="false">Data!A671</f>
        <v>42978</v>
      </c>
      <c r="B671" s="14" t="n">
        <f aca="false">Data!B671</f>
        <v>47.23</v>
      </c>
      <c r="C671" s="0" t="str">
        <f aca="false">IF(Data!D671="","HOLD",IF(AND(G670&lt;&gt;"IN",Data!E671&lt;-5),"BUY",IF(AND(G670="IN",Data!E671&gt;0),"SELL","HOLD")))</f>
        <v>HOLD</v>
      </c>
      <c r="D671" s="14" t="str">
        <f aca="false">IF(C671="BUY",B671,IF(G670="IN",D670,""))</f>
        <v/>
      </c>
      <c r="E671" s="14" t="str">
        <f aca="false">IF(C671="SELL",B671,"")</f>
        <v/>
      </c>
      <c r="F671" s="14" t="str">
        <f aca="false">IF(E671="","",(E671-D671)/D671*100)</f>
        <v/>
      </c>
      <c r="G671" s="0" t="str">
        <f aca="false">IF(C671="BUY","IN",IF(C671="SELL","OUT",IF(G670="IN","IN","OUT")))</f>
        <v>OUT</v>
      </c>
      <c r="H671" s="14" t="n">
        <f aca="false">H670+IF(F671="",0,F671)</f>
        <v>32.3739031221486</v>
      </c>
      <c r="I671" s="14" t="n">
        <f aca="false">MAX(I670,H671)</f>
        <v>32.3739031221486</v>
      </c>
      <c r="J671" s="14" t="n">
        <f aca="false">I671-H671</f>
        <v>0</v>
      </c>
    </row>
    <row r="672" customFormat="false" ht="15" hidden="false" customHeight="false" outlineLevel="0" collapsed="false">
      <c r="A672" s="12" t="n">
        <f aca="false">Data!A672</f>
        <v>42979</v>
      </c>
      <c r="B672" s="14" t="n">
        <f aca="false">Data!B672</f>
        <v>47.29</v>
      </c>
      <c r="C672" s="0" t="str">
        <f aca="false">IF(Data!D672="","HOLD",IF(AND(G671&lt;&gt;"IN",Data!E672&lt;-5),"BUY",IF(AND(G671="IN",Data!E672&gt;0),"SELL","HOLD")))</f>
        <v>HOLD</v>
      </c>
      <c r="D672" s="14" t="str">
        <f aca="false">IF(C672="BUY",B672,IF(G671="IN",D671,""))</f>
        <v/>
      </c>
      <c r="E672" s="14" t="str">
        <f aca="false">IF(C672="SELL",B672,"")</f>
        <v/>
      </c>
      <c r="F672" s="14" t="str">
        <f aca="false">IF(E672="","",(E672-D672)/D672*100)</f>
        <v/>
      </c>
      <c r="G672" s="0" t="str">
        <f aca="false">IF(C672="BUY","IN",IF(C672="SELL","OUT",IF(G671="IN","IN","OUT")))</f>
        <v>OUT</v>
      </c>
      <c r="H672" s="14" t="n">
        <f aca="false">H671+IF(F672="",0,F672)</f>
        <v>32.3739031221486</v>
      </c>
      <c r="I672" s="14" t="n">
        <f aca="false">MAX(I671,H672)</f>
        <v>32.3739031221486</v>
      </c>
      <c r="J672" s="14" t="n">
        <f aca="false">I672-H672</f>
        <v>0</v>
      </c>
    </row>
    <row r="673" customFormat="false" ht="15" hidden="false" customHeight="false" outlineLevel="0" collapsed="false">
      <c r="A673" s="12" t="n">
        <f aca="false">Data!A673</f>
        <v>42983</v>
      </c>
      <c r="B673" s="14" t="n">
        <f aca="false">Data!B673</f>
        <v>48.66</v>
      </c>
      <c r="C673" s="0" t="str">
        <f aca="false">IF(Data!D673="","HOLD",IF(AND(G672&lt;&gt;"IN",Data!E673&lt;-5),"BUY",IF(AND(G672="IN",Data!E673&gt;0),"SELL","HOLD")))</f>
        <v>HOLD</v>
      </c>
      <c r="D673" s="14" t="str">
        <f aca="false">IF(C673="BUY",B673,IF(G672="IN",D672,""))</f>
        <v/>
      </c>
      <c r="E673" s="14" t="str">
        <f aca="false">IF(C673="SELL",B673,"")</f>
        <v/>
      </c>
      <c r="F673" s="14" t="str">
        <f aca="false">IF(E673="","",(E673-D673)/D673*100)</f>
        <v/>
      </c>
      <c r="G673" s="0" t="str">
        <f aca="false">IF(C673="BUY","IN",IF(C673="SELL","OUT",IF(G672="IN","IN","OUT")))</f>
        <v>OUT</v>
      </c>
      <c r="H673" s="14" t="n">
        <f aca="false">H672+IF(F673="",0,F673)</f>
        <v>32.3739031221486</v>
      </c>
      <c r="I673" s="14" t="n">
        <f aca="false">MAX(I672,H673)</f>
        <v>32.3739031221486</v>
      </c>
      <c r="J673" s="14" t="n">
        <f aca="false">I673-H673</f>
        <v>0</v>
      </c>
    </row>
    <row r="674" customFormat="false" ht="15" hidden="false" customHeight="false" outlineLevel="0" collapsed="false">
      <c r="A674" s="12" t="n">
        <f aca="false">Data!A674</f>
        <v>42984</v>
      </c>
      <c r="B674" s="14" t="n">
        <f aca="false">Data!B674</f>
        <v>49.16</v>
      </c>
      <c r="C674" s="0" t="str">
        <f aca="false">IF(Data!D674="","HOLD",IF(AND(G673&lt;&gt;"IN",Data!E674&lt;-5),"BUY",IF(AND(G673="IN",Data!E674&gt;0),"SELL","HOLD")))</f>
        <v>HOLD</v>
      </c>
      <c r="D674" s="14" t="str">
        <f aca="false">IF(C674="BUY",B674,IF(G673="IN",D673,""))</f>
        <v/>
      </c>
      <c r="E674" s="14" t="str">
        <f aca="false">IF(C674="SELL",B674,"")</f>
        <v/>
      </c>
      <c r="F674" s="14" t="str">
        <f aca="false">IF(E674="","",(E674-D674)/D674*100)</f>
        <v/>
      </c>
      <c r="G674" s="0" t="str">
        <f aca="false">IF(C674="BUY","IN",IF(C674="SELL","OUT",IF(G673="IN","IN","OUT")))</f>
        <v>OUT</v>
      </c>
      <c r="H674" s="14" t="n">
        <f aca="false">H673+IF(F674="",0,F674)</f>
        <v>32.3739031221486</v>
      </c>
      <c r="I674" s="14" t="n">
        <f aca="false">MAX(I673,H674)</f>
        <v>32.3739031221486</v>
      </c>
      <c r="J674" s="14" t="n">
        <f aca="false">I674-H674</f>
        <v>0</v>
      </c>
    </row>
    <row r="675" customFormat="false" ht="15" hidden="false" customHeight="false" outlineLevel="0" collapsed="false">
      <c r="A675" s="12" t="n">
        <f aca="false">Data!A675</f>
        <v>42985</v>
      </c>
      <c r="B675" s="14" t="n">
        <f aca="false">Data!B675</f>
        <v>49.09</v>
      </c>
      <c r="C675" s="0" t="str">
        <f aca="false">IF(Data!D675="","HOLD",IF(AND(G674&lt;&gt;"IN",Data!E675&lt;-5),"BUY",IF(AND(G674="IN",Data!E675&gt;0),"SELL","HOLD")))</f>
        <v>HOLD</v>
      </c>
      <c r="D675" s="14" t="str">
        <f aca="false">IF(C675="BUY",B675,IF(G674="IN",D674,""))</f>
        <v/>
      </c>
      <c r="E675" s="14" t="str">
        <f aca="false">IF(C675="SELL",B675,"")</f>
        <v/>
      </c>
      <c r="F675" s="14" t="str">
        <f aca="false">IF(E675="","",(E675-D675)/D675*100)</f>
        <v/>
      </c>
      <c r="G675" s="0" t="str">
        <f aca="false">IF(C675="BUY","IN",IF(C675="SELL","OUT",IF(G674="IN","IN","OUT")))</f>
        <v>OUT</v>
      </c>
      <c r="H675" s="14" t="n">
        <f aca="false">H674+IF(F675="",0,F675)</f>
        <v>32.3739031221486</v>
      </c>
      <c r="I675" s="14" t="n">
        <f aca="false">MAX(I674,H675)</f>
        <v>32.3739031221486</v>
      </c>
      <c r="J675" s="14" t="n">
        <f aca="false">I675-H675</f>
        <v>0</v>
      </c>
    </row>
    <row r="676" customFormat="false" ht="15" hidden="false" customHeight="false" outlineLevel="0" collapsed="false">
      <c r="A676" s="12" t="n">
        <f aca="false">Data!A676</f>
        <v>42986</v>
      </c>
      <c r="B676" s="14" t="n">
        <f aca="false">Data!B676</f>
        <v>47.48</v>
      </c>
      <c r="C676" s="0" t="str">
        <f aca="false">IF(Data!D676="","HOLD",IF(AND(G675&lt;&gt;"IN",Data!E676&lt;-5),"BUY",IF(AND(G675="IN",Data!E676&gt;0),"SELL","HOLD")))</f>
        <v>HOLD</v>
      </c>
      <c r="D676" s="14" t="str">
        <f aca="false">IF(C676="BUY",B676,IF(G675="IN",D675,""))</f>
        <v/>
      </c>
      <c r="E676" s="14" t="str">
        <f aca="false">IF(C676="SELL",B676,"")</f>
        <v/>
      </c>
      <c r="F676" s="14" t="str">
        <f aca="false">IF(E676="","",(E676-D676)/D676*100)</f>
        <v/>
      </c>
      <c r="G676" s="0" t="str">
        <f aca="false">IF(C676="BUY","IN",IF(C676="SELL","OUT",IF(G675="IN","IN","OUT")))</f>
        <v>OUT</v>
      </c>
      <c r="H676" s="14" t="n">
        <f aca="false">H675+IF(F676="",0,F676)</f>
        <v>32.3739031221486</v>
      </c>
      <c r="I676" s="14" t="n">
        <f aca="false">MAX(I675,H676)</f>
        <v>32.3739031221486</v>
      </c>
      <c r="J676" s="14" t="n">
        <f aca="false">I676-H676</f>
        <v>0</v>
      </c>
    </row>
    <row r="677" customFormat="false" ht="15" hidden="false" customHeight="false" outlineLevel="0" collapsed="false">
      <c r="A677" s="12" t="n">
        <f aca="false">Data!A677</f>
        <v>42989</v>
      </c>
      <c r="B677" s="14" t="n">
        <f aca="false">Data!B677</f>
        <v>48.07</v>
      </c>
      <c r="C677" s="0" t="str">
        <f aca="false">IF(Data!D677="","HOLD",IF(AND(G676&lt;&gt;"IN",Data!E677&lt;-5),"BUY",IF(AND(G676="IN",Data!E677&gt;0),"SELL","HOLD")))</f>
        <v>HOLD</v>
      </c>
      <c r="D677" s="14" t="str">
        <f aca="false">IF(C677="BUY",B677,IF(G676="IN",D676,""))</f>
        <v/>
      </c>
      <c r="E677" s="14" t="str">
        <f aca="false">IF(C677="SELL",B677,"")</f>
        <v/>
      </c>
      <c r="F677" s="14" t="str">
        <f aca="false">IF(E677="","",(E677-D677)/D677*100)</f>
        <v/>
      </c>
      <c r="G677" s="0" t="str">
        <f aca="false">IF(C677="BUY","IN",IF(C677="SELL","OUT",IF(G676="IN","IN","OUT")))</f>
        <v>OUT</v>
      </c>
      <c r="H677" s="14" t="n">
        <f aca="false">H676+IF(F677="",0,F677)</f>
        <v>32.3739031221486</v>
      </c>
      <c r="I677" s="14" t="n">
        <f aca="false">MAX(I676,H677)</f>
        <v>32.3739031221486</v>
      </c>
      <c r="J677" s="14" t="n">
        <f aca="false">I677-H677</f>
        <v>0</v>
      </c>
    </row>
    <row r="678" customFormat="false" ht="15" hidden="false" customHeight="false" outlineLevel="0" collapsed="false">
      <c r="A678" s="12" t="n">
        <f aca="false">Data!A678</f>
        <v>42990</v>
      </c>
      <c r="B678" s="14" t="n">
        <f aca="false">Data!B678</f>
        <v>48.23</v>
      </c>
      <c r="C678" s="0" t="str">
        <f aca="false">IF(Data!D678="","HOLD",IF(AND(G677&lt;&gt;"IN",Data!E678&lt;-5),"BUY",IF(AND(G677="IN",Data!E678&gt;0),"SELL","HOLD")))</f>
        <v>HOLD</v>
      </c>
      <c r="D678" s="14" t="str">
        <f aca="false">IF(C678="BUY",B678,IF(G677="IN",D677,""))</f>
        <v/>
      </c>
      <c r="E678" s="14" t="str">
        <f aca="false">IF(C678="SELL",B678,"")</f>
        <v/>
      </c>
      <c r="F678" s="14" t="str">
        <f aca="false">IF(E678="","",(E678-D678)/D678*100)</f>
        <v/>
      </c>
      <c r="G678" s="0" t="str">
        <f aca="false">IF(C678="BUY","IN",IF(C678="SELL","OUT",IF(G677="IN","IN","OUT")))</f>
        <v>OUT</v>
      </c>
      <c r="H678" s="14" t="n">
        <f aca="false">H677+IF(F678="",0,F678)</f>
        <v>32.3739031221486</v>
      </c>
      <c r="I678" s="14" t="n">
        <f aca="false">MAX(I677,H678)</f>
        <v>32.3739031221486</v>
      </c>
      <c r="J678" s="14" t="n">
        <f aca="false">I678-H678</f>
        <v>0</v>
      </c>
    </row>
    <row r="679" customFormat="false" ht="15" hidden="false" customHeight="false" outlineLevel="0" collapsed="false">
      <c r="A679" s="12" t="n">
        <f aca="false">Data!A679</f>
        <v>42991</v>
      </c>
      <c r="B679" s="14" t="n">
        <f aca="false">Data!B679</f>
        <v>49.3</v>
      </c>
      <c r="C679" s="0" t="str">
        <f aca="false">IF(Data!D679="","HOLD",IF(AND(G678&lt;&gt;"IN",Data!E679&lt;-5),"BUY",IF(AND(G678="IN",Data!E679&gt;0),"SELL","HOLD")))</f>
        <v>HOLD</v>
      </c>
      <c r="D679" s="14" t="str">
        <f aca="false">IF(C679="BUY",B679,IF(G678="IN",D678,""))</f>
        <v/>
      </c>
      <c r="E679" s="14" t="str">
        <f aca="false">IF(C679="SELL",B679,"")</f>
        <v/>
      </c>
      <c r="F679" s="14" t="str">
        <f aca="false">IF(E679="","",(E679-D679)/D679*100)</f>
        <v/>
      </c>
      <c r="G679" s="0" t="str">
        <f aca="false">IF(C679="BUY","IN",IF(C679="SELL","OUT",IF(G678="IN","IN","OUT")))</f>
        <v>OUT</v>
      </c>
      <c r="H679" s="14" t="n">
        <f aca="false">H678+IF(F679="",0,F679)</f>
        <v>32.3739031221486</v>
      </c>
      <c r="I679" s="14" t="n">
        <f aca="false">MAX(I678,H679)</f>
        <v>32.3739031221486</v>
      </c>
      <c r="J679" s="14" t="n">
        <f aca="false">I679-H679</f>
        <v>0</v>
      </c>
    </row>
    <row r="680" customFormat="false" ht="15" hidden="false" customHeight="false" outlineLevel="0" collapsed="false">
      <c r="A680" s="12" t="n">
        <f aca="false">Data!A680</f>
        <v>42992</v>
      </c>
      <c r="B680" s="14" t="n">
        <f aca="false">Data!B680</f>
        <v>49.89</v>
      </c>
      <c r="C680" s="0" t="str">
        <f aca="false">IF(Data!D680="","HOLD",IF(AND(G679&lt;&gt;"IN",Data!E680&lt;-5),"BUY",IF(AND(G679="IN",Data!E680&gt;0),"SELL","HOLD")))</f>
        <v>HOLD</v>
      </c>
      <c r="D680" s="14" t="str">
        <f aca="false">IF(C680="BUY",B680,IF(G679="IN",D679,""))</f>
        <v/>
      </c>
      <c r="E680" s="14" t="str">
        <f aca="false">IF(C680="SELL",B680,"")</f>
        <v/>
      </c>
      <c r="F680" s="14" t="str">
        <f aca="false">IF(E680="","",(E680-D680)/D680*100)</f>
        <v/>
      </c>
      <c r="G680" s="0" t="str">
        <f aca="false">IF(C680="BUY","IN",IF(C680="SELL","OUT",IF(G679="IN","IN","OUT")))</f>
        <v>OUT</v>
      </c>
      <c r="H680" s="14" t="n">
        <f aca="false">H679+IF(F680="",0,F680)</f>
        <v>32.3739031221486</v>
      </c>
      <c r="I680" s="14" t="n">
        <f aca="false">MAX(I679,H680)</f>
        <v>32.3739031221486</v>
      </c>
      <c r="J680" s="14" t="n">
        <f aca="false">I680-H680</f>
        <v>0</v>
      </c>
    </row>
    <row r="681" customFormat="false" ht="15" hidden="false" customHeight="false" outlineLevel="0" collapsed="false">
      <c r="A681" s="12" t="n">
        <f aca="false">Data!A681</f>
        <v>42993</v>
      </c>
      <c r="B681" s="14" t="n">
        <f aca="false">Data!B681</f>
        <v>49.89</v>
      </c>
      <c r="C681" s="0" t="str">
        <f aca="false">IF(Data!D681="","HOLD",IF(AND(G680&lt;&gt;"IN",Data!E681&lt;-5),"BUY",IF(AND(G680="IN",Data!E681&gt;0),"SELL","HOLD")))</f>
        <v>HOLD</v>
      </c>
      <c r="D681" s="14" t="str">
        <f aca="false">IF(C681="BUY",B681,IF(G680="IN",D680,""))</f>
        <v/>
      </c>
      <c r="E681" s="14" t="str">
        <f aca="false">IF(C681="SELL",B681,"")</f>
        <v/>
      </c>
      <c r="F681" s="14" t="str">
        <f aca="false">IF(E681="","",(E681-D681)/D681*100)</f>
        <v/>
      </c>
      <c r="G681" s="0" t="str">
        <f aca="false">IF(C681="BUY","IN",IF(C681="SELL","OUT",IF(G680="IN","IN","OUT")))</f>
        <v>OUT</v>
      </c>
      <c r="H681" s="14" t="n">
        <f aca="false">H680+IF(F681="",0,F681)</f>
        <v>32.3739031221486</v>
      </c>
      <c r="I681" s="14" t="n">
        <f aca="false">MAX(I680,H681)</f>
        <v>32.3739031221486</v>
      </c>
      <c r="J681" s="14" t="n">
        <f aca="false">I681-H681</f>
        <v>0</v>
      </c>
    </row>
    <row r="682" customFormat="false" ht="15" hidden="false" customHeight="false" outlineLevel="0" collapsed="false">
      <c r="A682" s="12" t="n">
        <f aca="false">Data!A682</f>
        <v>42996</v>
      </c>
      <c r="B682" s="14" t="n">
        <f aca="false">Data!B682</f>
        <v>49.91</v>
      </c>
      <c r="C682" s="0" t="str">
        <f aca="false">IF(Data!D682="","HOLD",IF(AND(G681&lt;&gt;"IN",Data!E682&lt;-5),"BUY",IF(AND(G681="IN",Data!E682&gt;0),"SELL","HOLD")))</f>
        <v>HOLD</v>
      </c>
      <c r="D682" s="14" t="str">
        <f aca="false">IF(C682="BUY",B682,IF(G681="IN",D681,""))</f>
        <v/>
      </c>
      <c r="E682" s="14" t="str">
        <f aca="false">IF(C682="SELL",B682,"")</f>
        <v/>
      </c>
      <c r="F682" s="14" t="str">
        <f aca="false">IF(E682="","",(E682-D682)/D682*100)</f>
        <v/>
      </c>
      <c r="G682" s="0" t="str">
        <f aca="false">IF(C682="BUY","IN",IF(C682="SELL","OUT",IF(G681="IN","IN","OUT")))</f>
        <v>OUT</v>
      </c>
      <c r="H682" s="14" t="n">
        <f aca="false">H681+IF(F682="",0,F682)</f>
        <v>32.3739031221486</v>
      </c>
      <c r="I682" s="14" t="n">
        <f aca="false">MAX(I681,H682)</f>
        <v>32.3739031221486</v>
      </c>
      <c r="J682" s="14" t="n">
        <f aca="false">I682-H682</f>
        <v>0</v>
      </c>
    </row>
    <row r="683" customFormat="false" ht="15" hidden="false" customHeight="false" outlineLevel="0" collapsed="false">
      <c r="A683" s="12" t="n">
        <f aca="false">Data!A683</f>
        <v>42997</v>
      </c>
      <c r="B683" s="14" t="n">
        <f aca="false">Data!B683</f>
        <v>49.48</v>
      </c>
      <c r="C683" s="0" t="str">
        <f aca="false">IF(Data!D683="","HOLD",IF(AND(G682&lt;&gt;"IN",Data!E683&lt;-5),"BUY",IF(AND(G682="IN",Data!E683&gt;0),"SELL","HOLD")))</f>
        <v>HOLD</v>
      </c>
      <c r="D683" s="14" t="str">
        <f aca="false">IF(C683="BUY",B683,IF(G682="IN",D682,""))</f>
        <v/>
      </c>
      <c r="E683" s="14" t="str">
        <f aca="false">IF(C683="SELL",B683,"")</f>
        <v/>
      </c>
      <c r="F683" s="14" t="str">
        <f aca="false">IF(E683="","",(E683-D683)/D683*100)</f>
        <v/>
      </c>
      <c r="G683" s="0" t="str">
        <f aca="false">IF(C683="BUY","IN",IF(C683="SELL","OUT",IF(G682="IN","IN","OUT")))</f>
        <v>OUT</v>
      </c>
      <c r="H683" s="14" t="n">
        <f aca="false">H682+IF(F683="",0,F683)</f>
        <v>32.3739031221486</v>
      </c>
      <c r="I683" s="14" t="n">
        <f aca="false">MAX(I682,H683)</f>
        <v>32.3739031221486</v>
      </c>
      <c r="J683" s="14" t="n">
        <f aca="false">I683-H683</f>
        <v>0</v>
      </c>
    </row>
    <row r="684" customFormat="false" ht="15" hidden="false" customHeight="false" outlineLevel="0" collapsed="false">
      <c r="A684" s="12" t="n">
        <f aca="false">Data!A684</f>
        <v>42998</v>
      </c>
      <c r="B684" s="14" t="n">
        <f aca="false">Data!B684</f>
        <v>50.41</v>
      </c>
      <c r="C684" s="0" t="str">
        <f aca="false">IF(Data!D684="","HOLD",IF(AND(G683&lt;&gt;"IN",Data!E684&lt;-5),"BUY",IF(AND(G683="IN",Data!E684&gt;0),"SELL","HOLD")))</f>
        <v>HOLD</v>
      </c>
      <c r="D684" s="14" t="str">
        <f aca="false">IF(C684="BUY",B684,IF(G683="IN",D683,""))</f>
        <v/>
      </c>
      <c r="E684" s="14" t="str">
        <f aca="false">IF(C684="SELL",B684,"")</f>
        <v/>
      </c>
      <c r="F684" s="14" t="str">
        <f aca="false">IF(E684="","",(E684-D684)/D684*100)</f>
        <v/>
      </c>
      <c r="G684" s="0" t="str">
        <f aca="false">IF(C684="BUY","IN",IF(C684="SELL","OUT",IF(G683="IN","IN","OUT")))</f>
        <v>OUT</v>
      </c>
      <c r="H684" s="14" t="n">
        <f aca="false">H683+IF(F684="",0,F684)</f>
        <v>32.3739031221486</v>
      </c>
      <c r="I684" s="14" t="n">
        <f aca="false">MAX(I683,H684)</f>
        <v>32.3739031221486</v>
      </c>
      <c r="J684" s="14" t="n">
        <f aca="false">I684-H684</f>
        <v>0</v>
      </c>
    </row>
    <row r="685" customFormat="false" ht="15" hidden="false" customHeight="false" outlineLevel="0" collapsed="false">
      <c r="A685" s="12" t="n">
        <f aca="false">Data!A685</f>
        <v>42999</v>
      </c>
      <c r="B685" s="14" t="n">
        <f aca="false">Data!B685</f>
        <v>50.55</v>
      </c>
      <c r="C685" s="0" t="str">
        <f aca="false">IF(Data!D685="","HOLD",IF(AND(G684&lt;&gt;"IN",Data!E685&lt;-5),"BUY",IF(AND(G684="IN",Data!E685&gt;0),"SELL","HOLD")))</f>
        <v>HOLD</v>
      </c>
      <c r="D685" s="14" t="str">
        <f aca="false">IF(C685="BUY",B685,IF(G684="IN",D684,""))</f>
        <v/>
      </c>
      <c r="E685" s="14" t="str">
        <f aca="false">IF(C685="SELL",B685,"")</f>
        <v/>
      </c>
      <c r="F685" s="14" t="str">
        <f aca="false">IF(E685="","",(E685-D685)/D685*100)</f>
        <v/>
      </c>
      <c r="G685" s="0" t="str">
        <f aca="false">IF(C685="BUY","IN",IF(C685="SELL","OUT",IF(G684="IN","IN","OUT")))</f>
        <v>OUT</v>
      </c>
      <c r="H685" s="14" t="n">
        <f aca="false">H684+IF(F685="",0,F685)</f>
        <v>32.3739031221486</v>
      </c>
      <c r="I685" s="14" t="n">
        <f aca="false">MAX(I684,H685)</f>
        <v>32.3739031221486</v>
      </c>
      <c r="J685" s="14" t="n">
        <f aca="false">I685-H685</f>
        <v>0</v>
      </c>
    </row>
    <row r="686" customFormat="false" ht="15" hidden="false" customHeight="false" outlineLevel="0" collapsed="false">
      <c r="A686" s="12" t="n">
        <f aca="false">Data!A686</f>
        <v>43000</v>
      </c>
      <c r="B686" s="14" t="n">
        <f aca="false">Data!B686</f>
        <v>50.66</v>
      </c>
      <c r="C686" s="0" t="str">
        <f aca="false">IF(Data!D686="","HOLD",IF(AND(G685&lt;&gt;"IN",Data!E686&lt;-5),"BUY",IF(AND(G685="IN",Data!E686&gt;0),"SELL","HOLD")))</f>
        <v>HOLD</v>
      </c>
      <c r="D686" s="14" t="str">
        <f aca="false">IF(C686="BUY",B686,IF(G685="IN",D685,""))</f>
        <v/>
      </c>
      <c r="E686" s="14" t="str">
        <f aca="false">IF(C686="SELL",B686,"")</f>
        <v/>
      </c>
      <c r="F686" s="14" t="str">
        <f aca="false">IF(E686="","",(E686-D686)/D686*100)</f>
        <v/>
      </c>
      <c r="G686" s="0" t="str">
        <f aca="false">IF(C686="BUY","IN",IF(C686="SELL","OUT",IF(G685="IN","IN","OUT")))</f>
        <v>OUT</v>
      </c>
      <c r="H686" s="14" t="n">
        <f aca="false">H685+IF(F686="",0,F686)</f>
        <v>32.3739031221486</v>
      </c>
      <c r="I686" s="14" t="n">
        <f aca="false">MAX(I685,H686)</f>
        <v>32.3739031221486</v>
      </c>
      <c r="J686" s="14" t="n">
        <f aca="false">I686-H686</f>
        <v>0</v>
      </c>
    </row>
    <row r="687" customFormat="false" ht="15" hidden="false" customHeight="false" outlineLevel="0" collapsed="false">
      <c r="A687" s="12" t="n">
        <f aca="false">Data!A687</f>
        <v>43003</v>
      </c>
      <c r="B687" s="14" t="n">
        <f aca="false">Data!B687</f>
        <v>52.22</v>
      </c>
      <c r="C687" s="0" t="str">
        <f aca="false">IF(Data!D687="","HOLD",IF(AND(G686&lt;&gt;"IN",Data!E687&lt;-5),"BUY",IF(AND(G686="IN",Data!E687&gt;0),"SELL","HOLD")))</f>
        <v>HOLD</v>
      </c>
      <c r="D687" s="14" t="str">
        <f aca="false">IF(C687="BUY",B687,IF(G686="IN",D686,""))</f>
        <v/>
      </c>
      <c r="E687" s="14" t="str">
        <f aca="false">IF(C687="SELL",B687,"")</f>
        <v/>
      </c>
      <c r="F687" s="14" t="str">
        <f aca="false">IF(E687="","",(E687-D687)/D687*100)</f>
        <v/>
      </c>
      <c r="G687" s="0" t="str">
        <f aca="false">IF(C687="BUY","IN",IF(C687="SELL","OUT",IF(G686="IN","IN","OUT")))</f>
        <v>OUT</v>
      </c>
      <c r="H687" s="14" t="n">
        <f aca="false">H686+IF(F687="",0,F687)</f>
        <v>32.3739031221486</v>
      </c>
      <c r="I687" s="14" t="n">
        <f aca="false">MAX(I686,H687)</f>
        <v>32.3739031221486</v>
      </c>
      <c r="J687" s="14" t="n">
        <f aca="false">I687-H687</f>
        <v>0</v>
      </c>
    </row>
    <row r="688" customFormat="false" ht="15" hidden="false" customHeight="false" outlineLevel="0" collapsed="false">
      <c r="A688" s="12" t="n">
        <f aca="false">Data!A688</f>
        <v>43004</v>
      </c>
      <c r="B688" s="14" t="n">
        <f aca="false">Data!B688</f>
        <v>51.88</v>
      </c>
      <c r="C688" s="0" t="str">
        <f aca="false">IF(Data!D688="","HOLD",IF(AND(G687&lt;&gt;"IN",Data!E688&lt;-5),"BUY",IF(AND(G687="IN",Data!E688&gt;0),"SELL","HOLD")))</f>
        <v>HOLD</v>
      </c>
      <c r="D688" s="14" t="str">
        <f aca="false">IF(C688="BUY",B688,IF(G687="IN",D687,""))</f>
        <v/>
      </c>
      <c r="E688" s="14" t="str">
        <f aca="false">IF(C688="SELL",B688,"")</f>
        <v/>
      </c>
      <c r="F688" s="14" t="str">
        <f aca="false">IF(E688="","",(E688-D688)/D688*100)</f>
        <v/>
      </c>
      <c r="G688" s="0" t="str">
        <f aca="false">IF(C688="BUY","IN",IF(C688="SELL","OUT",IF(G687="IN","IN","OUT")))</f>
        <v>OUT</v>
      </c>
      <c r="H688" s="14" t="n">
        <f aca="false">H687+IF(F688="",0,F688)</f>
        <v>32.3739031221486</v>
      </c>
      <c r="I688" s="14" t="n">
        <f aca="false">MAX(I687,H688)</f>
        <v>32.3739031221486</v>
      </c>
      <c r="J688" s="14" t="n">
        <f aca="false">I688-H688</f>
        <v>0</v>
      </c>
    </row>
    <row r="689" customFormat="false" ht="15" hidden="false" customHeight="false" outlineLevel="0" collapsed="false">
      <c r="A689" s="12" t="n">
        <f aca="false">Data!A689</f>
        <v>43005</v>
      </c>
      <c r="B689" s="14" t="n">
        <f aca="false">Data!B689</f>
        <v>52.14</v>
      </c>
      <c r="C689" s="0" t="str">
        <f aca="false">IF(Data!D689="","HOLD",IF(AND(G688&lt;&gt;"IN",Data!E689&lt;-5),"BUY",IF(AND(G688="IN",Data!E689&gt;0),"SELL","HOLD")))</f>
        <v>HOLD</v>
      </c>
      <c r="D689" s="14" t="str">
        <f aca="false">IF(C689="BUY",B689,IF(G688="IN",D688,""))</f>
        <v/>
      </c>
      <c r="E689" s="14" t="str">
        <f aca="false">IF(C689="SELL",B689,"")</f>
        <v/>
      </c>
      <c r="F689" s="14" t="str">
        <f aca="false">IF(E689="","",(E689-D689)/D689*100)</f>
        <v/>
      </c>
      <c r="G689" s="0" t="str">
        <f aca="false">IF(C689="BUY","IN",IF(C689="SELL","OUT",IF(G688="IN","IN","OUT")))</f>
        <v>OUT</v>
      </c>
      <c r="H689" s="14" t="n">
        <f aca="false">H688+IF(F689="",0,F689)</f>
        <v>32.3739031221486</v>
      </c>
      <c r="I689" s="14" t="n">
        <f aca="false">MAX(I688,H689)</f>
        <v>32.3739031221486</v>
      </c>
      <c r="J689" s="14" t="n">
        <f aca="false">I689-H689</f>
        <v>0</v>
      </c>
    </row>
    <row r="690" customFormat="false" ht="15" hidden="false" customHeight="false" outlineLevel="0" collapsed="false">
      <c r="A690" s="12" t="n">
        <f aca="false">Data!A690</f>
        <v>43006</v>
      </c>
      <c r="B690" s="14" t="n">
        <f aca="false">Data!B690</f>
        <v>51.56</v>
      </c>
      <c r="C690" s="0" t="str">
        <f aca="false">IF(Data!D690="","HOLD",IF(AND(G689&lt;&gt;"IN",Data!E690&lt;-5),"BUY",IF(AND(G689="IN",Data!E690&gt;0),"SELL","HOLD")))</f>
        <v>HOLD</v>
      </c>
      <c r="D690" s="14" t="str">
        <f aca="false">IF(C690="BUY",B690,IF(G689="IN",D689,""))</f>
        <v/>
      </c>
      <c r="E690" s="14" t="str">
        <f aca="false">IF(C690="SELL",B690,"")</f>
        <v/>
      </c>
      <c r="F690" s="14" t="str">
        <f aca="false">IF(E690="","",(E690-D690)/D690*100)</f>
        <v/>
      </c>
      <c r="G690" s="0" t="str">
        <f aca="false">IF(C690="BUY","IN",IF(C690="SELL","OUT",IF(G689="IN","IN","OUT")))</f>
        <v>OUT</v>
      </c>
      <c r="H690" s="14" t="n">
        <f aca="false">H689+IF(F690="",0,F690)</f>
        <v>32.3739031221486</v>
      </c>
      <c r="I690" s="14" t="n">
        <f aca="false">MAX(I689,H690)</f>
        <v>32.3739031221486</v>
      </c>
      <c r="J690" s="14" t="n">
        <f aca="false">I690-H690</f>
        <v>0</v>
      </c>
    </row>
    <row r="691" customFormat="false" ht="15" hidden="false" customHeight="false" outlineLevel="0" collapsed="false">
      <c r="A691" s="12" t="n">
        <f aca="false">Data!A691</f>
        <v>43007</v>
      </c>
      <c r="B691" s="14" t="n">
        <f aca="false">Data!B691</f>
        <v>51.67</v>
      </c>
      <c r="C691" s="0" t="str">
        <f aca="false">IF(Data!D691="","HOLD",IF(AND(G690&lt;&gt;"IN",Data!E691&lt;-5),"BUY",IF(AND(G690="IN",Data!E691&gt;0),"SELL","HOLD")))</f>
        <v>HOLD</v>
      </c>
      <c r="D691" s="14" t="str">
        <f aca="false">IF(C691="BUY",B691,IF(G690="IN",D690,""))</f>
        <v/>
      </c>
      <c r="E691" s="14" t="str">
        <f aca="false">IF(C691="SELL",B691,"")</f>
        <v/>
      </c>
      <c r="F691" s="14" t="str">
        <f aca="false">IF(E691="","",(E691-D691)/D691*100)</f>
        <v/>
      </c>
      <c r="G691" s="0" t="str">
        <f aca="false">IF(C691="BUY","IN",IF(C691="SELL","OUT",IF(G690="IN","IN","OUT")))</f>
        <v>OUT</v>
      </c>
      <c r="H691" s="14" t="n">
        <f aca="false">H690+IF(F691="",0,F691)</f>
        <v>32.3739031221486</v>
      </c>
      <c r="I691" s="14" t="n">
        <f aca="false">MAX(I690,H691)</f>
        <v>32.3739031221486</v>
      </c>
      <c r="J691" s="14" t="n">
        <f aca="false">I691-H691</f>
        <v>0</v>
      </c>
    </row>
    <row r="692" customFormat="false" ht="15" hidden="false" customHeight="false" outlineLevel="0" collapsed="false">
      <c r="A692" s="12" t="n">
        <f aca="false">Data!A692</f>
        <v>43010</v>
      </c>
      <c r="B692" s="14" t="n">
        <f aca="false">Data!B692</f>
        <v>50.58</v>
      </c>
      <c r="C692" s="0" t="str">
        <f aca="false">IF(Data!D692="","HOLD",IF(AND(G691&lt;&gt;"IN",Data!E692&lt;-5),"BUY",IF(AND(G691="IN",Data!E692&gt;0),"SELL","HOLD")))</f>
        <v>HOLD</v>
      </c>
      <c r="D692" s="14" t="str">
        <f aca="false">IF(C692="BUY",B692,IF(G691="IN",D691,""))</f>
        <v/>
      </c>
      <c r="E692" s="14" t="str">
        <f aca="false">IF(C692="SELL",B692,"")</f>
        <v/>
      </c>
      <c r="F692" s="14" t="str">
        <f aca="false">IF(E692="","",(E692-D692)/D692*100)</f>
        <v/>
      </c>
      <c r="G692" s="0" t="str">
        <f aca="false">IF(C692="BUY","IN",IF(C692="SELL","OUT",IF(G691="IN","IN","OUT")))</f>
        <v>OUT</v>
      </c>
      <c r="H692" s="14" t="n">
        <f aca="false">H691+IF(F692="",0,F692)</f>
        <v>32.3739031221486</v>
      </c>
      <c r="I692" s="14" t="n">
        <f aca="false">MAX(I691,H692)</f>
        <v>32.3739031221486</v>
      </c>
      <c r="J692" s="14" t="n">
        <f aca="false">I692-H692</f>
        <v>0</v>
      </c>
    </row>
    <row r="693" customFormat="false" ht="15" hidden="false" customHeight="false" outlineLevel="0" collapsed="false">
      <c r="A693" s="12" t="n">
        <f aca="false">Data!A693</f>
        <v>43011</v>
      </c>
      <c r="B693" s="14" t="n">
        <f aca="false">Data!B693</f>
        <v>50.42</v>
      </c>
      <c r="C693" s="0" t="str">
        <f aca="false">IF(Data!D693="","HOLD",IF(AND(G692&lt;&gt;"IN",Data!E693&lt;-5),"BUY",IF(AND(G692="IN",Data!E693&gt;0),"SELL","HOLD")))</f>
        <v>HOLD</v>
      </c>
      <c r="D693" s="14" t="str">
        <f aca="false">IF(C693="BUY",B693,IF(G692="IN",D692,""))</f>
        <v/>
      </c>
      <c r="E693" s="14" t="str">
        <f aca="false">IF(C693="SELL",B693,"")</f>
        <v/>
      </c>
      <c r="F693" s="14" t="str">
        <f aca="false">IF(E693="","",(E693-D693)/D693*100)</f>
        <v/>
      </c>
      <c r="G693" s="0" t="str">
        <f aca="false">IF(C693="BUY","IN",IF(C693="SELL","OUT",IF(G692="IN","IN","OUT")))</f>
        <v>OUT</v>
      </c>
      <c r="H693" s="14" t="n">
        <f aca="false">H692+IF(F693="",0,F693)</f>
        <v>32.3739031221486</v>
      </c>
      <c r="I693" s="14" t="n">
        <f aca="false">MAX(I692,H693)</f>
        <v>32.3739031221486</v>
      </c>
      <c r="J693" s="14" t="n">
        <f aca="false">I693-H693</f>
        <v>0</v>
      </c>
    </row>
    <row r="694" customFormat="false" ht="15" hidden="false" customHeight="false" outlineLevel="0" collapsed="false">
      <c r="A694" s="12" t="n">
        <f aca="false">Data!A694</f>
        <v>43012</v>
      </c>
      <c r="B694" s="14" t="n">
        <f aca="false">Data!B694</f>
        <v>49.98</v>
      </c>
      <c r="C694" s="0" t="str">
        <f aca="false">IF(Data!D694="","HOLD",IF(AND(G693&lt;&gt;"IN",Data!E694&lt;-5),"BUY",IF(AND(G693="IN",Data!E694&gt;0),"SELL","HOLD")))</f>
        <v>HOLD</v>
      </c>
      <c r="D694" s="14" t="str">
        <f aca="false">IF(C694="BUY",B694,IF(G693="IN",D693,""))</f>
        <v/>
      </c>
      <c r="E694" s="14" t="str">
        <f aca="false">IF(C694="SELL",B694,"")</f>
        <v/>
      </c>
      <c r="F694" s="14" t="str">
        <f aca="false">IF(E694="","",(E694-D694)/D694*100)</f>
        <v/>
      </c>
      <c r="G694" s="0" t="str">
        <f aca="false">IF(C694="BUY","IN",IF(C694="SELL","OUT",IF(G693="IN","IN","OUT")))</f>
        <v>OUT</v>
      </c>
      <c r="H694" s="14" t="n">
        <f aca="false">H693+IF(F694="",0,F694)</f>
        <v>32.3739031221486</v>
      </c>
      <c r="I694" s="14" t="n">
        <f aca="false">MAX(I693,H694)</f>
        <v>32.3739031221486</v>
      </c>
      <c r="J694" s="14" t="n">
        <f aca="false">I694-H694</f>
        <v>0</v>
      </c>
    </row>
    <row r="695" customFormat="false" ht="15" hidden="false" customHeight="false" outlineLevel="0" collapsed="false">
      <c r="A695" s="12" t="n">
        <f aca="false">Data!A695</f>
        <v>43013</v>
      </c>
      <c r="B695" s="14" t="n">
        <f aca="false">Data!B695</f>
        <v>50.79</v>
      </c>
      <c r="C695" s="0" t="str">
        <f aca="false">IF(Data!D695="","HOLD",IF(AND(G694&lt;&gt;"IN",Data!E695&lt;-5),"BUY",IF(AND(G694="IN",Data!E695&gt;0),"SELL","HOLD")))</f>
        <v>HOLD</v>
      </c>
      <c r="D695" s="14" t="str">
        <f aca="false">IF(C695="BUY",B695,IF(G694="IN",D694,""))</f>
        <v/>
      </c>
      <c r="E695" s="14" t="str">
        <f aca="false">IF(C695="SELL",B695,"")</f>
        <v/>
      </c>
      <c r="F695" s="14" t="str">
        <f aca="false">IF(E695="","",(E695-D695)/D695*100)</f>
        <v/>
      </c>
      <c r="G695" s="0" t="str">
        <f aca="false">IF(C695="BUY","IN",IF(C695="SELL","OUT",IF(G694="IN","IN","OUT")))</f>
        <v>OUT</v>
      </c>
      <c r="H695" s="14" t="n">
        <f aca="false">H694+IF(F695="",0,F695)</f>
        <v>32.3739031221486</v>
      </c>
      <c r="I695" s="14" t="n">
        <f aca="false">MAX(I694,H695)</f>
        <v>32.3739031221486</v>
      </c>
      <c r="J695" s="14" t="n">
        <f aca="false">I695-H695</f>
        <v>0</v>
      </c>
    </row>
    <row r="696" customFormat="false" ht="15" hidden="false" customHeight="false" outlineLevel="0" collapsed="false">
      <c r="A696" s="12" t="n">
        <f aca="false">Data!A696</f>
        <v>43014</v>
      </c>
      <c r="B696" s="14" t="n">
        <f aca="false">Data!B696</f>
        <v>49.29</v>
      </c>
      <c r="C696" s="0" t="str">
        <f aca="false">IF(Data!D696="","HOLD",IF(AND(G695&lt;&gt;"IN",Data!E696&lt;-5),"BUY",IF(AND(G695="IN",Data!E696&gt;0),"SELL","HOLD")))</f>
        <v>HOLD</v>
      </c>
      <c r="D696" s="14" t="str">
        <f aca="false">IF(C696="BUY",B696,IF(G695="IN",D695,""))</f>
        <v/>
      </c>
      <c r="E696" s="14" t="str">
        <f aca="false">IF(C696="SELL",B696,"")</f>
        <v/>
      </c>
      <c r="F696" s="14" t="str">
        <f aca="false">IF(E696="","",(E696-D696)/D696*100)</f>
        <v/>
      </c>
      <c r="G696" s="0" t="str">
        <f aca="false">IF(C696="BUY","IN",IF(C696="SELL","OUT",IF(G695="IN","IN","OUT")))</f>
        <v>OUT</v>
      </c>
      <c r="H696" s="14" t="n">
        <f aca="false">H695+IF(F696="",0,F696)</f>
        <v>32.3739031221486</v>
      </c>
      <c r="I696" s="14" t="n">
        <f aca="false">MAX(I695,H696)</f>
        <v>32.3739031221486</v>
      </c>
      <c r="J696" s="14" t="n">
        <f aca="false">I696-H696</f>
        <v>0</v>
      </c>
    </row>
    <row r="697" customFormat="false" ht="15" hidden="false" customHeight="false" outlineLevel="0" collapsed="false">
      <c r="A697" s="12" t="n">
        <f aca="false">Data!A697</f>
        <v>43017</v>
      </c>
      <c r="B697" s="14" t="n">
        <f aca="false">Data!B697</f>
        <v>49.58</v>
      </c>
      <c r="C697" s="0" t="str">
        <f aca="false">IF(Data!D697="","HOLD",IF(AND(G696&lt;&gt;"IN",Data!E697&lt;-5),"BUY",IF(AND(G696="IN",Data!E697&gt;0),"SELL","HOLD")))</f>
        <v>HOLD</v>
      </c>
      <c r="D697" s="14" t="str">
        <f aca="false">IF(C697="BUY",B697,IF(G696="IN",D696,""))</f>
        <v/>
      </c>
      <c r="E697" s="14" t="str">
        <f aca="false">IF(C697="SELL",B697,"")</f>
        <v/>
      </c>
      <c r="F697" s="14" t="str">
        <f aca="false">IF(E697="","",(E697-D697)/D697*100)</f>
        <v/>
      </c>
      <c r="G697" s="0" t="str">
        <f aca="false">IF(C697="BUY","IN",IF(C697="SELL","OUT",IF(G696="IN","IN","OUT")))</f>
        <v>OUT</v>
      </c>
      <c r="H697" s="14" t="n">
        <f aca="false">H696+IF(F697="",0,F697)</f>
        <v>32.3739031221486</v>
      </c>
      <c r="I697" s="14" t="n">
        <f aca="false">MAX(I696,H697)</f>
        <v>32.3739031221486</v>
      </c>
      <c r="J697" s="14" t="n">
        <f aca="false">I697-H697</f>
        <v>0</v>
      </c>
    </row>
    <row r="698" customFormat="false" ht="15" hidden="false" customHeight="false" outlineLevel="0" collapsed="false">
      <c r="A698" s="12" t="n">
        <f aca="false">Data!A698</f>
        <v>43018</v>
      </c>
      <c r="B698" s="14" t="n">
        <f aca="false">Data!B698</f>
        <v>50.92</v>
      </c>
      <c r="C698" s="0" t="str">
        <f aca="false">IF(Data!D698="","HOLD",IF(AND(G697&lt;&gt;"IN",Data!E698&lt;-5),"BUY",IF(AND(G697="IN",Data!E698&gt;0),"SELL","HOLD")))</f>
        <v>HOLD</v>
      </c>
      <c r="D698" s="14" t="str">
        <f aca="false">IF(C698="BUY",B698,IF(G697="IN",D697,""))</f>
        <v/>
      </c>
      <c r="E698" s="14" t="str">
        <f aca="false">IF(C698="SELL",B698,"")</f>
        <v/>
      </c>
      <c r="F698" s="14" t="str">
        <f aca="false">IF(E698="","",(E698-D698)/D698*100)</f>
        <v/>
      </c>
      <c r="G698" s="0" t="str">
        <f aca="false">IF(C698="BUY","IN",IF(C698="SELL","OUT",IF(G697="IN","IN","OUT")))</f>
        <v>OUT</v>
      </c>
      <c r="H698" s="14" t="n">
        <f aca="false">H697+IF(F698="",0,F698)</f>
        <v>32.3739031221486</v>
      </c>
      <c r="I698" s="14" t="n">
        <f aca="false">MAX(I697,H698)</f>
        <v>32.3739031221486</v>
      </c>
      <c r="J698" s="14" t="n">
        <f aca="false">I698-H698</f>
        <v>0</v>
      </c>
    </row>
    <row r="699" customFormat="false" ht="15" hidden="false" customHeight="false" outlineLevel="0" collapsed="false">
      <c r="A699" s="12" t="n">
        <f aca="false">Data!A699</f>
        <v>43019</v>
      </c>
      <c r="B699" s="14" t="n">
        <f aca="false">Data!B699</f>
        <v>51.3</v>
      </c>
      <c r="C699" s="0" t="str">
        <f aca="false">IF(Data!D699="","HOLD",IF(AND(G698&lt;&gt;"IN",Data!E699&lt;-5),"BUY",IF(AND(G698="IN",Data!E699&gt;0),"SELL","HOLD")))</f>
        <v>HOLD</v>
      </c>
      <c r="D699" s="14" t="str">
        <f aca="false">IF(C699="BUY",B699,IF(G698="IN",D698,""))</f>
        <v/>
      </c>
      <c r="E699" s="14" t="str">
        <f aca="false">IF(C699="SELL",B699,"")</f>
        <v/>
      </c>
      <c r="F699" s="14" t="str">
        <f aca="false">IF(E699="","",(E699-D699)/D699*100)</f>
        <v/>
      </c>
      <c r="G699" s="0" t="str">
        <f aca="false">IF(C699="BUY","IN",IF(C699="SELL","OUT",IF(G698="IN","IN","OUT")))</f>
        <v>OUT</v>
      </c>
      <c r="H699" s="14" t="n">
        <f aca="false">H698+IF(F699="",0,F699)</f>
        <v>32.3739031221486</v>
      </c>
      <c r="I699" s="14" t="n">
        <f aca="false">MAX(I698,H699)</f>
        <v>32.3739031221486</v>
      </c>
      <c r="J699" s="14" t="n">
        <f aca="false">I699-H699</f>
        <v>0</v>
      </c>
    </row>
    <row r="700" customFormat="false" ht="15" hidden="false" customHeight="false" outlineLevel="0" collapsed="false">
      <c r="A700" s="12" t="n">
        <f aca="false">Data!A700</f>
        <v>43020</v>
      </c>
      <c r="B700" s="14" t="n">
        <f aca="false">Data!B700</f>
        <v>50.6</v>
      </c>
      <c r="C700" s="0" t="str">
        <f aca="false">IF(Data!D700="","HOLD",IF(AND(G699&lt;&gt;"IN",Data!E700&lt;-5),"BUY",IF(AND(G699="IN",Data!E700&gt;0),"SELL","HOLD")))</f>
        <v>HOLD</v>
      </c>
      <c r="D700" s="14" t="str">
        <f aca="false">IF(C700="BUY",B700,IF(G699="IN",D699,""))</f>
        <v/>
      </c>
      <c r="E700" s="14" t="str">
        <f aca="false">IF(C700="SELL",B700,"")</f>
        <v/>
      </c>
      <c r="F700" s="14" t="str">
        <f aca="false">IF(E700="","",(E700-D700)/D700*100)</f>
        <v/>
      </c>
      <c r="G700" s="0" t="str">
        <f aca="false">IF(C700="BUY","IN",IF(C700="SELL","OUT",IF(G699="IN","IN","OUT")))</f>
        <v>OUT</v>
      </c>
      <c r="H700" s="14" t="n">
        <f aca="false">H699+IF(F700="",0,F700)</f>
        <v>32.3739031221486</v>
      </c>
      <c r="I700" s="14" t="n">
        <f aca="false">MAX(I699,H700)</f>
        <v>32.3739031221486</v>
      </c>
      <c r="J700" s="14" t="n">
        <f aca="false">I700-H700</f>
        <v>0</v>
      </c>
    </row>
    <row r="701" customFormat="false" ht="15" hidden="false" customHeight="false" outlineLevel="0" collapsed="false">
      <c r="A701" s="12" t="n">
        <f aca="false">Data!A701</f>
        <v>43021</v>
      </c>
      <c r="B701" s="14" t="n">
        <f aca="false">Data!B701</f>
        <v>51.45</v>
      </c>
      <c r="C701" s="0" t="str">
        <f aca="false">IF(Data!D701="","HOLD",IF(AND(G700&lt;&gt;"IN",Data!E701&lt;-5),"BUY",IF(AND(G700="IN",Data!E701&gt;0),"SELL","HOLD")))</f>
        <v>HOLD</v>
      </c>
      <c r="D701" s="14" t="str">
        <f aca="false">IF(C701="BUY",B701,IF(G700="IN",D700,""))</f>
        <v/>
      </c>
      <c r="E701" s="14" t="str">
        <f aca="false">IF(C701="SELL",B701,"")</f>
        <v/>
      </c>
      <c r="F701" s="14" t="str">
        <f aca="false">IF(E701="","",(E701-D701)/D701*100)</f>
        <v/>
      </c>
      <c r="G701" s="0" t="str">
        <f aca="false">IF(C701="BUY","IN",IF(C701="SELL","OUT",IF(G700="IN","IN","OUT")))</f>
        <v>OUT</v>
      </c>
      <c r="H701" s="14" t="n">
        <f aca="false">H700+IF(F701="",0,F701)</f>
        <v>32.3739031221486</v>
      </c>
      <c r="I701" s="14" t="n">
        <f aca="false">MAX(I700,H701)</f>
        <v>32.3739031221486</v>
      </c>
      <c r="J701" s="14" t="n">
        <f aca="false">I701-H701</f>
        <v>0</v>
      </c>
    </row>
    <row r="702" customFormat="false" ht="15" hidden="false" customHeight="false" outlineLevel="0" collapsed="false">
      <c r="A702" s="12" t="n">
        <f aca="false">Data!A702</f>
        <v>43024</v>
      </c>
      <c r="B702" s="14" t="n">
        <f aca="false">Data!B702</f>
        <v>51.87</v>
      </c>
      <c r="C702" s="0" t="str">
        <f aca="false">IF(Data!D702="","HOLD",IF(AND(G701&lt;&gt;"IN",Data!E702&lt;-5),"BUY",IF(AND(G701="IN",Data!E702&gt;0),"SELL","HOLD")))</f>
        <v>HOLD</v>
      </c>
      <c r="D702" s="14" t="str">
        <f aca="false">IF(C702="BUY",B702,IF(G701="IN",D701,""))</f>
        <v/>
      </c>
      <c r="E702" s="14" t="str">
        <f aca="false">IF(C702="SELL",B702,"")</f>
        <v/>
      </c>
      <c r="F702" s="14" t="str">
        <f aca="false">IF(E702="","",(E702-D702)/D702*100)</f>
        <v/>
      </c>
      <c r="G702" s="0" t="str">
        <f aca="false">IF(C702="BUY","IN",IF(C702="SELL","OUT",IF(G701="IN","IN","OUT")))</f>
        <v>OUT</v>
      </c>
      <c r="H702" s="14" t="n">
        <f aca="false">H701+IF(F702="",0,F702)</f>
        <v>32.3739031221486</v>
      </c>
      <c r="I702" s="14" t="n">
        <f aca="false">MAX(I701,H702)</f>
        <v>32.3739031221486</v>
      </c>
      <c r="J702" s="14" t="n">
        <f aca="false">I702-H702</f>
        <v>0</v>
      </c>
    </row>
    <row r="703" customFormat="false" ht="15" hidden="false" customHeight="false" outlineLevel="0" collapsed="false">
      <c r="A703" s="12" t="n">
        <f aca="false">Data!A703</f>
        <v>43025</v>
      </c>
      <c r="B703" s="14" t="n">
        <f aca="false">Data!B703</f>
        <v>51.88</v>
      </c>
      <c r="C703" s="0" t="str">
        <f aca="false">IF(Data!D703="","HOLD",IF(AND(G702&lt;&gt;"IN",Data!E703&lt;-5),"BUY",IF(AND(G702="IN",Data!E703&gt;0),"SELL","HOLD")))</f>
        <v>HOLD</v>
      </c>
      <c r="D703" s="14" t="str">
        <f aca="false">IF(C703="BUY",B703,IF(G702="IN",D702,""))</f>
        <v/>
      </c>
      <c r="E703" s="14" t="str">
        <f aca="false">IF(C703="SELL",B703,"")</f>
        <v/>
      </c>
      <c r="F703" s="14" t="str">
        <f aca="false">IF(E703="","",(E703-D703)/D703*100)</f>
        <v/>
      </c>
      <c r="G703" s="0" t="str">
        <f aca="false">IF(C703="BUY","IN",IF(C703="SELL","OUT",IF(G702="IN","IN","OUT")))</f>
        <v>OUT</v>
      </c>
      <c r="H703" s="14" t="n">
        <f aca="false">H702+IF(F703="",0,F703)</f>
        <v>32.3739031221486</v>
      </c>
      <c r="I703" s="14" t="n">
        <f aca="false">MAX(I702,H703)</f>
        <v>32.3739031221486</v>
      </c>
      <c r="J703" s="14" t="n">
        <f aca="false">I703-H703</f>
        <v>0</v>
      </c>
    </row>
    <row r="704" customFormat="false" ht="15" hidden="false" customHeight="false" outlineLevel="0" collapsed="false">
      <c r="A704" s="12" t="n">
        <f aca="false">Data!A704</f>
        <v>43026</v>
      </c>
      <c r="B704" s="14" t="n">
        <f aca="false">Data!B704</f>
        <v>52.04</v>
      </c>
      <c r="C704" s="0" t="str">
        <f aca="false">IF(Data!D704="","HOLD",IF(AND(G703&lt;&gt;"IN",Data!E704&lt;-5),"BUY",IF(AND(G703="IN",Data!E704&gt;0),"SELL","HOLD")))</f>
        <v>HOLD</v>
      </c>
      <c r="D704" s="14" t="str">
        <f aca="false">IF(C704="BUY",B704,IF(G703="IN",D703,""))</f>
        <v/>
      </c>
      <c r="E704" s="14" t="str">
        <f aca="false">IF(C704="SELL",B704,"")</f>
        <v/>
      </c>
      <c r="F704" s="14" t="str">
        <f aca="false">IF(E704="","",(E704-D704)/D704*100)</f>
        <v/>
      </c>
      <c r="G704" s="0" t="str">
        <f aca="false">IF(C704="BUY","IN",IF(C704="SELL","OUT",IF(G703="IN","IN","OUT")))</f>
        <v>OUT</v>
      </c>
      <c r="H704" s="14" t="n">
        <f aca="false">H703+IF(F704="",0,F704)</f>
        <v>32.3739031221486</v>
      </c>
      <c r="I704" s="14" t="n">
        <f aca="false">MAX(I703,H704)</f>
        <v>32.3739031221486</v>
      </c>
      <c r="J704" s="14" t="n">
        <f aca="false">I704-H704</f>
        <v>0</v>
      </c>
    </row>
    <row r="705" customFormat="false" ht="15" hidden="false" customHeight="false" outlineLevel="0" collapsed="false">
      <c r="A705" s="12" t="n">
        <f aca="false">Data!A705</f>
        <v>43027</v>
      </c>
      <c r="B705" s="14" t="n">
        <f aca="false">Data!B705</f>
        <v>51.29</v>
      </c>
      <c r="C705" s="0" t="str">
        <f aca="false">IF(Data!D705="","HOLD",IF(AND(G704&lt;&gt;"IN",Data!E705&lt;-5),"BUY",IF(AND(G704="IN",Data!E705&gt;0),"SELL","HOLD")))</f>
        <v>HOLD</v>
      </c>
      <c r="D705" s="14" t="str">
        <f aca="false">IF(C705="BUY",B705,IF(G704="IN",D704,""))</f>
        <v/>
      </c>
      <c r="E705" s="14" t="str">
        <f aca="false">IF(C705="SELL",B705,"")</f>
        <v/>
      </c>
      <c r="F705" s="14" t="str">
        <f aca="false">IF(E705="","",(E705-D705)/D705*100)</f>
        <v/>
      </c>
      <c r="G705" s="0" t="str">
        <f aca="false">IF(C705="BUY","IN",IF(C705="SELL","OUT",IF(G704="IN","IN","OUT")))</f>
        <v>OUT</v>
      </c>
      <c r="H705" s="14" t="n">
        <f aca="false">H704+IF(F705="",0,F705)</f>
        <v>32.3739031221486</v>
      </c>
      <c r="I705" s="14" t="n">
        <f aca="false">MAX(I704,H705)</f>
        <v>32.3739031221486</v>
      </c>
      <c r="J705" s="14" t="n">
        <f aca="false">I705-H705</f>
        <v>0</v>
      </c>
    </row>
    <row r="706" customFormat="false" ht="15" hidden="false" customHeight="false" outlineLevel="0" collapsed="false">
      <c r="A706" s="12" t="n">
        <f aca="false">Data!A706</f>
        <v>43028</v>
      </c>
      <c r="B706" s="14" t="n">
        <f aca="false">Data!B706</f>
        <v>51.47</v>
      </c>
      <c r="C706" s="0" t="str">
        <f aca="false">IF(Data!D706="","HOLD",IF(AND(G705&lt;&gt;"IN",Data!E706&lt;-5),"BUY",IF(AND(G705="IN",Data!E706&gt;0),"SELL","HOLD")))</f>
        <v>HOLD</v>
      </c>
      <c r="D706" s="14" t="str">
        <f aca="false">IF(C706="BUY",B706,IF(G705="IN",D705,""))</f>
        <v/>
      </c>
      <c r="E706" s="14" t="str">
        <f aca="false">IF(C706="SELL",B706,"")</f>
        <v/>
      </c>
      <c r="F706" s="14" t="str">
        <f aca="false">IF(E706="","",(E706-D706)/D706*100)</f>
        <v/>
      </c>
      <c r="G706" s="0" t="str">
        <f aca="false">IF(C706="BUY","IN",IF(C706="SELL","OUT",IF(G705="IN","IN","OUT")))</f>
        <v>OUT</v>
      </c>
      <c r="H706" s="14" t="n">
        <f aca="false">H705+IF(F706="",0,F706)</f>
        <v>32.3739031221486</v>
      </c>
      <c r="I706" s="14" t="n">
        <f aca="false">MAX(I705,H706)</f>
        <v>32.3739031221486</v>
      </c>
      <c r="J706" s="14" t="n">
        <f aca="false">I706-H706</f>
        <v>0</v>
      </c>
    </row>
    <row r="707" customFormat="false" ht="15" hidden="false" customHeight="false" outlineLevel="0" collapsed="false">
      <c r="A707" s="12" t="n">
        <f aca="false">Data!A707</f>
        <v>43031</v>
      </c>
      <c r="B707" s="14" t="n">
        <f aca="false">Data!B707</f>
        <v>51.9</v>
      </c>
      <c r="C707" s="0" t="str">
        <f aca="false">IF(Data!D707="","HOLD",IF(AND(G706&lt;&gt;"IN",Data!E707&lt;-5),"BUY",IF(AND(G706="IN",Data!E707&gt;0),"SELL","HOLD")))</f>
        <v>HOLD</v>
      </c>
      <c r="D707" s="14" t="str">
        <f aca="false">IF(C707="BUY",B707,IF(G706="IN",D706,""))</f>
        <v/>
      </c>
      <c r="E707" s="14" t="str">
        <f aca="false">IF(C707="SELL",B707,"")</f>
        <v/>
      </c>
      <c r="F707" s="14" t="str">
        <f aca="false">IF(E707="","",(E707-D707)/D707*100)</f>
        <v/>
      </c>
      <c r="G707" s="0" t="str">
        <f aca="false">IF(C707="BUY","IN",IF(C707="SELL","OUT",IF(G706="IN","IN","OUT")))</f>
        <v>OUT</v>
      </c>
      <c r="H707" s="14" t="n">
        <f aca="false">H706+IF(F707="",0,F707)</f>
        <v>32.3739031221486</v>
      </c>
      <c r="I707" s="14" t="n">
        <f aca="false">MAX(I706,H707)</f>
        <v>32.3739031221486</v>
      </c>
      <c r="J707" s="14" t="n">
        <f aca="false">I707-H707</f>
        <v>0</v>
      </c>
    </row>
    <row r="708" customFormat="false" ht="15" hidden="false" customHeight="false" outlineLevel="0" collapsed="false">
      <c r="A708" s="12" t="n">
        <f aca="false">Data!A708</f>
        <v>43032</v>
      </c>
      <c r="B708" s="14" t="n">
        <f aca="false">Data!B708</f>
        <v>52.47</v>
      </c>
      <c r="C708" s="0" t="str">
        <f aca="false">IF(Data!D708="","HOLD",IF(AND(G707&lt;&gt;"IN",Data!E708&lt;-5),"BUY",IF(AND(G707="IN",Data!E708&gt;0),"SELL","HOLD")))</f>
        <v>HOLD</v>
      </c>
      <c r="D708" s="14" t="str">
        <f aca="false">IF(C708="BUY",B708,IF(G707="IN",D707,""))</f>
        <v/>
      </c>
      <c r="E708" s="14" t="str">
        <f aca="false">IF(C708="SELL",B708,"")</f>
        <v/>
      </c>
      <c r="F708" s="14" t="str">
        <f aca="false">IF(E708="","",(E708-D708)/D708*100)</f>
        <v/>
      </c>
      <c r="G708" s="0" t="str">
        <f aca="false">IF(C708="BUY","IN",IF(C708="SELL","OUT",IF(G707="IN","IN","OUT")))</f>
        <v>OUT</v>
      </c>
      <c r="H708" s="14" t="n">
        <f aca="false">H707+IF(F708="",0,F708)</f>
        <v>32.3739031221486</v>
      </c>
      <c r="I708" s="14" t="n">
        <f aca="false">MAX(I707,H708)</f>
        <v>32.3739031221486</v>
      </c>
      <c r="J708" s="14" t="n">
        <f aca="false">I708-H708</f>
        <v>0</v>
      </c>
    </row>
    <row r="709" customFormat="false" ht="15" hidden="false" customHeight="false" outlineLevel="0" collapsed="false">
      <c r="A709" s="12" t="n">
        <f aca="false">Data!A709</f>
        <v>43033</v>
      </c>
      <c r="B709" s="14" t="n">
        <f aca="false">Data!B709</f>
        <v>52.18</v>
      </c>
      <c r="C709" s="0" t="str">
        <f aca="false">IF(Data!D709="","HOLD",IF(AND(G708&lt;&gt;"IN",Data!E709&lt;-5),"BUY",IF(AND(G708="IN",Data!E709&gt;0),"SELL","HOLD")))</f>
        <v>HOLD</v>
      </c>
      <c r="D709" s="14" t="str">
        <f aca="false">IF(C709="BUY",B709,IF(G708="IN",D708,""))</f>
        <v/>
      </c>
      <c r="E709" s="14" t="str">
        <f aca="false">IF(C709="SELL",B709,"")</f>
        <v/>
      </c>
      <c r="F709" s="14" t="str">
        <f aca="false">IF(E709="","",(E709-D709)/D709*100)</f>
        <v/>
      </c>
      <c r="G709" s="0" t="str">
        <f aca="false">IF(C709="BUY","IN",IF(C709="SELL","OUT",IF(G708="IN","IN","OUT")))</f>
        <v>OUT</v>
      </c>
      <c r="H709" s="14" t="n">
        <f aca="false">H708+IF(F709="",0,F709)</f>
        <v>32.3739031221486</v>
      </c>
      <c r="I709" s="14" t="n">
        <f aca="false">MAX(I708,H709)</f>
        <v>32.3739031221486</v>
      </c>
      <c r="J709" s="14" t="n">
        <f aca="false">I709-H709</f>
        <v>0</v>
      </c>
    </row>
    <row r="710" customFormat="false" ht="15" hidden="false" customHeight="false" outlineLevel="0" collapsed="false">
      <c r="A710" s="12" t="n">
        <f aca="false">Data!A710</f>
        <v>43034</v>
      </c>
      <c r="B710" s="14" t="n">
        <f aca="false">Data!B710</f>
        <v>52.64</v>
      </c>
      <c r="C710" s="0" t="str">
        <f aca="false">IF(Data!D710="","HOLD",IF(AND(G709&lt;&gt;"IN",Data!E710&lt;-5),"BUY",IF(AND(G709="IN",Data!E710&gt;0),"SELL","HOLD")))</f>
        <v>HOLD</v>
      </c>
      <c r="D710" s="14" t="str">
        <f aca="false">IF(C710="BUY",B710,IF(G709="IN",D709,""))</f>
        <v/>
      </c>
      <c r="E710" s="14" t="str">
        <f aca="false">IF(C710="SELL",B710,"")</f>
        <v/>
      </c>
      <c r="F710" s="14" t="str">
        <f aca="false">IF(E710="","",(E710-D710)/D710*100)</f>
        <v/>
      </c>
      <c r="G710" s="0" t="str">
        <f aca="false">IF(C710="BUY","IN",IF(C710="SELL","OUT",IF(G709="IN","IN","OUT")))</f>
        <v>OUT</v>
      </c>
      <c r="H710" s="14" t="n">
        <f aca="false">H709+IF(F710="",0,F710)</f>
        <v>32.3739031221486</v>
      </c>
      <c r="I710" s="14" t="n">
        <f aca="false">MAX(I709,H710)</f>
        <v>32.3739031221486</v>
      </c>
      <c r="J710" s="14" t="n">
        <f aca="false">I710-H710</f>
        <v>0</v>
      </c>
    </row>
    <row r="711" customFormat="false" ht="15" hidden="false" customHeight="false" outlineLevel="0" collapsed="false">
      <c r="A711" s="12" t="n">
        <f aca="false">Data!A711</f>
        <v>43035</v>
      </c>
      <c r="B711" s="14" t="n">
        <f aca="false">Data!B711</f>
        <v>53.9</v>
      </c>
      <c r="C711" s="0" t="str">
        <f aca="false">IF(Data!D711="","HOLD",IF(AND(G710&lt;&gt;"IN",Data!E711&lt;-5),"BUY",IF(AND(G710="IN",Data!E711&gt;0),"SELL","HOLD")))</f>
        <v>HOLD</v>
      </c>
      <c r="D711" s="14" t="str">
        <f aca="false">IF(C711="BUY",B711,IF(G710="IN",D710,""))</f>
        <v/>
      </c>
      <c r="E711" s="14" t="str">
        <f aca="false">IF(C711="SELL",B711,"")</f>
        <v/>
      </c>
      <c r="F711" s="14" t="str">
        <f aca="false">IF(E711="","",(E711-D711)/D711*100)</f>
        <v/>
      </c>
      <c r="G711" s="0" t="str">
        <f aca="false">IF(C711="BUY","IN",IF(C711="SELL","OUT",IF(G710="IN","IN","OUT")))</f>
        <v>OUT</v>
      </c>
      <c r="H711" s="14" t="n">
        <f aca="false">H710+IF(F711="",0,F711)</f>
        <v>32.3739031221486</v>
      </c>
      <c r="I711" s="14" t="n">
        <f aca="false">MAX(I710,H711)</f>
        <v>32.3739031221486</v>
      </c>
      <c r="J711" s="14" t="n">
        <f aca="false">I711-H711</f>
        <v>0</v>
      </c>
    </row>
    <row r="712" customFormat="false" ht="15" hidden="false" customHeight="false" outlineLevel="0" collapsed="false">
      <c r="A712" s="12" t="n">
        <f aca="false">Data!A712</f>
        <v>43038</v>
      </c>
      <c r="B712" s="14" t="n">
        <f aca="false">Data!B712</f>
        <v>54.15</v>
      </c>
      <c r="C712" s="0" t="str">
        <f aca="false">IF(Data!D712="","HOLD",IF(AND(G711&lt;&gt;"IN",Data!E712&lt;-5),"BUY",IF(AND(G711="IN",Data!E712&gt;0),"SELL","HOLD")))</f>
        <v>HOLD</v>
      </c>
      <c r="D712" s="14" t="str">
        <f aca="false">IF(C712="BUY",B712,IF(G711="IN",D711,""))</f>
        <v/>
      </c>
      <c r="E712" s="14" t="str">
        <f aca="false">IF(C712="SELL",B712,"")</f>
        <v/>
      </c>
      <c r="F712" s="14" t="str">
        <f aca="false">IF(E712="","",(E712-D712)/D712*100)</f>
        <v/>
      </c>
      <c r="G712" s="0" t="str">
        <f aca="false">IF(C712="BUY","IN",IF(C712="SELL","OUT",IF(G711="IN","IN","OUT")))</f>
        <v>OUT</v>
      </c>
      <c r="H712" s="14" t="n">
        <f aca="false">H711+IF(F712="",0,F712)</f>
        <v>32.3739031221486</v>
      </c>
      <c r="I712" s="14" t="n">
        <f aca="false">MAX(I711,H712)</f>
        <v>32.3739031221486</v>
      </c>
      <c r="J712" s="14" t="n">
        <f aca="false">I712-H712</f>
        <v>0</v>
      </c>
    </row>
    <row r="713" customFormat="false" ht="15" hidden="false" customHeight="false" outlineLevel="0" collapsed="false">
      <c r="A713" s="12" t="n">
        <f aca="false">Data!A713</f>
        <v>43039</v>
      </c>
      <c r="B713" s="14" t="n">
        <f aca="false">Data!B713</f>
        <v>54.38</v>
      </c>
      <c r="C713" s="0" t="str">
        <f aca="false">IF(Data!D713="","HOLD",IF(AND(G712&lt;&gt;"IN",Data!E713&lt;-5),"BUY",IF(AND(G712="IN",Data!E713&gt;0),"SELL","HOLD")))</f>
        <v>HOLD</v>
      </c>
      <c r="D713" s="14" t="str">
        <f aca="false">IF(C713="BUY",B713,IF(G712="IN",D712,""))</f>
        <v/>
      </c>
      <c r="E713" s="14" t="str">
        <f aca="false">IF(C713="SELL",B713,"")</f>
        <v/>
      </c>
      <c r="F713" s="14" t="str">
        <f aca="false">IF(E713="","",(E713-D713)/D713*100)</f>
        <v/>
      </c>
      <c r="G713" s="0" t="str">
        <f aca="false">IF(C713="BUY","IN",IF(C713="SELL","OUT",IF(G712="IN","IN","OUT")))</f>
        <v>OUT</v>
      </c>
      <c r="H713" s="14" t="n">
        <f aca="false">H712+IF(F713="",0,F713)</f>
        <v>32.3739031221486</v>
      </c>
      <c r="I713" s="14" t="n">
        <f aca="false">MAX(I712,H713)</f>
        <v>32.3739031221486</v>
      </c>
      <c r="J713" s="14" t="n">
        <f aca="false">I713-H713</f>
        <v>0</v>
      </c>
    </row>
    <row r="714" customFormat="false" ht="15" hidden="false" customHeight="false" outlineLevel="0" collapsed="false">
      <c r="A714" s="12" t="n">
        <f aca="false">Data!A714</f>
        <v>43040</v>
      </c>
      <c r="B714" s="14" t="n">
        <f aca="false">Data!B714</f>
        <v>54.3</v>
      </c>
      <c r="C714" s="0" t="str">
        <f aca="false">IF(Data!D714="","HOLD",IF(AND(G713&lt;&gt;"IN",Data!E714&lt;-5),"BUY",IF(AND(G713="IN",Data!E714&gt;0),"SELL","HOLD")))</f>
        <v>HOLD</v>
      </c>
      <c r="D714" s="14" t="str">
        <f aca="false">IF(C714="BUY",B714,IF(G713="IN",D713,""))</f>
        <v/>
      </c>
      <c r="E714" s="14" t="str">
        <f aca="false">IF(C714="SELL",B714,"")</f>
        <v/>
      </c>
      <c r="F714" s="14" t="str">
        <f aca="false">IF(E714="","",(E714-D714)/D714*100)</f>
        <v/>
      </c>
      <c r="G714" s="0" t="str">
        <f aca="false">IF(C714="BUY","IN",IF(C714="SELL","OUT",IF(G713="IN","IN","OUT")))</f>
        <v>OUT</v>
      </c>
      <c r="H714" s="14" t="n">
        <f aca="false">H713+IF(F714="",0,F714)</f>
        <v>32.3739031221486</v>
      </c>
      <c r="I714" s="14" t="n">
        <f aca="false">MAX(I713,H714)</f>
        <v>32.3739031221486</v>
      </c>
      <c r="J714" s="14" t="n">
        <f aca="false">I714-H714</f>
        <v>0</v>
      </c>
    </row>
    <row r="715" customFormat="false" ht="15" hidden="false" customHeight="false" outlineLevel="0" collapsed="false">
      <c r="A715" s="12" t="n">
        <f aca="false">Data!A715</f>
        <v>43041</v>
      </c>
      <c r="B715" s="14" t="n">
        <f aca="false">Data!B715</f>
        <v>54.54</v>
      </c>
      <c r="C715" s="0" t="str">
        <f aca="false">IF(Data!D715="","HOLD",IF(AND(G714&lt;&gt;"IN",Data!E715&lt;-5),"BUY",IF(AND(G714="IN",Data!E715&gt;0),"SELL","HOLD")))</f>
        <v>HOLD</v>
      </c>
      <c r="D715" s="14" t="str">
        <f aca="false">IF(C715="BUY",B715,IF(G714="IN",D714,""))</f>
        <v/>
      </c>
      <c r="E715" s="14" t="str">
        <f aca="false">IF(C715="SELL",B715,"")</f>
        <v/>
      </c>
      <c r="F715" s="14" t="str">
        <f aca="false">IF(E715="","",(E715-D715)/D715*100)</f>
        <v/>
      </c>
      <c r="G715" s="0" t="str">
        <f aca="false">IF(C715="BUY","IN",IF(C715="SELL","OUT",IF(G714="IN","IN","OUT")))</f>
        <v>OUT</v>
      </c>
      <c r="H715" s="14" t="n">
        <f aca="false">H714+IF(F715="",0,F715)</f>
        <v>32.3739031221486</v>
      </c>
      <c r="I715" s="14" t="n">
        <f aca="false">MAX(I714,H715)</f>
        <v>32.3739031221486</v>
      </c>
      <c r="J715" s="14" t="n">
        <f aca="false">I715-H715</f>
        <v>0</v>
      </c>
    </row>
    <row r="716" customFormat="false" ht="15" hidden="false" customHeight="false" outlineLevel="0" collapsed="false">
      <c r="A716" s="12" t="n">
        <f aca="false">Data!A716</f>
        <v>43042</v>
      </c>
      <c r="B716" s="14" t="n">
        <f aca="false">Data!B716</f>
        <v>55.64</v>
      </c>
      <c r="C716" s="0" t="str">
        <f aca="false">IF(Data!D716="","HOLD",IF(AND(G715&lt;&gt;"IN",Data!E716&lt;-5),"BUY",IF(AND(G715="IN",Data!E716&gt;0),"SELL","HOLD")))</f>
        <v>HOLD</v>
      </c>
      <c r="D716" s="14" t="str">
        <f aca="false">IF(C716="BUY",B716,IF(G715="IN",D715,""))</f>
        <v/>
      </c>
      <c r="E716" s="14" t="str">
        <f aca="false">IF(C716="SELL",B716,"")</f>
        <v/>
      </c>
      <c r="F716" s="14" t="str">
        <f aca="false">IF(E716="","",(E716-D716)/D716*100)</f>
        <v/>
      </c>
      <c r="G716" s="0" t="str">
        <f aca="false">IF(C716="BUY","IN",IF(C716="SELL","OUT",IF(G715="IN","IN","OUT")))</f>
        <v>OUT</v>
      </c>
      <c r="H716" s="14" t="n">
        <f aca="false">H715+IF(F716="",0,F716)</f>
        <v>32.3739031221486</v>
      </c>
      <c r="I716" s="14" t="n">
        <f aca="false">MAX(I715,H716)</f>
        <v>32.3739031221486</v>
      </c>
      <c r="J716" s="14" t="n">
        <f aca="false">I716-H716</f>
        <v>0</v>
      </c>
    </row>
    <row r="717" customFormat="false" ht="15" hidden="false" customHeight="false" outlineLevel="0" collapsed="false">
      <c r="A717" s="12" t="n">
        <f aca="false">Data!A717</f>
        <v>43045</v>
      </c>
      <c r="B717" s="14" t="n">
        <f aca="false">Data!B717</f>
        <v>57.35</v>
      </c>
      <c r="C717" s="0" t="str">
        <f aca="false">IF(Data!D717="","HOLD",IF(AND(G716&lt;&gt;"IN",Data!E717&lt;-5),"BUY",IF(AND(G716="IN",Data!E717&gt;0),"SELL","HOLD")))</f>
        <v>HOLD</v>
      </c>
      <c r="D717" s="14" t="str">
        <f aca="false">IF(C717="BUY",B717,IF(G716="IN",D716,""))</f>
        <v/>
      </c>
      <c r="E717" s="14" t="str">
        <f aca="false">IF(C717="SELL",B717,"")</f>
        <v/>
      </c>
      <c r="F717" s="14" t="str">
        <f aca="false">IF(E717="","",(E717-D717)/D717*100)</f>
        <v/>
      </c>
      <c r="G717" s="0" t="str">
        <f aca="false">IF(C717="BUY","IN",IF(C717="SELL","OUT",IF(G716="IN","IN","OUT")))</f>
        <v>OUT</v>
      </c>
      <c r="H717" s="14" t="n">
        <f aca="false">H716+IF(F717="",0,F717)</f>
        <v>32.3739031221486</v>
      </c>
      <c r="I717" s="14" t="n">
        <f aca="false">MAX(I716,H717)</f>
        <v>32.3739031221486</v>
      </c>
      <c r="J717" s="14" t="n">
        <f aca="false">I717-H717</f>
        <v>0</v>
      </c>
    </row>
    <row r="718" customFormat="false" ht="15" hidden="false" customHeight="false" outlineLevel="0" collapsed="false">
      <c r="A718" s="12" t="n">
        <f aca="false">Data!A718</f>
        <v>43046</v>
      </c>
      <c r="B718" s="14" t="n">
        <f aca="false">Data!B718</f>
        <v>57.2</v>
      </c>
      <c r="C718" s="0" t="str">
        <f aca="false">IF(Data!D718="","HOLD",IF(AND(G717&lt;&gt;"IN",Data!E718&lt;-5),"BUY",IF(AND(G717="IN",Data!E718&gt;0),"SELL","HOLD")))</f>
        <v>HOLD</v>
      </c>
      <c r="D718" s="14" t="str">
        <f aca="false">IF(C718="BUY",B718,IF(G717="IN",D717,""))</f>
        <v/>
      </c>
      <c r="E718" s="14" t="str">
        <f aca="false">IF(C718="SELL",B718,"")</f>
        <v/>
      </c>
      <c r="F718" s="14" t="str">
        <f aca="false">IF(E718="","",(E718-D718)/D718*100)</f>
        <v/>
      </c>
      <c r="G718" s="0" t="str">
        <f aca="false">IF(C718="BUY","IN",IF(C718="SELL","OUT",IF(G717="IN","IN","OUT")))</f>
        <v>OUT</v>
      </c>
      <c r="H718" s="14" t="n">
        <f aca="false">H717+IF(F718="",0,F718)</f>
        <v>32.3739031221486</v>
      </c>
      <c r="I718" s="14" t="n">
        <f aca="false">MAX(I717,H718)</f>
        <v>32.3739031221486</v>
      </c>
      <c r="J718" s="14" t="n">
        <f aca="false">I718-H718</f>
        <v>0</v>
      </c>
    </row>
    <row r="719" customFormat="false" ht="15" hidden="false" customHeight="false" outlineLevel="0" collapsed="false">
      <c r="A719" s="12" t="n">
        <f aca="false">Data!A719</f>
        <v>43047</v>
      </c>
      <c r="B719" s="14" t="n">
        <f aca="false">Data!B719</f>
        <v>56.81</v>
      </c>
      <c r="C719" s="0" t="str">
        <f aca="false">IF(Data!D719="","HOLD",IF(AND(G718&lt;&gt;"IN",Data!E719&lt;-5),"BUY",IF(AND(G718="IN",Data!E719&gt;0),"SELL","HOLD")))</f>
        <v>HOLD</v>
      </c>
      <c r="D719" s="14" t="str">
        <f aca="false">IF(C719="BUY",B719,IF(G718="IN",D718,""))</f>
        <v/>
      </c>
      <c r="E719" s="14" t="str">
        <f aca="false">IF(C719="SELL",B719,"")</f>
        <v/>
      </c>
      <c r="F719" s="14" t="str">
        <f aca="false">IF(E719="","",(E719-D719)/D719*100)</f>
        <v/>
      </c>
      <c r="G719" s="0" t="str">
        <f aca="false">IF(C719="BUY","IN",IF(C719="SELL","OUT",IF(G718="IN","IN","OUT")))</f>
        <v>OUT</v>
      </c>
      <c r="H719" s="14" t="n">
        <f aca="false">H718+IF(F719="",0,F719)</f>
        <v>32.3739031221486</v>
      </c>
      <c r="I719" s="14" t="n">
        <f aca="false">MAX(I718,H719)</f>
        <v>32.3739031221486</v>
      </c>
      <c r="J719" s="14" t="n">
        <f aca="false">I719-H719</f>
        <v>0</v>
      </c>
    </row>
    <row r="720" customFormat="false" ht="15" hidden="false" customHeight="false" outlineLevel="0" collapsed="false">
      <c r="A720" s="12" t="n">
        <f aca="false">Data!A720</f>
        <v>43048</v>
      </c>
      <c r="B720" s="14" t="n">
        <f aca="false">Data!B720</f>
        <v>57.17</v>
      </c>
      <c r="C720" s="0" t="str">
        <f aca="false">IF(Data!D720="","HOLD",IF(AND(G719&lt;&gt;"IN",Data!E720&lt;-5),"BUY",IF(AND(G719="IN",Data!E720&gt;0),"SELL","HOLD")))</f>
        <v>HOLD</v>
      </c>
      <c r="D720" s="14" t="str">
        <f aca="false">IF(C720="BUY",B720,IF(G719="IN",D719,""))</f>
        <v/>
      </c>
      <c r="E720" s="14" t="str">
        <f aca="false">IF(C720="SELL",B720,"")</f>
        <v/>
      </c>
      <c r="F720" s="14" t="str">
        <f aca="false">IF(E720="","",(E720-D720)/D720*100)</f>
        <v/>
      </c>
      <c r="G720" s="0" t="str">
        <f aca="false">IF(C720="BUY","IN",IF(C720="SELL","OUT",IF(G719="IN","IN","OUT")))</f>
        <v>OUT</v>
      </c>
      <c r="H720" s="14" t="n">
        <f aca="false">H719+IF(F720="",0,F720)</f>
        <v>32.3739031221486</v>
      </c>
      <c r="I720" s="14" t="n">
        <f aca="false">MAX(I719,H720)</f>
        <v>32.3739031221486</v>
      </c>
      <c r="J720" s="14" t="n">
        <f aca="false">I720-H720</f>
        <v>0</v>
      </c>
    </row>
    <row r="721" customFormat="false" ht="15" hidden="false" customHeight="false" outlineLevel="0" collapsed="false">
      <c r="A721" s="12" t="n">
        <f aca="false">Data!A721</f>
        <v>43049</v>
      </c>
      <c r="B721" s="14" t="n">
        <f aca="false">Data!B721</f>
        <v>56.74</v>
      </c>
      <c r="C721" s="0" t="str">
        <f aca="false">IF(Data!D721="","HOLD",IF(AND(G720&lt;&gt;"IN",Data!E721&lt;-5),"BUY",IF(AND(G720="IN",Data!E721&gt;0),"SELL","HOLD")))</f>
        <v>HOLD</v>
      </c>
      <c r="D721" s="14" t="str">
        <f aca="false">IF(C721="BUY",B721,IF(G720="IN",D720,""))</f>
        <v/>
      </c>
      <c r="E721" s="14" t="str">
        <f aca="false">IF(C721="SELL",B721,"")</f>
        <v/>
      </c>
      <c r="F721" s="14" t="str">
        <f aca="false">IF(E721="","",(E721-D721)/D721*100)</f>
        <v/>
      </c>
      <c r="G721" s="0" t="str">
        <f aca="false">IF(C721="BUY","IN",IF(C721="SELL","OUT",IF(G720="IN","IN","OUT")))</f>
        <v>OUT</v>
      </c>
      <c r="H721" s="14" t="n">
        <f aca="false">H720+IF(F721="",0,F721)</f>
        <v>32.3739031221486</v>
      </c>
      <c r="I721" s="14" t="n">
        <f aca="false">MAX(I720,H721)</f>
        <v>32.3739031221486</v>
      </c>
      <c r="J721" s="14" t="n">
        <f aca="false">I721-H721</f>
        <v>0</v>
      </c>
    </row>
    <row r="722" customFormat="false" ht="15" hidden="false" customHeight="false" outlineLevel="0" collapsed="false">
      <c r="A722" s="12" t="n">
        <f aca="false">Data!A722</f>
        <v>43052</v>
      </c>
      <c r="B722" s="14" t="n">
        <f aca="false">Data!B722</f>
        <v>56.76</v>
      </c>
      <c r="C722" s="0" t="str">
        <f aca="false">IF(Data!D722="","HOLD",IF(AND(G721&lt;&gt;"IN",Data!E722&lt;-5),"BUY",IF(AND(G721="IN",Data!E722&gt;0),"SELL","HOLD")))</f>
        <v>HOLD</v>
      </c>
      <c r="D722" s="14" t="str">
        <f aca="false">IF(C722="BUY",B722,IF(G721="IN",D721,""))</f>
        <v/>
      </c>
      <c r="E722" s="14" t="str">
        <f aca="false">IF(C722="SELL",B722,"")</f>
        <v/>
      </c>
      <c r="F722" s="14" t="str">
        <f aca="false">IF(E722="","",(E722-D722)/D722*100)</f>
        <v/>
      </c>
      <c r="G722" s="0" t="str">
        <f aca="false">IF(C722="BUY","IN",IF(C722="SELL","OUT",IF(G721="IN","IN","OUT")))</f>
        <v>OUT</v>
      </c>
      <c r="H722" s="14" t="n">
        <f aca="false">H721+IF(F722="",0,F722)</f>
        <v>32.3739031221486</v>
      </c>
      <c r="I722" s="14" t="n">
        <f aca="false">MAX(I721,H722)</f>
        <v>32.3739031221486</v>
      </c>
      <c r="J722" s="14" t="n">
        <f aca="false">I722-H722</f>
        <v>0</v>
      </c>
    </row>
    <row r="723" customFormat="false" ht="15" hidden="false" customHeight="false" outlineLevel="0" collapsed="false">
      <c r="A723" s="12" t="n">
        <f aca="false">Data!A723</f>
        <v>43053</v>
      </c>
      <c r="B723" s="14" t="n">
        <f aca="false">Data!B723</f>
        <v>55.7</v>
      </c>
      <c r="C723" s="0" t="str">
        <f aca="false">IF(Data!D723="","HOLD",IF(AND(G722&lt;&gt;"IN",Data!E723&lt;-5),"BUY",IF(AND(G722="IN",Data!E723&gt;0),"SELL","HOLD")))</f>
        <v>HOLD</v>
      </c>
      <c r="D723" s="14" t="str">
        <f aca="false">IF(C723="BUY",B723,IF(G722="IN",D722,""))</f>
        <v/>
      </c>
      <c r="E723" s="14" t="str">
        <f aca="false">IF(C723="SELL",B723,"")</f>
        <v/>
      </c>
      <c r="F723" s="14" t="str">
        <f aca="false">IF(E723="","",(E723-D723)/D723*100)</f>
        <v/>
      </c>
      <c r="G723" s="0" t="str">
        <f aca="false">IF(C723="BUY","IN",IF(C723="SELL","OUT",IF(G722="IN","IN","OUT")))</f>
        <v>OUT</v>
      </c>
      <c r="H723" s="14" t="n">
        <f aca="false">H722+IF(F723="",0,F723)</f>
        <v>32.3739031221486</v>
      </c>
      <c r="I723" s="14" t="n">
        <f aca="false">MAX(I722,H723)</f>
        <v>32.3739031221486</v>
      </c>
      <c r="J723" s="14" t="n">
        <f aca="false">I723-H723</f>
        <v>0</v>
      </c>
    </row>
    <row r="724" customFormat="false" ht="15" hidden="false" customHeight="false" outlineLevel="0" collapsed="false">
      <c r="A724" s="12" t="n">
        <f aca="false">Data!A724</f>
        <v>43054</v>
      </c>
      <c r="B724" s="14" t="n">
        <f aca="false">Data!B724</f>
        <v>55.33</v>
      </c>
      <c r="C724" s="0" t="str">
        <f aca="false">IF(Data!D724="","HOLD",IF(AND(G723&lt;&gt;"IN",Data!E724&lt;-5),"BUY",IF(AND(G723="IN",Data!E724&gt;0),"SELL","HOLD")))</f>
        <v>HOLD</v>
      </c>
      <c r="D724" s="14" t="str">
        <f aca="false">IF(C724="BUY",B724,IF(G723="IN",D723,""))</f>
        <v/>
      </c>
      <c r="E724" s="14" t="str">
        <f aca="false">IF(C724="SELL",B724,"")</f>
        <v/>
      </c>
      <c r="F724" s="14" t="str">
        <f aca="false">IF(E724="","",(E724-D724)/D724*100)</f>
        <v/>
      </c>
      <c r="G724" s="0" t="str">
        <f aca="false">IF(C724="BUY","IN",IF(C724="SELL","OUT",IF(G723="IN","IN","OUT")))</f>
        <v>OUT</v>
      </c>
      <c r="H724" s="14" t="n">
        <f aca="false">H723+IF(F724="",0,F724)</f>
        <v>32.3739031221486</v>
      </c>
      <c r="I724" s="14" t="n">
        <f aca="false">MAX(I723,H724)</f>
        <v>32.3739031221486</v>
      </c>
      <c r="J724" s="14" t="n">
        <f aca="false">I724-H724</f>
        <v>0</v>
      </c>
    </row>
    <row r="725" customFormat="false" ht="15" hidden="false" customHeight="false" outlineLevel="0" collapsed="false">
      <c r="A725" s="12" t="n">
        <f aca="false">Data!A725</f>
        <v>43055</v>
      </c>
      <c r="B725" s="14" t="n">
        <f aca="false">Data!B725</f>
        <v>55.14</v>
      </c>
      <c r="C725" s="0" t="str">
        <f aca="false">IF(Data!D725="","HOLD",IF(AND(G724&lt;&gt;"IN",Data!E725&lt;-5),"BUY",IF(AND(G724="IN",Data!E725&gt;0),"SELL","HOLD")))</f>
        <v>HOLD</v>
      </c>
      <c r="D725" s="14" t="str">
        <f aca="false">IF(C725="BUY",B725,IF(G724="IN",D724,""))</f>
        <v/>
      </c>
      <c r="E725" s="14" t="str">
        <f aca="false">IF(C725="SELL",B725,"")</f>
        <v/>
      </c>
      <c r="F725" s="14" t="str">
        <f aca="false">IF(E725="","",(E725-D725)/D725*100)</f>
        <v/>
      </c>
      <c r="G725" s="0" t="str">
        <f aca="false">IF(C725="BUY","IN",IF(C725="SELL","OUT",IF(G724="IN","IN","OUT")))</f>
        <v>OUT</v>
      </c>
      <c r="H725" s="14" t="n">
        <f aca="false">H724+IF(F725="",0,F725)</f>
        <v>32.3739031221486</v>
      </c>
      <c r="I725" s="14" t="n">
        <f aca="false">MAX(I724,H725)</f>
        <v>32.3739031221486</v>
      </c>
      <c r="J725" s="14" t="n">
        <f aca="false">I725-H725</f>
        <v>0</v>
      </c>
    </row>
    <row r="726" customFormat="false" ht="15" hidden="false" customHeight="false" outlineLevel="0" collapsed="false">
      <c r="A726" s="12" t="n">
        <f aca="false">Data!A726</f>
        <v>43056</v>
      </c>
      <c r="B726" s="14" t="n">
        <f aca="false">Data!B726</f>
        <v>56.55</v>
      </c>
      <c r="C726" s="0" t="str">
        <f aca="false">IF(Data!D726="","HOLD",IF(AND(G725&lt;&gt;"IN",Data!E726&lt;-5),"BUY",IF(AND(G725="IN",Data!E726&gt;0),"SELL","HOLD")))</f>
        <v>HOLD</v>
      </c>
      <c r="D726" s="14" t="str">
        <f aca="false">IF(C726="BUY",B726,IF(G725="IN",D725,""))</f>
        <v/>
      </c>
      <c r="E726" s="14" t="str">
        <f aca="false">IF(C726="SELL",B726,"")</f>
        <v/>
      </c>
      <c r="F726" s="14" t="str">
        <f aca="false">IF(E726="","",(E726-D726)/D726*100)</f>
        <v/>
      </c>
      <c r="G726" s="0" t="str">
        <f aca="false">IF(C726="BUY","IN",IF(C726="SELL","OUT",IF(G725="IN","IN","OUT")))</f>
        <v>OUT</v>
      </c>
      <c r="H726" s="14" t="n">
        <f aca="false">H725+IF(F726="",0,F726)</f>
        <v>32.3739031221486</v>
      </c>
      <c r="I726" s="14" t="n">
        <f aca="false">MAX(I725,H726)</f>
        <v>32.3739031221486</v>
      </c>
      <c r="J726" s="14" t="n">
        <f aca="false">I726-H726</f>
        <v>0</v>
      </c>
    </row>
    <row r="727" customFormat="false" ht="15" hidden="false" customHeight="false" outlineLevel="0" collapsed="false">
      <c r="A727" s="12" t="n">
        <f aca="false">Data!A727</f>
        <v>43059</v>
      </c>
      <c r="B727" s="14" t="n">
        <f aca="false">Data!B727</f>
        <v>56.09</v>
      </c>
      <c r="C727" s="0" t="str">
        <f aca="false">IF(Data!D727="","HOLD",IF(AND(G726&lt;&gt;"IN",Data!E727&lt;-5),"BUY",IF(AND(G726="IN",Data!E727&gt;0),"SELL","HOLD")))</f>
        <v>HOLD</v>
      </c>
      <c r="D727" s="14" t="str">
        <f aca="false">IF(C727="BUY",B727,IF(G726="IN",D726,""))</f>
        <v/>
      </c>
      <c r="E727" s="14" t="str">
        <f aca="false">IF(C727="SELL",B727,"")</f>
        <v/>
      </c>
      <c r="F727" s="14" t="str">
        <f aca="false">IF(E727="","",(E727-D727)/D727*100)</f>
        <v/>
      </c>
      <c r="G727" s="0" t="str">
        <f aca="false">IF(C727="BUY","IN",IF(C727="SELL","OUT",IF(G726="IN","IN","OUT")))</f>
        <v>OUT</v>
      </c>
      <c r="H727" s="14" t="n">
        <f aca="false">H726+IF(F727="",0,F727)</f>
        <v>32.3739031221486</v>
      </c>
      <c r="I727" s="14" t="n">
        <f aca="false">MAX(I726,H727)</f>
        <v>32.3739031221486</v>
      </c>
      <c r="J727" s="14" t="n">
        <f aca="false">I727-H727</f>
        <v>0</v>
      </c>
    </row>
    <row r="728" customFormat="false" ht="15" hidden="false" customHeight="false" outlineLevel="0" collapsed="false">
      <c r="A728" s="12" t="n">
        <f aca="false">Data!A728</f>
        <v>43060</v>
      </c>
      <c r="B728" s="14" t="n">
        <f aca="false">Data!B728</f>
        <v>56.83</v>
      </c>
      <c r="C728" s="0" t="str">
        <f aca="false">IF(Data!D728="","HOLD",IF(AND(G727&lt;&gt;"IN",Data!E728&lt;-5),"BUY",IF(AND(G727="IN",Data!E728&gt;0),"SELL","HOLD")))</f>
        <v>HOLD</v>
      </c>
      <c r="D728" s="14" t="str">
        <f aca="false">IF(C728="BUY",B728,IF(G727="IN",D727,""))</f>
        <v/>
      </c>
      <c r="E728" s="14" t="str">
        <f aca="false">IF(C728="SELL",B728,"")</f>
        <v/>
      </c>
      <c r="F728" s="14" t="str">
        <f aca="false">IF(E728="","",(E728-D728)/D728*100)</f>
        <v/>
      </c>
      <c r="G728" s="0" t="str">
        <f aca="false">IF(C728="BUY","IN",IF(C728="SELL","OUT",IF(G727="IN","IN","OUT")))</f>
        <v>OUT</v>
      </c>
      <c r="H728" s="14" t="n">
        <f aca="false">H727+IF(F728="",0,F728)</f>
        <v>32.3739031221486</v>
      </c>
      <c r="I728" s="14" t="n">
        <f aca="false">MAX(I727,H728)</f>
        <v>32.3739031221486</v>
      </c>
      <c r="J728" s="14" t="n">
        <f aca="false">I728-H728</f>
        <v>0</v>
      </c>
    </row>
    <row r="729" customFormat="false" ht="15" hidden="false" customHeight="false" outlineLevel="0" collapsed="false">
      <c r="A729" s="12" t="n">
        <f aca="false">Data!A729</f>
        <v>43061</v>
      </c>
      <c r="B729" s="14" t="n">
        <f aca="false">Data!B729</f>
        <v>58.02</v>
      </c>
      <c r="C729" s="0" t="str">
        <f aca="false">IF(Data!D729="","HOLD",IF(AND(G728&lt;&gt;"IN",Data!E729&lt;-5),"BUY",IF(AND(G728="IN",Data!E729&gt;0),"SELL","HOLD")))</f>
        <v>HOLD</v>
      </c>
      <c r="D729" s="14" t="str">
        <f aca="false">IF(C729="BUY",B729,IF(G728="IN",D728,""))</f>
        <v/>
      </c>
      <c r="E729" s="14" t="str">
        <f aca="false">IF(C729="SELL",B729,"")</f>
        <v/>
      </c>
      <c r="F729" s="14" t="str">
        <f aca="false">IF(E729="","",(E729-D729)/D729*100)</f>
        <v/>
      </c>
      <c r="G729" s="0" t="str">
        <f aca="false">IF(C729="BUY","IN",IF(C729="SELL","OUT",IF(G728="IN","IN","OUT")))</f>
        <v>OUT</v>
      </c>
      <c r="H729" s="14" t="n">
        <f aca="false">H728+IF(F729="",0,F729)</f>
        <v>32.3739031221486</v>
      </c>
      <c r="I729" s="14" t="n">
        <f aca="false">MAX(I728,H729)</f>
        <v>32.3739031221486</v>
      </c>
      <c r="J729" s="14" t="n">
        <f aca="false">I729-H729</f>
        <v>0</v>
      </c>
    </row>
    <row r="730" customFormat="false" ht="15" hidden="false" customHeight="false" outlineLevel="0" collapsed="false">
      <c r="A730" s="12" t="n">
        <f aca="false">Data!A730</f>
        <v>43063</v>
      </c>
      <c r="B730" s="14" t="n">
        <f aca="false">Data!B730</f>
        <v>58.95</v>
      </c>
      <c r="C730" s="0" t="str">
        <f aca="false">IF(Data!D730="","HOLD",IF(AND(G729&lt;&gt;"IN",Data!E730&lt;-5),"BUY",IF(AND(G729="IN",Data!E730&gt;0),"SELL","HOLD")))</f>
        <v>HOLD</v>
      </c>
      <c r="D730" s="14" t="str">
        <f aca="false">IF(C730="BUY",B730,IF(G729="IN",D729,""))</f>
        <v/>
      </c>
      <c r="E730" s="14" t="str">
        <f aca="false">IF(C730="SELL",B730,"")</f>
        <v/>
      </c>
      <c r="F730" s="14" t="str">
        <f aca="false">IF(E730="","",(E730-D730)/D730*100)</f>
        <v/>
      </c>
      <c r="G730" s="0" t="str">
        <f aca="false">IF(C730="BUY","IN",IF(C730="SELL","OUT",IF(G729="IN","IN","OUT")))</f>
        <v>OUT</v>
      </c>
      <c r="H730" s="14" t="n">
        <f aca="false">H729+IF(F730="",0,F730)</f>
        <v>32.3739031221486</v>
      </c>
      <c r="I730" s="14" t="n">
        <f aca="false">MAX(I729,H730)</f>
        <v>32.3739031221486</v>
      </c>
      <c r="J730" s="14" t="n">
        <f aca="false">I730-H730</f>
        <v>0</v>
      </c>
    </row>
    <row r="731" customFormat="false" ht="15" hidden="false" customHeight="false" outlineLevel="0" collapsed="false">
      <c r="A731" s="12" t="n">
        <f aca="false">Data!A731</f>
        <v>43066</v>
      </c>
      <c r="B731" s="14" t="n">
        <f aca="false">Data!B731</f>
        <v>58.11</v>
      </c>
      <c r="C731" s="0" t="str">
        <f aca="false">IF(Data!D731="","HOLD",IF(AND(G730&lt;&gt;"IN",Data!E731&lt;-5),"BUY",IF(AND(G730="IN",Data!E731&gt;0),"SELL","HOLD")))</f>
        <v>HOLD</v>
      </c>
      <c r="D731" s="14" t="str">
        <f aca="false">IF(C731="BUY",B731,IF(G730="IN",D730,""))</f>
        <v/>
      </c>
      <c r="E731" s="14" t="str">
        <f aca="false">IF(C731="SELL",B731,"")</f>
        <v/>
      </c>
      <c r="F731" s="14" t="str">
        <f aca="false">IF(E731="","",(E731-D731)/D731*100)</f>
        <v/>
      </c>
      <c r="G731" s="0" t="str">
        <f aca="false">IF(C731="BUY","IN",IF(C731="SELL","OUT",IF(G730="IN","IN","OUT")))</f>
        <v>OUT</v>
      </c>
      <c r="H731" s="14" t="n">
        <f aca="false">H730+IF(F731="",0,F731)</f>
        <v>32.3739031221486</v>
      </c>
      <c r="I731" s="14" t="n">
        <f aca="false">MAX(I730,H731)</f>
        <v>32.3739031221486</v>
      </c>
      <c r="J731" s="14" t="n">
        <f aca="false">I731-H731</f>
        <v>0</v>
      </c>
    </row>
    <row r="732" customFormat="false" ht="15" hidden="false" customHeight="false" outlineLevel="0" collapsed="false">
      <c r="A732" s="12" t="n">
        <f aca="false">Data!A732</f>
        <v>43067</v>
      </c>
      <c r="B732" s="14" t="n">
        <f aca="false">Data!B732</f>
        <v>57.99</v>
      </c>
      <c r="C732" s="0" t="str">
        <f aca="false">IF(Data!D732="","HOLD",IF(AND(G731&lt;&gt;"IN",Data!E732&lt;-5),"BUY",IF(AND(G731="IN",Data!E732&gt;0),"SELL","HOLD")))</f>
        <v>HOLD</v>
      </c>
      <c r="D732" s="14" t="str">
        <f aca="false">IF(C732="BUY",B732,IF(G731="IN",D731,""))</f>
        <v/>
      </c>
      <c r="E732" s="14" t="str">
        <f aca="false">IF(C732="SELL",B732,"")</f>
        <v/>
      </c>
      <c r="F732" s="14" t="str">
        <f aca="false">IF(E732="","",(E732-D732)/D732*100)</f>
        <v/>
      </c>
      <c r="G732" s="0" t="str">
        <f aca="false">IF(C732="BUY","IN",IF(C732="SELL","OUT",IF(G731="IN","IN","OUT")))</f>
        <v>OUT</v>
      </c>
      <c r="H732" s="14" t="n">
        <f aca="false">H731+IF(F732="",0,F732)</f>
        <v>32.3739031221486</v>
      </c>
      <c r="I732" s="14" t="n">
        <f aca="false">MAX(I731,H732)</f>
        <v>32.3739031221486</v>
      </c>
      <c r="J732" s="14" t="n">
        <f aca="false">I732-H732</f>
        <v>0</v>
      </c>
    </row>
    <row r="733" customFormat="false" ht="15" hidden="false" customHeight="false" outlineLevel="0" collapsed="false">
      <c r="A733" s="12" t="n">
        <f aca="false">Data!A733</f>
        <v>43068</v>
      </c>
      <c r="B733" s="14" t="n">
        <f aca="false">Data!B733</f>
        <v>57.3</v>
      </c>
      <c r="C733" s="0" t="str">
        <f aca="false">IF(Data!D733="","HOLD",IF(AND(G732&lt;&gt;"IN",Data!E733&lt;-5),"BUY",IF(AND(G732="IN",Data!E733&gt;0),"SELL","HOLD")))</f>
        <v>HOLD</v>
      </c>
      <c r="D733" s="14" t="str">
        <f aca="false">IF(C733="BUY",B733,IF(G732="IN",D732,""))</f>
        <v/>
      </c>
      <c r="E733" s="14" t="str">
        <f aca="false">IF(C733="SELL",B733,"")</f>
        <v/>
      </c>
      <c r="F733" s="14" t="str">
        <f aca="false">IF(E733="","",(E733-D733)/D733*100)</f>
        <v/>
      </c>
      <c r="G733" s="0" t="str">
        <f aca="false">IF(C733="BUY","IN",IF(C733="SELL","OUT",IF(G732="IN","IN","OUT")))</f>
        <v>OUT</v>
      </c>
      <c r="H733" s="14" t="n">
        <f aca="false">H732+IF(F733="",0,F733)</f>
        <v>32.3739031221486</v>
      </c>
      <c r="I733" s="14" t="n">
        <f aca="false">MAX(I732,H733)</f>
        <v>32.3739031221486</v>
      </c>
      <c r="J733" s="14" t="n">
        <f aca="false">I733-H733</f>
        <v>0</v>
      </c>
    </row>
    <row r="734" customFormat="false" ht="15" hidden="false" customHeight="false" outlineLevel="0" collapsed="false">
      <c r="A734" s="12" t="n">
        <f aca="false">Data!A734</f>
        <v>43069</v>
      </c>
      <c r="B734" s="14" t="n">
        <f aca="false">Data!B734</f>
        <v>57.4</v>
      </c>
      <c r="C734" s="0" t="str">
        <f aca="false">IF(Data!D734="","HOLD",IF(AND(G733&lt;&gt;"IN",Data!E734&lt;-5),"BUY",IF(AND(G733="IN",Data!E734&gt;0),"SELL","HOLD")))</f>
        <v>HOLD</v>
      </c>
      <c r="D734" s="14" t="str">
        <f aca="false">IF(C734="BUY",B734,IF(G733="IN",D733,""))</f>
        <v/>
      </c>
      <c r="E734" s="14" t="str">
        <f aca="false">IF(C734="SELL",B734,"")</f>
        <v/>
      </c>
      <c r="F734" s="14" t="str">
        <f aca="false">IF(E734="","",(E734-D734)/D734*100)</f>
        <v/>
      </c>
      <c r="G734" s="0" t="str">
        <f aca="false">IF(C734="BUY","IN",IF(C734="SELL","OUT",IF(G733="IN","IN","OUT")))</f>
        <v>OUT</v>
      </c>
      <c r="H734" s="14" t="n">
        <f aca="false">H733+IF(F734="",0,F734)</f>
        <v>32.3739031221486</v>
      </c>
      <c r="I734" s="14" t="n">
        <f aca="false">MAX(I733,H734)</f>
        <v>32.3739031221486</v>
      </c>
      <c r="J734" s="14" t="n">
        <f aca="false">I734-H734</f>
        <v>0</v>
      </c>
    </row>
    <row r="735" customFormat="false" ht="15" hidden="false" customHeight="false" outlineLevel="0" collapsed="false">
      <c r="A735" s="12" t="n">
        <f aca="false">Data!A735</f>
        <v>43070</v>
      </c>
      <c r="B735" s="14" t="n">
        <f aca="false">Data!B735</f>
        <v>58.36</v>
      </c>
      <c r="C735" s="0" t="str">
        <f aca="false">IF(Data!D735="","HOLD",IF(AND(G734&lt;&gt;"IN",Data!E735&lt;-5),"BUY",IF(AND(G734="IN",Data!E735&gt;0),"SELL","HOLD")))</f>
        <v>HOLD</v>
      </c>
      <c r="D735" s="14" t="str">
        <f aca="false">IF(C735="BUY",B735,IF(G734="IN",D734,""))</f>
        <v/>
      </c>
      <c r="E735" s="14" t="str">
        <f aca="false">IF(C735="SELL",B735,"")</f>
        <v/>
      </c>
      <c r="F735" s="14" t="str">
        <f aca="false">IF(E735="","",(E735-D735)/D735*100)</f>
        <v/>
      </c>
      <c r="G735" s="0" t="str">
        <f aca="false">IF(C735="BUY","IN",IF(C735="SELL","OUT",IF(G734="IN","IN","OUT")))</f>
        <v>OUT</v>
      </c>
      <c r="H735" s="14" t="n">
        <f aca="false">H734+IF(F735="",0,F735)</f>
        <v>32.3739031221486</v>
      </c>
      <c r="I735" s="14" t="n">
        <f aca="false">MAX(I734,H735)</f>
        <v>32.3739031221486</v>
      </c>
      <c r="J735" s="14" t="n">
        <f aca="false">I735-H735</f>
        <v>0</v>
      </c>
    </row>
    <row r="736" customFormat="false" ht="15" hidden="false" customHeight="false" outlineLevel="0" collapsed="false">
      <c r="A736" s="12" t="n">
        <f aca="false">Data!A736</f>
        <v>43073</v>
      </c>
      <c r="B736" s="14" t="n">
        <f aca="false">Data!B736</f>
        <v>57.47</v>
      </c>
      <c r="C736" s="0" t="str">
        <f aca="false">IF(Data!D736="","HOLD",IF(AND(G735&lt;&gt;"IN",Data!E736&lt;-5),"BUY",IF(AND(G735="IN",Data!E736&gt;0),"SELL","HOLD")))</f>
        <v>HOLD</v>
      </c>
      <c r="D736" s="14" t="str">
        <f aca="false">IF(C736="BUY",B736,IF(G735="IN",D735,""))</f>
        <v/>
      </c>
      <c r="E736" s="14" t="str">
        <f aca="false">IF(C736="SELL",B736,"")</f>
        <v/>
      </c>
      <c r="F736" s="14" t="str">
        <f aca="false">IF(E736="","",(E736-D736)/D736*100)</f>
        <v/>
      </c>
      <c r="G736" s="0" t="str">
        <f aca="false">IF(C736="BUY","IN",IF(C736="SELL","OUT",IF(G735="IN","IN","OUT")))</f>
        <v>OUT</v>
      </c>
      <c r="H736" s="14" t="n">
        <f aca="false">H735+IF(F736="",0,F736)</f>
        <v>32.3739031221486</v>
      </c>
      <c r="I736" s="14" t="n">
        <f aca="false">MAX(I735,H736)</f>
        <v>32.3739031221486</v>
      </c>
      <c r="J736" s="14" t="n">
        <f aca="false">I736-H736</f>
        <v>0</v>
      </c>
    </row>
    <row r="737" customFormat="false" ht="15" hidden="false" customHeight="false" outlineLevel="0" collapsed="false">
      <c r="A737" s="12" t="n">
        <f aca="false">Data!A737</f>
        <v>43074</v>
      </c>
      <c r="B737" s="14" t="n">
        <f aca="false">Data!B737</f>
        <v>57.62</v>
      </c>
      <c r="C737" s="0" t="str">
        <f aca="false">IF(Data!D737="","HOLD",IF(AND(G736&lt;&gt;"IN",Data!E737&lt;-5),"BUY",IF(AND(G736="IN",Data!E737&gt;0),"SELL","HOLD")))</f>
        <v>HOLD</v>
      </c>
      <c r="D737" s="14" t="str">
        <f aca="false">IF(C737="BUY",B737,IF(G736="IN",D736,""))</f>
        <v/>
      </c>
      <c r="E737" s="14" t="str">
        <f aca="false">IF(C737="SELL",B737,"")</f>
        <v/>
      </c>
      <c r="F737" s="14" t="str">
        <f aca="false">IF(E737="","",(E737-D737)/D737*100)</f>
        <v/>
      </c>
      <c r="G737" s="0" t="str">
        <f aca="false">IF(C737="BUY","IN",IF(C737="SELL","OUT",IF(G736="IN","IN","OUT")))</f>
        <v>OUT</v>
      </c>
      <c r="H737" s="14" t="n">
        <f aca="false">H736+IF(F737="",0,F737)</f>
        <v>32.3739031221486</v>
      </c>
      <c r="I737" s="14" t="n">
        <f aca="false">MAX(I736,H737)</f>
        <v>32.3739031221486</v>
      </c>
      <c r="J737" s="14" t="n">
        <f aca="false">I737-H737</f>
        <v>0</v>
      </c>
    </row>
    <row r="738" customFormat="false" ht="15" hidden="false" customHeight="false" outlineLevel="0" collapsed="false">
      <c r="A738" s="12" t="n">
        <f aca="false">Data!A738</f>
        <v>43075</v>
      </c>
      <c r="B738" s="14" t="n">
        <f aca="false">Data!B738</f>
        <v>55.96</v>
      </c>
      <c r="C738" s="0" t="str">
        <f aca="false">IF(Data!D738="","HOLD",IF(AND(G737&lt;&gt;"IN",Data!E738&lt;-5),"BUY",IF(AND(G737="IN",Data!E738&gt;0),"SELL","HOLD")))</f>
        <v>HOLD</v>
      </c>
      <c r="D738" s="14" t="str">
        <f aca="false">IF(C738="BUY",B738,IF(G737="IN",D737,""))</f>
        <v/>
      </c>
      <c r="E738" s="14" t="str">
        <f aca="false">IF(C738="SELL",B738,"")</f>
        <v/>
      </c>
      <c r="F738" s="14" t="str">
        <f aca="false">IF(E738="","",(E738-D738)/D738*100)</f>
        <v/>
      </c>
      <c r="G738" s="0" t="str">
        <f aca="false">IF(C738="BUY","IN",IF(C738="SELL","OUT",IF(G737="IN","IN","OUT")))</f>
        <v>OUT</v>
      </c>
      <c r="H738" s="14" t="n">
        <f aca="false">H737+IF(F738="",0,F738)</f>
        <v>32.3739031221486</v>
      </c>
      <c r="I738" s="14" t="n">
        <f aca="false">MAX(I737,H738)</f>
        <v>32.3739031221486</v>
      </c>
      <c r="J738" s="14" t="n">
        <f aca="false">I738-H738</f>
        <v>0</v>
      </c>
    </row>
    <row r="739" customFormat="false" ht="15" hidden="false" customHeight="false" outlineLevel="0" collapsed="false">
      <c r="A739" s="12" t="n">
        <f aca="false">Data!A739</f>
        <v>43076</v>
      </c>
      <c r="B739" s="14" t="n">
        <f aca="false">Data!B739</f>
        <v>56.69</v>
      </c>
      <c r="C739" s="0" t="str">
        <f aca="false">IF(Data!D739="","HOLD",IF(AND(G738&lt;&gt;"IN",Data!E739&lt;-5),"BUY",IF(AND(G738="IN",Data!E739&gt;0),"SELL","HOLD")))</f>
        <v>HOLD</v>
      </c>
      <c r="D739" s="14" t="str">
        <f aca="false">IF(C739="BUY",B739,IF(G738="IN",D738,""))</f>
        <v/>
      </c>
      <c r="E739" s="14" t="str">
        <f aca="false">IF(C739="SELL",B739,"")</f>
        <v/>
      </c>
      <c r="F739" s="14" t="str">
        <f aca="false">IF(E739="","",(E739-D739)/D739*100)</f>
        <v/>
      </c>
      <c r="G739" s="0" t="str">
        <f aca="false">IF(C739="BUY","IN",IF(C739="SELL","OUT",IF(G738="IN","IN","OUT")))</f>
        <v>OUT</v>
      </c>
      <c r="H739" s="14" t="n">
        <f aca="false">H738+IF(F739="",0,F739)</f>
        <v>32.3739031221486</v>
      </c>
      <c r="I739" s="14" t="n">
        <f aca="false">MAX(I738,H739)</f>
        <v>32.3739031221486</v>
      </c>
      <c r="J739" s="14" t="n">
        <f aca="false">I739-H739</f>
        <v>0</v>
      </c>
    </row>
    <row r="740" customFormat="false" ht="15" hidden="false" customHeight="false" outlineLevel="0" collapsed="false">
      <c r="A740" s="12" t="n">
        <f aca="false">Data!A740</f>
        <v>43077</v>
      </c>
      <c r="B740" s="14" t="n">
        <f aca="false">Data!B740</f>
        <v>57.36</v>
      </c>
      <c r="C740" s="0" t="str">
        <f aca="false">IF(Data!D740="","HOLD",IF(AND(G739&lt;&gt;"IN",Data!E740&lt;-5),"BUY",IF(AND(G739="IN",Data!E740&gt;0),"SELL","HOLD")))</f>
        <v>HOLD</v>
      </c>
      <c r="D740" s="14" t="str">
        <f aca="false">IF(C740="BUY",B740,IF(G739="IN",D739,""))</f>
        <v/>
      </c>
      <c r="E740" s="14" t="str">
        <f aca="false">IF(C740="SELL",B740,"")</f>
        <v/>
      </c>
      <c r="F740" s="14" t="str">
        <f aca="false">IF(E740="","",(E740-D740)/D740*100)</f>
        <v/>
      </c>
      <c r="G740" s="0" t="str">
        <f aca="false">IF(C740="BUY","IN",IF(C740="SELL","OUT",IF(G739="IN","IN","OUT")))</f>
        <v>OUT</v>
      </c>
      <c r="H740" s="14" t="n">
        <f aca="false">H739+IF(F740="",0,F740)</f>
        <v>32.3739031221486</v>
      </c>
      <c r="I740" s="14" t="n">
        <f aca="false">MAX(I739,H740)</f>
        <v>32.3739031221486</v>
      </c>
      <c r="J740" s="14" t="n">
        <f aca="false">I740-H740</f>
        <v>0</v>
      </c>
    </row>
    <row r="741" customFormat="false" ht="15" hidden="false" customHeight="false" outlineLevel="0" collapsed="false">
      <c r="A741" s="12" t="n">
        <f aca="false">Data!A741</f>
        <v>43080</v>
      </c>
      <c r="B741" s="14" t="n">
        <f aca="false">Data!B741</f>
        <v>57.99</v>
      </c>
      <c r="C741" s="0" t="str">
        <f aca="false">IF(Data!D741="","HOLD",IF(AND(G740&lt;&gt;"IN",Data!E741&lt;-5),"BUY",IF(AND(G740="IN",Data!E741&gt;0),"SELL","HOLD")))</f>
        <v>HOLD</v>
      </c>
      <c r="D741" s="14" t="str">
        <f aca="false">IF(C741="BUY",B741,IF(G740="IN",D740,""))</f>
        <v/>
      </c>
      <c r="E741" s="14" t="str">
        <f aca="false">IF(C741="SELL",B741,"")</f>
        <v/>
      </c>
      <c r="F741" s="14" t="str">
        <f aca="false">IF(E741="","",(E741-D741)/D741*100)</f>
        <v/>
      </c>
      <c r="G741" s="0" t="str">
        <f aca="false">IF(C741="BUY","IN",IF(C741="SELL","OUT",IF(G740="IN","IN","OUT")))</f>
        <v>OUT</v>
      </c>
      <c r="H741" s="14" t="n">
        <f aca="false">H740+IF(F741="",0,F741)</f>
        <v>32.3739031221486</v>
      </c>
      <c r="I741" s="14" t="n">
        <f aca="false">MAX(I740,H741)</f>
        <v>32.3739031221486</v>
      </c>
      <c r="J741" s="14" t="n">
        <f aca="false">I741-H741</f>
        <v>0</v>
      </c>
    </row>
    <row r="742" customFormat="false" ht="15" hidden="false" customHeight="false" outlineLevel="0" collapsed="false">
      <c r="A742" s="12" t="n">
        <f aca="false">Data!A742</f>
        <v>43081</v>
      </c>
      <c r="B742" s="14" t="n">
        <f aca="false">Data!B742</f>
        <v>57.14</v>
      </c>
      <c r="C742" s="0" t="str">
        <f aca="false">IF(Data!D742="","HOLD",IF(AND(G741&lt;&gt;"IN",Data!E742&lt;-5),"BUY",IF(AND(G741="IN",Data!E742&gt;0),"SELL","HOLD")))</f>
        <v>HOLD</v>
      </c>
      <c r="D742" s="14" t="str">
        <f aca="false">IF(C742="BUY",B742,IF(G741="IN",D741,""))</f>
        <v/>
      </c>
      <c r="E742" s="14" t="str">
        <f aca="false">IF(C742="SELL",B742,"")</f>
        <v/>
      </c>
      <c r="F742" s="14" t="str">
        <f aca="false">IF(E742="","",(E742-D742)/D742*100)</f>
        <v/>
      </c>
      <c r="G742" s="0" t="str">
        <f aca="false">IF(C742="BUY","IN",IF(C742="SELL","OUT",IF(G741="IN","IN","OUT")))</f>
        <v>OUT</v>
      </c>
      <c r="H742" s="14" t="n">
        <f aca="false">H741+IF(F742="",0,F742)</f>
        <v>32.3739031221486</v>
      </c>
      <c r="I742" s="14" t="n">
        <f aca="false">MAX(I741,H742)</f>
        <v>32.3739031221486</v>
      </c>
      <c r="J742" s="14" t="n">
        <f aca="false">I742-H742</f>
        <v>0</v>
      </c>
    </row>
    <row r="743" customFormat="false" ht="15" hidden="false" customHeight="false" outlineLevel="0" collapsed="false">
      <c r="A743" s="12" t="n">
        <f aca="false">Data!A743</f>
        <v>43082</v>
      </c>
      <c r="B743" s="14" t="n">
        <f aca="false">Data!B743</f>
        <v>56.6</v>
      </c>
      <c r="C743" s="0" t="str">
        <f aca="false">IF(Data!D743="","HOLD",IF(AND(G742&lt;&gt;"IN",Data!E743&lt;-5),"BUY",IF(AND(G742="IN",Data!E743&gt;0),"SELL","HOLD")))</f>
        <v>HOLD</v>
      </c>
      <c r="D743" s="14" t="str">
        <f aca="false">IF(C743="BUY",B743,IF(G742="IN",D742,""))</f>
        <v/>
      </c>
      <c r="E743" s="14" t="str">
        <f aca="false">IF(C743="SELL",B743,"")</f>
        <v/>
      </c>
      <c r="F743" s="14" t="str">
        <f aca="false">IF(E743="","",(E743-D743)/D743*100)</f>
        <v/>
      </c>
      <c r="G743" s="0" t="str">
        <f aca="false">IF(C743="BUY","IN",IF(C743="SELL","OUT",IF(G742="IN","IN","OUT")))</f>
        <v>OUT</v>
      </c>
      <c r="H743" s="14" t="n">
        <f aca="false">H742+IF(F743="",0,F743)</f>
        <v>32.3739031221486</v>
      </c>
      <c r="I743" s="14" t="n">
        <f aca="false">MAX(I742,H743)</f>
        <v>32.3739031221486</v>
      </c>
      <c r="J743" s="14" t="n">
        <f aca="false">I743-H743</f>
        <v>0</v>
      </c>
    </row>
    <row r="744" customFormat="false" ht="15" hidden="false" customHeight="false" outlineLevel="0" collapsed="false">
      <c r="A744" s="12" t="n">
        <f aca="false">Data!A744</f>
        <v>43083</v>
      </c>
      <c r="B744" s="14" t="n">
        <f aca="false">Data!B744</f>
        <v>57.04</v>
      </c>
      <c r="C744" s="0" t="str">
        <f aca="false">IF(Data!D744="","HOLD",IF(AND(G743&lt;&gt;"IN",Data!E744&lt;-5),"BUY",IF(AND(G743="IN",Data!E744&gt;0),"SELL","HOLD")))</f>
        <v>HOLD</v>
      </c>
      <c r="D744" s="14" t="str">
        <f aca="false">IF(C744="BUY",B744,IF(G743="IN",D743,""))</f>
        <v/>
      </c>
      <c r="E744" s="14" t="str">
        <f aca="false">IF(C744="SELL",B744,"")</f>
        <v/>
      </c>
      <c r="F744" s="14" t="str">
        <f aca="false">IF(E744="","",(E744-D744)/D744*100)</f>
        <v/>
      </c>
      <c r="G744" s="0" t="str">
        <f aca="false">IF(C744="BUY","IN",IF(C744="SELL","OUT",IF(G743="IN","IN","OUT")))</f>
        <v>OUT</v>
      </c>
      <c r="H744" s="14" t="n">
        <f aca="false">H743+IF(F744="",0,F744)</f>
        <v>32.3739031221486</v>
      </c>
      <c r="I744" s="14" t="n">
        <f aca="false">MAX(I743,H744)</f>
        <v>32.3739031221486</v>
      </c>
      <c r="J744" s="14" t="n">
        <f aca="false">I744-H744</f>
        <v>0</v>
      </c>
    </row>
    <row r="745" customFormat="false" ht="15" hidden="false" customHeight="false" outlineLevel="0" collapsed="false">
      <c r="A745" s="12" t="n">
        <f aca="false">Data!A745</f>
        <v>43084</v>
      </c>
      <c r="B745" s="14" t="n">
        <f aca="false">Data!B745</f>
        <v>57.3</v>
      </c>
      <c r="C745" s="0" t="str">
        <f aca="false">IF(Data!D745="","HOLD",IF(AND(G744&lt;&gt;"IN",Data!E745&lt;-5),"BUY",IF(AND(G744="IN",Data!E745&gt;0),"SELL","HOLD")))</f>
        <v>HOLD</v>
      </c>
      <c r="D745" s="14" t="str">
        <f aca="false">IF(C745="BUY",B745,IF(G744="IN",D744,""))</f>
        <v/>
      </c>
      <c r="E745" s="14" t="str">
        <f aca="false">IF(C745="SELL",B745,"")</f>
        <v/>
      </c>
      <c r="F745" s="14" t="str">
        <f aca="false">IF(E745="","",(E745-D745)/D745*100)</f>
        <v/>
      </c>
      <c r="G745" s="0" t="str">
        <f aca="false">IF(C745="BUY","IN",IF(C745="SELL","OUT",IF(G744="IN","IN","OUT")))</f>
        <v>OUT</v>
      </c>
      <c r="H745" s="14" t="n">
        <f aca="false">H744+IF(F745="",0,F745)</f>
        <v>32.3739031221486</v>
      </c>
      <c r="I745" s="14" t="n">
        <f aca="false">MAX(I744,H745)</f>
        <v>32.3739031221486</v>
      </c>
      <c r="J745" s="14" t="n">
        <f aca="false">I745-H745</f>
        <v>0</v>
      </c>
    </row>
    <row r="746" customFormat="false" ht="15" hidden="false" customHeight="false" outlineLevel="0" collapsed="false">
      <c r="A746" s="12" t="n">
        <f aca="false">Data!A746</f>
        <v>43087</v>
      </c>
      <c r="B746" s="14" t="n">
        <f aca="false">Data!B746</f>
        <v>57.16</v>
      </c>
      <c r="C746" s="0" t="str">
        <f aca="false">IF(Data!D746="","HOLD",IF(AND(G745&lt;&gt;"IN",Data!E746&lt;-5),"BUY",IF(AND(G745="IN",Data!E746&gt;0),"SELL","HOLD")))</f>
        <v>HOLD</v>
      </c>
      <c r="D746" s="14" t="str">
        <f aca="false">IF(C746="BUY",B746,IF(G745="IN",D745,""))</f>
        <v/>
      </c>
      <c r="E746" s="14" t="str">
        <f aca="false">IF(C746="SELL",B746,"")</f>
        <v/>
      </c>
      <c r="F746" s="14" t="str">
        <f aca="false">IF(E746="","",(E746-D746)/D746*100)</f>
        <v/>
      </c>
      <c r="G746" s="0" t="str">
        <f aca="false">IF(C746="BUY","IN",IF(C746="SELL","OUT",IF(G745="IN","IN","OUT")))</f>
        <v>OUT</v>
      </c>
      <c r="H746" s="14" t="n">
        <f aca="false">H745+IF(F746="",0,F746)</f>
        <v>32.3739031221486</v>
      </c>
      <c r="I746" s="14" t="n">
        <f aca="false">MAX(I745,H746)</f>
        <v>32.3739031221486</v>
      </c>
      <c r="J746" s="14" t="n">
        <f aca="false">I746-H746</f>
        <v>0</v>
      </c>
    </row>
    <row r="747" customFormat="false" ht="15" hidden="false" customHeight="false" outlineLevel="0" collapsed="false">
      <c r="A747" s="12" t="n">
        <f aca="false">Data!A747</f>
        <v>43088</v>
      </c>
      <c r="B747" s="14" t="n">
        <f aca="false">Data!B747</f>
        <v>57.46</v>
      </c>
      <c r="C747" s="0" t="str">
        <f aca="false">IF(Data!D747="","HOLD",IF(AND(G746&lt;&gt;"IN",Data!E747&lt;-5),"BUY",IF(AND(G746="IN",Data!E747&gt;0),"SELL","HOLD")))</f>
        <v>HOLD</v>
      </c>
      <c r="D747" s="14" t="str">
        <f aca="false">IF(C747="BUY",B747,IF(G746="IN",D746,""))</f>
        <v/>
      </c>
      <c r="E747" s="14" t="str">
        <f aca="false">IF(C747="SELL",B747,"")</f>
        <v/>
      </c>
      <c r="F747" s="14" t="str">
        <f aca="false">IF(E747="","",(E747-D747)/D747*100)</f>
        <v/>
      </c>
      <c r="G747" s="0" t="str">
        <f aca="false">IF(C747="BUY","IN",IF(C747="SELL","OUT",IF(G746="IN","IN","OUT")))</f>
        <v>OUT</v>
      </c>
      <c r="H747" s="14" t="n">
        <f aca="false">H746+IF(F747="",0,F747)</f>
        <v>32.3739031221486</v>
      </c>
      <c r="I747" s="14" t="n">
        <f aca="false">MAX(I746,H747)</f>
        <v>32.3739031221486</v>
      </c>
      <c r="J747" s="14" t="n">
        <f aca="false">I747-H747</f>
        <v>0</v>
      </c>
    </row>
    <row r="748" customFormat="false" ht="15" hidden="false" customHeight="false" outlineLevel="0" collapsed="false">
      <c r="A748" s="12" t="n">
        <f aca="false">Data!A748</f>
        <v>43089</v>
      </c>
      <c r="B748" s="14" t="n">
        <f aca="false">Data!B748</f>
        <v>58.09</v>
      </c>
      <c r="C748" s="0" t="str">
        <f aca="false">IF(Data!D748="","HOLD",IF(AND(G747&lt;&gt;"IN",Data!E748&lt;-5),"BUY",IF(AND(G747="IN",Data!E748&gt;0),"SELL","HOLD")))</f>
        <v>HOLD</v>
      </c>
      <c r="D748" s="14" t="str">
        <f aca="false">IF(C748="BUY",B748,IF(G747="IN",D747,""))</f>
        <v/>
      </c>
      <c r="E748" s="14" t="str">
        <f aca="false">IF(C748="SELL",B748,"")</f>
        <v/>
      </c>
      <c r="F748" s="14" t="str">
        <f aca="false">IF(E748="","",(E748-D748)/D748*100)</f>
        <v/>
      </c>
      <c r="G748" s="0" t="str">
        <f aca="false">IF(C748="BUY","IN",IF(C748="SELL","OUT",IF(G747="IN","IN","OUT")))</f>
        <v>OUT</v>
      </c>
      <c r="H748" s="14" t="n">
        <f aca="false">H747+IF(F748="",0,F748)</f>
        <v>32.3739031221486</v>
      </c>
      <c r="I748" s="14" t="n">
        <f aca="false">MAX(I747,H748)</f>
        <v>32.3739031221486</v>
      </c>
      <c r="J748" s="14" t="n">
        <f aca="false">I748-H748</f>
        <v>0</v>
      </c>
    </row>
    <row r="749" customFormat="false" ht="15" hidden="false" customHeight="false" outlineLevel="0" collapsed="false">
      <c r="A749" s="12" t="n">
        <f aca="false">Data!A749</f>
        <v>43090</v>
      </c>
      <c r="B749" s="14" t="n">
        <f aca="false">Data!B749</f>
        <v>58.36</v>
      </c>
      <c r="C749" s="0" t="str">
        <f aca="false">IF(Data!D749="","HOLD",IF(AND(G748&lt;&gt;"IN",Data!E749&lt;-5),"BUY",IF(AND(G748="IN",Data!E749&gt;0),"SELL","HOLD")))</f>
        <v>HOLD</v>
      </c>
      <c r="D749" s="14" t="str">
        <f aca="false">IF(C749="BUY",B749,IF(G748="IN",D748,""))</f>
        <v/>
      </c>
      <c r="E749" s="14" t="str">
        <f aca="false">IF(C749="SELL",B749,"")</f>
        <v/>
      </c>
      <c r="F749" s="14" t="str">
        <f aca="false">IF(E749="","",(E749-D749)/D749*100)</f>
        <v/>
      </c>
      <c r="G749" s="0" t="str">
        <f aca="false">IF(C749="BUY","IN",IF(C749="SELL","OUT",IF(G748="IN","IN","OUT")))</f>
        <v>OUT</v>
      </c>
      <c r="H749" s="14" t="n">
        <f aca="false">H748+IF(F749="",0,F749)</f>
        <v>32.3739031221486</v>
      </c>
      <c r="I749" s="14" t="n">
        <f aca="false">MAX(I748,H749)</f>
        <v>32.3739031221486</v>
      </c>
      <c r="J749" s="14" t="n">
        <f aca="false">I749-H749</f>
        <v>0</v>
      </c>
    </row>
    <row r="750" customFormat="false" ht="15" hidden="false" customHeight="false" outlineLevel="0" collapsed="false">
      <c r="A750" s="12" t="n">
        <f aca="false">Data!A750</f>
        <v>43091</v>
      </c>
      <c r="B750" s="14" t="n">
        <f aca="false">Data!B750</f>
        <v>58.47</v>
      </c>
      <c r="C750" s="0" t="str">
        <f aca="false">IF(Data!D750="","HOLD",IF(AND(G749&lt;&gt;"IN",Data!E750&lt;-5),"BUY",IF(AND(G749="IN",Data!E750&gt;0),"SELL","HOLD")))</f>
        <v>HOLD</v>
      </c>
      <c r="D750" s="14" t="str">
        <f aca="false">IF(C750="BUY",B750,IF(G749="IN",D749,""))</f>
        <v/>
      </c>
      <c r="E750" s="14" t="str">
        <f aca="false">IF(C750="SELL",B750,"")</f>
        <v/>
      </c>
      <c r="F750" s="14" t="str">
        <f aca="false">IF(E750="","",(E750-D750)/D750*100)</f>
        <v/>
      </c>
      <c r="G750" s="0" t="str">
        <f aca="false">IF(C750="BUY","IN",IF(C750="SELL","OUT",IF(G749="IN","IN","OUT")))</f>
        <v>OUT</v>
      </c>
      <c r="H750" s="14" t="n">
        <f aca="false">H749+IF(F750="",0,F750)</f>
        <v>32.3739031221486</v>
      </c>
      <c r="I750" s="14" t="n">
        <f aca="false">MAX(I749,H750)</f>
        <v>32.3739031221486</v>
      </c>
      <c r="J750" s="14" t="n">
        <f aca="false">I750-H750</f>
        <v>0</v>
      </c>
    </row>
    <row r="751" customFormat="false" ht="15" hidden="false" customHeight="false" outlineLevel="0" collapsed="false">
      <c r="A751" s="12" t="n">
        <f aca="false">Data!A751</f>
        <v>43095</v>
      </c>
      <c r="B751" s="14" t="n">
        <f aca="false">Data!B751</f>
        <v>59.97</v>
      </c>
      <c r="C751" s="0" t="str">
        <f aca="false">IF(Data!D751="","HOLD",IF(AND(G750&lt;&gt;"IN",Data!E751&lt;-5),"BUY",IF(AND(G750="IN",Data!E751&gt;0),"SELL","HOLD")))</f>
        <v>HOLD</v>
      </c>
      <c r="D751" s="14" t="str">
        <f aca="false">IF(C751="BUY",B751,IF(G750="IN",D750,""))</f>
        <v/>
      </c>
      <c r="E751" s="14" t="str">
        <f aca="false">IF(C751="SELL",B751,"")</f>
        <v/>
      </c>
      <c r="F751" s="14" t="str">
        <f aca="false">IF(E751="","",(E751-D751)/D751*100)</f>
        <v/>
      </c>
      <c r="G751" s="0" t="str">
        <f aca="false">IF(C751="BUY","IN",IF(C751="SELL","OUT",IF(G750="IN","IN","OUT")))</f>
        <v>OUT</v>
      </c>
      <c r="H751" s="14" t="n">
        <f aca="false">H750+IF(F751="",0,F751)</f>
        <v>32.3739031221486</v>
      </c>
      <c r="I751" s="14" t="n">
        <f aca="false">MAX(I750,H751)</f>
        <v>32.3739031221486</v>
      </c>
      <c r="J751" s="14" t="n">
        <f aca="false">I751-H751</f>
        <v>0</v>
      </c>
    </row>
    <row r="752" customFormat="false" ht="15" hidden="false" customHeight="false" outlineLevel="0" collapsed="false">
      <c r="A752" s="12" t="n">
        <f aca="false">Data!A752</f>
        <v>43096</v>
      </c>
      <c r="B752" s="14" t="n">
        <f aca="false">Data!B752</f>
        <v>59.64</v>
      </c>
      <c r="C752" s="0" t="str">
        <f aca="false">IF(Data!D752="","HOLD",IF(AND(G751&lt;&gt;"IN",Data!E752&lt;-5),"BUY",IF(AND(G751="IN",Data!E752&gt;0),"SELL","HOLD")))</f>
        <v>HOLD</v>
      </c>
      <c r="D752" s="14" t="str">
        <f aca="false">IF(C752="BUY",B752,IF(G751="IN",D751,""))</f>
        <v/>
      </c>
      <c r="E752" s="14" t="str">
        <f aca="false">IF(C752="SELL",B752,"")</f>
        <v/>
      </c>
      <c r="F752" s="14" t="str">
        <f aca="false">IF(E752="","",(E752-D752)/D752*100)</f>
        <v/>
      </c>
      <c r="G752" s="0" t="str">
        <f aca="false">IF(C752="BUY","IN",IF(C752="SELL","OUT",IF(G751="IN","IN","OUT")))</f>
        <v>OUT</v>
      </c>
      <c r="H752" s="14" t="n">
        <f aca="false">H751+IF(F752="",0,F752)</f>
        <v>32.3739031221486</v>
      </c>
      <c r="I752" s="14" t="n">
        <f aca="false">MAX(I751,H752)</f>
        <v>32.3739031221486</v>
      </c>
      <c r="J752" s="14" t="n">
        <f aca="false">I752-H752</f>
        <v>0</v>
      </c>
    </row>
    <row r="753" customFormat="false" ht="15" hidden="false" customHeight="false" outlineLevel="0" collapsed="false">
      <c r="A753" s="12" t="n">
        <f aca="false">Data!A753</f>
        <v>43097</v>
      </c>
      <c r="B753" s="14" t="n">
        <f aca="false">Data!B753</f>
        <v>59.84</v>
      </c>
      <c r="C753" s="0" t="str">
        <f aca="false">IF(Data!D753="","HOLD",IF(AND(G752&lt;&gt;"IN",Data!E753&lt;-5),"BUY",IF(AND(G752="IN",Data!E753&gt;0),"SELL","HOLD")))</f>
        <v>HOLD</v>
      </c>
      <c r="D753" s="14" t="str">
        <f aca="false">IF(C753="BUY",B753,IF(G752="IN",D752,""))</f>
        <v/>
      </c>
      <c r="E753" s="14" t="str">
        <f aca="false">IF(C753="SELL",B753,"")</f>
        <v/>
      </c>
      <c r="F753" s="14" t="str">
        <f aca="false">IF(E753="","",(E753-D753)/D753*100)</f>
        <v/>
      </c>
      <c r="G753" s="0" t="str">
        <f aca="false">IF(C753="BUY","IN",IF(C753="SELL","OUT",IF(G752="IN","IN","OUT")))</f>
        <v>OUT</v>
      </c>
      <c r="H753" s="14" t="n">
        <f aca="false">H752+IF(F753="",0,F753)</f>
        <v>32.3739031221486</v>
      </c>
      <c r="I753" s="14" t="n">
        <f aca="false">MAX(I752,H753)</f>
        <v>32.3739031221486</v>
      </c>
      <c r="J753" s="14" t="n">
        <f aca="false">I753-H753</f>
        <v>0</v>
      </c>
    </row>
    <row r="754" customFormat="false" ht="15" hidden="false" customHeight="false" outlineLevel="0" collapsed="false">
      <c r="A754" s="12" t="n">
        <f aca="false">Data!A754</f>
        <v>43098</v>
      </c>
      <c r="B754" s="14" t="n">
        <f aca="false">Data!B754</f>
        <v>60.42</v>
      </c>
      <c r="C754" s="0" t="str">
        <f aca="false">IF(Data!D754="","HOLD",IF(AND(G753&lt;&gt;"IN",Data!E754&lt;-5),"BUY",IF(AND(G753="IN",Data!E754&gt;0),"SELL","HOLD")))</f>
        <v>HOLD</v>
      </c>
      <c r="D754" s="14" t="str">
        <f aca="false">IF(C754="BUY",B754,IF(G753="IN",D753,""))</f>
        <v/>
      </c>
      <c r="E754" s="14" t="str">
        <f aca="false">IF(C754="SELL",B754,"")</f>
        <v/>
      </c>
      <c r="F754" s="14" t="str">
        <f aca="false">IF(E754="","",(E754-D754)/D754*100)</f>
        <v/>
      </c>
      <c r="G754" s="0" t="str">
        <f aca="false">IF(C754="BUY","IN",IF(C754="SELL","OUT",IF(G753="IN","IN","OUT")))</f>
        <v>OUT</v>
      </c>
      <c r="H754" s="14" t="n">
        <f aca="false">H753+IF(F754="",0,F754)</f>
        <v>32.3739031221486</v>
      </c>
      <c r="I754" s="14" t="n">
        <f aca="false">MAX(I753,H754)</f>
        <v>32.3739031221486</v>
      </c>
      <c r="J754" s="14" t="n">
        <f aca="false">I754-H754</f>
        <v>0</v>
      </c>
    </row>
    <row r="755" customFormat="false" ht="15" hidden="false" customHeight="false" outlineLevel="0" collapsed="false">
      <c r="A755" s="12" t="n">
        <f aca="false">Data!A755</f>
        <v>43102</v>
      </c>
      <c r="B755" s="14" t="n">
        <f aca="false">Data!B755</f>
        <v>60.37</v>
      </c>
      <c r="C755" s="0" t="str">
        <f aca="false">IF(Data!D755="","HOLD",IF(AND(G754&lt;&gt;"IN",Data!E755&lt;-5),"BUY",IF(AND(G754="IN",Data!E755&gt;0),"SELL","HOLD")))</f>
        <v>HOLD</v>
      </c>
      <c r="D755" s="14" t="str">
        <f aca="false">IF(C755="BUY",B755,IF(G754="IN",D754,""))</f>
        <v/>
      </c>
      <c r="E755" s="14" t="str">
        <f aca="false">IF(C755="SELL",B755,"")</f>
        <v/>
      </c>
      <c r="F755" s="14" t="str">
        <f aca="false">IF(E755="","",(E755-D755)/D755*100)</f>
        <v/>
      </c>
      <c r="G755" s="0" t="str">
        <f aca="false">IF(C755="BUY","IN",IF(C755="SELL","OUT",IF(G754="IN","IN","OUT")))</f>
        <v>OUT</v>
      </c>
      <c r="H755" s="14" t="n">
        <f aca="false">H754+IF(F755="",0,F755)</f>
        <v>32.3739031221486</v>
      </c>
      <c r="I755" s="14" t="n">
        <f aca="false">MAX(I754,H755)</f>
        <v>32.3739031221486</v>
      </c>
      <c r="J755" s="14" t="n">
        <f aca="false">I755-H755</f>
        <v>0</v>
      </c>
    </row>
    <row r="756" customFormat="false" ht="15" hidden="false" customHeight="false" outlineLevel="0" collapsed="false">
      <c r="A756" s="12" t="n">
        <f aca="false">Data!A756</f>
        <v>43103</v>
      </c>
      <c r="B756" s="14" t="n">
        <f aca="false">Data!B756</f>
        <v>61.63</v>
      </c>
      <c r="C756" s="0" t="str">
        <f aca="false">IF(Data!D756="","HOLD",IF(AND(G755&lt;&gt;"IN",Data!E756&lt;-5),"BUY",IF(AND(G755="IN",Data!E756&gt;0),"SELL","HOLD")))</f>
        <v>HOLD</v>
      </c>
      <c r="D756" s="14" t="str">
        <f aca="false">IF(C756="BUY",B756,IF(G755="IN",D755,""))</f>
        <v/>
      </c>
      <c r="E756" s="14" t="str">
        <f aca="false">IF(C756="SELL",B756,"")</f>
        <v/>
      </c>
      <c r="F756" s="14" t="str">
        <f aca="false">IF(E756="","",(E756-D756)/D756*100)</f>
        <v/>
      </c>
      <c r="G756" s="0" t="str">
        <f aca="false">IF(C756="BUY","IN",IF(C756="SELL","OUT",IF(G755="IN","IN","OUT")))</f>
        <v>OUT</v>
      </c>
      <c r="H756" s="14" t="n">
        <f aca="false">H755+IF(F756="",0,F756)</f>
        <v>32.3739031221486</v>
      </c>
      <c r="I756" s="14" t="n">
        <f aca="false">MAX(I755,H756)</f>
        <v>32.3739031221486</v>
      </c>
      <c r="J756" s="14" t="n">
        <f aca="false">I756-H756</f>
        <v>0</v>
      </c>
    </row>
    <row r="757" customFormat="false" ht="15" hidden="false" customHeight="false" outlineLevel="0" collapsed="false">
      <c r="A757" s="12" t="n">
        <f aca="false">Data!A757</f>
        <v>43104</v>
      </c>
      <c r="B757" s="14" t="n">
        <f aca="false">Data!B757</f>
        <v>62.01</v>
      </c>
      <c r="C757" s="0" t="str">
        <f aca="false">IF(Data!D757="","HOLD",IF(AND(G756&lt;&gt;"IN",Data!E757&lt;-5),"BUY",IF(AND(G756="IN",Data!E757&gt;0),"SELL","HOLD")))</f>
        <v>HOLD</v>
      </c>
      <c r="D757" s="14" t="str">
        <f aca="false">IF(C757="BUY",B757,IF(G756="IN",D756,""))</f>
        <v/>
      </c>
      <c r="E757" s="14" t="str">
        <f aca="false">IF(C757="SELL",B757,"")</f>
        <v/>
      </c>
      <c r="F757" s="14" t="str">
        <f aca="false">IF(E757="","",(E757-D757)/D757*100)</f>
        <v/>
      </c>
      <c r="G757" s="0" t="str">
        <f aca="false">IF(C757="BUY","IN",IF(C757="SELL","OUT",IF(G756="IN","IN","OUT")))</f>
        <v>OUT</v>
      </c>
      <c r="H757" s="14" t="n">
        <f aca="false">H756+IF(F757="",0,F757)</f>
        <v>32.3739031221486</v>
      </c>
      <c r="I757" s="14" t="n">
        <f aca="false">MAX(I756,H757)</f>
        <v>32.3739031221486</v>
      </c>
      <c r="J757" s="14" t="n">
        <f aca="false">I757-H757</f>
        <v>0</v>
      </c>
    </row>
    <row r="758" customFormat="false" ht="15" hidden="false" customHeight="false" outlineLevel="0" collapsed="false">
      <c r="A758" s="12" t="n">
        <f aca="false">Data!A758</f>
        <v>43105</v>
      </c>
      <c r="B758" s="14" t="n">
        <f aca="false">Data!B758</f>
        <v>61.44</v>
      </c>
      <c r="C758" s="0" t="str">
        <f aca="false">IF(Data!D758="","HOLD",IF(AND(G757&lt;&gt;"IN",Data!E758&lt;-5),"BUY",IF(AND(G757="IN",Data!E758&gt;0),"SELL","HOLD")))</f>
        <v>HOLD</v>
      </c>
      <c r="D758" s="14" t="str">
        <f aca="false">IF(C758="BUY",B758,IF(G757="IN",D757,""))</f>
        <v/>
      </c>
      <c r="E758" s="14" t="str">
        <f aca="false">IF(C758="SELL",B758,"")</f>
        <v/>
      </c>
      <c r="F758" s="14" t="str">
        <f aca="false">IF(E758="","",(E758-D758)/D758*100)</f>
        <v/>
      </c>
      <c r="G758" s="0" t="str">
        <f aca="false">IF(C758="BUY","IN",IF(C758="SELL","OUT",IF(G757="IN","IN","OUT")))</f>
        <v>OUT</v>
      </c>
      <c r="H758" s="14" t="n">
        <f aca="false">H757+IF(F758="",0,F758)</f>
        <v>32.3739031221486</v>
      </c>
      <c r="I758" s="14" t="n">
        <f aca="false">MAX(I757,H758)</f>
        <v>32.3739031221486</v>
      </c>
      <c r="J758" s="14" t="n">
        <f aca="false">I758-H758</f>
        <v>0</v>
      </c>
    </row>
    <row r="759" customFormat="false" ht="15" hidden="false" customHeight="false" outlineLevel="0" collapsed="false">
      <c r="A759" s="12" t="n">
        <f aca="false">Data!A759</f>
        <v>43108</v>
      </c>
      <c r="B759" s="14" t="n">
        <f aca="false">Data!B759</f>
        <v>61.73</v>
      </c>
      <c r="C759" s="0" t="str">
        <f aca="false">IF(Data!D759="","HOLD",IF(AND(G758&lt;&gt;"IN",Data!E759&lt;-5),"BUY",IF(AND(G758="IN",Data!E759&gt;0),"SELL","HOLD")))</f>
        <v>HOLD</v>
      </c>
      <c r="D759" s="14" t="str">
        <f aca="false">IF(C759="BUY",B759,IF(G758="IN",D758,""))</f>
        <v/>
      </c>
      <c r="E759" s="14" t="str">
        <f aca="false">IF(C759="SELL",B759,"")</f>
        <v/>
      </c>
      <c r="F759" s="14" t="str">
        <f aca="false">IF(E759="","",(E759-D759)/D759*100)</f>
        <v/>
      </c>
      <c r="G759" s="0" t="str">
        <f aca="false">IF(C759="BUY","IN",IF(C759="SELL","OUT",IF(G758="IN","IN","OUT")))</f>
        <v>OUT</v>
      </c>
      <c r="H759" s="14" t="n">
        <f aca="false">H758+IF(F759="",0,F759)</f>
        <v>32.3739031221486</v>
      </c>
      <c r="I759" s="14" t="n">
        <f aca="false">MAX(I758,H759)</f>
        <v>32.3739031221486</v>
      </c>
      <c r="J759" s="14" t="n">
        <f aca="false">I759-H759</f>
        <v>0</v>
      </c>
    </row>
    <row r="760" customFormat="false" ht="15" hidden="false" customHeight="false" outlineLevel="0" collapsed="false">
      <c r="A760" s="12" t="n">
        <f aca="false">Data!A760</f>
        <v>43109</v>
      </c>
      <c r="B760" s="14" t="n">
        <f aca="false">Data!B760</f>
        <v>62.96</v>
      </c>
      <c r="C760" s="0" t="str">
        <f aca="false">IF(Data!D760="","HOLD",IF(AND(G759&lt;&gt;"IN",Data!E760&lt;-5),"BUY",IF(AND(G759="IN",Data!E760&gt;0),"SELL","HOLD")))</f>
        <v>HOLD</v>
      </c>
      <c r="D760" s="14" t="str">
        <f aca="false">IF(C760="BUY",B760,IF(G759="IN",D759,""))</f>
        <v/>
      </c>
      <c r="E760" s="14" t="str">
        <f aca="false">IF(C760="SELL",B760,"")</f>
        <v/>
      </c>
      <c r="F760" s="14" t="str">
        <f aca="false">IF(E760="","",(E760-D760)/D760*100)</f>
        <v/>
      </c>
      <c r="G760" s="0" t="str">
        <f aca="false">IF(C760="BUY","IN",IF(C760="SELL","OUT",IF(G759="IN","IN","OUT")))</f>
        <v>OUT</v>
      </c>
      <c r="H760" s="14" t="n">
        <f aca="false">H759+IF(F760="",0,F760)</f>
        <v>32.3739031221486</v>
      </c>
      <c r="I760" s="14" t="n">
        <f aca="false">MAX(I759,H760)</f>
        <v>32.3739031221486</v>
      </c>
      <c r="J760" s="14" t="n">
        <f aca="false">I760-H760</f>
        <v>0</v>
      </c>
    </row>
    <row r="761" customFormat="false" ht="15" hidden="false" customHeight="false" outlineLevel="0" collapsed="false">
      <c r="A761" s="12" t="n">
        <f aca="false">Data!A761</f>
        <v>43110</v>
      </c>
      <c r="B761" s="14" t="n">
        <f aca="false">Data!B761</f>
        <v>63.57</v>
      </c>
      <c r="C761" s="0" t="str">
        <f aca="false">IF(Data!D761="","HOLD",IF(AND(G760&lt;&gt;"IN",Data!E761&lt;-5),"BUY",IF(AND(G760="IN",Data!E761&gt;0),"SELL","HOLD")))</f>
        <v>HOLD</v>
      </c>
      <c r="D761" s="14" t="str">
        <f aca="false">IF(C761="BUY",B761,IF(G760="IN",D760,""))</f>
        <v/>
      </c>
      <c r="E761" s="14" t="str">
        <f aca="false">IF(C761="SELL",B761,"")</f>
        <v/>
      </c>
      <c r="F761" s="14" t="str">
        <f aca="false">IF(E761="","",(E761-D761)/D761*100)</f>
        <v/>
      </c>
      <c r="G761" s="0" t="str">
        <f aca="false">IF(C761="BUY","IN",IF(C761="SELL","OUT",IF(G760="IN","IN","OUT")))</f>
        <v>OUT</v>
      </c>
      <c r="H761" s="14" t="n">
        <f aca="false">H760+IF(F761="",0,F761)</f>
        <v>32.3739031221486</v>
      </c>
      <c r="I761" s="14" t="n">
        <f aca="false">MAX(I760,H761)</f>
        <v>32.3739031221486</v>
      </c>
      <c r="J761" s="14" t="n">
        <f aca="false">I761-H761</f>
        <v>0</v>
      </c>
    </row>
    <row r="762" customFormat="false" ht="15" hidden="false" customHeight="false" outlineLevel="0" collapsed="false">
      <c r="A762" s="12" t="n">
        <f aca="false">Data!A762</f>
        <v>43111</v>
      </c>
      <c r="B762" s="14" t="n">
        <f aca="false">Data!B762</f>
        <v>63.8</v>
      </c>
      <c r="C762" s="0" t="str">
        <f aca="false">IF(Data!D762="","HOLD",IF(AND(G761&lt;&gt;"IN",Data!E762&lt;-5),"BUY",IF(AND(G761="IN",Data!E762&gt;0),"SELL","HOLD")))</f>
        <v>HOLD</v>
      </c>
      <c r="D762" s="14" t="str">
        <f aca="false">IF(C762="BUY",B762,IF(G761="IN",D761,""))</f>
        <v/>
      </c>
      <c r="E762" s="14" t="str">
        <f aca="false">IF(C762="SELL",B762,"")</f>
        <v/>
      </c>
      <c r="F762" s="14" t="str">
        <f aca="false">IF(E762="","",(E762-D762)/D762*100)</f>
        <v/>
      </c>
      <c r="G762" s="0" t="str">
        <f aca="false">IF(C762="BUY","IN",IF(C762="SELL","OUT",IF(G761="IN","IN","OUT")))</f>
        <v>OUT</v>
      </c>
      <c r="H762" s="14" t="n">
        <f aca="false">H761+IF(F762="",0,F762)</f>
        <v>32.3739031221486</v>
      </c>
      <c r="I762" s="14" t="n">
        <f aca="false">MAX(I761,H762)</f>
        <v>32.3739031221486</v>
      </c>
      <c r="J762" s="14" t="n">
        <f aca="false">I762-H762</f>
        <v>0</v>
      </c>
    </row>
    <row r="763" customFormat="false" ht="15" hidden="false" customHeight="false" outlineLevel="0" collapsed="false">
      <c r="A763" s="12" t="n">
        <f aca="false">Data!A763</f>
        <v>43112</v>
      </c>
      <c r="B763" s="14" t="n">
        <f aca="false">Data!B763</f>
        <v>64.3</v>
      </c>
      <c r="C763" s="0" t="str">
        <f aca="false">IF(Data!D763="","HOLD",IF(AND(G762&lt;&gt;"IN",Data!E763&lt;-5),"BUY",IF(AND(G762="IN",Data!E763&gt;0),"SELL","HOLD")))</f>
        <v>HOLD</v>
      </c>
      <c r="D763" s="14" t="str">
        <f aca="false">IF(C763="BUY",B763,IF(G762="IN",D762,""))</f>
        <v/>
      </c>
      <c r="E763" s="14" t="str">
        <f aca="false">IF(C763="SELL",B763,"")</f>
        <v/>
      </c>
      <c r="F763" s="14" t="str">
        <f aca="false">IF(E763="","",(E763-D763)/D763*100)</f>
        <v/>
      </c>
      <c r="G763" s="0" t="str">
        <f aca="false">IF(C763="BUY","IN",IF(C763="SELL","OUT",IF(G762="IN","IN","OUT")))</f>
        <v>OUT</v>
      </c>
      <c r="H763" s="14" t="n">
        <f aca="false">H762+IF(F763="",0,F763)</f>
        <v>32.3739031221486</v>
      </c>
      <c r="I763" s="14" t="n">
        <f aca="false">MAX(I762,H763)</f>
        <v>32.3739031221486</v>
      </c>
      <c r="J763" s="14" t="n">
        <f aca="false">I763-H763</f>
        <v>0</v>
      </c>
    </row>
    <row r="764" customFormat="false" ht="15" hidden="false" customHeight="false" outlineLevel="0" collapsed="false">
      <c r="A764" s="12" t="n">
        <f aca="false">Data!A764</f>
        <v>43116</v>
      </c>
      <c r="B764" s="14" t="n">
        <f aca="false">Data!B764</f>
        <v>63.73</v>
      </c>
      <c r="C764" s="0" t="str">
        <f aca="false">IF(Data!D764="","HOLD",IF(AND(G763&lt;&gt;"IN",Data!E764&lt;-5),"BUY",IF(AND(G763="IN",Data!E764&gt;0),"SELL","HOLD")))</f>
        <v>HOLD</v>
      </c>
      <c r="D764" s="14" t="str">
        <f aca="false">IF(C764="BUY",B764,IF(G763="IN",D763,""))</f>
        <v/>
      </c>
      <c r="E764" s="14" t="str">
        <f aca="false">IF(C764="SELL",B764,"")</f>
        <v/>
      </c>
      <c r="F764" s="14" t="str">
        <f aca="false">IF(E764="","",(E764-D764)/D764*100)</f>
        <v/>
      </c>
      <c r="G764" s="0" t="str">
        <f aca="false">IF(C764="BUY","IN",IF(C764="SELL","OUT",IF(G763="IN","IN","OUT")))</f>
        <v>OUT</v>
      </c>
      <c r="H764" s="14" t="n">
        <f aca="false">H763+IF(F764="",0,F764)</f>
        <v>32.3739031221486</v>
      </c>
      <c r="I764" s="14" t="n">
        <f aca="false">MAX(I763,H764)</f>
        <v>32.3739031221486</v>
      </c>
      <c r="J764" s="14" t="n">
        <f aca="false">I764-H764</f>
        <v>0</v>
      </c>
    </row>
    <row r="765" customFormat="false" ht="15" hidden="false" customHeight="false" outlineLevel="0" collapsed="false">
      <c r="A765" s="12" t="n">
        <f aca="false">Data!A765</f>
        <v>43117</v>
      </c>
      <c r="B765" s="14" t="n">
        <f aca="false">Data!B765</f>
        <v>63.97</v>
      </c>
      <c r="C765" s="0" t="str">
        <f aca="false">IF(Data!D765="","HOLD",IF(AND(G764&lt;&gt;"IN",Data!E765&lt;-5),"BUY",IF(AND(G764="IN",Data!E765&gt;0),"SELL","HOLD")))</f>
        <v>HOLD</v>
      </c>
      <c r="D765" s="14" t="str">
        <f aca="false">IF(C765="BUY",B765,IF(G764="IN",D764,""))</f>
        <v/>
      </c>
      <c r="E765" s="14" t="str">
        <f aca="false">IF(C765="SELL",B765,"")</f>
        <v/>
      </c>
      <c r="F765" s="14" t="str">
        <f aca="false">IF(E765="","",(E765-D765)/D765*100)</f>
        <v/>
      </c>
      <c r="G765" s="0" t="str">
        <f aca="false">IF(C765="BUY","IN",IF(C765="SELL","OUT",IF(G764="IN","IN","OUT")))</f>
        <v>OUT</v>
      </c>
      <c r="H765" s="14" t="n">
        <f aca="false">H764+IF(F765="",0,F765)</f>
        <v>32.3739031221486</v>
      </c>
      <c r="I765" s="14" t="n">
        <f aca="false">MAX(I764,H765)</f>
        <v>32.3739031221486</v>
      </c>
      <c r="J765" s="14" t="n">
        <f aca="false">I765-H765</f>
        <v>0</v>
      </c>
    </row>
    <row r="766" customFormat="false" ht="15" hidden="false" customHeight="false" outlineLevel="0" collapsed="false">
      <c r="A766" s="12" t="n">
        <f aca="false">Data!A766</f>
        <v>43118</v>
      </c>
      <c r="B766" s="14" t="n">
        <f aca="false">Data!B766</f>
        <v>63.95</v>
      </c>
      <c r="C766" s="0" t="str">
        <f aca="false">IF(Data!D766="","HOLD",IF(AND(G765&lt;&gt;"IN",Data!E766&lt;-5),"BUY",IF(AND(G765="IN",Data!E766&gt;0),"SELL","HOLD")))</f>
        <v>HOLD</v>
      </c>
      <c r="D766" s="14" t="str">
        <f aca="false">IF(C766="BUY",B766,IF(G765="IN",D765,""))</f>
        <v/>
      </c>
      <c r="E766" s="14" t="str">
        <f aca="false">IF(C766="SELL",B766,"")</f>
        <v/>
      </c>
      <c r="F766" s="14" t="str">
        <f aca="false">IF(E766="","",(E766-D766)/D766*100)</f>
        <v/>
      </c>
      <c r="G766" s="0" t="str">
        <f aca="false">IF(C766="BUY","IN",IF(C766="SELL","OUT",IF(G765="IN","IN","OUT")))</f>
        <v>OUT</v>
      </c>
      <c r="H766" s="14" t="n">
        <f aca="false">H765+IF(F766="",0,F766)</f>
        <v>32.3739031221486</v>
      </c>
      <c r="I766" s="14" t="n">
        <f aca="false">MAX(I765,H766)</f>
        <v>32.3739031221486</v>
      </c>
      <c r="J766" s="14" t="n">
        <f aca="false">I766-H766</f>
        <v>0</v>
      </c>
    </row>
    <row r="767" customFormat="false" ht="15" hidden="false" customHeight="false" outlineLevel="0" collapsed="false">
      <c r="A767" s="12" t="n">
        <f aca="false">Data!A767</f>
        <v>43119</v>
      </c>
      <c r="B767" s="14" t="n">
        <f aca="false">Data!B767</f>
        <v>63.37</v>
      </c>
      <c r="C767" s="0" t="str">
        <f aca="false">IF(Data!D767="","HOLD",IF(AND(G766&lt;&gt;"IN",Data!E767&lt;-5),"BUY",IF(AND(G766="IN",Data!E767&gt;0),"SELL","HOLD")))</f>
        <v>HOLD</v>
      </c>
      <c r="D767" s="14" t="str">
        <f aca="false">IF(C767="BUY",B767,IF(G766="IN",D766,""))</f>
        <v/>
      </c>
      <c r="E767" s="14" t="str">
        <f aca="false">IF(C767="SELL",B767,"")</f>
        <v/>
      </c>
      <c r="F767" s="14" t="str">
        <f aca="false">IF(E767="","",(E767-D767)/D767*100)</f>
        <v/>
      </c>
      <c r="G767" s="0" t="str">
        <f aca="false">IF(C767="BUY","IN",IF(C767="SELL","OUT",IF(G766="IN","IN","OUT")))</f>
        <v>OUT</v>
      </c>
      <c r="H767" s="14" t="n">
        <f aca="false">H766+IF(F767="",0,F767)</f>
        <v>32.3739031221486</v>
      </c>
      <c r="I767" s="14" t="n">
        <f aca="false">MAX(I766,H767)</f>
        <v>32.3739031221486</v>
      </c>
      <c r="J767" s="14" t="n">
        <f aca="false">I767-H767</f>
        <v>0</v>
      </c>
    </row>
    <row r="768" customFormat="false" ht="15" hidden="false" customHeight="false" outlineLevel="0" collapsed="false">
      <c r="A768" s="12" t="n">
        <f aca="false">Data!A768</f>
        <v>43122</v>
      </c>
      <c r="B768" s="14" t="n">
        <f aca="false">Data!B768</f>
        <v>63.49</v>
      </c>
      <c r="C768" s="0" t="str">
        <f aca="false">IF(Data!D768="","HOLD",IF(AND(G767&lt;&gt;"IN",Data!E768&lt;-5),"BUY",IF(AND(G767="IN",Data!E768&gt;0),"SELL","HOLD")))</f>
        <v>HOLD</v>
      </c>
      <c r="D768" s="14" t="str">
        <f aca="false">IF(C768="BUY",B768,IF(G767="IN",D767,""))</f>
        <v/>
      </c>
      <c r="E768" s="14" t="str">
        <f aca="false">IF(C768="SELL",B768,"")</f>
        <v/>
      </c>
      <c r="F768" s="14" t="str">
        <f aca="false">IF(E768="","",(E768-D768)/D768*100)</f>
        <v/>
      </c>
      <c r="G768" s="0" t="str">
        <f aca="false">IF(C768="BUY","IN",IF(C768="SELL","OUT",IF(G767="IN","IN","OUT")))</f>
        <v>OUT</v>
      </c>
      <c r="H768" s="14" t="n">
        <f aca="false">H767+IF(F768="",0,F768)</f>
        <v>32.3739031221486</v>
      </c>
      <c r="I768" s="14" t="n">
        <f aca="false">MAX(I767,H768)</f>
        <v>32.3739031221486</v>
      </c>
      <c r="J768" s="14" t="n">
        <f aca="false">I768-H768</f>
        <v>0</v>
      </c>
    </row>
    <row r="769" customFormat="false" ht="15" hidden="false" customHeight="false" outlineLevel="0" collapsed="false">
      <c r="A769" s="12" t="n">
        <f aca="false">Data!A769</f>
        <v>43123</v>
      </c>
      <c r="B769" s="14" t="n">
        <f aca="false">Data!B769</f>
        <v>64.47</v>
      </c>
      <c r="C769" s="0" t="str">
        <f aca="false">IF(Data!D769="","HOLD",IF(AND(G768&lt;&gt;"IN",Data!E769&lt;-5),"BUY",IF(AND(G768="IN",Data!E769&gt;0),"SELL","HOLD")))</f>
        <v>HOLD</v>
      </c>
      <c r="D769" s="14" t="str">
        <f aca="false">IF(C769="BUY",B769,IF(G768="IN",D768,""))</f>
        <v/>
      </c>
      <c r="E769" s="14" t="str">
        <f aca="false">IF(C769="SELL",B769,"")</f>
        <v/>
      </c>
      <c r="F769" s="14" t="str">
        <f aca="false">IF(E769="","",(E769-D769)/D769*100)</f>
        <v/>
      </c>
      <c r="G769" s="0" t="str">
        <f aca="false">IF(C769="BUY","IN",IF(C769="SELL","OUT",IF(G768="IN","IN","OUT")))</f>
        <v>OUT</v>
      </c>
      <c r="H769" s="14" t="n">
        <f aca="false">H768+IF(F769="",0,F769)</f>
        <v>32.3739031221486</v>
      </c>
      <c r="I769" s="14" t="n">
        <f aca="false">MAX(I768,H769)</f>
        <v>32.3739031221486</v>
      </c>
      <c r="J769" s="14" t="n">
        <f aca="false">I769-H769</f>
        <v>0</v>
      </c>
    </row>
    <row r="770" customFormat="false" ht="15" hidden="false" customHeight="false" outlineLevel="0" collapsed="false">
      <c r="A770" s="12" t="n">
        <f aca="false">Data!A770</f>
        <v>43124</v>
      </c>
      <c r="B770" s="14" t="n">
        <f aca="false">Data!B770</f>
        <v>65.61</v>
      </c>
      <c r="C770" s="0" t="str">
        <f aca="false">IF(Data!D770="","HOLD",IF(AND(G769&lt;&gt;"IN",Data!E770&lt;-5),"BUY",IF(AND(G769="IN",Data!E770&gt;0),"SELL","HOLD")))</f>
        <v>HOLD</v>
      </c>
      <c r="D770" s="14" t="str">
        <f aca="false">IF(C770="BUY",B770,IF(G769="IN",D769,""))</f>
        <v/>
      </c>
      <c r="E770" s="14" t="str">
        <f aca="false">IF(C770="SELL",B770,"")</f>
        <v/>
      </c>
      <c r="F770" s="14" t="str">
        <f aca="false">IF(E770="","",(E770-D770)/D770*100)</f>
        <v/>
      </c>
      <c r="G770" s="0" t="str">
        <f aca="false">IF(C770="BUY","IN",IF(C770="SELL","OUT",IF(G769="IN","IN","OUT")))</f>
        <v>OUT</v>
      </c>
      <c r="H770" s="14" t="n">
        <f aca="false">H769+IF(F770="",0,F770)</f>
        <v>32.3739031221486</v>
      </c>
      <c r="I770" s="14" t="n">
        <f aca="false">MAX(I769,H770)</f>
        <v>32.3739031221486</v>
      </c>
      <c r="J770" s="14" t="n">
        <f aca="false">I770-H770</f>
        <v>0</v>
      </c>
    </row>
    <row r="771" customFormat="false" ht="15" hidden="false" customHeight="false" outlineLevel="0" collapsed="false">
      <c r="A771" s="12" t="n">
        <f aca="false">Data!A771</f>
        <v>43125</v>
      </c>
      <c r="B771" s="14" t="n">
        <f aca="false">Data!B771</f>
        <v>65.51</v>
      </c>
      <c r="C771" s="0" t="str">
        <f aca="false">IF(Data!D771="","HOLD",IF(AND(G770&lt;&gt;"IN",Data!E771&lt;-5),"BUY",IF(AND(G770="IN",Data!E771&gt;0),"SELL","HOLD")))</f>
        <v>HOLD</v>
      </c>
      <c r="D771" s="14" t="str">
        <f aca="false">IF(C771="BUY",B771,IF(G770="IN",D770,""))</f>
        <v/>
      </c>
      <c r="E771" s="14" t="str">
        <f aca="false">IF(C771="SELL",B771,"")</f>
        <v/>
      </c>
      <c r="F771" s="14" t="str">
        <f aca="false">IF(E771="","",(E771-D771)/D771*100)</f>
        <v/>
      </c>
      <c r="G771" s="0" t="str">
        <f aca="false">IF(C771="BUY","IN",IF(C771="SELL","OUT",IF(G770="IN","IN","OUT")))</f>
        <v>OUT</v>
      </c>
      <c r="H771" s="14" t="n">
        <f aca="false">H770+IF(F771="",0,F771)</f>
        <v>32.3739031221486</v>
      </c>
      <c r="I771" s="14" t="n">
        <f aca="false">MAX(I770,H771)</f>
        <v>32.3739031221486</v>
      </c>
      <c r="J771" s="14" t="n">
        <f aca="false">I771-H771</f>
        <v>0</v>
      </c>
    </row>
    <row r="772" customFormat="false" ht="15" hidden="false" customHeight="false" outlineLevel="0" collapsed="false">
      <c r="A772" s="12" t="n">
        <f aca="false">Data!A772</f>
        <v>43126</v>
      </c>
      <c r="B772" s="14" t="n">
        <f aca="false">Data!B772</f>
        <v>66.14</v>
      </c>
      <c r="C772" s="0" t="str">
        <f aca="false">IF(Data!D772="","HOLD",IF(AND(G771&lt;&gt;"IN",Data!E772&lt;-5),"BUY",IF(AND(G771="IN",Data!E772&gt;0),"SELL","HOLD")))</f>
        <v>HOLD</v>
      </c>
      <c r="D772" s="14" t="str">
        <f aca="false">IF(C772="BUY",B772,IF(G771="IN",D771,""))</f>
        <v/>
      </c>
      <c r="E772" s="14" t="str">
        <f aca="false">IF(C772="SELL",B772,"")</f>
        <v/>
      </c>
      <c r="F772" s="14" t="str">
        <f aca="false">IF(E772="","",(E772-D772)/D772*100)</f>
        <v/>
      </c>
      <c r="G772" s="0" t="str">
        <f aca="false">IF(C772="BUY","IN",IF(C772="SELL","OUT",IF(G771="IN","IN","OUT")))</f>
        <v>OUT</v>
      </c>
      <c r="H772" s="14" t="n">
        <f aca="false">H771+IF(F772="",0,F772)</f>
        <v>32.3739031221486</v>
      </c>
      <c r="I772" s="14" t="n">
        <f aca="false">MAX(I771,H772)</f>
        <v>32.3739031221486</v>
      </c>
      <c r="J772" s="14" t="n">
        <f aca="false">I772-H772</f>
        <v>0</v>
      </c>
    </row>
    <row r="773" customFormat="false" ht="15" hidden="false" customHeight="false" outlineLevel="0" collapsed="false">
      <c r="A773" s="12" t="n">
        <f aca="false">Data!A773</f>
        <v>43129</v>
      </c>
      <c r="B773" s="14" t="n">
        <f aca="false">Data!B773</f>
        <v>65.56</v>
      </c>
      <c r="C773" s="0" t="str">
        <f aca="false">IF(Data!D773="","HOLD",IF(AND(G772&lt;&gt;"IN",Data!E773&lt;-5),"BUY",IF(AND(G772="IN",Data!E773&gt;0),"SELL","HOLD")))</f>
        <v>HOLD</v>
      </c>
      <c r="D773" s="14" t="str">
        <f aca="false">IF(C773="BUY",B773,IF(G772="IN",D772,""))</f>
        <v/>
      </c>
      <c r="E773" s="14" t="str">
        <f aca="false">IF(C773="SELL",B773,"")</f>
        <v/>
      </c>
      <c r="F773" s="14" t="str">
        <f aca="false">IF(E773="","",(E773-D773)/D773*100)</f>
        <v/>
      </c>
      <c r="G773" s="0" t="str">
        <f aca="false">IF(C773="BUY","IN",IF(C773="SELL","OUT",IF(G772="IN","IN","OUT")))</f>
        <v>OUT</v>
      </c>
      <c r="H773" s="14" t="n">
        <f aca="false">H772+IF(F773="",0,F773)</f>
        <v>32.3739031221486</v>
      </c>
      <c r="I773" s="14" t="n">
        <f aca="false">MAX(I772,H773)</f>
        <v>32.3739031221486</v>
      </c>
      <c r="J773" s="14" t="n">
        <f aca="false">I773-H773</f>
        <v>0</v>
      </c>
    </row>
    <row r="774" customFormat="false" ht="15" hidden="false" customHeight="false" outlineLevel="0" collapsed="false">
      <c r="A774" s="12" t="n">
        <f aca="false">Data!A774</f>
        <v>43130</v>
      </c>
      <c r="B774" s="14" t="n">
        <f aca="false">Data!B774</f>
        <v>64.5</v>
      </c>
      <c r="C774" s="0" t="str">
        <f aca="false">IF(Data!D774="","HOLD",IF(AND(G773&lt;&gt;"IN",Data!E774&lt;-5),"BUY",IF(AND(G773="IN",Data!E774&gt;0),"SELL","HOLD")))</f>
        <v>HOLD</v>
      </c>
      <c r="D774" s="14" t="str">
        <f aca="false">IF(C774="BUY",B774,IF(G773="IN",D773,""))</f>
        <v/>
      </c>
      <c r="E774" s="14" t="str">
        <f aca="false">IF(C774="SELL",B774,"")</f>
        <v/>
      </c>
      <c r="F774" s="14" t="str">
        <f aca="false">IF(E774="","",(E774-D774)/D774*100)</f>
        <v/>
      </c>
      <c r="G774" s="0" t="str">
        <f aca="false">IF(C774="BUY","IN",IF(C774="SELL","OUT",IF(G773="IN","IN","OUT")))</f>
        <v>OUT</v>
      </c>
      <c r="H774" s="14" t="n">
        <f aca="false">H773+IF(F774="",0,F774)</f>
        <v>32.3739031221486</v>
      </c>
      <c r="I774" s="14" t="n">
        <f aca="false">MAX(I773,H774)</f>
        <v>32.3739031221486</v>
      </c>
      <c r="J774" s="14" t="n">
        <f aca="false">I774-H774</f>
        <v>0</v>
      </c>
    </row>
    <row r="775" customFormat="false" ht="15" hidden="false" customHeight="false" outlineLevel="0" collapsed="false">
      <c r="A775" s="12" t="n">
        <f aca="false">Data!A775</f>
        <v>43131</v>
      </c>
      <c r="B775" s="14" t="n">
        <f aca="false">Data!B775</f>
        <v>64.73</v>
      </c>
      <c r="C775" s="0" t="str">
        <f aca="false">IF(Data!D775="","HOLD",IF(AND(G774&lt;&gt;"IN",Data!E775&lt;-5),"BUY",IF(AND(G774="IN",Data!E775&gt;0),"SELL","HOLD")))</f>
        <v>HOLD</v>
      </c>
      <c r="D775" s="14" t="str">
        <f aca="false">IF(C775="BUY",B775,IF(G774="IN",D774,""))</f>
        <v/>
      </c>
      <c r="E775" s="14" t="str">
        <f aca="false">IF(C775="SELL",B775,"")</f>
        <v/>
      </c>
      <c r="F775" s="14" t="str">
        <f aca="false">IF(E775="","",(E775-D775)/D775*100)</f>
        <v/>
      </c>
      <c r="G775" s="0" t="str">
        <f aca="false">IF(C775="BUY","IN",IF(C775="SELL","OUT",IF(G774="IN","IN","OUT")))</f>
        <v>OUT</v>
      </c>
      <c r="H775" s="14" t="n">
        <f aca="false">H774+IF(F775="",0,F775)</f>
        <v>32.3739031221486</v>
      </c>
      <c r="I775" s="14" t="n">
        <f aca="false">MAX(I774,H775)</f>
        <v>32.3739031221486</v>
      </c>
      <c r="J775" s="14" t="n">
        <f aca="false">I775-H775</f>
        <v>0</v>
      </c>
    </row>
    <row r="776" customFormat="false" ht="15" hidden="false" customHeight="false" outlineLevel="0" collapsed="false">
      <c r="A776" s="12" t="n">
        <f aca="false">Data!A776</f>
        <v>43132</v>
      </c>
      <c r="B776" s="14" t="n">
        <f aca="false">Data!B776</f>
        <v>65.8</v>
      </c>
      <c r="C776" s="0" t="str">
        <f aca="false">IF(Data!D776="","HOLD",IF(AND(G775&lt;&gt;"IN",Data!E776&lt;-5),"BUY",IF(AND(G775="IN",Data!E776&gt;0),"SELL","HOLD")))</f>
        <v>HOLD</v>
      </c>
      <c r="D776" s="14" t="str">
        <f aca="false">IF(C776="BUY",B776,IF(G775="IN",D775,""))</f>
        <v/>
      </c>
      <c r="E776" s="14" t="str">
        <f aca="false">IF(C776="SELL",B776,"")</f>
        <v/>
      </c>
      <c r="F776" s="14" t="str">
        <f aca="false">IF(E776="","",(E776-D776)/D776*100)</f>
        <v/>
      </c>
      <c r="G776" s="0" t="str">
        <f aca="false">IF(C776="BUY","IN",IF(C776="SELL","OUT",IF(G775="IN","IN","OUT")))</f>
        <v>OUT</v>
      </c>
      <c r="H776" s="14" t="n">
        <f aca="false">H775+IF(F776="",0,F776)</f>
        <v>32.3739031221486</v>
      </c>
      <c r="I776" s="14" t="n">
        <f aca="false">MAX(I775,H776)</f>
        <v>32.3739031221486</v>
      </c>
      <c r="J776" s="14" t="n">
        <f aca="false">I776-H776</f>
        <v>0</v>
      </c>
    </row>
    <row r="777" customFormat="false" ht="15" hidden="false" customHeight="false" outlineLevel="0" collapsed="false">
      <c r="A777" s="12" t="n">
        <f aca="false">Data!A777</f>
        <v>43133</v>
      </c>
      <c r="B777" s="14" t="n">
        <f aca="false">Data!B777</f>
        <v>65.45</v>
      </c>
      <c r="C777" s="0" t="str">
        <f aca="false">IF(Data!D777="","HOLD",IF(AND(G776&lt;&gt;"IN",Data!E777&lt;-5),"BUY",IF(AND(G776="IN",Data!E777&gt;0),"SELL","HOLD")))</f>
        <v>HOLD</v>
      </c>
      <c r="D777" s="14" t="str">
        <f aca="false">IF(C777="BUY",B777,IF(G776="IN",D776,""))</f>
        <v/>
      </c>
      <c r="E777" s="14" t="str">
        <f aca="false">IF(C777="SELL",B777,"")</f>
        <v/>
      </c>
      <c r="F777" s="14" t="str">
        <f aca="false">IF(E777="","",(E777-D777)/D777*100)</f>
        <v/>
      </c>
      <c r="G777" s="0" t="str">
        <f aca="false">IF(C777="BUY","IN",IF(C777="SELL","OUT",IF(G776="IN","IN","OUT")))</f>
        <v>OUT</v>
      </c>
      <c r="H777" s="14" t="n">
        <f aca="false">H776+IF(F777="",0,F777)</f>
        <v>32.3739031221486</v>
      </c>
      <c r="I777" s="14" t="n">
        <f aca="false">MAX(I776,H777)</f>
        <v>32.3739031221486</v>
      </c>
      <c r="J777" s="14" t="n">
        <f aca="false">I777-H777</f>
        <v>0</v>
      </c>
    </row>
    <row r="778" customFormat="false" ht="15" hidden="false" customHeight="false" outlineLevel="0" collapsed="false">
      <c r="A778" s="12" t="n">
        <f aca="false">Data!A778</f>
        <v>43136</v>
      </c>
      <c r="B778" s="14" t="n">
        <f aca="false">Data!B778</f>
        <v>64.15</v>
      </c>
      <c r="C778" s="0" t="str">
        <f aca="false">IF(Data!D778="","HOLD",IF(AND(G777&lt;&gt;"IN",Data!E778&lt;-5),"BUY",IF(AND(G777="IN",Data!E778&gt;0),"SELL","HOLD")))</f>
        <v>HOLD</v>
      </c>
      <c r="D778" s="14" t="str">
        <f aca="false">IF(C778="BUY",B778,IF(G777="IN",D777,""))</f>
        <v/>
      </c>
      <c r="E778" s="14" t="str">
        <f aca="false">IF(C778="SELL",B778,"")</f>
        <v/>
      </c>
      <c r="F778" s="14" t="str">
        <f aca="false">IF(E778="","",(E778-D778)/D778*100)</f>
        <v/>
      </c>
      <c r="G778" s="0" t="str">
        <f aca="false">IF(C778="BUY","IN",IF(C778="SELL","OUT",IF(G777="IN","IN","OUT")))</f>
        <v>OUT</v>
      </c>
      <c r="H778" s="14" t="n">
        <f aca="false">H777+IF(F778="",0,F778)</f>
        <v>32.3739031221486</v>
      </c>
      <c r="I778" s="14" t="n">
        <f aca="false">MAX(I777,H778)</f>
        <v>32.3739031221486</v>
      </c>
      <c r="J778" s="14" t="n">
        <f aca="false">I778-H778</f>
        <v>0</v>
      </c>
    </row>
    <row r="779" customFormat="false" ht="15" hidden="false" customHeight="false" outlineLevel="0" collapsed="false">
      <c r="A779" s="12" t="n">
        <f aca="false">Data!A779</f>
        <v>43137</v>
      </c>
      <c r="B779" s="14" t="n">
        <f aca="false">Data!B779</f>
        <v>63.39</v>
      </c>
      <c r="C779" s="0" t="str">
        <f aca="false">IF(Data!D779="","HOLD",IF(AND(G778&lt;&gt;"IN",Data!E779&lt;-5),"BUY",IF(AND(G778="IN",Data!E779&gt;0),"SELL","HOLD")))</f>
        <v>HOLD</v>
      </c>
      <c r="D779" s="14" t="str">
        <f aca="false">IF(C779="BUY",B779,IF(G778="IN",D778,""))</f>
        <v/>
      </c>
      <c r="E779" s="14" t="str">
        <f aca="false">IF(C779="SELL",B779,"")</f>
        <v/>
      </c>
      <c r="F779" s="14" t="str">
        <f aca="false">IF(E779="","",(E779-D779)/D779*100)</f>
        <v/>
      </c>
      <c r="G779" s="0" t="str">
        <f aca="false">IF(C779="BUY","IN",IF(C779="SELL","OUT",IF(G778="IN","IN","OUT")))</f>
        <v>OUT</v>
      </c>
      <c r="H779" s="14" t="n">
        <f aca="false">H778+IF(F779="",0,F779)</f>
        <v>32.3739031221486</v>
      </c>
      <c r="I779" s="14" t="n">
        <f aca="false">MAX(I778,H779)</f>
        <v>32.3739031221486</v>
      </c>
      <c r="J779" s="14" t="n">
        <f aca="false">I779-H779</f>
        <v>0</v>
      </c>
    </row>
    <row r="780" customFormat="false" ht="15" hidden="false" customHeight="false" outlineLevel="0" collapsed="false">
      <c r="A780" s="12" t="n">
        <f aca="false">Data!A780</f>
        <v>43138</v>
      </c>
      <c r="B780" s="14" t="n">
        <f aca="false">Data!B780</f>
        <v>61.79</v>
      </c>
      <c r="C780" s="0" t="str">
        <f aca="false">IF(Data!D780="","HOLD",IF(AND(G779&lt;&gt;"IN",Data!E780&lt;-5),"BUY",IF(AND(G779="IN",Data!E780&gt;0),"SELL","HOLD")))</f>
        <v>HOLD</v>
      </c>
      <c r="D780" s="14" t="str">
        <f aca="false">IF(C780="BUY",B780,IF(G779="IN",D779,""))</f>
        <v/>
      </c>
      <c r="E780" s="14" t="str">
        <f aca="false">IF(C780="SELL",B780,"")</f>
        <v/>
      </c>
      <c r="F780" s="14" t="str">
        <f aca="false">IF(E780="","",(E780-D780)/D780*100)</f>
        <v/>
      </c>
      <c r="G780" s="0" t="str">
        <f aca="false">IF(C780="BUY","IN",IF(C780="SELL","OUT",IF(G779="IN","IN","OUT")))</f>
        <v>OUT</v>
      </c>
      <c r="H780" s="14" t="n">
        <f aca="false">H779+IF(F780="",0,F780)</f>
        <v>32.3739031221486</v>
      </c>
      <c r="I780" s="14" t="n">
        <f aca="false">MAX(I779,H780)</f>
        <v>32.3739031221486</v>
      </c>
      <c r="J780" s="14" t="n">
        <f aca="false">I780-H780</f>
        <v>0</v>
      </c>
    </row>
    <row r="781" customFormat="false" ht="15" hidden="false" customHeight="false" outlineLevel="0" collapsed="false">
      <c r="A781" s="12" t="n">
        <f aca="false">Data!A781</f>
        <v>43139</v>
      </c>
      <c r="B781" s="14" t="n">
        <f aca="false">Data!B781</f>
        <v>61.15</v>
      </c>
      <c r="C781" s="0" t="str">
        <f aca="false">IF(Data!D781="","HOLD",IF(AND(G780&lt;&gt;"IN",Data!E781&lt;-5),"BUY",IF(AND(G780="IN",Data!E781&gt;0),"SELL","HOLD")))</f>
        <v>HOLD</v>
      </c>
      <c r="D781" s="14" t="str">
        <f aca="false">IF(C781="BUY",B781,IF(G780="IN",D780,""))</f>
        <v/>
      </c>
      <c r="E781" s="14" t="str">
        <f aca="false">IF(C781="SELL",B781,"")</f>
        <v/>
      </c>
      <c r="F781" s="14" t="str">
        <f aca="false">IF(E781="","",(E781-D781)/D781*100)</f>
        <v/>
      </c>
      <c r="G781" s="0" t="str">
        <f aca="false">IF(C781="BUY","IN",IF(C781="SELL","OUT",IF(G780="IN","IN","OUT")))</f>
        <v>OUT</v>
      </c>
      <c r="H781" s="14" t="n">
        <f aca="false">H780+IF(F781="",0,F781)</f>
        <v>32.3739031221486</v>
      </c>
      <c r="I781" s="14" t="n">
        <f aca="false">MAX(I780,H781)</f>
        <v>32.3739031221486</v>
      </c>
      <c r="J781" s="14" t="n">
        <f aca="false">I781-H781</f>
        <v>0</v>
      </c>
    </row>
    <row r="782" customFormat="false" ht="15" hidden="false" customHeight="false" outlineLevel="0" collapsed="false">
      <c r="A782" s="12" t="n">
        <f aca="false">Data!A782</f>
        <v>43140</v>
      </c>
      <c r="B782" s="14" t="n">
        <f aca="false">Data!B782</f>
        <v>59.2</v>
      </c>
      <c r="C782" s="0" t="str">
        <f aca="false">IF(Data!D782="","HOLD",IF(AND(G781&lt;&gt;"IN",Data!E782&lt;-5),"BUY",IF(AND(G781="IN",Data!E782&gt;0),"SELL","HOLD")))</f>
        <v>BUY</v>
      </c>
      <c r="D782" s="14" t="n">
        <f aca="false">IF(C782="BUY",B782,IF(G781="IN",D781,""))</f>
        <v>59.2</v>
      </c>
      <c r="E782" s="14" t="str">
        <f aca="false">IF(C782="SELL",B782,"")</f>
        <v/>
      </c>
      <c r="F782" s="14" t="str">
        <f aca="false">IF(E782="","",(E782-D782)/D782*100)</f>
        <v/>
      </c>
      <c r="G782" s="0" t="str">
        <f aca="false">IF(C782="BUY","IN",IF(C782="SELL","OUT",IF(G781="IN","IN","OUT")))</f>
        <v>IN</v>
      </c>
      <c r="H782" s="14" t="n">
        <f aca="false">H781+IF(F782="",0,F782)</f>
        <v>32.3739031221486</v>
      </c>
      <c r="I782" s="14" t="n">
        <f aca="false">MAX(I781,H782)</f>
        <v>32.3739031221486</v>
      </c>
      <c r="J782" s="14" t="n">
        <f aca="false">I782-H782</f>
        <v>0</v>
      </c>
    </row>
    <row r="783" customFormat="false" ht="15" hidden="false" customHeight="false" outlineLevel="0" collapsed="false">
      <c r="A783" s="12" t="n">
        <f aca="false">Data!A783</f>
        <v>43143</v>
      </c>
      <c r="B783" s="14" t="n">
        <f aca="false">Data!B783</f>
        <v>59.29</v>
      </c>
      <c r="C783" s="0" t="str">
        <f aca="false">IF(Data!D783="","HOLD",IF(AND(G782&lt;&gt;"IN",Data!E783&lt;-5),"BUY",IF(AND(G782="IN",Data!E783&gt;0),"SELL","HOLD")))</f>
        <v>HOLD</v>
      </c>
      <c r="D783" s="14" t="n">
        <f aca="false">IF(C783="BUY",B783,IF(G782="IN",D782,""))</f>
        <v>59.2</v>
      </c>
      <c r="E783" s="14" t="str">
        <f aca="false">IF(C783="SELL",B783,"")</f>
        <v/>
      </c>
      <c r="F783" s="14" t="str">
        <f aca="false">IF(E783="","",(E783-D783)/D783*100)</f>
        <v/>
      </c>
      <c r="G783" s="0" t="str">
        <f aca="false">IF(C783="BUY","IN",IF(C783="SELL","OUT",IF(G782="IN","IN","OUT")))</f>
        <v>IN</v>
      </c>
      <c r="H783" s="14" t="n">
        <f aca="false">H782+IF(F783="",0,F783)</f>
        <v>32.3739031221486</v>
      </c>
      <c r="I783" s="14" t="n">
        <f aca="false">MAX(I782,H783)</f>
        <v>32.3739031221486</v>
      </c>
      <c r="J783" s="14" t="n">
        <f aca="false">I783-H783</f>
        <v>0</v>
      </c>
    </row>
    <row r="784" customFormat="false" ht="15" hidden="false" customHeight="false" outlineLevel="0" collapsed="false">
      <c r="A784" s="12" t="n">
        <f aca="false">Data!A784</f>
        <v>43144</v>
      </c>
      <c r="B784" s="14" t="n">
        <f aca="false">Data!B784</f>
        <v>59.19</v>
      </c>
      <c r="C784" s="0" t="str">
        <f aca="false">IF(Data!D784="","HOLD",IF(AND(G783&lt;&gt;"IN",Data!E784&lt;-5),"BUY",IF(AND(G783="IN",Data!E784&gt;0),"SELL","HOLD")))</f>
        <v>HOLD</v>
      </c>
      <c r="D784" s="14" t="n">
        <f aca="false">IF(C784="BUY",B784,IF(G783="IN",D783,""))</f>
        <v>59.2</v>
      </c>
      <c r="E784" s="14" t="str">
        <f aca="false">IF(C784="SELL",B784,"")</f>
        <v/>
      </c>
      <c r="F784" s="14" t="str">
        <f aca="false">IF(E784="","",(E784-D784)/D784*100)</f>
        <v/>
      </c>
      <c r="G784" s="0" t="str">
        <f aca="false">IF(C784="BUY","IN",IF(C784="SELL","OUT",IF(G783="IN","IN","OUT")))</f>
        <v>IN</v>
      </c>
      <c r="H784" s="14" t="n">
        <f aca="false">H783+IF(F784="",0,F784)</f>
        <v>32.3739031221486</v>
      </c>
      <c r="I784" s="14" t="n">
        <f aca="false">MAX(I783,H784)</f>
        <v>32.3739031221486</v>
      </c>
      <c r="J784" s="14" t="n">
        <f aca="false">I784-H784</f>
        <v>0</v>
      </c>
    </row>
    <row r="785" customFormat="false" ht="15" hidden="false" customHeight="false" outlineLevel="0" collapsed="false">
      <c r="A785" s="12" t="n">
        <f aca="false">Data!A785</f>
        <v>43145</v>
      </c>
      <c r="B785" s="14" t="n">
        <f aca="false">Data!B785</f>
        <v>60.6</v>
      </c>
      <c r="C785" s="0" t="str">
        <f aca="false">IF(Data!D785="","HOLD",IF(AND(G784&lt;&gt;"IN",Data!E785&lt;-5),"BUY",IF(AND(G784="IN",Data!E785&gt;0),"SELL","HOLD")))</f>
        <v>HOLD</v>
      </c>
      <c r="D785" s="14" t="n">
        <f aca="false">IF(C785="BUY",B785,IF(G784="IN",D784,""))</f>
        <v>59.2</v>
      </c>
      <c r="E785" s="14" t="str">
        <f aca="false">IF(C785="SELL",B785,"")</f>
        <v/>
      </c>
      <c r="F785" s="14" t="str">
        <f aca="false">IF(E785="","",(E785-D785)/D785*100)</f>
        <v/>
      </c>
      <c r="G785" s="0" t="str">
        <f aca="false">IF(C785="BUY","IN",IF(C785="SELL","OUT",IF(G784="IN","IN","OUT")))</f>
        <v>IN</v>
      </c>
      <c r="H785" s="14" t="n">
        <f aca="false">H784+IF(F785="",0,F785)</f>
        <v>32.3739031221486</v>
      </c>
      <c r="I785" s="14" t="n">
        <f aca="false">MAX(I784,H785)</f>
        <v>32.3739031221486</v>
      </c>
      <c r="J785" s="14" t="n">
        <f aca="false">I785-H785</f>
        <v>0</v>
      </c>
    </row>
    <row r="786" customFormat="false" ht="15" hidden="false" customHeight="false" outlineLevel="0" collapsed="false">
      <c r="A786" s="12" t="n">
        <f aca="false">Data!A786</f>
        <v>43146</v>
      </c>
      <c r="B786" s="14" t="n">
        <f aca="false">Data!B786</f>
        <v>61.34</v>
      </c>
      <c r="C786" s="0" t="str">
        <f aca="false">IF(Data!D786="","HOLD",IF(AND(G785&lt;&gt;"IN",Data!E786&lt;-5),"BUY",IF(AND(G785="IN",Data!E786&gt;0),"SELL","HOLD")))</f>
        <v>HOLD</v>
      </c>
      <c r="D786" s="14" t="n">
        <f aca="false">IF(C786="BUY",B786,IF(G785="IN",D785,""))</f>
        <v>59.2</v>
      </c>
      <c r="E786" s="14" t="str">
        <f aca="false">IF(C786="SELL",B786,"")</f>
        <v/>
      </c>
      <c r="F786" s="14" t="str">
        <f aca="false">IF(E786="","",(E786-D786)/D786*100)</f>
        <v/>
      </c>
      <c r="G786" s="0" t="str">
        <f aca="false">IF(C786="BUY","IN",IF(C786="SELL","OUT",IF(G785="IN","IN","OUT")))</f>
        <v>IN</v>
      </c>
      <c r="H786" s="14" t="n">
        <f aca="false">H785+IF(F786="",0,F786)</f>
        <v>32.3739031221486</v>
      </c>
      <c r="I786" s="14" t="n">
        <f aca="false">MAX(I785,H786)</f>
        <v>32.3739031221486</v>
      </c>
      <c r="J786" s="14" t="n">
        <f aca="false">I786-H786</f>
        <v>0</v>
      </c>
    </row>
    <row r="787" customFormat="false" ht="15" hidden="false" customHeight="false" outlineLevel="0" collapsed="false">
      <c r="A787" s="12" t="n">
        <f aca="false">Data!A787</f>
        <v>43147</v>
      </c>
      <c r="B787" s="14" t="n">
        <f aca="false">Data!B787</f>
        <v>61.68</v>
      </c>
      <c r="C787" s="0" t="str">
        <f aca="false">IF(Data!D787="","HOLD",IF(AND(G786&lt;&gt;"IN",Data!E787&lt;-5),"BUY",IF(AND(G786="IN",Data!E787&gt;0),"SELL","HOLD")))</f>
        <v>HOLD</v>
      </c>
      <c r="D787" s="14" t="n">
        <f aca="false">IF(C787="BUY",B787,IF(G786="IN",D786,""))</f>
        <v>59.2</v>
      </c>
      <c r="E787" s="14" t="str">
        <f aca="false">IF(C787="SELL",B787,"")</f>
        <v/>
      </c>
      <c r="F787" s="14" t="str">
        <f aca="false">IF(E787="","",(E787-D787)/D787*100)</f>
        <v/>
      </c>
      <c r="G787" s="0" t="str">
        <f aca="false">IF(C787="BUY","IN",IF(C787="SELL","OUT",IF(G786="IN","IN","OUT")))</f>
        <v>IN</v>
      </c>
      <c r="H787" s="14" t="n">
        <f aca="false">H786+IF(F787="",0,F787)</f>
        <v>32.3739031221486</v>
      </c>
      <c r="I787" s="14" t="n">
        <f aca="false">MAX(I786,H787)</f>
        <v>32.3739031221486</v>
      </c>
      <c r="J787" s="14" t="n">
        <f aca="false">I787-H787</f>
        <v>0</v>
      </c>
    </row>
    <row r="788" customFormat="false" ht="15" hidden="false" customHeight="false" outlineLevel="0" collapsed="false">
      <c r="A788" s="12" t="n">
        <f aca="false">Data!A788</f>
        <v>43151</v>
      </c>
      <c r="B788" s="14" t="n">
        <f aca="false">Data!B788</f>
        <v>61.9</v>
      </c>
      <c r="C788" s="0" t="str">
        <f aca="false">IF(Data!D788="","HOLD",IF(AND(G787&lt;&gt;"IN",Data!E788&lt;-5),"BUY",IF(AND(G787="IN",Data!E788&gt;0),"SELL","HOLD")))</f>
        <v>HOLD</v>
      </c>
      <c r="D788" s="14" t="n">
        <f aca="false">IF(C788="BUY",B788,IF(G787="IN",D787,""))</f>
        <v>59.2</v>
      </c>
      <c r="E788" s="14" t="str">
        <f aca="false">IF(C788="SELL",B788,"")</f>
        <v/>
      </c>
      <c r="F788" s="14" t="str">
        <f aca="false">IF(E788="","",(E788-D788)/D788*100)</f>
        <v/>
      </c>
      <c r="G788" s="0" t="str">
        <f aca="false">IF(C788="BUY","IN",IF(C788="SELL","OUT",IF(G787="IN","IN","OUT")))</f>
        <v>IN</v>
      </c>
      <c r="H788" s="14" t="n">
        <f aca="false">H787+IF(F788="",0,F788)</f>
        <v>32.3739031221486</v>
      </c>
      <c r="I788" s="14" t="n">
        <f aca="false">MAX(I787,H788)</f>
        <v>32.3739031221486</v>
      </c>
      <c r="J788" s="14" t="n">
        <f aca="false">I788-H788</f>
        <v>0</v>
      </c>
    </row>
    <row r="789" customFormat="false" ht="15" hidden="false" customHeight="false" outlineLevel="0" collapsed="false">
      <c r="A789" s="12" t="n">
        <f aca="false">Data!A789</f>
        <v>43152</v>
      </c>
      <c r="B789" s="14" t="n">
        <f aca="false">Data!B789</f>
        <v>61.68</v>
      </c>
      <c r="C789" s="0" t="str">
        <f aca="false">IF(Data!D789="","HOLD",IF(AND(G788&lt;&gt;"IN",Data!E789&lt;-5),"BUY",IF(AND(G788="IN",Data!E789&gt;0),"SELL","HOLD")))</f>
        <v>HOLD</v>
      </c>
      <c r="D789" s="14" t="n">
        <f aca="false">IF(C789="BUY",B789,IF(G788="IN",D788,""))</f>
        <v>59.2</v>
      </c>
      <c r="E789" s="14" t="str">
        <f aca="false">IF(C789="SELL",B789,"")</f>
        <v/>
      </c>
      <c r="F789" s="14" t="str">
        <f aca="false">IF(E789="","",(E789-D789)/D789*100)</f>
        <v/>
      </c>
      <c r="G789" s="0" t="str">
        <f aca="false">IF(C789="BUY","IN",IF(C789="SELL","OUT",IF(G788="IN","IN","OUT")))</f>
        <v>IN</v>
      </c>
      <c r="H789" s="14" t="n">
        <f aca="false">H788+IF(F789="",0,F789)</f>
        <v>32.3739031221486</v>
      </c>
      <c r="I789" s="14" t="n">
        <f aca="false">MAX(I788,H789)</f>
        <v>32.3739031221486</v>
      </c>
      <c r="J789" s="14" t="n">
        <f aca="false">I789-H789</f>
        <v>0</v>
      </c>
    </row>
    <row r="790" customFormat="false" ht="15" hidden="false" customHeight="false" outlineLevel="0" collapsed="false">
      <c r="A790" s="12" t="n">
        <f aca="false">Data!A790</f>
        <v>43153</v>
      </c>
      <c r="B790" s="14" t="n">
        <f aca="false">Data!B790</f>
        <v>62.77</v>
      </c>
      <c r="C790" s="0" t="str">
        <f aca="false">IF(Data!D790="","HOLD",IF(AND(G789&lt;&gt;"IN",Data!E790&lt;-5),"BUY",IF(AND(G789="IN",Data!E790&gt;0),"SELL","HOLD")))</f>
        <v>HOLD</v>
      </c>
      <c r="D790" s="14" t="n">
        <f aca="false">IF(C790="BUY",B790,IF(G789="IN",D789,""))</f>
        <v>59.2</v>
      </c>
      <c r="E790" s="14" t="str">
        <f aca="false">IF(C790="SELL",B790,"")</f>
        <v/>
      </c>
      <c r="F790" s="14" t="str">
        <f aca="false">IF(E790="","",(E790-D790)/D790*100)</f>
        <v/>
      </c>
      <c r="G790" s="0" t="str">
        <f aca="false">IF(C790="BUY","IN",IF(C790="SELL","OUT",IF(G789="IN","IN","OUT")))</f>
        <v>IN</v>
      </c>
      <c r="H790" s="14" t="n">
        <f aca="false">H789+IF(F790="",0,F790)</f>
        <v>32.3739031221486</v>
      </c>
      <c r="I790" s="14" t="n">
        <f aca="false">MAX(I789,H790)</f>
        <v>32.3739031221486</v>
      </c>
      <c r="J790" s="14" t="n">
        <f aca="false">I790-H790</f>
        <v>0</v>
      </c>
    </row>
    <row r="791" customFormat="false" ht="15" hidden="false" customHeight="false" outlineLevel="0" collapsed="false">
      <c r="A791" s="12" t="n">
        <f aca="false">Data!A791</f>
        <v>43154</v>
      </c>
      <c r="B791" s="14" t="n">
        <f aca="false">Data!B791</f>
        <v>63.55</v>
      </c>
      <c r="C791" s="0" t="str">
        <f aca="false">IF(Data!D791="","HOLD",IF(AND(G790&lt;&gt;"IN",Data!E791&lt;-5),"BUY",IF(AND(G790="IN",Data!E791&gt;0),"SELL","HOLD")))</f>
        <v>SELL</v>
      </c>
      <c r="D791" s="14" t="n">
        <f aca="false">IF(C791="BUY",B791,IF(G790="IN",D790,""))</f>
        <v>59.2</v>
      </c>
      <c r="E791" s="14" t="n">
        <f aca="false">IF(C791="SELL",B791,"")</f>
        <v>63.55</v>
      </c>
      <c r="F791" s="14" t="n">
        <f aca="false">IF(E791="","",(E791-D791)/D791*100)</f>
        <v>7.34797297297296</v>
      </c>
      <c r="G791" s="0" t="str">
        <f aca="false">IF(C791="BUY","IN",IF(C791="SELL","OUT",IF(G790="IN","IN","OUT")))</f>
        <v>OUT</v>
      </c>
      <c r="H791" s="14" t="n">
        <f aca="false">H790+IF(F791="",0,F791)</f>
        <v>39.7218760951215</v>
      </c>
      <c r="I791" s="14" t="n">
        <f aca="false">MAX(I790,H791)</f>
        <v>39.7218760951215</v>
      </c>
      <c r="J791" s="14" t="n">
        <f aca="false">I791-H791</f>
        <v>0</v>
      </c>
    </row>
    <row r="792" customFormat="false" ht="15" hidden="false" customHeight="false" outlineLevel="0" collapsed="false">
      <c r="A792" s="12" t="n">
        <f aca="false">Data!A792</f>
        <v>43157</v>
      </c>
      <c r="B792" s="14" t="n">
        <f aca="false">Data!B792</f>
        <v>63.91</v>
      </c>
      <c r="C792" s="0" t="str">
        <f aca="false">IF(Data!D792="","HOLD",IF(AND(G791&lt;&gt;"IN",Data!E792&lt;-5),"BUY",IF(AND(G791="IN",Data!E792&gt;0),"SELL","HOLD")))</f>
        <v>HOLD</v>
      </c>
      <c r="D792" s="14" t="str">
        <f aca="false">IF(C792="BUY",B792,IF(G791="IN",D791,""))</f>
        <v/>
      </c>
      <c r="E792" s="14" t="str">
        <f aca="false">IF(C792="SELL",B792,"")</f>
        <v/>
      </c>
      <c r="F792" s="14" t="str">
        <f aca="false">IF(E792="","",(E792-D792)/D792*100)</f>
        <v/>
      </c>
      <c r="G792" s="0" t="str">
        <f aca="false">IF(C792="BUY","IN",IF(C792="SELL","OUT",IF(G791="IN","IN","OUT")))</f>
        <v>OUT</v>
      </c>
      <c r="H792" s="14" t="n">
        <f aca="false">H791+IF(F792="",0,F792)</f>
        <v>39.7218760951215</v>
      </c>
      <c r="I792" s="14" t="n">
        <f aca="false">MAX(I791,H792)</f>
        <v>39.7218760951215</v>
      </c>
      <c r="J792" s="14" t="n">
        <f aca="false">I792-H792</f>
        <v>0</v>
      </c>
    </row>
    <row r="793" customFormat="false" ht="15" hidden="false" customHeight="false" outlineLevel="0" collapsed="false">
      <c r="A793" s="12" t="n">
        <f aca="false">Data!A793</f>
        <v>43158</v>
      </c>
      <c r="B793" s="14" t="n">
        <f aca="false">Data!B793</f>
        <v>63.01</v>
      </c>
      <c r="C793" s="0" t="str">
        <f aca="false">IF(Data!D793="","HOLD",IF(AND(G792&lt;&gt;"IN",Data!E793&lt;-5),"BUY",IF(AND(G792="IN",Data!E793&gt;0),"SELL","HOLD")))</f>
        <v>HOLD</v>
      </c>
      <c r="D793" s="14" t="str">
        <f aca="false">IF(C793="BUY",B793,IF(G792="IN",D792,""))</f>
        <v/>
      </c>
      <c r="E793" s="14" t="str">
        <f aca="false">IF(C793="SELL",B793,"")</f>
        <v/>
      </c>
      <c r="F793" s="14" t="str">
        <f aca="false">IF(E793="","",(E793-D793)/D793*100)</f>
        <v/>
      </c>
      <c r="G793" s="0" t="str">
        <f aca="false">IF(C793="BUY","IN",IF(C793="SELL","OUT",IF(G792="IN","IN","OUT")))</f>
        <v>OUT</v>
      </c>
      <c r="H793" s="14" t="n">
        <f aca="false">H792+IF(F793="",0,F793)</f>
        <v>39.7218760951215</v>
      </c>
      <c r="I793" s="14" t="n">
        <f aca="false">MAX(I792,H793)</f>
        <v>39.7218760951215</v>
      </c>
      <c r="J793" s="14" t="n">
        <f aca="false">I793-H793</f>
        <v>0</v>
      </c>
    </row>
    <row r="794" customFormat="false" ht="15" hidden="false" customHeight="false" outlineLevel="0" collapsed="false">
      <c r="A794" s="12" t="n">
        <f aca="false">Data!A794</f>
        <v>43159</v>
      </c>
      <c r="B794" s="14" t="n">
        <f aca="false">Data!B794</f>
        <v>61.64</v>
      </c>
      <c r="C794" s="0" t="str">
        <f aca="false">IF(Data!D794="","HOLD",IF(AND(G793&lt;&gt;"IN",Data!E794&lt;-5),"BUY",IF(AND(G793="IN",Data!E794&gt;0),"SELL","HOLD")))</f>
        <v>HOLD</v>
      </c>
      <c r="D794" s="14" t="str">
        <f aca="false">IF(C794="BUY",B794,IF(G793="IN",D793,""))</f>
        <v/>
      </c>
      <c r="E794" s="14" t="str">
        <f aca="false">IF(C794="SELL",B794,"")</f>
        <v/>
      </c>
      <c r="F794" s="14" t="str">
        <f aca="false">IF(E794="","",(E794-D794)/D794*100)</f>
        <v/>
      </c>
      <c r="G794" s="0" t="str">
        <f aca="false">IF(C794="BUY","IN",IF(C794="SELL","OUT",IF(G793="IN","IN","OUT")))</f>
        <v>OUT</v>
      </c>
      <c r="H794" s="14" t="n">
        <f aca="false">H793+IF(F794="",0,F794)</f>
        <v>39.7218760951215</v>
      </c>
      <c r="I794" s="14" t="n">
        <f aca="false">MAX(I793,H794)</f>
        <v>39.7218760951215</v>
      </c>
      <c r="J794" s="14" t="n">
        <f aca="false">I794-H794</f>
        <v>0</v>
      </c>
    </row>
    <row r="795" customFormat="false" ht="15" hidden="false" customHeight="false" outlineLevel="0" collapsed="false">
      <c r="A795" s="12" t="n">
        <f aca="false">Data!A795</f>
        <v>43160</v>
      </c>
      <c r="B795" s="14" t="n">
        <f aca="false">Data!B795</f>
        <v>60.99</v>
      </c>
      <c r="C795" s="0" t="str">
        <f aca="false">IF(Data!D795="","HOLD",IF(AND(G794&lt;&gt;"IN",Data!E795&lt;-5),"BUY",IF(AND(G794="IN",Data!E795&gt;0),"SELL","HOLD")))</f>
        <v>HOLD</v>
      </c>
      <c r="D795" s="14" t="str">
        <f aca="false">IF(C795="BUY",B795,IF(G794="IN",D794,""))</f>
        <v/>
      </c>
      <c r="E795" s="14" t="str">
        <f aca="false">IF(C795="SELL",B795,"")</f>
        <v/>
      </c>
      <c r="F795" s="14" t="str">
        <f aca="false">IF(E795="","",(E795-D795)/D795*100)</f>
        <v/>
      </c>
      <c r="G795" s="0" t="str">
        <f aca="false">IF(C795="BUY","IN",IF(C795="SELL","OUT",IF(G794="IN","IN","OUT")))</f>
        <v>OUT</v>
      </c>
      <c r="H795" s="14" t="n">
        <f aca="false">H794+IF(F795="",0,F795)</f>
        <v>39.7218760951215</v>
      </c>
      <c r="I795" s="14" t="n">
        <f aca="false">MAX(I794,H795)</f>
        <v>39.7218760951215</v>
      </c>
      <c r="J795" s="14" t="n">
        <f aca="false">I795-H795</f>
        <v>0</v>
      </c>
    </row>
    <row r="796" customFormat="false" ht="15" hidden="false" customHeight="false" outlineLevel="0" collapsed="false">
      <c r="A796" s="12" t="n">
        <f aca="false">Data!A796</f>
        <v>43161</v>
      </c>
      <c r="B796" s="14" t="n">
        <f aca="false">Data!B796</f>
        <v>61.25</v>
      </c>
      <c r="C796" s="0" t="str">
        <f aca="false">IF(Data!D796="","HOLD",IF(AND(G795&lt;&gt;"IN",Data!E796&lt;-5),"BUY",IF(AND(G795="IN",Data!E796&gt;0),"SELL","HOLD")))</f>
        <v>HOLD</v>
      </c>
      <c r="D796" s="14" t="str">
        <f aca="false">IF(C796="BUY",B796,IF(G795="IN",D795,""))</f>
        <v/>
      </c>
      <c r="E796" s="14" t="str">
        <f aca="false">IF(C796="SELL",B796,"")</f>
        <v/>
      </c>
      <c r="F796" s="14" t="str">
        <f aca="false">IF(E796="","",(E796-D796)/D796*100)</f>
        <v/>
      </c>
      <c r="G796" s="0" t="str">
        <f aca="false">IF(C796="BUY","IN",IF(C796="SELL","OUT",IF(G795="IN","IN","OUT")))</f>
        <v>OUT</v>
      </c>
      <c r="H796" s="14" t="n">
        <f aca="false">H795+IF(F796="",0,F796)</f>
        <v>39.7218760951215</v>
      </c>
      <c r="I796" s="14" t="n">
        <f aca="false">MAX(I795,H796)</f>
        <v>39.7218760951215</v>
      </c>
      <c r="J796" s="14" t="n">
        <f aca="false">I796-H796</f>
        <v>0</v>
      </c>
    </row>
    <row r="797" customFormat="false" ht="15" hidden="false" customHeight="false" outlineLevel="0" collapsed="false">
      <c r="A797" s="12" t="n">
        <f aca="false">Data!A797</f>
        <v>43164</v>
      </c>
      <c r="B797" s="14" t="n">
        <f aca="false">Data!B797</f>
        <v>62.57</v>
      </c>
      <c r="C797" s="0" t="str">
        <f aca="false">IF(Data!D797="","HOLD",IF(AND(G796&lt;&gt;"IN",Data!E797&lt;-5),"BUY",IF(AND(G796="IN",Data!E797&gt;0),"SELL","HOLD")))</f>
        <v>HOLD</v>
      </c>
      <c r="D797" s="14" t="str">
        <f aca="false">IF(C797="BUY",B797,IF(G796="IN",D796,""))</f>
        <v/>
      </c>
      <c r="E797" s="14" t="str">
        <f aca="false">IF(C797="SELL",B797,"")</f>
        <v/>
      </c>
      <c r="F797" s="14" t="str">
        <f aca="false">IF(E797="","",(E797-D797)/D797*100)</f>
        <v/>
      </c>
      <c r="G797" s="0" t="str">
        <f aca="false">IF(C797="BUY","IN",IF(C797="SELL","OUT",IF(G796="IN","IN","OUT")))</f>
        <v>OUT</v>
      </c>
      <c r="H797" s="14" t="n">
        <f aca="false">H796+IF(F797="",0,F797)</f>
        <v>39.7218760951215</v>
      </c>
      <c r="I797" s="14" t="n">
        <f aca="false">MAX(I796,H797)</f>
        <v>39.7218760951215</v>
      </c>
      <c r="J797" s="14" t="n">
        <f aca="false">I797-H797</f>
        <v>0</v>
      </c>
    </row>
    <row r="798" customFormat="false" ht="15" hidden="false" customHeight="false" outlineLevel="0" collapsed="false">
      <c r="A798" s="12" t="n">
        <f aca="false">Data!A798</f>
        <v>43165</v>
      </c>
      <c r="B798" s="14" t="n">
        <f aca="false">Data!B798</f>
        <v>62.6</v>
      </c>
      <c r="C798" s="0" t="str">
        <f aca="false">IF(Data!D798="","HOLD",IF(AND(G797&lt;&gt;"IN",Data!E798&lt;-5),"BUY",IF(AND(G797="IN",Data!E798&gt;0),"SELL","HOLD")))</f>
        <v>HOLD</v>
      </c>
      <c r="D798" s="14" t="str">
        <f aca="false">IF(C798="BUY",B798,IF(G797="IN",D797,""))</f>
        <v/>
      </c>
      <c r="E798" s="14" t="str">
        <f aca="false">IF(C798="SELL",B798,"")</f>
        <v/>
      </c>
      <c r="F798" s="14" t="str">
        <f aca="false">IF(E798="","",(E798-D798)/D798*100)</f>
        <v/>
      </c>
      <c r="G798" s="0" t="str">
        <f aca="false">IF(C798="BUY","IN",IF(C798="SELL","OUT",IF(G797="IN","IN","OUT")))</f>
        <v>OUT</v>
      </c>
      <c r="H798" s="14" t="n">
        <f aca="false">H797+IF(F798="",0,F798)</f>
        <v>39.7218760951215</v>
      </c>
      <c r="I798" s="14" t="n">
        <f aca="false">MAX(I797,H798)</f>
        <v>39.7218760951215</v>
      </c>
      <c r="J798" s="14" t="n">
        <f aca="false">I798-H798</f>
        <v>0</v>
      </c>
    </row>
    <row r="799" customFormat="false" ht="15" hidden="false" customHeight="false" outlineLevel="0" collapsed="false">
      <c r="A799" s="12" t="n">
        <f aca="false">Data!A799</f>
        <v>43166</v>
      </c>
      <c r="B799" s="14" t="n">
        <f aca="false">Data!B799</f>
        <v>61.15</v>
      </c>
      <c r="C799" s="0" t="str">
        <f aca="false">IF(Data!D799="","HOLD",IF(AND(G798&lt;&gt;"IN",Data!E799&lt;-5),"BUY",IF(AND(G798="IN",Data!E799&gt;0),"SELL","HOLD")))</f>
        <v>HOLD</v>
      </c>
      <c r="D799" s="14" t="str">
        <f aca="false">IF(C799="BUY",B799,IF(G798="IN",D798,""))</f>
        <v/>
      </c>
      <c r="E799" s="14" t="str">
        <f aca="false">IF(C799="SELL",B799,"")</f>
        <v/>
      </c>
      <c r="F799" s="14" t="str">
        <f aca="false">IF(E799="","",(E799-D799)/D799*100)</f>
        <v/>
      </c>
      <c r="G799" s="0" t="str">
        <f aca="false">IF(C799="BUY","IN",IF(C799="SELL","OUT",IF(G798="IN","IN","OUT")))</f>
        <v>OUT</v>
      </c>
      <c r="H799" s="14" t="n">
        <f aca="false">H798+IF(F799="",0,F799)</f>
        <v>39.7218760951215</v>
      </c>
      <c r="I799" s="14" t="n">
        <f aca="false">MAX(I798,H799)</f>
        <v>39.7218760951215</v>
      </c>
      <c r="J799" s="14" t="n">
        <f aca="false">I799-H799</f>
        <v>0</v>
      </c>
    </row>
    <row r="800" customFormat="false" ht="15" hidden="false" customHeight="false" outlineLevel="0" collapsed="false">
      <c r="A800" s="12" t="n">
        <f aca="false">Data!A800</f>
        <v>43167</v>
      </c>
      <c r="B800" s="14" t="n">
        <f aca="false">Data!B800</f>
        <v>60.12</v>
      </c>
      <c r="C800" s="0" t="str">
        <f aca="false">IF(Data!D800="","HOLD",IF(AND(G799&lt;&gt;"IN",Data!E800&lt;-5),"BUY",IF(AND(G799="IN",Data!E800&gt;0),"SELL","HOLD")))</f>
        <v>HOLD</v>
      </c>
      <c r="D800" s="14" t="str">
        <f aca="false">IF(C800="BUY",B800,IF(G799="IN",D799,""))</f>
        <v/>
      </c>
      <c r="E800" s="14" t="str">
        <f aca="false">IF(C800="SELL",B800,"")</f>
        <v/>
      </c>
      <c r="F800" s="14" t="str">
        <f aca="false">IF(E800="","",(E800-D800)/D800*100)</f>
        <v/>
      </c>
      <c r="G800" s="0" t="str">
        <f aca="false">IF(C800="BUY","IN",IF(C800="SELL","OUT",IF(G799="IN","IN","OUT")))</f>
        <v>OUT</v>
      </c>
      <c r="H800" s="14" t="n">
        <f aca="false">H799+IF(F800="",0,F800)</f>
        <v>39.7218760951215</v>
      </c>
      <c r="I800" s="14" t="n">
        <f aca="false">MAX(I799,H800)</f>
        <v>39.7218760951215</v>
      </c>
      <c r="J800" s="14" t="n">
        <f aca="false">I800-H800</f>
        <v>0</v>
      </c>
    </row>
    <row r="801" customFormat="false" ht="15" hidden="false" customHeight="false" outlineLevel="0" collapsed="false">
      <c r="A801" s="12" t="n">
        <f aca="false">Data!A801</f>
        <v>43168</v>
      </c>
      <c r="B801" s="14" t="n">
        <f aca="false">Data!B801</f>
        <v>62.04</v>
      </c>
      <c r="C801" s="0" t="str">
        <f aca="false">IF(Data!D801="","HOLD",IF(AND(G800&lt;&gt;"IN",Data!E801&lt;-5),"BUY",IF(AND(G800="IN",Data!E801&gt;0),"SELL","HOLD")))</f>
        <v>HOLD</v>
      </c>
      <c r="D801" s="14" t="str">
        <f aca="false">IF(C801="BUY",B801,IF(G800="IN",D800,""))</f>
        <v/>
      </c>
      <c r="E801" s="14" t="str">
        <f aca="false">IF(C801="SELL",B801,"")</f>
        <v/>
      </c>
      <c r="F801" s="14" t="str">
        <f aca="false">IF(E801="","",(E801-D801)/D801*100)</f>
        <v/>
      </c>
      <c r="G801" s="0" t="str">
        <f aca="false">IF(C801="BUY","IN",IF(C801="SELL","OUT",IF(G800="IN","IN","OUT")))</f>
        <v>OUT</v>
      </c>
      <c r="H801" s="14" t="n">
        <f aca="false">H800+IF(F801="",0,F801)</f>
        <v>39.7218760951215</v>
      </c>
      <c r="I801" s="14" t="n">
        <f aca="false">MAX(I800,H801)</f>
        <v>39.7218760951215</v>
      </c>
      <c r="J801" s="14" t="n">
        <f aca="false">I801-H801</f>
        <v>0</v>
      </c>
    </row>
    <row r="802" customFormat="false" ht="15" hidden="false" customHeight="false" outlineLevel="0" collapsed="false">
      <c r="A802" s="12" t="n">
        <f aca="false">Data!A802</f>
        <v>43171</v>
      </c>
      <c r="B802" s="14" t="n">
        <f aca="false">Data!B802</f>
        <v>61.36</v>
      </c>
      <c r="C802" s="0" t="str">
        <f aca="false">IF(Data!D802="","HOLD",IF(AND(G801&lt;&gt;"IN",Data!E802&lt;-5),"BUY",IF(AND(G801="IN",Data!E802&gt;0),"SELL","HOLD")))</f>
        <v>HOLD</v>
      </c>
      <c r="D802" s="14" t="str">
        <f aca="false">IF(C802="BUY",B802,IF(G801="IN",D801,""))</f>
        <v/>
      </c>
      <c r="E802" s="14" t="str">
        <f aca="false">IF(C802="SELL",B802,"")</f>
        <v/>
      </c>
      <c r="F802" s="14" t="str">
        <f aca="false">IF(E802="","",(E802-D802)/D802*100)</f>
        <v/>
      </c>
      <c r="G802" s="0" t="str">
        <f aca="false">IF(C802="BUY","IN",IF(C802="SELL","OUT",IF(G801="IN","IN","OUT")))</f>
        <v>OUT</v>
      </c>
      <c r="H802" s="14" t="n">
        <f aca="false">H801+IF(F802="",0,F802)</f>
        <v>39.7218760951215</v>
      </c>
      <c r="I802" s="14" t="n">
        <f aca="false">MAX(I801,H802)</f>
        <v>39.7218760951215</v>
      </c>
      <c r="J802" s="14" t="n">
        <f aca="false">I802-H802</f>
        <v>0</v>
      </c>
    </row>
    <row r="803" customFormat="false" ht="15" hidden="false" customHeight="false" outlineLevel="0" collapsed="false">
      <c r="A803" s="12" t="n">
        <f aca="false">Data!A803</f>
        <v>43172</v>
      </c>
      <c r="B803" s="14" t="n">
        <f aca="false">Data!B803</f>
        <v>60.71</v>
      </c>
      <c r="C803" s="0" t="str">
        <f aca="false">IF(Data!D803="","HOLD",IF(AND(G802&lt;&gt;"IN",Data!E803&lt;-5),"BUY",IF(AND(G802="IN",Data!E803&gt;0),"SELL","HOLD")))</f>
        <v>HOLD</v>
      </c>
      <c r="D803" s="14" t="str">
        <f aca="false">IF(C803="BUY",B803,IF(G802="IN",D802,""))</f>
        <v/>
      </c>
      <c r="E803" s="14" t="str">
        <f aca="false">IF(C803="SELL",B803,"")</f>
        <v/>
      </c>
      <c r="F803" s="14" t="str">
        <f aca="false">IF(E803="","",(E803-D803)/D803*100)</f>
        <v/>
      </c>
      <c r="G803" s="0" t="str">
        <f aca="false">IF(C803="BUY","IN",IF(C803="SELL","OUT",IF(G802="IN","IN","OUT")))</f>
        <v>OUT</v>
      </c>
      <c r="H803" s="14" t="n">
        <f aca="false">H802+IF(F803="",0,F803)</f>
        <v>39.7218760951215</v>
      </c>
      <c r="I803" s="14" t="n">
        <f aca="false">MAX(I802,H803)</f>
        <v>39.7218760951215</v>
      </c>
      <c r="J803" s="14" t="n">
        <f aca="false">I803-H803</f>
        <v>0</v>
      </c>
    </row>
    <row r="804" customFormat="false" ht="15" hidden="false" customHeight="false" outlineLevel="0" collapsed="false">
      <c r="A804" s="12" t="n">
        <f aca="false">Data!A804</f>
        <v>43173</v>
      </c>
      <c r="B804" s="14" t="n">
        <f aca="false">Data!B804</f>
        <v>60.96</v>
      </c>
      <c r="C804" s="0" t="str">
        <f aca="false">IF(Data!D804="","HOLD",IF(AND(G803&lt;&gt;"IN",Data!E804&lt;-5),"BUY",IF(AND(G803="IN",Data!E804&gt;0),"SELL","HOLD")))</f>
        <v>HOLD</v>
      </c>
      <c r="D804" s="14" t="str">
        <f aca="false">IF(C804="BUY",B804,IF(G803="IN",D803,""))</f>
        <v/>
      </c>
      <c r="E804" s="14" t="str">
        <f aca="false">IF(C804="SELL",B804,"")</f>
        <v/>
      </c>
      <c r="F804" s="14" t="str">
        <f aca="false">IF(E804="","",(E804-D804)/D804*100)</f>
        <v/>
      </c>
      <c r="G804" s="0" t="str">
        <f aca="false">IF(C804="BUY","IN",IF(C804="SELL","OUT",IF(G803="IN","IN","OUT")))</f>
        <v>OUT</v>
      </c>
      <c r="H804" s="14" t="n">
        <f aca="false">H803+IF(F804="",0,F804)</f>
        <v>39.7218760951215</v>
      </c>
      <c r="I804" s="14" t="n">
        <f aca="false">MAX(I803,H804)</f>
        <v>39.7218760951215</v>
      </c>
      <c r="J804" s="14" t="n">
        <f aca="false">I804-H804</f>
        <v>0</v>
      </c>
    </row>
    <row r="805" customFormat="false" ht="15" hidden="false" customHeight="false" outlineLevel="0" collapsed="false">
      <c r="A805" s="12" t="n">
        <f aca="false">Data!A805</f>
        <v>43174</v>
      </c>
      <c r="B805" s="14" t="n">
        <f aca="false">Data!B805</f>
        <v>61.19</v>
      </c>
      <c r="C805" s="0" t="str">
        <f aca="false">IF(Data!D805="","HOLD",IF(AND(G804&lt;&gt;"IN",Data!E805&lt;-5),"BUY",IF(AND(G804="IN",Data!E805&gt;0),"SELL","HOLD")))</f>
        <v>HOLD</v>
      </c>
      <c r="D805" s="14" t="str">
        <f aca="false">IF(C805="BUY",B805,IF(G804="IN",D804,""))</f>
        <v/>
      </c>
      <c r="E805" s="14" t="str">
        <f aca="false">IF(C805="SELL",B805,"")</f>
        <v/>
      </c>
      <c r="F805" s="14" t="str">
        <f aca="false">IF(E805="","",(E805-D805)/D805*100)</f>
        <v/>
      </c>
      <c r="G805" s="0" t="str">
        <f aca="false">IF(C805="BUY","IN",IF(C805="SELL","OUT",IF(G804="IN","IN","OUT")))</f>
        <v>OUT</v>
      </c>
      <c r="H805" s="14" t="n">
        <f aca="false">H804+IF(F805="",0,F805)</f>
        <v>39.7218760951215</v>
      </c>
      <c r="I805" s="14" t="n">
        <f aca="false">MAX(I804,H805)</f>
        <v>39.7218760951215</v>
      </c>
      <c r="J805" s="14" t="n">
        <f aca="false">I805-H805</f>
        <v>0</v>
      </c>
    </row>
    <row r="806" customFormat="false" ht="15" hidden="false" customHeight="false" outlineLevel="0" collapsed="false">
      <c r="A806" s="12" t="n">
        <f aca="false">Data!A806</f>
        <v>43175</v>
      </c>
      <c r="B806" s="14" t="n">
        <f aca="false">Data!B806</f>
        <v>62.34</v>
      </c>
      <c r="C806" s="0" t="str">
        <f aca="false">IF(Data!D806="","HOLD",IF(AND(G805&lt;&gt;"IN",Data!E806&lt;-5),"BUY",IF(AND(G805="IN",Data!E806&gt;0),"SELL","HOLD")))</f>
        <v>HOLD</v>
      </c>
      <c r="D806" s="14" t="str">
        <f aca="false">IF(C806="BUY",B806,IF(G805="IN",D805,""))</f>
        <v/>
      </c>
      <c r="E806" s="14" t="str">
        <f aca="false">IF(C806="SELL",B806,"")</f>
        <v/>
      </c>
      <c r="F806" s="14" t="str">
        <f aca="false">IF(E806="","",(E806-D806)/D806*100)</f>
        <v/>
      </c>
      <c r="G806" s="0" t="str">
        <f aca="false">IF(C806="BUY","IN",IF(C806="SELL","OUT",IF(G805="IN","IN","OUT")))</f>
        <v>OUT</v>
      </c>
      <c r="H806" s="14" t="n">
        <f aca="false">H805+IF(F806="",0,F806)</f>
        <v>39.7218760951215</v>
      </c>
      <c r="I806" s="14" t="n">
        <f aca="false">MAX(I805,H806)</f>
        <v>39.7218760951215</v>
      </c>
      <c r="J806" s="14" t="n">
        <f aca="false">I806-H806</f>
        <v>0</v>
      </c>
    </row>
    <row r="807" customFormat="false" ht="15" hidden="false" customHeight="false" outlineLevel="0" collapsed="false">
      <c r="A807" s="12" t="n">
        <f aca="false">Data!A807</f>
        <v>43178</v>
      </c>
      <c r="B807" s="14" t="n">
        <f aca="false">Data!B807</f>
        <v>62.06</v>
      </c>
      <c r="C807" s="0" t="str">
        <f aca="false">IF(Data!D807="","HOLD",IF(AND(G806&lt;&gt;"IN",Data!E807&lt;-5),"BUY",IF(AND(G806="IN",Data!E807&gt;0),"SELL","HOLD")))</f>
        <v>HOLD</v>
      </c>
      <c r="D807" s="14" t="str">
        <f aca="false">IF(C807="BUY",B807,IF(G806="IN",D806,""))</f>
        <v/>
      </c>
      <c r="E807" s="14" t="str">
        <f aca="false">IF(C807="SELL",B807,"")</f>
        <v/>
      </c>
      <c r="F807" s="14" t="str">
        <f aca="false">IF(E807="","",(E807-D807)/D807*100)</f>
        <v/>
      </c>
      <c r="G807" s="0" t="str">
        <f aca="false">IF(C807="BUY","IN",IF(C807="SELL","OUT",IF(G806="IN","IN","OUT")))</f>
        <v>OUT</v>
      </c>
      <c r="H807" s="14" t="n">
        <f aca="false">H806+IF(F807="",0,F807)</f>
        <v>39.7218760951215</v>
      </c>
      <c r="I807" s="14" t="n">
        <f aca="false">MAX(I806,H807)</f>
        <v>39.7218760951215</v>
      </c>
      <c r="J807" s="14" t="n">
        <f aca="false">I807-H807</f>
        <v>0</v>
      </c>
    </row>
    <row r="808" customFormat="false" ht="15" hidden="false" customHeight="false" outlineLevel="0" collapsed="false">
      <c r="A808" s="12" t="n">
        <f aca="false">Data!A808</f>
        <v>43179</v>
      </c>
      <c r="B808" s="14" t="n">
        <f aca="false">Data!B808</f>
        <v>63.4</v>
      </c>
      <c r="C808" s="0" t="str">
        <f aca="false">IF(Data!D808="","HOLD",IF(AND(G807&lt;&gt;"IN",Data!E808&lt;-5),"BUY",IF(AND(G807="IN",Data!E808&gt;0),"SELL","HOLD")))</f>
        <v>HOLD</v>
      </c>
      <c r="D808" s="14" t="str">
        <f aca="false">IF(C808="BUY",B808,IF(G807="IN",D807,""))</f>
        <v/>
      </c>
      <c r="E808" s="14" t="str">
        <f aca="false">IF(C808="SELL",B808,"")</f>
        <v/>
      </c>
      <c r="F808" s="14" t="str">
        <f aca="false">IF(E808="","",(E808-D808)/D808*100)</f>
        <v/>
      </c>
      <c r="G808" s="0" t="str">
        <f aca="false">IF(C808="BUY","IN",IF(C808="SELL","OUT",IF(G807="IN","IN","OUT")))</f>
        <v>OUT</v>
      </c>
      <c r="H808" s="14" t="n">
        <f aca="false">H807+IF(F808="",0,F808)</f>
        <v>39.7218760951215</v>
      </c>
      <c r="I808" s="14" t="n">
        <f aca="false">MAX(I807,H808)</f>
        <v>39.7218760951215</v>
      </c>
      <c r="J808" s="14" t="n">
        <f aca="false">I808-H808</f>
        <v>0</v>
      </c>
    </row>
    <row r="809" customFormat="false" ht="15" hidden="false" customHeight="false" outlineLevel="0" collapsed="false">
      <c r="A809" s="12" t="n">
        <f aca="false">Data!A809</f>
        <v>43180</v>
      </c>
      <c r="B809" s="14" t="n">
        <f aca="false">Data!B809</f>
        <v>65.17</v>
      </c>
      <c r="C809" s="0" t="str">
        <f aca="false">IF(Data!D809="","HOLD",IF(AND(G808&lt;&gt;"IN",Data!E809&lt;-5),"BUY",IF(AND(G808="IN",Data!E809&gt;0),"SELL","HOLD")))</f>
        <v>HOLD</v>
      </c>
      <c r="D809" s="14" t="str">
        <f aca="false">IF(C809="BUY",B809,IF(G808="IN",D808,""))</f>
        <v/>
      </c>
      <c r="E809" s="14" t="str">
        <f aca="false">IF(C809="SELL",B809,"")</f>
        <v/>
      </c>
      <c r="F809" s="14" t="str">
        <f aca="false">IF(E809="","",(E809-D809)/D809*100)</f>
        <v/>
      </c>
      <c r="G809" s="0" t="str">
        <f aca="false">IF(C809="BUY","IN",IF(C809="SELL","OUT",IF(G808="IN","IN","OUT")))</f>
        <v>OUT</v>
      </c>
      <c r="H809" s="14" t="n">
        <f aca="false">H808+IF(F809="",0,F809)</f>
        <v>39.7218760951215</v>
      </c>
      <c r="I809" s="14" t="n">
        <f aca="false">MAX(I808,H809)</f>
        <v>39.7218760951215</v>
      </c>
      <c r="J809" s="14" t="n">
        <f aca="false">I809-H809</f>
        <v>0</v>
      </c>
    </row>
    <row r="810" customFormat="false" ht="15" hidden="false" customHeight="false" outlineLevel="0" collapsed="false">
      <c r="A810" s="12" t="n">
        <f aca="false">Data!A810</f>
        <v>43181</v>
      </c>
      <c r="B810" s="14" t="n">
        <f aca="false">Data!B810</f>
        <v>64.3</v>
      </c>
      <c r="C810" s="0" t="str">
        <f aca="false">IF(Data!D810="","HOLD",IF(AND(G809&lt;&gt;"IN",Data!E810&lt;-5),"BUY",IF(AND(G809="IN",Data!E810&gt;0),"SELL","HOLD")))</f>
        <v>HOLD</v>
      </c>
      <c r="D810" s="14" t="str">
        <f aca="false">IF(C810="BUY",B810,IF(G809="IN",D809,""))</f>
        <v/>
      </c>
      <c r="E810" s="14" t="str">
        <f aca="false">IF(C810="SELL",B810,"")</f>
        <v/>
      </c>
      <c r="F810" s="14" t="str">
        <f aca="false">IF(E810="","",(E810-D810)/D810*100)</f>
        <v/>
      </c>
      <c r="G810" s="0" t="str">
        <f aca="false">IF(C810="BUY","IN",IF(C810="SELL","OUT",IF(G809="IN","IN","OUT")))</f>
        <v>OUT</v>
      </c>
      <c r="H810" s="14" t="n">
        <f aca="false">H809+IF(F810="",0,F810)</f>
        <v>39.7218760951215</v>
      </c>
      <c r="I810" s="14" t="n">
        <f aca="false">MAX(I809,H810)</f>
        <v>39.7218760951215</v>
      </c>
      <c r="J810" s="14" t="n">
        <f aca="false">I810-H810</f>
        <v>0</v>
      </c>
    </row>
    <row r="811" customFormat="false" ht="15" hidden="false" customHeight="false" outlineLevel="0" collapsed="false">
      <c r="A811" s="12" t="n">
        <f aca="false">Data!A811</f>
        <v>43182</v>
      </c>
      <c r="B811" s="14" t="n">
        <f aca="false">Data!B811</f>
        <v>65.88</v>
      </c>
      <c r="C811" s="0" t="str">
        <f aca="false">IF(Data!D811="","HOLD",IF(AND(G810&lt;&gt;"IN",Data!E811&lt;-5),"BUY",IF(AND(G810="IN",Data!E811&gt;0),"SELL","HOLD")))</f>
        <v>HOLD</v>
      </c>
      <c r="D811" s="14" t="str">
        <f aca="false">IF(C811="BUY",B811,IF(G810="IN",D810,""))</f>
        <v/>
      </c>
      <c r="E811" s="14" t="str">
        <f aca="false">IF(C811="SELL",B811,"")</f>
        <v/>
      </c>
      <c r="F811" s="14" t="str">
        <f aca="false">IF(E811="","",(E811-D811)/D811*100)</f>
        <v/>
      </c>
      <c r="G811" s="0" t="str">
        <f aca="false">IF(C811="BUY","IN",IF(C811="SELL","OUT",IF(G810="IN","IN","OUT")))</f>
        <v>OUT</v>
      </c>
      <c r="H811" s="14" t="n">
        <f aca="false">H810+IF(F811="",0,F811)</f>
        <v>39.7218760951215</v>
      </c>
      <c r="I811" s="14" t="n">
        <f aca="false">MAX(I810,H811)</f>
        <v>39.7218760951215</v>
      </c>
      <c r="J811" s="14" t="n">
        <f aca="false">I811-H811</f>
        <v>0</v>
      </c>
    </row>
    <row r="812" customFormat="false" ht="15" hidden="false" customHeight="false" outlineLevel="0" collapsed="false">
      <c r="A812" s="12" t="n">
        <f aca="false">Data!A812</f>
        <v>43185</v>
      </c>
      <c r="B812" s="14" t="n">
        <f aca="false">Data!B812</f>
        <v>65.55</v>
      </c>
      <c r="C812" s="0" t="str">
        <f aca="false">IF(Data!D812="","HOLD",IF(AND(G811&lt;&gt;"IN",Data!E812&lt;-5),"BUY",IF(AND(G811="IN",Data!E812&gt;0),"SELL","HOLD")))</f>
        <v>HOLD</v>
      </c>
      <c r="D812" s="14" t="str">
        <f aca="false">IF(C812="BUY",B812,IF(G811="IN",D811,""))</f>
        <v/>
      </c>
      <c r="E812" s="14" t="str">
        <f aca="false">IF(C812="SELL",B812,"")</f>
        <v/>
      </c>
      <c r="F812" s="14" t="str">
        <f aca="false">IF(E812="","",(E812-D812)/D812*100)</f>
        <v/>
      </c>
      <c r="G812" s="0" t="str">
        <f aca="false">IF(C812="BUY","IN",IF(C812="SELL","OUT",IF(G811="IN","IN","OUT")))</f>
        <v>OUT</v>
      </c>
      <c r="H812" s="14" t="n">
        <f aca="false">H811+IF(F812="",0,F812)</f>
        <v>39.7218760951215</v>
      </c>
      <c r="I812" s="14" t="n">
        <f aca="false">MAX(I811,H812)</f>
        <v>39.7218760951215</v>
      </c>
      <c r="J812" s="14" t="n">
        <f aca="false">I812-H812</f>
        <v>0</v>
      </c>
    </row>
    <row r="813" customFormat="false" ht="15" hidden="false" customHeight="false" outlineLevel="0" collapsed="false">
      <c r="A813" s="12" t="n">
        <f aca="false">Data!A813</f>
        <v>43186</v>
      </c>
      <c r="B813" s="14" t="n">
        <f aca="false">Data!B813</f>
        <v>65.25</v>
      </c>
      <c r="C813" s="0" t="str">
        <f aca="false">IF(Data!D813="","HOLD",IF(AND(G812&lt;&gt;"IN",Data!E813&lt;-5),"BUY",IF(AND(G812="IN",Data!E813&gt;0),"SELL","HOLD")))</f>
        <v>HOLD</v>
      </c>
      <c r="D813" s="14" t="str">
        <f aca="false">IF(C813="BUY",B813,IF(G812="IN",D812,""))</f>
        <v/>
      </c>
      <c r="E813" s="14" t="str">
        <f aca="false">IF(C813="SELL",B813,"")</f>
        <v/>
      </c>
      <c r="F813" s="14" t="str">
        <f aca="false">IF(E813="","",(E813-D813)/D813*100)</f>
        <v/>
      </c>
      <c r="G813" s="0" t="str">
        <f aca="false">IF(C813="BUY","IN",IF(C813="SELL","OUT",IF(G812="IN","IN","OUT")))</f>
        <v>OUT</v>
      </c>
      <c r="H813" s="14" t="n">
        <f aca="false">H812+IF(F813="",0,F813)</f>
        <v>39.7218760951215</v>
      </c>
      <c r="I813" s="14" t="n">
        <f aca="false">MAX(I812,H813)</f>
        <v>39.7218760951215</v>
      </c>
      <c r="J813" s="14" t="n">
        <f aca="false">I813-H813</f>
        <v>0</v>
      </c>
    </row>
    <row r="814" customFormat="false" ht="15" hidden="false" customHeight="false" outlineLevel="0" collapsed="false">
      <c r="A814" s="12" t="n">
        <f aca="false">Data!A814</f>
        <v>43187</v>
      </c>
      <c r="B814" s="14" t="n">
        <f aca="false">Data!B814</f>
        <v>64.38</v>
      </c>
      <c r="C814" s="0" t="str">
        <f aca="false">IF(Data!D814="","HOLD",IF(AND(G813&lt;&gt;"IN",Data!E814&lt;-5),"BUY",IF(AND(G813="IN",Data!E814&gt;0),"SELL","HOLD")))</f>
        <v>HOLD</v>
      </c>
      <c r="D814" s="14" t="str">
        <f aca="false">IF(C814="BUY",B814,IF(G813="IN",D813,""))</f>
        <v/>
      </c>
      <c r="E814" s="14" t="str">
        <f aca="false">IF(C814="SELL",B814,"")</f>
        <v/>
      </c>
      <c r="F814" s="14" t="str">
        <f aca="false">IF(E814="","",(E814-D814)/D814*100)</f>
        <v/>
      </c>
      <c r="G814" s="0" t="str">
        <f aca="false">IF(C814="BUY","IN",IF(C814="SELL","OUT",IF(G813="IN","IN","OUT")))</f>
        <v>OUT</v>
      </c>
      <c r="H814" s="14" t="n">
        <f aca="false">H813+IF(F814="",0,F814)</f>
        <v>39.7218760951215</v>
      </c>
      <c r="I814" s="14" t="n">
        <f aca="false">MAX(I813,H814)</f>
        <v>39.7218760951215</v>
      </c>
      <c r="J814" s="14" t="n">
        <f aca="false">I814-H814</f>
        <v>0</v>
      </c>
    </row>
    <row r="815" customFormat="false" ht="15" hidden="false" customHeight="false" outlineLevel="0" collapsed="false">
      <c r="A815" s="12" t="n">
        <f aca="false">Data!A815</f>
        <v>43188</v>
      </c>
      <c r="B815" s="14" t="n">
        <f aca="false">Data!B815</f>
        <v>64.94</v>
      </c>
      <c r="C815" s="0" t="str">
        <f aca="false">IF(Data!D815="","HOLD",IF(AND(G814&lt;&gt;"IN",Data!E815&lt;-5),"BUY",IF(AND(G814="IN",Data!E815&gt;0),"SELL","HOLD")))</f>
        <v>HOLD</v>
      </c>
      <c r="D815" s="14" t="str">
        <f aca="false">IF(C815="BUY",B815,IF(G814="IN",D814,""))</f>
        <v/>
      </c>
      <c r="E815" s="14" t="str">
        <f aca="false">IF(C815="SELL",B815,"")</f>
        <v/>
      </c>
      <c r="F815" s="14" t="str">
        <f aca="false">IF(E815="","",(E815-D815)/D815*100)</f>
        <v/>
      </c>
      <c r="G815" s="0" t="str">
        <f aca="false">IF(C815="BUY","IN",IF(C815="SELL","OUT",IF(G814="IN","IN","OUT")))</f>
        <v>OUT</v>
      </c>
      <c r="H815" s="14" t="n">
        <f aca="false">H814+IF(F815="",0,F815)</f>
        <v>39.7218760951215</v>
      </c>
      <c r="I815" s="14" t="n">
        <f aca="false">MAX(I814,H815)</f>
        <v>39.7218760951215</v>
      </c>
      <c r="J815" s="14" t="n">
        <f aca="false">I815-H815</f>
        <v>0</v>
      </c>
    </row>
    <row r="816" customFormat="false" ht="15" hidden="false" customHeight="false" outlineLevel="0" collapsed="false">
      <c r="A816" s="12" t="n">
        <f aca="false">Data!A816</f>
        <v>43192</v>
      </c>
      <c r="B816" s="14" t="n">
        <f aca="false">Data!B816</f>
        <v>63.01</v>
      </c>
      <c r="C816" s="0" t="str">
        <f aca="false">IF(Data!D816="","HOLD",IF(AND(G815&lt;&gt;"IN",Data!E816&lt;-5),"BUY",IF(AND(G815="IN",Data!E816&gt;0),"SELL","HOLD")))</f>
        <v>HOLD</v>
      </c>
      <c r="D816" s="14" t="str">
        <f aca="false">IF(C816="BUY",B816,IF(G815="IN",D815,""))</f>
        <v/>
      </c>
      <c r="E816" s="14" t="str">
        <f aca="false">IF(C816="SELL",B816,"")</f>
        <v/>
      </c>
      <c r="F816" s="14" t="str">
        <f aca="false">IF(E816="","",(E816-D816)/D816*100)</f>
        <v/>
      </c>
      <c r="G816" s="0" t="str">
        <f aca="false">IF(C816="BUY","IN",IF(C816="SELL","OUT",IF(G815="IN","IN","OUT")))</f>
        <v>OUT</v>
      </c>
      <c r="H816" s="14" t="n">
        <f aca="false">H815+IF(F816="",0,F816)</f>
        <v>39.7218760951215</v>
      </c>
      <c r="I816" s="14" t="n">
        <f aca="false">MAX(I815,H816)</f>
        <v>39.7218760951215</v>
      </c>
      <c r="J816" s="14" t="n">
        <f aca="false">I816-H816</f>
        <v>0</v>
      </c>
    </row>
    <row r="817" customFormat="false" ht="15" hidden="false" customHeight="false" outlineLevel="0" collapsed="false">
      <c r="A817" s="12" t="n">
        <f aca="false">Data!A817</f>
        <v>43193</v>
      </c>
      <c r="B817" s="14" t="n">
        <f aca="false">Data!B817</f>
        <v>63.51</v>
      </c>
      <c r="C817" s="0" t="str">
        <f aca="false">IF(Data!D817="","HOLD",IF(AND(G816&lt;&gt;"IN",Data!E817&lt;-5),"BUY",IF(AND(G816="IN",Data!E817&gt;0),"SELL","HOLD")))</f>
        <v>HOLD</v>
      </c>
      <c r="D817" s="14" t="str">
        <f aca="false">IF(C817="BUY",B817,IF(G816="IN",D816,""))</f>
        <v/>
      </c>
      <c r="E817" s="14" t="str">
        <f aca="false">IF(C817="SELL",B817,"")</f>
        <v/>
      </c>
      <c r="F817" s="14" t="str">
        <f aca="false">IF(E817="","",(E817-D817)/D817*100)</f>
        <v/>
      </c>
      <c r="G817" s="0" t="str">
        <f aca="false">IF(C817="BUY","IN",IF(C817="SELL","OUT",IF(G816="IN","IN","OUT")))</f>
        <v>OUT</v>
      </c>
      <c r="H817" s="14" t="n">
        <f aca="false">H816+IF(F817="",0,F817)</f>
        <v>39.7218760951215</v>
      </c>
      <c r="I817" s="14" t="n">
        <f aca="false">MAX(I816,H817)</f>
        <v>39.7218760951215</v>
      </c>
      <c r="J817" s="14" t="n">
        <f aca="false">I817-H817</f>
        <v>0</v>
      </c>
    </row>
    <row r="818" customFormat="false" ht="15" hidden="false" customHeight="false" outlineLevel="0" collapsed="false">
      <c r="A818" s="12" t="n">
        <f aca="false">Data!A818</f>
        <v>43194</v>
      </c>
      <c r="B818" s="14" t="n">
        <f aca="false">Data!B818</f>
        <v>63.37</v>
      </c>
      <c r="C818" s="0" t="str">
        <f aca="false">IF(Data!D818="","HOLD",IF(AND(G817&lt;&gt;"IN",Data!E818&lt;-5),"BUY",IF(AND(G817="IN",Data!E818&gt;0),"SELL","HOLD")))</f>
        <v>HOLD</v>
      </c>
      <c r="D818" s="14" t="str">
        <f aca="false">IF(C818="BUY",B818,IF(G817="IN",D817,""))</f>
        <v/>
      </c>
      <c r="E818" s="14" t="str">
        <f aca="false">IF(C818="SELL",B818,"")</f>
        <v/>
      </c>
      <c r="F818" s="14" t="str">
        <f aca="false">IF(E818="","",(E818-D818)/D818*100)</f>
        <v/>
      </c>
      <c r="G818" s="0" t="str">
        <f aca="false">IF(C818="BUY","IN",IF(C818="SELL","OUT",IF(G817="IN","IN","OUT")))</f>
        <v>OUT</v>
      </c>
      <c r="H818" s="14" t="n">
        <f aca="false">H817+IF(F818="",0,F818)</f>
        <v>39.7218760951215</v>
      </c>
      <c r="I818" s="14" t="n">
        <f aca="false">MAX(I817,H818)</f>
        <v>39.7218760951215</v>
      </c>
      <c r="J818" s="14" t="n">
        <f aca="false">I818-H818</f>
        <v>0</v>
      </c>
    </row>
    <row r="819" customFormat="false" ht="15" hidden="false" customHeight="false" outlineLevel="0" collapsed="false">
      <c r="A819" s="12" t="n">
        <f aca="false">Data!A819</f>
        <v>43195</v>
      </c>
      <c r="B819" s="14" t="n">
        <f aca="false">Data!B819</f>
        <v>63.54</v>
      </c>
      <c r="C819" s="0" t="str">
        <f aca="false">IF(Data!D819="","HOLD",IF(AND(G818&lt;&gt;"IN",Data!E819&lt;-5),"BUY",IF(AND(G818="IN",Data!E819&gt;0),"SELL","HOLD")))</f>
        <v>HOLD</v>
      </c>
      <c r="D819" s="14" t="str">
        <f aca="false">IF(C819="BUY",B819,IF(G818="IN",D818,""))</f>
        <v/>
      </c>
      <c r="E819" s="14" t="str">
        <f aca="false">IF(C819="SELL",B819,"")</f>
        <v/>
      </c>
      <c r="F819" s="14" t="str">
        <f aca="false">IF(E819="","",(E819-D819)/D819*100)</f>
        <v/>
      </c>
      <c r="G819" s="0" t="str">
        <f aca="false">IF(C819="BUY","IN",IF(C819="SELL","OUT",IF(G818="IN","IN","OUT")))</f>
        <v>OUT</v>
      </c>
      <c r="H819" s="14" t="n">
        <f aca="false">H818+IF(F819="",0,F819)</f>
        <v>39.7218760951215</v>
      </c>
      <c r="I819" s="14" t="n">
        <f aca="false">MAX(I818,H819)</f>
        <v>39.7218760951215</v>
      </c>
      <c r="J819" s="14" t="n">
        <f aca="false">I819-H819</f>
        <v>0</v>
      </c>
    </row>
    <row r="820" customFormat="false" ht="15" hidden="false" customHeight="false" outlineLevel="0" collapsed="false">
      <c r="A820" s="12" t="n">
        <f aca="false">Data!A820</f>
        <v>43196</v>
      </c>
      <c r="B820" s="14" t="n">
        <f aca="false">Data!B820</f>
        <v>62.06</v>
      </c>
      <c r="C820" s="0" t="str">
        <f aca="false">IF(Data!D820="","HOLD",IF(AND(G819&lt;&gt;"IN",Data!E820&lt;-5),"BUY",IF(AND(G819="IN",Data!E820&gt;0),"SELL","HOLD")))</f>
        <v>HOLD</v>
      </c>
      <c r="D820" s="14" t="str">
        <f aca="false">IF(C820="BUY",B820,IF(G819="IN",D819,""))</f>
        <v/>
      </c>
      <c r="E820" s="14" t="str">
        <f aca="false">IF(C820="SELL",B820,"")</f>
        <v/>
      </c>
      <c r="F820" s="14" t="str">
        <f aca="false">IF(E820="","",(E820-D820)/D820*100)</f>
        <v/>
      </c>
      <c r="G820" s="0" t="str">
        <f aca="false">IF(C820="BUY","IN",IF(C820="SELL","OUT",IF(G819="IN","IN","OUT")))</f>
        <v>OUT</v>
      </c>
      <c r="H820" s="14" t="n">
        <f aca="false">H819+IF(F820="",0,F820)</f>
        <v>39.7218760951215</v>
      </c>
      <c r="I820" s="14" t="n">
        <f aca="false">MAX(I819,H820)</f>
        <v>39.7218760951215</v>
      </c>
      <c r="J820" s="14" t="n">
        <f aca="false">I820-H820</f>
        <v>0</v>
      </c>
    </row>
    <row r="821" customFormat="false" ht="15" hidden="false" customHeight="false" outlineLevel="0" collapsed="false">
      <c r="A821" s="12" t="n">
        <f aca="false">Data!A821</f>
        <v>43199</v>
      </c>
      <c r="B821" s="14" t="n">
        <f aca="false">Data!B821</f>
        <v>63.42</v>
      </c>
      <c r="C821" s="0" t="str">
        <f aca="false">IF(Data!D821="","HOLD",IF(AND(G820&lt;&gt;"IN",Data!E821&lt;-5),"BUY",IF(AND(G820="IN",Data!E821&gt;0),"SELL","HOLD")))</f>
        <v>HOLD</v>
      </c>
      <c r="D821" s="14" t="str">
        <f aca="false">IF(C821="BUY",B821,IF(G820="IN",D820,""))</f>
        <v/>
      </c>
      <c r="E821" s="14" t="str">
        <f aca="false">IF(C821="SELL",B821,"")</f>
        <v/>
      </c>
      <c r="F821" s="14" t="str">
        <f aca="false">IF(E821="","",(E821-D821)/D821*100)</f>
        <v/>
      </c>
      <c r="G821" s="0" t="str">
        <f aca="false">IF(C821="BUY","IN",IF(C821="SELL","OUT",IF(G820="IN","IN","OUT")))</f>
        <v>OUT</v>
      </c>
      <c r="H821" s="14" t="n">
        <f aca="false">H820+IF(F821="",0,F821)</f>
        <v>39.7218760951215</v>
      </c>
      <c r="I821" s="14" t="n">
        <f aca="false">MAX(I820,H821)</f>
        <v>39.7218760951215</v>
      </c>
      <c r="J821" s="14" t="n">
        <f aca="false">I821-H821</f>
        <v>0</v>
      </c>
    </row>
    <row r="822" customFormat="false" ht="15" hidden="false" customHeight="false" outlineLevel="0" collapsed="false">
      <c r="A822" s="12" t="n">
        <f aca="false">Data!A822</f>
        <v>43200</v>
      </c>
      <c r="B822" s="14" t="n">
        <f aca="false">Data!B822</f>
        <v>65.51</v>
      </c>
      <c r="C822" s="0" t="str">
        <f aca="false">IF(Data!D822="","HOLD",IF(AND(G821&lt;&gt;"IN",Data!E822&lt;-5),"BUY",IF(AND(G821="IN",Data!E822&gt;0),"SELL","HOLD")))</f>
        <v>HOLD</v>
      </c>
      <c r="D822" s="14" t="str">
        <f aca="false">IF(C822="BUY",B822,IF(G821="IN",D821,""))</f>
        <v/>
      </c>
      <c r="E822" s="14" t="str">
        <f aca="false">IF(C822="SELL",B822,"")</f>
        <v/>
      </c>
      <c r="F822" s="14" t="str">
        <f aca="false">IF(E822="","",(E822-D822)/D822*100)</f>
        <v/>
      </c>
      <c r="G822" s="0" t="str">
        <f aca="false">IF(C822="BUY","IN",IF(C822="SELL","OUT",IF(G821="IN","IN","OUT")))</f>
        <v>OUT</v>
      </c>
      <c r="H822" s="14" t="n">
        <f aca="false">H821+IF(F822="",0,F822)</f>
        <v>39.7218760951215</v>
      </c>
      <c r="I822" s="14" t="n">
        <f aca="false">MAX(I821,H822)</f>
        <v>39.7218760951215</v>
      </c>
      <c r="J822" s="14" t="n">
        <f aca="false">I822-H822</f>
        <v>0</v>
      </c>
    </row>
    <row r="823" customFormat="false" ht="15" hidden="false" customHeight="false" outlineLevel="0" collapsed="false">
      <c r="A823" s="12" t="n">
        <f aca="false">Data!A823</f>
        <v>43201</v>
      </c>
      <c r="B823" s="14" t="n">
        <f aca="false">Data!B823</f>
        <v>66.82</v>
      </c>
      <c r="C823" s="0" t="str">
        <f aca="false">IF(Data!D823="","HOLD",IF(AND(G822&lt;&gt;"IN",Data!E823&lt;-5),"BUY",IF(AND(G822="IN",Data!E823&gt;0),"SELL","HOLD")))</f>
        <v>HOLD</v>
      </c>
      <c r="D823" s="14" t="str">
        <f aca="false">IF(C823="BUY",B823,IF(G822="IN",D822,""))</f>
        <v/>
      </c>
      <c r="E823" s="14" t="str">
        <f aca="false">IF(C823="SELL",B823,"")</f>
        <v/>
      </c>
      <c r="F823" s="14" t="str">
        <f aca="false">IF(E823="","",(E823-D823)/D823*100)</f>
        <v/>
      </c>
      <c r="G823" s="0" t="str">
        <f aca="false">IF(C823="BUY","IN",IF(C823="SELL","OUT",IF(G822="IN","IN","OUT")))</f>
        <v>OUT</v>
      </c>
      <c r="H823" s="14" t="n">
        <f aca="false">H822+IF(F823="",0,F823)</f>
        <v>39.7218760951215</v>
      </c>
      <c r="I823" s="14" t="n">
        <f aca="false">MAX(I822,H823)</f>
        <v>39.7218760951215</v>
      </c>
      <c r="J823" s="14" t="n">
        <f aca="false">I823-H823</f>
        <v>0</v>
      </c>
    </row>
    <row r="824" customFormat="false" ht="15" hidden="false" customHeight="false" outlineLevel="0" collapsed="false">
      <c r="A824" s="12" t="n">
        <f aca="false">Data!A824</f>
        <v>43202</v>
      </c>
      <c r="B824" s="14" t="n">
        <f aca="false">Data!B824</f>
        <v>67.07</v>
      </c>
      <c r="C824" s="0" t="str">
        <f aca="false">IF(Data!D824="","HOLD",IF(AND(G823&lt;&gt;"IN",Data!E824&lt;-5),"BUY",IF(AND(G823="IN",Data!E824&gt;0),"SELL","HOLD")))</f>
        <v>HOLD</v>
      </c>
      <c r="D824" s="14" t="str">
        <f aca="false">IF(C824="BUY",B824,IF(G823="IN",D823,""))</f>
        <v/>
      </c>
      <c r="E824" s="14" t="str">
        <f aca="false">IF(C824="SELL",B824,"")</f>
        <v/>
      </c>
      <c r="F824" s="14" t="str">
        <f aca="false">IF(E824="","",(E824-D824)/D824*100)</f>
        <v/>
      </c>
      <c r="G824" s="0" t="str">
        <f aca="false">IF(C824="BUY","IN",IF(C824="SELL","OUT",IF(G823="IN","IN","OUT")))</f>
        <v>OUT</v>
      </c>
      <c r="H824" s="14" t="n">
        <f aca="false">H823+IF(F824="",0,F824)</f>
        <v>39.7218760951215</v>
      </c>
      <c r="I824" s="14" t="n">
        <f aca="false">MAX(I823,H824)</f>
        <v>39.7218760951215</v>
      </c>
      <c r="J824" s="14" t="n">
        <f aca="false">I824-H824</f>
        <v>0</v>
      </c>
    </row>
    <row r="825" customFormat="false" ht="15" hidden="false" customHeight="false" outlineLevel="0" collapsed="false">
      <c r="A825" s="12" t="n">
        <f aca="false">Data!A825</f>
        <v>43203</v>
      </c>
      <c r="B825" s="14" t="n">
        <f aca="false">Data!B825</f>
        <v>67.39</v>
      </c>
      <c r="C825" s="0" t="str">
        <f aca="false">IF(Data!D825="","HOLD",IF(AND(G824&lt;&gt;"IN",Data!E825&lt;-5),"BUY",IF(AND(G824="IN",Data!E825&gt;0),"SELL","HOLD")))</f>
        <v>HOLD</v>
      </c>
      <c r="D825" s="14" t="str">
        <f aca="false">IF(C825="BUY",B825,IF(G824="IN",D824,""))</f>
        <v/>
      </c>
      <c r="E825" s="14" t="str">
        <f aca="false">IF(C825="SELL",B825,"")</f>
        <v/>
      </c>
      <c r="F825" s="14" t="str">
        <f aca="false">IF(E825="","",(E825-D825)/D825*100)</f>
        <v/>
      </c>
      <c r="G825" s="0" t="str">
        <f aca="false">IF(C825="BUY","IN",IF(C825="SELL","OUT",IF(G824="IN","IN","OUT")))</f>
        <v>OUT</v>
      </c>
      <c r="H825" s="14" t="n">
        <f aca="false">H824+IF(F825="",0,F825)</f>
        <v>39.7218760951215</v>
      </c>
      <c r="I825" s="14" t="n">
        <f aca="false">MAX(I824,H825)</f>
        <v>39.7218760951215</v>
      </c>
      <c r="J825" s="14" t="n">
        <f aca="false">I825-H825</f>
        <v>0</v>
      </c>
    </row>
    <row r="826" customFormat="false" ht="15" hidden="false" customHeight="false" outlineLevel="0" collapsed="false">
      <c r="A826" s="12" t="n">
        <f aca="false">Data!A826</f>
        <v>43206</v>
      </c>
      <c r="B826" s="14" t="n">
        <f aca="false">Data!B826</f>
        <v>66.22</v>
      </c>
      <c r="C826" s="0" t="str">
        <f aca="false">IF(Data!D826="","HOLD",IF(AND(G825&lt;&gt;"IN",Data!E826&lt;-5),"BUY",IF(AND(G825="IN",Data!E826&gt;0),"SELL","HOLD")))</f>
        <v>HOLD</v>
      </c>
      <c r="D826" s="14" t="str">
        <f aca="false">IF(C826="BUY",B826,IF(G825="IN",D825,""))</f>
        <v/>
      </c>
      <c r="E826" s="14" t="str">
        <f aca="false">IF(C826="SELL",B826,"")</f>
        <v/>
      </c>
      <c r="F826" s="14" t="str">
        <f aca="false">IF(E826="","",(E826-D826)/D826*100)</f>
        <v/>
      </c>
      <c r="G826" s="0" t="str">
        <f aca="false">IF(C826="BUY","IN",IF(C826="SELL","OUT",IF(G825="IN","IN","OUT")))</f>
        <v>OUT</v>
      </c>
      <c r="H826" s="14" t="n">
        <f aca="false">H825+IF(F826="",0,F826)</f>
        <v>39.7218760951215</v>
      </c>
      <c r="I826" s="14" t="n">
        <f aca="false">MAX(I825,H826)</f>
        <v>39.7218760951215</v>
      </c>
      <c r="J826" s="14" t="n">
        <f aca="false">I826-H826</f>
        <v>0</v>
      </c>
    </row>
    <row r="827" customFormat="false" ht="15" hidden="false" customHeight="false" outlineLevel="0" collapsed="false">
      <c r="A827" s="12" t="n">
        <f aca="false">Data!A827</f>
        <v>43207</v>
      </c>
      <c r="B827" s="14" t="n">
        <f aca="false">Data!B827</f>
        <v>66.52</v>
      </c>
      <c r="C827" s="0" t="str">
        <f aca="false">IF(Data!D827="","HOLD",IF(AND(G826&lt;&gt;"IN",Data!E827&lt;-5),"BUY",IF(AND(G826="IN",Data!E827&gt;0),"SELL","HOLD")))</f>
        <v>HOLD</v>
      </c>
      <c r="D827" s="14" t="str">
        <f aca="false">IF(C827="BUY",B827,IF(G826="IN",D826,""))</f>
        <v/>
      </c>
      <c r="E827" s="14" t="str">
        <f aca="false">IF(C827="SELL",B827,"")</f>
        <v/>
      </c>
      <c r="F827" s="14" t="str">
        <f aca="false">IF(E827="","",(E827-D827)/D827*100)</f>
        <v/>
      </c>
      <c r="G827" s="0" t="str">
        <f aca="false">IF(C827="BUY","IN",IF(C827="SELL","OUT",IF(G826="IN","IN","OUT")))</f>
        <v>OUT</v>
      </c>
      <c r="H827" s="14" t="n">
        <f aca="false">H826+IF(F827="",0,F827)</f>
        <v>39.7218760951215</v>
      </c>
      <c r="I827" s="14" t="n">
        <f aca="false">MAX(I826,H827)</f>
        <v>39.7218760951215</v>
      </c>
      <c r="J827" s="14" t="n">
        <f aca="false">I827-H827</f>
        <v>0</v>
      </c>
    </row>
    <row r="828" customFormat="false" ht="15" hidden="false" customHeight="false" outlineLevel="0" collapsed="false">
      <c r="A828" s="12" t="n">
        <f aca="false">Data!A828</f>
        <v>43208</v>
      </c>
      <c r="B828" s="14" t="n">
        <f aca="false">Data!B828</f>
        <v>68.47</v>
      </c>
      <c r="C828" s="0" t="str">
        <f aca="false">IF(Data!D828="","HOLD",IF(AND(G827&lt;&gt;"IN",Data!E828&lt;-5),"BUY",IF(AND(G827="IN",Data!E828&gt;0),"SELL","HOLD")))</f>
        <v>HOLD</v>
      </c>
      <c r="D828" s="14" t="str">
        <f aca="false">IF(C828="BUY",B828,IF(G827="IN",D827,""))</f>
        <v/>
      </c>
      <c r="E828" s="14" t="str">
        <f aca="false">IF(C828="SELL",B828,"")</f>
        <v/>
      </c>
      <c r="F828" s="14" t="str">
        <f aca="false">IF(E828="","",(E828-D828)/D828*100)</f>
        <v/>
      </c>
      <c r="G828" s="0" t="str">
        <f aca="false">IF(C828="BUY","IN",IF(C828="SELL","OUT",IF(G827="IN","IN","OUT")))</f>
        <v>OUT</v>
      </c>
      <c r="H828" s="14" t="n">
        <f aca="false">H827+IF(F828="",0,F828)</f>
        <v>39.7218760951215</v>
      </c>
      <c r="I828" s="14" t="n">
        <f aca="false">MAX(I827,H828)</f>
        <v>39.7218760951215</v>
      </c>
      <c r="J828" s="14" t="n">
        <f aca="false">I828-H828</f>
        <v>0</v>
      </c>
    </row>
    <row r="829" customFormat="false" ht="15" hidden="false" customHeight="false" outlineLevel="0" collapsed="false">
      <c r="A829" s="12" t="n">
        <f aca="false">Data!A829</f>
        <v>43209</v>
      </c>
      <c r="B829" s="14" t="n">
        <f aca="false">Data!B829</f>
        <v>68.29</v>
      </c>
      <c r="C829" s="0" t="str">
        <f aca="false">IF(Data!D829="","HOLD",IF(AND(G828&lt;&gt;"IN",Data!E829&lt;-5),"BUY",IF(AND(G828="IN",Data!E829&gt;0),"SELL","HOLD")))</f>
        <v>HOLD</v>
      </c>
      <c r="D829" s="14" t="str">
        <f aca="false">IF(C829="BUY",B829,IF(G828="IN",D828,""))</f>
        <v/>
      </c>
      <c r="E829" s="14" t="str">
        <f aca="false">IF(C829="SELL",B829,"")</f>
        <v/>
      </c>
      <c r="F829" s="14" t="str">
        <f aca="false">IF(E829="","",(E829-D829)/D829*100)</f>
        <v/>
      </c>
      <c r="G829" s="0" t="str">
        <f aca="false">IF(C829="BUY","IN",IF(C829="SELL","OUT",IF(G828="IN","IN","OUT")))</f>
        <v>OUT</v>
      </c>
      <c r="H829" s="14" t="n">
        <f aca="false">H828+IF(F829="",0,F829)</f>
        <v>39.7218760951215</v>
      </c>
      <c r="I829" s="14" t="n">
        <f aca="false">MAX(I828,H829)</f>
        <v>39.7218760951215</v>
      </c>
      <c r="J829" s="14" t="n">
        <f aca="false">I829-H829</f>
        <v>0</v>
      </c>
    </row>
    <row r="830" customFormat="false" ht="15" hidden="false" customHeight="false" outlineLevel="0" collapsed="false">
      <c r="A830" s="12" t="n">
        <f aca="false">Data!A830</f>
        <v>43210</v>
      </c>
      <c r="B830" s="14" t="n">
        <f aca="false">Data!B830</f>
        <v>68.38</v>
      </c>
      <c r="C830" s="0" t="str">
        <f aca="false">IF(Data!D830="","HOLD",IF(AND(G829&lt;&gt;"IN",Data!E830&lt;-5),"BUY",IF(AND(G829="IN",Data!E830&gt;0),"SELL","HOLD")))</f>
        <v>HOLD</v>
      </c>
      <c r="D830" s="14" t="str">
        <f aca="false">IF(C830="BUY",B830,IF(G829="IN",D829,""))</f>
        <v/>
      </c>
      <c r="E830" s="14" t="str">
        <f aca="false">IF(C830="SELL",B830,"")</f>
        <v/>
      </c>
      <c r="F830" s="14" t="str">
        <f aca="false">IF(E830="","",(E830-D830)/D830*100)</f>
        <v/>
      </c>
      <c r="G830" s="0" t="str">
        <f aca="false">IF(C830="BUY","IN",IF(C830="SELL","OUT",IF(G829="IN","IN","OUT")))</f>
        <v>OUT</v>
      </c>
      <c r="H830" s="14" t="n">
        <f aca="false">H829+IF(F830="",0,F830)</f>
        <v>39.7218760951215</v>
      </c>
      <c r="I830" s="14" t="n">
        <f aca="false">MAX(I829,H830)</f>
        <v>39.7218760951215</v>
      </c>
      <c r="J830" s="14" t="n">
        <f aca="false">I830-H830</f>
        <v>0</v>
      </c>
    </row>
    <row r="831" customFormat="false" ht="15" hidden="false" customHeight="false" outlineLevel="0" collapsed="false">
      <c r="A831" s="12" t="n">
        <f aca="false">Data!A831</f>
        <v>43213</v>
      </c>
      <c r="B831" s="14" t="n">
        <f aca="false">Data!B831</f>
        <v>68.64</v>
      </c>
      <c r="C831" s="0" t="str">
        <f aca="false">IF(Data!D831="","HOLD",IF(AND(G830&lt;&gt;"IN",Data!E831&lt;-5),"BUY",IF(AND(G830="IN",Data!E831&gt;0),"SELL","HOLD")))</f>
        <v>HOLD</v>
      </c>
      <c r="D831" s="14" t="str">
        <f aca="false">IF(C831="BUY",B831,IF(G830="IN",D830,""))</f>
        <v/>
      </c>
      <c r="E831" s="14" t="str">
        <f aca="false">IF(C831="SELL",B831,"")</f>
        <v/>
      </c>
      <c r="F831" s="14" t="str">
        <f aca="false">IF(E831="","",(E831-D831)/D831*100)</f>
        <v/>
      </c>
      <c r="G831" s="0" t="str">
        <f aca="false">IF(C831="BUY","IN",IF(C831="SELL","OUT",IF(G830="IN","IN","OUT")))</f>
        <v>OUT</v>
      </c>
      <c r="H831" s="14" t="n">
        <f aca="false">H830+IF(F831="",0,F831)</f>
        <v>39.7218760951215</v>
      </c>
      <c r="I831" s="14" t="n">
        <f aca="false">MAX(I830,H831)</f>
        <v>39.7218760951215</v>
      </c>
      <c r="J831" s="14" t="n">
        <f aca="false">I831-H831</f>
        <v>0</v>
      </c>
    </row>
    <row r="832" customFormat="false" ht="15" hidden="false" customHeight="false" outlineLevel="0" collapsed="false">
      <c r="A832" s="12" t="n">
        <f aca="false">Data!A832</f>
        <v>43214</v>
      </c>
      <c r="B832" s="14" t="n">
        <f aca="false">Data!B832</f>
        <v>67.7</v>
      </c>
      <c r="C832" s="0" t="str">
        <f aca="false">IF(Data!D832="","HOLD",IF(AND(G831&lt;&gt;"IN",Data!E832&lt;-5),"BUY",IF(AND(G831="IN",Data!E832&gt;0),"SELL","HOLD")))</f>
        <v>HOLD</v>
      </c>
      <c r="D832" s="14" t="str">
        <f aca="false">IF(C832="BUY",B832,IF(G831="IN",D831,""))</f>
        <v/>
      </c>
      <c r="E832" s="14" t="str">
        <f aca="false">IF(C832="SELL",B832,"")</f>
        <v/>
      </c>
      <c r="F832" s="14" t="str">
        <f aca="false">IF(E832="","",(E832-D832)/D832*100)</f>
        <v/>
      </c>
      <c r="G832" s="0" t="str">
        <f aca="false">IF(C832="BUY","IN",IF(C832="SELL","OUT",IF(G831="IN","IN","OUT")))</f>
        <v>OUT</v>
      </c>
      <c r="H832" s="14" t="n">
        <f aca="false">H831+IF(F832="",0,F832)</f>
        <v>39.7218760951215</v>
      </c>
      <c r="I832" s="14" t="n">
        <f aca="false">MAX(I831,H832)</f>
        <v>39.7218760951215</v>
      </c>
      <c r="J832" s="14" t="n">
        <f aca="false">I832-H832</f>
        <v>0</v>
      </c>
    </row>
    <row r="833" customFormat="false" ht="15" hidden="false" customHeight="false" outlineLevel="0" collapsed="false">
      <c r="A833" s="12" t="n">
        <f aca="false">Data!A833</f>
        <v>43215</v>
      </c>
      <c r="B833" s="14" t="n">
        <f aca="false">Data!B833</f>
        <v>68.05</v>
      </c>
      <c r="C833" s="0" t="str">
        <f aca="false">IF(Data!D833="","HOLD",IF(AND(G832&lt;&gt;"IN",Data!E833&lt;-5),"BUY",IF(AND(G832="IN",Data!E833&gt;0),"SELL","HOLD")))</f>
        <v>HOLD</v>
      </c>
      <c r="D833" s="14" t="str">
        <f aca="false">IF(C833="BUY",B833,IF(G832="IN",D832,""))</f>
        <v/>
      </c>
      <c r="E833" s="14" t="str">
        <f aca="false">IF(C833="SELL",B833,"")</f>
        <v/>
      </c>
      <c r="F833" s="14" t="str">
        <f aca="false">IF(E833="","",(E833-D833)/D833*100)</f>
        <v/>
      </c>
      <c r="G833" s="0" t="str">
        <f aca="false">IF(C833="BUY","IN",IF(C833="SELL","OUT",IF(G832="IN","IN","OUT")))</f>
        <v>OUT</v>
      </c>
      <c r="H833" s="14" t="n">
        <f aca="false">H832+IF(F833="",0,F833)</f>
        <v>39.7218760951215</v>
      </c>
      <c r="I833" s="14" t="n">
        <f aca="false">MAX(I832,H833)</f>
        <v>39.7218760951215</v>
      </c>
      <c r="J833" s="14" t="n">
        <f aca="false">I833-H833</f>
        <v>0</v>
      </c>
    </row>
    <row r="834" customFormat="false" ht="15" hidden="false" customHeight="false" outlineLevel="0" collapsed="false">
      <c r="A834" s="12" t="n">
        <f aca="false">Data!A834</f>
        <v>43216</v>
      </c>
      <c r="B834" s="14" t="n">
        <f aca="false">Data!B834</f>
        <v>68.19</v>
      </c>
      <c r="C834" s="0" t="str">
        <f aca="false">IF(Data!D834="","HOLD",IF(AND(G833&lt;&gt;"IN",Data!E834&lt;-5),"BUY",IF(AND(G833="IN",Data!E834&gt;0),"SELL","HOLD")))</f>
        <v>HOLD</v>
      </c>
      <c r="D834" s="14" t="str">
        <f aca="false">IF(C834="BUY",B834,IF(G833="IN",D833,""))</f>
        <v/>
      </c>
      <c r="E834" s="14" t="str">
        <f aca="false">IF(C834="SELL",B834,"")</f>
        <v/>
      </c>
      <c r="F834" s="14" t="str">
        <f aca="false">IF(E834="","",(E834-D834)/D834*100)</f>
        <v/>
      </c>
      <c r="G834" s="0" t="str">
        <f aca="false">IF(C834="BUY","IN",IF(C834="SELL","OUT",IF(G833="IN","IN","OUT")))</f>
        <v>OUT</v>
      </c>
      <c r="H834" s="14" t="n">
        <f aca="false">H833+IF(F834="",0,F834)</f>
        <v>39.7218760951215</v>
      </c>
      <c r="I834" s="14" t="n">
        <f aca="false">MAX(I833,H834)</f>
        <v>39.7218760951215</v>
      </c>
      <c r="J834" s="14" t="n">
        <f aca="false">I834-H834</f>
        <v>0</v>
      </c>
    </row>
    <row r="835" customFormat="false" ht="15" hidden="false" customHeight="false" outlineLevel="0" collapsed="false">
      <c r="A835" s="12" t="n">
        <f aca="false">Data!A835</f>
        <v>43217</v>
      </c>
      <c r="B835" s="14" t="n">
        <f aca="false">Data!B835</f>
        <v>68.1</v>
      </c>
      <c r="C835" s="0" t="str">
        <f aca="false">IF(Data!D835="","HOLD",IF(AND(G834&lt;&gt;"IN",Data!E835&lt;-5),"BUY",IF(AND(G834="IN",Data!E835&gt;0),"SELL","HOLD")))</f>
        <v>HOLD</v>
      </c>
      <c r="D835" s="14" t="str">
        <f aca="false">IF(C835="BUY",B835,IF(G834="IN",D834,""))</f>
        <v/>
      </c>
      <c r="E835" s="14" t="str">
        <f aca="false">IF(C835="SELL",B835,"")</f>
        <v/>
      </c>
      <c r="F835" s="14" t="str">
        <f aca="false">IF(E835="","",(E835-D835)/D835*100)</f>
        <v/>
      </c>
      <c r="G835" s="0" t="str">
        <f aca="false">IF(C835="BUY","IN",IF(C835="SELL","OUT",IF(G834="IN","IN","OUT")))</f>
        <v>OUT</v>
      </c>
      <c r="H835" s="14" t="n">
        <f aca="false">H834+IF(F835="",0,F835)</f>
        <v>39.7218760951215</v>
      </c>
      <c r="I835" s="14" t="n">
        <f aca="false">MAX(I834,H835)</f>
        <v>39.7218760951215</v>
      </c>
      <c r="J835" s="14" t="n">
        <f aca="false">I835-H835</f>
        <v>0</v>
      </c>
    </row>
    <row r="836" customFormat="false" ht="15" hidden="false" customHeight="false" outlineLevel="0" collapsed="false">
      <c r="A836" s="12" t="n">
        <f aca="false">Data!A836</f>
        <v>43220</v>
      </c>
      <c r="B836" s="14" t="n">
        <f aca="false">Data!B836</f>
        <v>68.57</v>
      </c>
      <c r="C836" s="0" t="str">
        <f aca="false">IF(Data!D836="","HOLD",IF(AND(G835&lt;&gt;"IN",Data!E836&lt;-5),"BUY",IF(AND(G835="IN",Data!E836&gt;0),"SELL","HOLD")))</f>
        <v>HOLD</v>
      </c>
      <c r="D836" s="14" t="str">
        <f aca="false">IF(C836="BUY",B836,IF(G835="IN",D835,""))</f>
        <v/>
      </c>
      <c r="E836" s="14" t="str">
        <f aca="false">IF(C836="SELL",B836,"")</f>
        <v/>
      </c>
      <c r="F836" s="14" t="str">
        <f aca="false">IF(E836="","",(E836-D836)/D836*100)</f>
        <v/>
      </c>
      <c r="G836" s="0" t="str">
        <f aca="false">IF(C836="BUY","IN",IF(C836="SELL","OUT",IF(G835="IN","IN","OUT")))</f>
        <v>OUT</v>
      </c>
      <c r="H836" s="14" t="n">
        <f aca="false">H835+IF(F836="",0,F836)</f>
        <v>39.7218760951215</v>
      </c>
      <c r="I836" s="14" t="n">
        <f aca="false">MAX(I835,H836)</f>
        <v>39.7218760951215</v>
      </c>
      <c r="J836" s="14" t="n">
        <f aca="false">I836-H836</f>
        <v>0</v>
      </c>
    </row>
    <row r="837" customFormat="false" ht="15" hidden="false" customHeight="false" outlineLevel="0" collapsed="false">
      <c r="A837" s="12" t="n">
        <f aca="false">Data!A837</f>
        <v>43221</v>
      </c>
      <c r="B837" s="14" t="n">
        <f aca="false">Data!B837</f>
        <v>67.25</v>
      </c>
      <c r="C837" s="0" t="str">
        <f aca="false">IF(Data!D837="","HOLD",IF(AND(G836&lt;&gt;"IN",Data!E837&lt;-5),"BUY",IF(AND(G836="IN",Data!E837&gt;0),"SELL","HOLD")))</f>
        <v>HOLD</v>
      </c>
      <c r="D837" s="14" t="str">
        <f aca="false">IF(C837="BUY",B837,IF(G836="IN",D836,""))</f>
        <v/>
      </c>
      <c r="E837" s="14" t="str">
        <f aca="false">IF(C837="SELL",B837,"")</f>
        <v/>
      </c>
      <c r="F837" s="14" t="str">
        <f aca="false">IF(E837="","",(E837-D837)/D837*100)</f>
        <v/>
      </c>
      <c r="G837" s="0" t="str">
        <f aca="false">IF(C837="BUY","IN",IF(C837="SELL","OUT",IF(G836="IN","IN","OUT")))</f>
        <v>OUT</v>
      </c>
      <c r="H837" s="14" t="n">
        <f aca="false">H836+IF(F837="",0,F837)</f>
        <v>39.7218760951215</v>
      </c>
      <c r="I837" s="14" t="n">
        <f aca="false">MAX(I836,H837)</f>
        <v>39.7218760951215</v>
      </c>
      <c r="J837" s="14" t="n">
        <f aca="false">I837-H837</f>
        <v>0</v>
      </c>
    </row>
    <row r="838" customFormat="false" ht="15" hidden="false" customHeight="false" outlineLevel="0" collapsed="false">
      <c r="A838" s="12" t="n">
        <f aca="false">Data!A838</f>
        <v>43222</v>
      </c>
      <c r="B838" s="14" t="n">
        <f aca="false">Data!B838</f>
        <v>67.93</v>
      </c>
      <c r="C838" s="0" t="str">
        <f aca="false">IF(Data!D838="","HOLD",IF(AND(G837&lt;&gt;"IN",Data!E838&lt;-5),"BUY",IF(AND(G837="IN",Data!E838&gt;0),"SELL","HOLD")))</f>
        <v>HOLD</v>
      </c>
      <c r="D838" s="14" t="str">
        <f aca="false">IF(C838="BUY",B838,IF(G837="IN",D837,""))</f>
        <v/>
      </c>
      <c r="E838" s="14" t="str">
        <f aca="false">IF(C838="SELL",B838,"")</f>
        <v/>
      </c>
      <c r="F838" s="14" t="str">
        <f aca="false">IF(E838="","",(E838-D838)/D838*100)</f>
        <v/>
      </c>
      <c r="G838" s="0" t="str">
        <f aca="false">IF(C838="BUY","IN",IF(C838="SELL","OUT",IF(G837="IN","IN","OUT")))</f>
        <v>OUT</v>
      </c>
      <c r="H838" s="14" t="n">
        <f aca="false">H837+IF(F838="",0,F838)</f>
        <v>39.7218760951215</v>
      </c>
      <c r="I838" s="14" t="n">
        <f aca="false">MAX(I837,H838)</f>
        <v>39.7218760951215</v>
      </c>
      <c r="J838" s="14" t="n">
        <f aca="false">I838-H838</f>
        <v>0</v>
      </c>
    </row>
    <row r="839" customFormat="false" ht="15" hidden="false" customHeight="false" outlineLevel="0" collapsed="false">
      <c r="A839" s="12" t="n">
        <f aca="false">Data!A839</f>
        <v>43223</v>
      </c>
      <c r="B839" s="14" t="n">
        <f aca="false">Data!B839</f>
        <v>68.43</v>
      </c>
      <c r="C839" s="0" t="str">
        <f aca="false">IF(Data!D839="","HOLD",IF(AND(G838&lt;&gt;"IN",Data!E839&lt;-5),"BUY",IF(AND(G838="IN",Data!E839&gt;0),"SELL","HOLD")))</f>
        <v>HOLD</v>
      </c>
      <c r="D839" s="14" t="str">
        <f aca="false">IF(C839="BUY",B839,IF(G838="IN",D838,""))</f>
        <v/>
      </c>
      <c r="E839" s="14" t="str">
        <f aca="false">IF(C839="SELL",B839,"")</f>
        <v/>
      </c>
      <c r="F839" s="14" t="str">
        <f aca="false">IF(E839="","",(E839-D839)/D839*100)</f>
        <v/>
      </c>
      <c r="G839" s="0" t="str">
        <f aca="false">IF(C839="BUY","IN",IF(C839="SELL","OUT",IF(G838="IN","IN","OUT")))</f>
        <v>OUT</v>
      </c>
      <c r="H839" s="14" t="n">
        <f aca="false">H838+IF(F839="",0,F839)</f>
        <v>39.7218760951215</v>
      </c>
      <c r="I839" s="14" t="n">
        <f aca="false">MAX(I838,H839)</f>
        <v>39.7218760951215</v>
      </c>
      <c r="J839" s="14" t="n">
        <f aca="false">I839-H839</f>
        <v>0</v>
      </c>
    </row>
    <row r="840" customFormat="false" ht="15" hidden="false" customHeight="false" outlineLevel="0" collapsed="false">
      <c r="A840" s="12" t="n">
        <f aca="false">Data!A840</f>
        <v>43224</v>
      </c>
      <c r="B840" s="14" t="n">
        <f aca="false">Data!B840</f>
        <v>69.72</v>
      </c>
      <c r="C840" s="0" t="str">
        <f aca="false">IF(Data!D840="","HOLD",IF(AND(G839&lt;&gt;"IN",Data!E840&lt;-5),"BUY",IF(AND(G839="IN",Data!E840&gt;0),"SELL","HOLD")))</f>
        <v>HOLD</v>
      </c>
      <c r="D840" s="14" t="str">
        <f aca="false">IF(C840="BUY",B840,IF(G839="IN",D839,""))</f>
        <v/>
      </c>
      <c r="E840" s="14" t="str">
        <f aca="false">IF(C840="SELL",B840,"")</f>
        <v/>
      </c>
      <c r="F840" s="14" t="str">
        <f aca="false">IF(E840="","",(E840-D840)/D840*100)</f>
        <v/>
      </c>
      <c r="G840" s="0" t="str">
        <f aca="false">IF(C840="BUY","IN",IF(C840="SELL","OUT",IF(G839="IN","IN","OUT")))</f>
        <v>OUT</v>
      </c>
      <c r="H840" s="14" t="n">
        <f aca="false">H839+IF(F840="",0,F840)</f>
        <v>39.7218760951215</v>
      </c>
      <c r="I840" s="14" t="n">
        <f aca="false">MAX(I839,H840)</f>
        <v>39.7218760951215</v>
      </c>
      <c r="J840" s="14" t="n">
        <f aca="false">I840-H840</f>
        <v>0</v>
      </c>
    </row>
    <row r="841" customFormat="false" ht="15" hidden="false" customHeight="false" outlineLevel="0" collapsed="false">
      <c r="A841" s="12" t="n">
        <f aca="false">Data!A841</f>
        <v>43227</v>
      </c>
      <c r="B841" s="14" t="n">
        <f aca="false">Data!B841</f>
        <v>70.73</v>
      </c>
      <c r="C841" s="0" t="str">
        <f aca="false">IF(Data!D841="","HOLD",IF(AND(G840&lt;&gt;"IN",Data!E841&lt;-5),"BUY",IF(AND(G840="IN",Data!E841&gt;0),"SELL","HOLD")))</f>
        <v>HOLD</v>
      </c>
      <c r="D841" s="14" t="str">
        <f aca="false">IF(C841="BUY",B841,IF(G840="IN",D840,""))</f>
        <v/>
      </c>
      <c r="E841" s="14" t="str">
        <f aca="false">IF(C841="SELL",B841,"")</f>
        <v/>
      </c>
      <c r="F841" s="14" t="str">
        <f aca="false">IF(E841="","",(E841-D841)/D841*100)</f>
        <v/>
      </c>
      <c r="G841" s="0" t="str">
        <f aca="false">IF(C841="BUY","IN",IF(C841="SELL","OUT",IF(G840="IN","IN","OUT")))</f>
        <v>OUT</v>
      </c>
      <c r="H841" s="14" t="n">
        <f aca="false">H840+IF(F841="",0,F841)</f>
        <v>39.7218760951215</v>
      </c>
      <c r="I841" s="14" t="n">
        <f aca="false">MAX(I840,H841)</f>
        <v>39.7218760951215</v>
      </c>
      <c r="J841" s="14" t="n">
        <f aca="false">I841-H841</f>
        <v>0</v>
      </c>
    </row>
    <row r="842" customFormat="false" ht="15" hidden="false" customHeight="false" outlineLevel="0" collapsed="false">
      <c r="A842" s="12" t="n">
        <f aca="false">Data!A842</f>
        <v>43228</v>
      </c>
      <c r="B842" s="14" t="n">
        <f aca="false">Data!B842</f>
        <v>69.06</v>
      </c>
      <c r="C842" s="0" t="str">
        <f aca="false">IF(Data!D842="","HOLD",IF(AND(G841&lt;&gt;"IN",Data!E842&lt;-5),"BUY",IF(AND(G841="IN",Data!E842&gt;0),"SELL","HOLD")))</f>
        <v>HOLD</v>
      </c>
      <c r="D842" s="14" t="str">
        <f aca="false">IF(C842="BUY",B842,IF(G841="IN",D841,""))</f>
        <v/>
      </c>
      <c r="E842" s="14" t="str">
        <f aca="false">IF(C842="SELL",B842,"")</f>
        <v/>
      </c>
      <c r="F842" s="14" t="str">
        <f aca="false">IF(E842="","",(E842-D842)/D842*100)</f>
        <v/>
      </c>
      <c r="G842" s="0" t="str">
        <f aca="false">IF(C842="BUY","IN",IF(C842="SELL","OUT",IF(G841="IN","IN","OUT")))</f>
        <v>OUT</v>
      </c>
      <c r="H842" s="14" t="n">
        <f aca="false">H841+IF(F842="",0,F842)</f>
        <v>39.7218760951215</v>
      </c>
      <c r="I842" s="14" t="n">
        <f aca="false">MAX(I841,H842)</f>
        <v>39.7218760951215</v>
      </c>
      <c r="J842" s="14" t="n">
        <f aca="false">I842-H842</f>
        <v>0</v>
      </c>
    </row>
    <row r="843" customFormat="false" ht="15" hidden="false" customHeight="false" outlineLevel="0" collapsed="false">
      <c r="A843" s="12" t="n">
        <f aca="false">Data!A843</f>
        <v>43229</v>
      </c>
      <c r="B843" s="14" t="n">
        <f aca="false">Data!B843</f>
        <v>71.14</v>
      </c>
      <c r="C843" s="0" t="str">
        <f aca="false">IF(Data!D843="","HOLD",IF(AND(G842&lt;&gt;"IN",Data!E843&lt;-5),"BUY",IF(AND(G842="IN",Data!E843&gt;0),"SELL","HOLD")))</f>
        <v>HOLD</v>
      </c>
      <c r="D843" s="14" t="str">
        <f aca="false">IF(C843="BUY",B843,IF(G842="IN",D842,""))</f>
        <v/>
      </c>
      <c r="E843" s="14" t="str">
        <f aca="false">IF(C843="SELL",B843,"")</f>
        <v/>
      </c>
      <c r="F843" s="14" t="str">
        <f aca="false">IF(E843="","",(E843-D843)/D843*100)</f>
        <v/>
      </c>
      <c r="G843" s="0" t="str">
        <f aca="false">IF(C843="BUY","IN",IF(C843="SELL","OUT",IF(G842="IN","IN","OUT")))</f>
        <v>OUT</v>
      </c>
      <c r="H843" s="14" t="n">
        <f aca="false">H842+IF(F843="",0,F843)</f>
        <v>39.7218760951215</v>
      </c>
      <c r="I843" s="14" t="n">
        <f aca="false">MAX(I842,H843)</f>
        <v>39.7218760951215</v>
      </c>
      <c r="J843" s="14" t="n">
        <f aca="false">I843-H843</f>
        <v>0</v>
      </c>
    </row>
    <row r="844" customFormat="false" ht="15" hidden="false" customHeight="false" outlineLevel="0" collapsed="false">
      <c r="A844" s="12" t="n">
        <f aca="false">Data!A844</f>
        <v>43230</v>
      </c>
      <c r="B844" s="14" t="n">
        <f aca="false">Data!B844</f>
        <v>71.36</v>
      </c>
      <c r="C844" s="0" t="str">
        <f aca="false">IF(Data!D844="","HOLD",IF(AND(G843&lt;&gt;"IN",Data!E844&lt;-5),"BUY",IF(AND(G843="IN",Data!E844&gt;0),"SELL","HOLD")))</f>
        <v>HOLD</v>
      </c>
      <c r="D844" s="14" t="str">
        <f aca="false">IF(C844="BUY",B844,IF(G843="IN",D843,""))</f>
        <v/>
      </c>
      <c r="E844" s="14" t="str">
        <f aca="false">IF(C844="SELL",B844,"")</f>
        <v/>
      </c>
      <c r="F844" s="14" t="str">
        <f aca="false">IF(E844="","",(E844-D844)/D844*100)</f>
        <v/>
      </c>
      <c r="G844" s="0" t="str">
        <f aca="false">IF(C844="BUY","IN",IF(C844="SELL","OUT",IF(G843="IN","IN","OUT")))</f>
        <v>OUT</v>
      </c>
      <c r="H844" s="14" t="n">
        <f aca="false">H843+IF(F844="",0,F844)</f>
        <v>39.7218760951215</v>
      </c>
      <c r="I844" s="14" t="n">
        <f aca="false">MAX(I843,H844)</f>
        <v>39.7218760951215</v>
      </c>
      <c r="J844" s="14" t="n">
        <f aca="false">I844-H844</f>
        <v>0</v>
      </c>
    </row>
    <row r="845" customFormat="false" ht="15" hidden="false" customHeight="false" outlineLevel="0" collapsed="false">
      <c r="A845" s="12" t="n">
        <f aca="false">Data!A845</f>
        <v>43231</v>
      </c>
      <c r="B845" s="14" t="n">
        <f aca="false">Data!B845</f>
        <v>70.7</v>
      </c>
      <c r="C845" s="0" t="str">
        <f aca="false">IF(Data!D845="","HOLD",IF(AND(G844&lt;&gt;"IN",Data!E845&lt;-5),"BUY",IF(AND(G844="IN",Data!E845&gt;0),"SELL","HOLD")))</f>
        <v>HOLD</v>
      </c>
      <c r="D845" s="14" t="str">
        <f aca="false">IF(C845="BUY",B845,IF(G844="IN",D844,""))</f>
        <v/>
      </c>
      <c r="E845" s="14" t="str">
        <f aca="false">IF(C845="SELL",B845,"")</f>
        <v/>
      </c>
      <c r="F845" s="14" t="str">
        <f aca="false">IF(E845="","",(E845-D845)/D845*100)</f>
        <v/>
      </c>
      <c r="G845" s="0" t="str">
        <f aca="false">IF(C845="BUY","IN",IF(C845="SELL","OUT",IF(G844="IN","IN","OUT")))</f>
        <v>OUT</v>
      </c>
      <c r="H845" s="14" t="n">
        <f aca="false">H844+IF(F845="",0,F845)</f>
        <v>39.7218760951215</v>
      </c>
      <c r="I845" s="14" t="n">
        <f aca="false">MAX(I844,H845)</f>
        <v>39.7218760951215</v>
      </c>
      <c r="J845" s="14" t="n">
        <f aca="false">I845-H845</f>
        <v>0</v>
      </c>
    </row>
    <row r="846" customFormat="false" ht="15" hidden="false" customHeight="false" outlineLevel="0" collapsed="false">
      <c r="A846" s="12" t="n">
        <f aca="false">Data!A846</f>
        <v>43234</v>
      </c>
      <c r="B846" s="14" t="n">
        <f aca="false">Data!B846</f>
        <v>70.96</v>
      </c>
      <c r="C846" s="0" t="str">
        <f aca="false">IF(Data!D846="","HOLD",IF(AND(G845&lt;&gt;"IN",Data!E846&lt;-5),"BUY",IF(AND(G845="IN",Data!E846&gt;0),"SELL","HOLD")))</f>
        <v>HOLD</v>
      </c>
      <c r="D846" s="14" t="str">
        <f aca="false">IF(C846="BUY",B846,IF(G845="IN",D845,""))</f>
        <v/>
      </c>
      <c r="E846" s="14" t="str">
        <f aca="false">IF(C846="SELL",B846,"")</f>
        <v/>
      </c>
      <c r="F846" s="14" t="str">
        <f aca="false">IF(E846="","",(E846-D846)/D846*100)</f>
        <v/>
      </c>
      <c r="G846" s="0" t="str">
        <f aca="false">IF(C846="BUY","IN",IF(C846="SELL","OUT",IF(G845="IN","IN","OUT")))</f>
        <v>OUT</v>
      </c>
      <c r="H846" s="14" t="n">
        <f aca="false">H845+IF(F846="",0,F846)</f>
        <v>39.7218760951215</v>
      </c>
      <c r="I846" s="14" t="n">
        <f aca="false">MAX(I845,H846)</f>
        <v>39.7218760951215</v>
      </c>
      <c r="J846" s="14" t="n">
        <f aca="false">I846-H846</f>
        <v>0</v>
      </c>
    </row>
    <row r="847" customFormat="false" ht="15" hidden="false" customHeight="false" outlineLevel="0" collapsed="false">
      <c r="A847" s="12" t="n">
        <f aca="false">Data!A847</f>
        <v>43235</v>
      </c>
      <c r="B847" s="14" t="n">
        <f aca="false">Data!B847</f>
        <v>71.31</v>
      </c>
      <c r="C847" s="0" t="str">
        <f aca="false">IF(Data!D847="","HOLD",IF(AND(G846&lt;&gt;"IN",Data!E847&lt;-5),"BUY",IF(AND(G846="IN",Data!E847&gt;0),"SELL","HOLD")))</f>
        <v>HOLD</v>
      </c>
      <c r="D847" s="14" t="str">
        <f aca="false">IF(C847="BUY",B847,IF(G846="IN",D846,""))</f>
        <v/>
      </c>
      <c r="E847" s="14" t="str">
        <f aca="false">IF(C847="SELL",B847,"")</f>
        <v/>
      </c>
      <c r="F847" s="14" t="str">
        <f aca="false">IF(E847="","",(E847-D847)/D847*100)</f>
        <v/>
      </c>
      <c r="G847" s="0" t="str">
        <f aca="false">IF(C847="BUY","IN",IF(C847="SELL","OUT",IF(G846="IN","IN","OUT")))</f>
        <v>OUT</v>
      </c>
      <c r="H847" s="14" t="n">
        <f aca="false">H846+IF(F847="",0,F847)</f>
        <v>39.7218760951215</v>
      </c>
      <c r="I847" s="14" t="n">
        <f aca="false">MAX(I846,H847)</f>
        <v>39.7218760951215</v>
      </c>
      <c r="J847" s="14" t="n">
        <f aca="false">I847-H847</f>
        <v>0</v>
      </c>
    </row>
    <row r="848" customFormat="false" ht="15" hidden="false" customHeight="false" outlineLevel="0" collapsed="false">
      <c r="A848" s="12" t="n">
        <f aca="false">Data!A848</f>
        <v>43236</v>
      </c>
      <c r="B848" s="14" t="n">
        <f aca="false">Data!B848</f>
        <v>71.49</v>
      </c>
      <c r="C848" s="0" t="str">
        <f aca="false">IF(Data!D848="","HOLD",IF(AND(G847&lt;&gt;"IN",Data!E848&lt;-5),"BUY",IF(AND(G847="IN",Data!E848&gt;0),"SELL","HOLD")))</f>
        <v>HOLD</v>
      </c>
      <c r="D848" s="14" t="str">
        <f aca="false">IF(C848="BUY",B848,IF(G847="IN",D847,""))</f>
        <v/>
      </c>
      <c r="E848" s="14" t="str">
        <f aca="false">IF(C848="SELL",B848,"")</f>
        <v/>
      </c>
      <c r="F848" s="14" t="str">
        <f aca="false">IF(E848="","",(E848-D848)/D848*100)</f>
        <v/>
      </c>
      <c r="G848" s="0" t="str">
        <f aca="false">IF(C848="BUY","IN",IF(C848="SELL","OUT",IF(G847="IN","IN","OUT")))</f>
        <v>OUT</v>
      </c>
      <c r="H848" s="14" t="n">
        <f aca="false">H847+IF(F848="",0,F848)</f>
        <v>39.7218760951215</v>
      </c>
      <c r="I848" s="14" t="n">
        <f aca="false">MAX(I847,H848)</f>
        <v>39.7218760951215</v>
      </c>
      <c r="J848" s="14" t="n">
        <f aca="false">I848-H848</f>
        <v>0</v>
      </c>
    </row>
    <row r="849" customFormat="false" ht="15" hidden="false" customHeight="false" outlineLevel="0" collapsed="false">
      <c r="A849" s="12" t="n">
        <f aca="false">Data!A849</f>
        <v>43237</v>
      </c>
      <c r="B849" s="14" t="n">
        <f aca="false">Data!B849</f>
        <v>71.49</v>
      </c>
      <c r="C849" s="0" t="str">
        <f aca="false">IF(Data!D849="","HOLD",IF(AND(G848&lt;&gt;"IN",Data!E849&lt;-5),"BUY",IF(AND(G848="IN",Data!E849&gt;0),"SELL","HOLD")))</f>
        <v>HOLD</v>
      </c>
      <c r="D849" s="14" t="str">
        <f aca="false">IF(C849="BUY",B849,IF(G848="IN",D848,""))</f>
        <v/>
      </c>
      <c r="E849" s="14" t="str">
        <f aca="false">IF(C849="SELL",B849,"")</f>
        <v/>
      </c>
      <c r="F849" s="14" t="str">
        <f aca="false">IF(E849="","",(E849-D849)/D849*100)</f>
        <v/>
      </c>
      <c r="G849" s="0" t="str">
        <f aca="false">IF(C849="BUY","IN",IF(C849="SELL","OUT",IF(G848="IN","IN","OUT")))</f>
        <v>OUT</v>
      </c>
      <c r="H849" s="14" t="n">
        <f aca="false">H848+IF(F849="",0,F849)</f>
        <v>39.7218760951215</v>
      </c>
      <c r="I849" s="14" t="n">
        <f aca="false">MAX(I848,H849)</f>
        <v>39.7218760951215</v>
      </c>
      <c r="J849" s="14" t="n">
        <f aca="false">I849-H849</f>
        <v>0</v>
      </c>
    </row>
    <row r="850" customFormat="false" ht="15" hidden="false" customHeight="false" outlineLevel="0" collapsed="false">
      <c r="A850" s="12" t="n">
        <f aca="false">Data!A850</f>
        <v>43238</v>
      </c>
      <c r="B850" s="14" t="n">
        <f aca="false">Data!B850</f>
        <v>71.28</v>
      </c>
      <c r="C850" s="0" t="str">
        <f aca="false">IF(Data!D850="","HOLD",IF(AND(G849&lt;&gt;"IN",Data!E850&lt;-5),"BUY",IF(AND(G849="IN",Data!E850&gt;0),"SELL","HOLD")))</f>
        <v>HOLD</v>
      </c>
      <c r="D850" s="14" t="str">
        <f aca="false">IF(C850="BUY",B850,IF(G849="IN",D849,""))</f>
        <v/>
      </c>
      <c r="E850" s="14" t="str">
        <f aca="false">IF(C850="SELL",B850,"")</f>
        <v/>
      </c>
      <c r="F850" s="14" t="str">
        <f aca="false">IF(E850="","",(E850-D850)/D850*100)</f>
        <v/>
      </c>
      <c r="G850" s="0" t="str">
        <f aca="false">IF(C850="BUY","IN",IF(C850="SELL","OUT",IF(G849="IN","IN","OUT")))</f>
        <v>OUT</v>
      </c>
      <c r="H850" s="14" t="n">
        <f aca="false">H849+IF(F850="",0,F850)</f>
        <v>39.7218760951215</v>
      </c>
      <c r="I850" s="14" t="n">
        <f aca="false">MAX(I849,H850)</f>
        <v>39.7218760951215</v>
      </c>
      <c r="J850" s="14" t="n">
        <f aca="false">I850-H850</f>
        <v>0</v>
      </c>
    </row>
    <row r="851" customFormat="false" ht="15" hidden="false" customHeight="false" outlineLevel="0" collapsed="false">
      <c r="A851" s="12" t="n">
        <f aca="false">Data!A851</f>
        <v>43241</v>
      </c>
      <c r="B851" s="14" t="n">
        <f aca="false">Data!B851</f>
        <v>72.24</v>
      </c>
      <c r="C851" s="0" t="str">
        <f aca="false">IF(Data!D851="","HOLD",IF(AND(G850&lt;&gt;"IN",Data!E851&lt;-5),"BUY",IF(AND(G850="IN",Data!E851&gt;0),"SELL","HOLD")))</f>
        <v>HOLD</v>
      </c>
      <c r="D851" s="14" t="str">
        <f aca="false">IF(C851="BUY",B851,IF(G850="IN",D850,""))</f>
        <v/>
      </c>
      <c r="E851" s="14" t="str">
        <f aca="false">IF(C851="SELL",B851,"")</f>
        <v/>
      </c>
      <c r="F851" s="14" t="str">
        <f aca="false">IF(E851="","",(E851-D851)/D851*100)</f>
        <v/>
      </c>
      <c r="G851" s="0" t="str">
        <f aca="false">IF(C851="BUY","IN",IF(C851="SELL","OUT",IF(G850="IN","IN","OUT")))</f>
        <v>OUT</v>
      </c>
      <c r="H851" s="14" t="n">
        <f aca="false">H850+IF(F851="",0,F851)</f>
        <v>39.7218760951215</v>
      </c>
      <c r="I851" s="14" t="n">
        <f aca="false">MAX(I850,H851)</f>
        <v>39.7218760951215</v>
      </c>
      <c r="J851" s="14" t="n">
        <f aca="false">I851-H851</f>
        <v>0</v>
      </c>
    </row>
    <row r="852" customFormat="false" ht="15" hidden="false" customHeight="false" outlineLevel="0" collapsed="false">
      <c r="A852" s="12" t="n">
        <f aca="false">Data!A852</f>
        <v>43242</v>
      </c>
      <c r="B852" s="14" t="n">
        <f aca="false">Data!B852</f>
        <v>72.13</v>
      </c>
      <c r="C852" s="0" t="str">
        <f aca="false">IF(Data!D852="","HOLD",IF(AND(G851&lt;&gt;"IN",Data!E852&lt;-5),"BUY",IF(AND(G851="IN",Data!E852&gt;0),"SELL","HOLD")))</f>
        <v>HOLD</v>
      </c>
      <c r="D852" s="14" t="str">
        <f aca="false">IF(C852="BUY",B852,IF(G851="IN",D851,""))</f>
        <v/>
      </c>
      <c r="E852" s="14" t="str">
        <f aca="false">IF(C852="SELL",B852,"")</f>
        <v/>
      </c>
      <c r="F852" s="14" t="str">
        <f aca="false">IF(E852="","",(E852-D852)/D852*100)</f>
        <v/>
      </c>
      <c r="G852" s="0" t="str">
        <f aca="false">IF(C852="BUY","IN",IF(C852="SELL","OUT",IF(G851="IN","IN","OUT")))</f>
        <v>OUT</v>
      </c>
      <c r="H852" s="14" t="n">
        <f aca="false">H851+IF(F852="",0,F852)</f>
        <v>39.7218760951215</v>
      </c>
      <c r="I852" s="14" t="n">
        <f aca="false">MAX(I851,H852)</f>
        <v>39.7218760951215</v>
      </c>
      <c r="J852" s="14" t="n">
        <f aca="false">I852-H852</f>
        <v>0</v>
      </c>
    </row>
    <row r="853" customFormat="false" ht="15" hidden="false" customHeight="false" outlineLevel="0" collapsed="false">
      <c r="A853" s="12" t="n">
        <f aca="false">Data!A853</f>
        <v>43243</v>
      </c>
      <c r="B853" s="14" t="n">
        <f aca="false">Data!B853</f>
        <v>71.84</v>
      </c>
      <c r="C853" s="0" t="str">
        <f aca="false">IF(Data!D853="","HOLD",IF(AND(G852&lt;&gt;"IN",Data!E853&lt;-5),"BUY",IF(AND(G852="IN",Data!E853&gt;0),"SELL","HOLD")))</f>
        <v>HOLD</v>
      </c>
      <c r="D853" s="14" t="str">
        <f aca="false">IF(C853="BUY",B853,IF(G852="IN",D852,""))</f>
        <v/>
      </c>
      <c r="E853" s="14" t="str">
        <f aca="false">IF(C853="SELL",B853,"")</f>
        <v/>
      </c>
      <c r="F853" s="14" t="str">
        <f aca="false">IF(E853="","",(E853-D853)/D853*100)</f>
        <v/>
      </c>
      <c r="G853" s="0" t="str">
        <f aca="false">IF(C853="BUY","IN",IF(C853="SELL","OUT",IF(G852="IN","IN","OUT")))</f>
        <v>OUT</v>
      </c>
      <c r="H853" s="14" t="n">
        <f aca="false">H852+IF(F853="",0,F853)</f>
        <v>39.7218760951215</v>
      </c>
      <c r="I853" s="14" t="n">
        <f aca="false">MAX(I852,H853)</f>
        <v>39.7218760951215</v>
      </c>
      <c r="J853" s="14" t="n">
        <f aca="false">I853-H853</f>
        <v>0</v>
      </c>
    </row>
    <row r="854" customFormat="false" ht="15" hidden="false" customHeight="false" outlineLevel="0" collapsed="false">
      <c r="A854" s="12" t="n">
        <f aca="false">Data!A854</f>
        <v>43244</v>
      </c>
      <c r="B854" s="14" t="n">
        <f aca="false">Data!B854</f>
        <v>70.71</v>
      </c>
      <c r="C854" s="0" t="str">
        <f aca="false">IF(Data!D854="","HOLD",IF(AND(G853&lt;&gt;"IN",Data!E854&lt;-5),"BUY",IF(AND(G853="IN",Data!E854&gt;0),"SELL","HOLD")))</f>
        <v>HOLD</v>
      </c>
      <c r="D854" s="14" t="str">
        <f aca="false">IF(C854="BUY",B854,IF(G853="IN",D853,""))</f>
        <v/>
      </c>
      <c r="E854" s="14" t="str">
        <f aca="false">IF(C854="SELL",B854,"")</f>
        <v/>
      </c>
      <c r="F854" s="14" t="str">
        <f aca="false">IF(E854="","",(E854-D854)/D854*100)</f>
        <v/>
      </c>
      <c r="G854" s="0" t="str">
        <f aca="false">IF(C854="BUY","IN",IF(C854="SELL","OUT",IF(G853="IN","IN","OUT")))</f>
        <v>OUT</v>
      </c>
      <c r="H854" s="14" t="n">
        <f aca="false">H853+IF(F854="",0,F854)</f>
        <v>39.7218760951215</v>
      </c>
      <c r="I854" s="14" t="n">
        <f aca="false">MAX(I853,H854)</f>
        <v>39.7218760951215</v>
      </c>
      <c r="J854" s="14" t="n">
        <f aca="false">I854-H854</f>
        <v>0</v>
      </c>
    </row>
    <row r="855" customFormat="false" ht="15" hidden="false" customHeight="false" outlineLevel="0" collapsed="false">
      <c r="A855" s="12" t="n">
        <f aca="false">Data!A855</f>
        <v>43245</v>
      </c>
      <c r="B855" s="14" t="n">
        <f aca="false">Data!B855</f>
        <v>67.88</v>
      </c>
      <c r="C855" s="0" t="str">
        <f aca="false">IF(Data!D855="","HOLD",IF(AND(G854&lt;&gt;"IN",Data!E855&lt;-5),"BUY",IF(AND(G854="IN",Data!E855&gt;0),"SELL","HOLD")))</f>
        <v>HOLD</v>
      </c>
      <c r="D855" s="14" t="str">
        <f aca="false">IF(C855="BUY",B855,IF(G854="IN",D854,""))</f>
        <v/>
      </c>
      <c r="E855" s="14" t="str">
        <f aca="false">IF(C855="SELL",B855,"")</f>
        <v/>
      </c>
      <c r="F855" s="14" t="str">
        <f aca="false">IF(E855="","",(E855-D855)/D855*100)</f>
        <v/>
      </c>
      <c r="G855" s="0" t="str">
        <f aca="false">IF(C855="BUY","IN",IF(C855="SELL","OUT",IF(G854="IN","IN","OUT")))</f>
        <v>OUT</v>
      </c>
      <c r="H855" s="14" t="n">
        <f aca="false">H854+IF(F855="",0,F855)</f>
        <v>39.7218760951215</v>
      </c>
      <c r="I855" s="14" t="n">
        <f aca="false">MAX(I854,H855)</f>
        <v>39.7218760951215</v>
      </c>
      <c r="J855" s="14" t="n">
        <f aca="false">I855-H855</f>
        <v>0</v>
      </c>
    </row>
    <row r="856" customFormat="false" ht="15" hidden="false" customHeight="false" outlineLevel="0" collapsed="false">
      <c r="A856" s="12" t="n">
        <f aca="false">Data!A856</f>
        <v>43249</v>
      </c>
      <c r="B856" s="14" t="n">
        <f aca="false">Data!B856</f>
        <v>66.73</v>
      </c>
      <c r="C856" s="0" t="str">
        <f aca="false">IF(Data!D856="","HOLD",IF(AND(G855&lt;&gt;"IN",Data!E856&lt;-5),"BUY",IF(AND(G855="IN",Data!E856&gt;0),"SELL","HOLD")))</f>
        <v>HOLD</v>
      </c>
      <c r="D856" s="14" t="str">
        <f aca="false">IF(C856="BUY",B856,IF(G855="IN",D855,""))</f>
        <v/>
      </c>
      <c r="E856" s="14" t="str">
        <f aca="false">IF(C856="SELL",B856,"")</f>
        <v/>
      </c>
      <c r="F856" s="14" t="str">
        <f aca="false">IF(E856="","",(E856-D856)/D856*100)</f>
        <v/>
      </c>
      <c r="G856" s="0" t="str">
        <f aca="false">IF(C856="BUY","IN",IF(C856="SELL","OUT",IF(G855="IN","IN","OUT")))</f>
        <v>OUT</v>
      </c>
      <c r="H856" s="14" t="n">
        <f aca="false">H855+IF(F856="",0,F856)</f>
        <v>39.7218760951215</v>
      </c>
      <c r="I856" s="14" t="n">
        <f aca="false">MAX(I855,H856)</f>
        <v>39.7218760951215</v>
      </c>
      <c r="J856" s="14" t="n">
        <f aca="false">I856-H856</f>
        <v>0</v>
      </c>
    </row>
    <row r="857" customFormat="false" ht="15" hidden="false" customHeight="false" outlineLevel="0" collapsed="false">
      <c r="A857" s="12" t="n">
        <f aca="false">Data!A857</f>
        <v>43250</v>
      </c>
      <c r="B857" s="14" t="n">
        <f aca="false">Data!B857</f>
        <v>68.21</v>
      </c>
      <c r="C857" s="0" t="str">
        <f aca="false">IF(Data!D857="","HOLD",IF(AND(G856&lt;&gt;"IN",Data!E857&lt;-5),"BUY",IF(AND(G856="IN",Data!E857&gt;0),"SELL","HOLD")))</f>
        <v>HOLD</v>
      </c>
      <c r="D857" s="14" t="str">
        <f aca="false">IF(C857="BUY",B857,IF(G856="IN",D856,""))</f>
        <v/>
      </c>
      <c r="E857" s="14" t="str">
        <f aca="false">IF(C857="SELL",B857,"")</f>
        <v/>
      </c>
      <c r="F857" s="14" t="str">
        <f aca="false">IF(E857="","",(E857-D857)/D857*100)</f>
        <v/>
      </c>
      <c r="G857" s="0" t="str">
        <f aca="false">IF(C857="BUY","IN",IF(C857="SELL","OUT",IF(G856="IN","IN","OUT")))</f>
        <v>OUT</v>
      </c>
      <c r="H857" s="14" t="n">
        <f aca="false">H856+IF(F857="",0,F857)</f>
        <v>39.7218760951215</v>
      </c>
      <c r="I857" s="14" t="n">
        <f aca="false">MAX(I856,H857)</f>
        <v>39.7218760951215</v>
      </c>
      <c r="J857" s="14" t="n">
        <f aca="false">I857-H857</f>
        <v>0</v>
      </c>
    </row>
    <row r="858" customFormat="false" ht="15" hidden="false" customHeight="false" outlineLevel="0" collapsed="false">
      <c r="A858" s="12" t="n">
        <f aca="false">Data!A858</f>
        <v>43251</v>
      </c>
      <c r="B858" s="14" t="n">
        <f aca="false">Data!B858</f>
        <v>67.04</v>
      </c>
      <c r="C858" s="0" t="str">
        <f aca="false">IF(Data!D858="","HOLD",IF(AND(G857&lt;&gt;"IN",Data!E858&lt;-5),"BUY",IF(AND(G857="IN",Data!E858&gt;0),"SELL","HOLD")))</f>
        <v>HOLD</v>
      </c>
      <c r="D858" s="14" t="str">
        <f aca="false">IF(C858="BUY",B858,IF(G857="IN",D857,""))</f>
        <v/>
      </c>
      <c r="E858" s="14" t="str">
        <f aca="false">IF(C858="SELL",B858,"")</f>
        <v/>
      </c>
      <c r="F858" s="14" t="str">
        <f aca="false">IF(E858="","",(E858-D858)/D858*100)</f>
        <v/>
      </c>
      <c r="G858" s="0" t="str">
        <f aca="false">IF(C858="BUY","IN",IF(C858="SELL","OUT",IF(G857="IN","IN","OUT")))</f>
        <v>OUT</v>
      </c>
      <c r="H858" s="14" t="n">
        <f aca="false">H857+IF(F858="",0,F858)</f>
        <v>39.7218760951215</v>
      </c>
      <c r="I858" s="14" t="n">
        <f aca="false">MAX(I857,H858)</f>
        <v>39.7218760951215</v>
      </c>
      <c r="J858" s="14" t="n">
        <f aca="false">I858-H858</f>
        <v>0</v>
      </c>
    </row>
    <row r="859" customFormat="false" ht="15" hidden="false" customHeight="false" outlineLevel="0" collapsed="false">
      <c r="A859" s="12" t="n">
        <f aca="false">Data!A859</f>
        <v>43252</v>
      </c>
      <c r="B859" s="14" t="n">
        <f aca="false">Data!B859</f>
        <v>65.81</v>
      </c>
      <c r="C859" s="0" t="str">
        <f aca="false">IF(Data!D859="","HOLD",IF(AND(G858&lt;&gt;"IN",Data!E859&lt;-5),"BUY",IF(AND(G858="IN",Data!E859&gt;0),"SELL","HOLD")))</f>
        <v>BUY</v>
      </c>
      <c r="D859" s="14" t="n">
        <f aca="false">IF(C859="BUY",B859,IF(G858="IN",D858,""))</f>
        <v>65.81</v>
      </c>
      <c r="E859" s="14" t="str">
        <f aca="false">IF(C859="SELL",B859,"")</f>
        <v/>
      </c>
      <c r="F859" s="14" t="str">
        <f aca="false">IF(E859="","",(E859-D859)/D859*100)</f>
        <v/>
      </c>
      <c r="G859" s="0" t="str">
        <f aca="false">IF(C859="BUY","IN",IF(C859="SELL","OUT",IF(G858="IN","IN","OUT")))</f>
        <v>IN</v>
      </c>
      <c r="H859" s="14" t="n">
        <f aca="false">H858+IF(F859="",0,F859)</f>
        <v>39.7218760951215</v>
      </c>
      <c r="I859" s="14" t="n">
        <f aca="false">MAX(I858,H859)</f>
        <v>39.7218760951215</v>
      </c>
      <c r="J859" s="14" t="n">
        <f aca="false">I859-H859</f>
        <v>0</v>
      </c>
    </row>
    <row r="860" customFormat="false" ht="15" hidden="false" customHeight="false" outlineLevel="0" collapsed="false">
      <c r="A860" s="12" t="n">
        <f aca="false">Data!A860</f>
        <v>43255</v>
      </c>
      <c r="B860" s="14" t="n">
        <f aca="false">Data!B860</f>
        <v>64.75</v>
      </c>
      <c r="C860" s="0" t="str">
        <f aca="false">IF(Data!D860="","HOLD",IF(AND(G859&lt;&gt;"IN",Data!E860&lt;-5),"BUY",IF(AND(G859="IN",Data!E860&gt;0),"SELL","HOLD")))</f>
        <v>HOLD</v>
      </c>
      <c r="D860" s="14" t="n">
        <f aca="false">IF(C860="BUY",B860,IF(G859="IN",D859,""))</f>
        <v>65.81</v>
      </c>
      <c r="E860" s="14" t="str">
        <f aca="false">IF(C860="SELL",B860,"")</f>
        <v/>
      </c>
      <c r="F860" s="14" t="str">
        <f aca="false">IF(E860="","",(E860-D860)/D860*100)</f>
        <v/>
      </c>
      <c r="G860" s="0" t="str">
        <f aca="false">IF(C860="BUY","IN",IF(C860="SELL","OUT",IF(G859="IN","IN","OUT")))</f>
        <v>IN</v>
      </c>
      <c r="H860" s="14" t="n">
        <f aca="false">H859+IF(F860="",0,F860)</f>
        <v>39.7218760951215</v>
      </c>
      <c r="I860" s="14" t="n">
        <f aca="false">MAX(I859,H860)</f>
        <v>39.7218760951215</v>
      </c>
      <c r="J860" s="14" t="n">
        <f aca="false">I860-H860</f>
        <v>0</v>
      </c>
    </row>
    <row r="861" customFormat="false" ht="15" hidden="false" customHeight="false" outlineLevel="0" collapsed="false">
      <c r="A861" s="12" t="n">
        <f aca="false">Data!A861</f>
        <v>43256</v>
      </c>
      <c r="B861" s="14" t="n">
        <f aca="false">Data!B861</f>
        <v>65.52</v>
      </c>
      <c r="C861" s="0" t="str">
        <f aca="false">IF(Data!D861="","HOLD",IF(AND(G860&lt;&gt;"IN",Data!E861&lt;-5),"BUY",IF(AND(G860="IN",Data!E861&gt;0),"SELL","HOLD")))</f>
        <v>HOLD</v>
      </c>
      <c r="D861" s="14" t="n">
        <f aca="false">IF(C861="BUY",B861,IF(G860="IN",D860,""))</f>
        <v>65.81</v>
      </c>
      <c r="E861" s="14" t="str">
        <f aca="false">IF(C861="SELL",B861,"")</f>
        <v/>
      </c>
      <c r="F861" s="14" t="str">
        <f aca="false">IF(E861="","",(E861-D861)/D861*100)</f>
        <v/>
      </c>
      <c r="G861" s="0" t="str">
        <f aca="false">IF(C861="BUY","IN",IF(C861="SELL","OUT",IF(G860="IN","IN","OUT")))</f>
        <v>IN</v>
      </c>
      <c r="H861" s="14" t="n">
        <f aca="false">H860+IF(F861="",0,F861)</f>
        <v>39.7218760951215</v>
      </c>
      <c r="I861" s="14" t="n">
        <f aca="false">MAX(I860,H861)</f>
        <v>39.7218760951215</v>
      </c>
      <c r="J861" s="14" t="n">
        <f aca="false">I861-H861</f>
        <v>0</v>
      </c>
    </row>
    <row r="862" customFormat="false" ht="15" hidden="false" customHeight="false" outlineLevel="0" collapsed="false">
      <c r="A862" s="12" t="n">
        <f aca="false">Data!A862</f>
        <v>43257</v>
      </c>
      <c r="B862" s="14" t="n">
        <f aca="false">Data!B862</f>
        <v>64.73</v>
      </c>
      <c r="C862" s="0" t="str">
        <f aca="false">IF(Data!D862="","HOLD",IF(AND(G861&lt;&gt;"IN",Data!E862&lt;-5),"BUY",IF(AND(G861="IN",Data!E862&gt;0),"SELL","HOLD")))</f>
        <v>HOLD</v>
      </c>
      <c r="D862" s="14" t="n">
        <f aca="false">IF(C862="BUY",B862,IF(G861="IN",D861,""))</f>
        <v>65.81</v>
      </c>
      <c r="E862" s="14" t="str">
        <f aca="false">IF(C862="SELL",B862,"")</f>
        <v/>
      </c>
      <c r="F862" s="14" t="str">
        <f aca="false">IF(E862="","",(E862-D862)/D862*100)</f>
        <v/>
      </c>
      <c r="G862" s="0" t="str">
        <f aca="false">IF(C862="BUY","IN",IF(C862="SELL","OUT",IF(G861="IN","IN","OUT")))</f>
        <v>IN</v>
      </c>
      <c r="H862" s="14" t="n">
        <f aca="false">H861+IF(F862="",0,F862)</f>
        <v>39.7218760951215</v>
      </c>
      <c r="I862" s="14" t="n">
        <f aca="false">MAX(I861,H862)</f>
        <v>39.7218760951215</v>
      </c>
      <c r="J862" s="14" t="n">
        <f aca="false">I862-H862</f>
        <v>0</v>
      </c>
    </row>
    <row r="863" customFormat="false" ht="15" hidden="false" customHeight="false" outlineLevel="0" collapsed="false">
      <c r="A863" s="12" t="n">
        <f aca="false">Data!A863</f>
        <v>43258</v>
      </c>
      <c r="B863" s="14" t="n">
        <f aca="false">Data!B863</f>
        <v>65.95</v>
      </c>
      <c r="C863" s="0" t="str">
        <f aca="false">IF(Data!D863="","HOLD",IF(AND(G862&lt;&gt;"IN",Data!E863&lt;-5),"BUY",IF(AND(G862="IN",Data!E863&gt;0),"SELL","HOLD")))</f>
        <v>HOLD</v>
      </c>
      <c r="D863" s="14" t="n">
        <f aca="false">IF(C863="BUY",B863,IF(G862="IN",D862,""))</f>
        <v>65.81</v>
      </c>
      <c r="E863" s="14" t="str">
        <f aca="false">IF(C863="SELL",B863,"")</f>
        <v/>
      </c>
      <c r="F863" s="14" t="str">
        <f aca="false">IF(E863="","",(E863-D863)/D863*100)</f>
        <v/>
      </c>
      <c r="G863" s="0" t="str">
        <f aca="false">IF(C863="BUY","IN",IF(C863="SELL","OUT",IF(G862="IN","IN","OUT")))</f>
        <v>IN</v>
      </c>
      <c r="H863" s="14" t="n">
        <f aca="false">H862+IF(F863="",0,F863)</f>
        <v>39.7218760951215</v>
      </c>
      <c r="I863" s="14" t="n">
        <f aca="false">MAX(I862,H863)</f>
        <v>39.7218760951215</v>
      </c>
      <c r="J863" s="14" t="n">
        <f aca="false">I863-H863</f>
        <v>0</v>
      </c>
    </row>
    <row r="864" customFormat="false" ht="15" hidden="false" customHeight="false" outlineLevel="0" collapsed="false">
      <c r="A864" s="12" t="n">
        <f aca="false">Data!A864</f>
        <v>43259</v>
      </c>
      <c r="B864" s="14" t="n">
        <f aca="false">Data!B864</f>
        <v>65.74</v>
      </c>
      <c r="C864" s="0" t="str">
        <f aca="false">IF(Data!D864="","HOLD",IF(AND(G863&lt;&gt;"IN",Data!E864&lt;-5),"BUY",IF(AND(G863="IN",Data!E864&gt;0),"SELL","HOLD")))</f>
        <v>HOLD</v>
      </c>
      <c r="D864" s="14" t="n">
        <f aca="false">IF(C864="BUY",B864,IF(G863="IN",D863,""))</f>
        <v>65.81</v>
      </c>
      <c r="E864" s="14" t="str">
        <f aca="false">IF(C864="SELL",B864,"")</f>
        <v/>
      </c>
      <c r="F864" s="14" t="str">
        <f aca="false">IF(E864="","",(E864-D864)/D864*100)</f>
        <v/>
      </c>
      <c r="G864" s="0" t="str">
        <f aca="false">IF(C864="BUY","IN",IF(C864="SELL","OUT",IF(G863="IN","IN","OUT")))</f>
        <v>IN</v>
      </c>
      <c r="H864" s="14" t="n">
        <f aca="false">H863+IF(F864="",0,F864)</f>
        <v>39.7218760951215</v>
      </c>
      <c r="I864" s="14" t="n">
        <f aca="false">MAX(I863,H864)</f>
        <v>39.7218760951215</v>
      </c>
      <c r="J864" s="14" t="n">
        <f aca="false">I864-H864</f>
        <v>0</v>
      </c>
    </row>
    <row r="865" customFormat="false" ht="15" hidden="false" customHeight="false" outlineLevel="0" collapsed="false">
      <c r="A865" s="12" t="n">
        <f aca="false">Data!A865</f>
        <v>43262</v>
      </c>
      <c r="B865" s="14" t="n">
        <f aca="false">Data!B865</f>
        <v>66.1</v>
      </c>
      <c r="C865" s="0" t="str">
        <f aca="false">IF(Data!D865="","HOLD",IF(AND(G864&lt;&gt;"IN",Data!E865&lt;-5),"BUY",IF(AND(G864="IN",Data!E865&gt;0),"SELL","HOLD")))</f>
        <v>HOLD</v>
      </c>
      <c r="D865" s="14" t="n">
        <f aca="false">IF(C865="BUY",B865,IF(G864="IN",D864,""))</f>
        <v>65.81</v>
      </c>
      <c r="E865" s="14" t="str">
        <f aca="false">IF(C865="SELL",B865,"")</f>
        <v/>
      </c>
      <c r="F865" s="14" t="str">
        <f aca="false">IF(E865="","",(E865-D865)/D865*100)</f>
        <v/>
      </c>
      <c r="G865" s="0" t="str">
        <f aca="false">IF(C865="BUY","IN",IF(C865="SELL","OUT",IF(G864="IN","IN","OUT")))</f>
        <v>IN</v>
      </c>
      <c r="H865" s="14" t="n">
        <f aca="false">H864+IF(F865="",0,F865)</f>
        <v>39.7218760951215</v>
      </c>
      <c r="I865" s="14" t="n">
        <f aca="false">MAX(I864,H865)</f>
        <v>39.7218760951215</v>
      </c>
      <c r="J865" s="14" t="n">
        <f aca="false">I865-H865</f>
        <v>0</v>
      </c>
    </row>
    <row r="866" customFormat="false" ht="15" hidden="false" customHeight="false" outlineLevel="0" collapsed="false">
      <c r="A866" s="12" t="n">
        <f aca="false">Data!A866</f>
        <v>43263</v>
      </c>
      <c r="B866" s="14" t="n">
        <f aca="false">Data!B866</f>
        <v>66.36</v>
      </c>
      <c r="C866" s="0" t="str">
        <f aca="false">IF(Data!D866="","HOLD",IF(AND(G865&lt;&gt;"IN",Data!E866&lt;-5),"BUY",IF(AND(G865="IN",Data!E866&gt;0),"SELL","HOLD")))</f>
        <v>HOLD</v>
      </c>
      <c r="D866" s="14" t="n">
        <f aca="false">IF(C866="BUY",B866,IF(G865="IN",D865,""))</f>
        <v>65.81</v>
      </c>
      <c r="E866" s="14" t="str">
        <f aca="false">IF(C866="SELL",B866,"")</f>
        <v/>
      </c>
      <c r="F866" s="14" t="str">
        <f aca="false">IF(E866="","",(E866-D866)/D866*100)</f>
        <v/>
      </c>
      <c r="G866" s="0" t="str">
        <f aca="false">IF(C866="BUY","IN",IF(C866="SELL","OUT",IF(G865="IN","IN","OUT")))</f>
        <v>IN</v>
      </c>
      <c r="H866" s="14" t="n">
        <f aca="false">H865+IF(F866="",0,F866)</f>
        <v>39.7218760951215</v>
      </c>
      <c r="I866" s="14" t="n">
        <f aca="false">MAX(I865,H866)</f>
        <v>39.7218760951215</v>
      </c>
      <c r="J866" s="14" t="n">
        <f aca="false">I866-H866</f>
        <v>0</v>
      </c>
    </row>
    <row r="867" customFormat="false" ht="15" hidden="false" customHeight="false" outlineLevel="0" collapsed="false">
      <c r="A867" s="12" t="n">
        <f aca="false">Data!A867</f>
        <v>43264</v>
      </c>
      <c r="B867" s="14" t="n">
        <f aca="false">Data!B867</f>
        <v>66.64</v>
      </c>
      <c r="C867" s="0" t="str">
        <f aca="false">IF(Data!D867="","HOLD",IF(AND(G866&lt;&gt;"IN",Data!E867&lt;-5),"BUY",IF(AND(G866="IN",Data!E867&gt;0),"SELL","HOLD")))</f>
        <v>HOLD</v>
      </c>
      <c r="D867" s="14" t="n">
        <f aca="false">IF(C867="BUY",B867,IF(G866="IN",D866,""))</f>
        <v>65.81</v>
      </c>
      <c r="E867" s="14" t="str">
        <f aca="false">IF(C867="SELL",B867,"")</f>
        <v/>
      </c>
      <c r="F867" s="14" t="str">
        <f aca="false">IF(E867="","",(E867-D867)/D867*100)</f>
        <v/>
      </c>
      <c r="G867" s="0" t="str">
        <f aca="false">IF(C867="BUY","IN",IF(C867="SELL","OUT",IF(G866="IN","IN","OUT")))</f>
        <v>IN</v>
      </c>
      <c r="H867" s="14" t="n">
        <f aca="false">H866+IF(F867="",0,F867)</f>
        <v>39.7218760951215</v>
      </c>
      <c r="I867" s="14" t="n">
        <f aca="false">MAX(I866,H867)</f>
        <v>39.7218760951215</v>
      </c>
      <c r="J867" s="14" t="n">
        <f aca="false">I867-H867</f>
        <v>0</v>
      </c>
    </row>
    <row r="868" customFormat="false" ht="15" hidden="false" customHeight="false" outlineLevel="0" collapsed="false">
      <c r="A868" s="12" t="n">
        <f aca="false">Data!A868</f>
        <v>43265</v>
      </c>
      <c r="B868" s="14" t="n">
        <f aca="false">Data!B868</f>
        <v>66.89</v>
      </c>
      <c r="C868" s="0" t="str">
        <f aca="false">IF(Data!D868="","HOLD",IF(AND(G867&lt;&gt;"IN",Data!E868&lt;-5),"BUY",IF(AND(G867="IN",Data!E868&gt;0),"SELL","HOLD")))</f>
        <v>HOLD</v>
      </c>
      <c r="D868" s="14" t="n">
        <f aca="false">IF(C868="BUY",B868,IF(G867="IN",D867,""))</f>
        <v>65.81</v>
      </c>
      <c r="E868" s="14" t="str">
        <f aca="false">IF(C868="SELL",B868,"")</f>
        <v/>
      </c>
      <c r="F868" s="14" t="str">
        <f aca="false">IF(E868="","",(E868-D868)/D868*100)</f>
        <v/>
      </c>
      <c r="G868" s="0" t="str">
        <f aca="false">IF(C868="BUY","IN",IF(C868="SELL","OUT",IF(G867="IN","IN","OUT")))</f>
        <v>IN</v>
      </c>
      <c r="H868" s="14" t="n">
        <f aca="false">H867+IF(F868="",0,F868)</f>
        <v>39.7218760951215</v>
      </c>
      <c r="I868" s="14" t="n">
        <f aca="false">MAX(I867,H868)</f>
        <v>39.7218760951215</v>
      </c>
      <c r="J868" s="14" t="n">
        <f aca="false">I868-H868</f>
        <v>0</v>
      </c>
    </row>
    <row r="869" customFormat="false" ht="15" hidden="false" customHeight="false" outlineLevel="0" collapsed="false">
      <c r="A869" s="12" t="n">
        <f aca="false">Data!A869</f>
        <v>43266</v>
      </c>
      <c r="B869" s="14" t="n">
        <f aca="false">Data!B869</f>
        <v>65.06</v>
      </c>
      <c r="C869" s="0" t="str">
        <f aca="false">IF(Data!D869="","HOLD",IF(AND(G868&lt;&gt;"IN",Data!E869&lt;-5),"BUY",IF(AND(G868="IN",Data!E869&gt;0),"SELL","HOLD")))</f>
        <v>HOLD</v>
      </c>
      <c r="D869" s="14" t="n">
        <f aca="false">IF(C869="BUY",B869,IF(G868="IN",D868,""))</f>
        <v>65.81</v>
      </c>
      <c r="E869" s="14" t="str">
        <f aca="false">IF(C869="SELL",B869,"")</f>
        <v/>
      </c>
      <c r="F869" s="14" t="str">
        <f aca="false">IF(E869="","",(E869-D869)/D869*100)</f>
        <v/>
      </c>
      <c r="G869" s="0" t="str">
        <f aca="false">IF(C869="BUY","IN",IF(C869="SELL","OUT",IF(G868="IN","IN","OUT")))</f>
        <v>IN</v>
      </c>
      <c r="H869" s="14" t="n">
        <f aca="false">H868+IF(F869="",0,F869)</f>
        <v>39.7218760951215</v>
      </c>
      <c r="I869" s="14" t="n">
        <f aca="false">MAX(I868,H869)</f>
        <v>39.7218760951215</v>
      </c>
      <c r="J869" s="14" t="n">
        <f aca="false">I869-H869</f>
        <v>0</v>
      </c>
    </row>
    <row r="870" customFormat="false" ht="15" hidden="false" customHeight="false" outlineLevel="0" collapsed="false">
      <c r="A870" s="12" t="n">
        <f aca="false">Data!A870</f>
        <v>43269</v>
      </c>
      <c r="B870" s="14" t="n">
        <f aca="false">Data!B870</f>
        <v>65.85</v>
      </c>
      <c r="C870" s="0" t="str">
        <f aca="false">IF(Data!D870="","HOLD",IF(AND(G869&lt;&gt;"IN",Data!E870&lt;-5),"BUY",IF(AND(G869="IN",Data!E870&gt;0),"SELL","HOLD")))</f>
        <v>HOLD</v>
      </c>
      <c r="D870" s="14" t="n">
        <f aca="false">IF(C870="BUY",B870,IF(G869="IN",D869,""))</f>
        <v>65.81</v>
      </c>
      <c r="E870" s="14" t="str">
        <f aca="false">IF(C870="SELL",B870,"")</f>
        <v/>
      </c>
      <c r="F870" s="14" t="str">
        <f aca="false">IF(E870="","",(E870-D870)/D870*100)</f>
        <v/>
      </c>
      <c r="G870" s="0" t="str">
        <f aca="false">IF(C870="BUY","IN",IF(C870="SELL","OUT",IF(G869="IN","IN","OUT")))</f>
        <v>IN</v>
      </c>
      <c r="H870" s="14" t="n">
        <f aca="false">H869+IF(F870="",0,F870)</f>
        <v>39.7218760951215</v>
      </c>
      <c r="I870" s="14" t="n">
        <f aca="false">MAX(I869,H870)</f>
        <v>39.7218760951215</v>
      </c>
      <c r="J870" s="14" t="n">
        <f aca="false">I870-H870</f>
        <v>0</v>
      </c>
    </row>
    <row r="871" customFormat="false" ht="15" hidden="false" customHeight="false" outlineLevel="0" collapsed="false">
      <c r="A871" s="12" t="n">
        <f aca="false">Data!A871</f>
        <v>43270</v>
      </c>
      <c r="B871" s="14" t="n">
        <f aca="false">Data!B871</f>
        <v>65.07</v>
      </c>
      <c r="C871" s="0" t="str">
        <f aca="false">IF(Data!D871="","HOLD",IF(AND(G870&lt;&gt;"IN",Data!E871&lt;-5),"BUY",IF(AND(G870="IN",Data!E871&gt;0),"SELL","HOLD")))</f>
        <v>HOLD</v>
      </c>
      <c r="D871" s="14" t="n">
        <f aca="false">IF(C871="BUY",B871,IF(G870="IN",D870,""))</f>
        <v>65.81</v>
      </c>
      <c r="E871" s="14" t="str">
        <f aca="false">IF(C871="SELL",B871,"")</f>
        <v/>
      </c>
      <c r="F871" s="14" t="str">
        <f aca="false">IF(E871="","",(E871-D871)/D871*100)</f>
        <v/>
      </c>
      <c r="G871" s="0" t="str">
        <f aca="false">IF(C871="BUY","IN",IF(C871="SELL","OUT",IF(G870="IN","IN","OUT")))</f>
        <v>IN</v>
      </c>
      <c r="H871" s="14" t="n">
        <f aca="false">H870+IF(F871="",0,F871)</f>
        <v>39.7218760951215</v>
      </c>
      <c r="I871" s="14" t="n">
        <f aca="false">MAX(I870,H871)</f>
        <v>39.7218760951215</v>
      </c>
      <c r="J871" s="14" t="n">
        <f aca="false">I871-H871</f>
        <v>0</v>
      </c>
    </row>
    <row r="872" customFormat="false" ht="15" hidden="false" customHeight="false" outlineLevel="0" collapsed="false">
      <c r="A872" s="12" t="n">
        <f aca="false">Data!A872</f>
        <v>43271</v>
      </c>
      <c r="B872" s="14" t="n">
        <f aca="false">Data!B872</f>
        <v>66.22</v>
      </c>
      <c r="C872" s="0" t="str">
        <f aca="false">IF(Data!D872="","HOLD",IF(AND(G871&lt;&gt;"IN",Data!E872&lt;-5),"BUY",IF(AND(G871="IN",Data!E872&gt;0),"SELL","HOLD")))</f>
        <v>HOLD</v>
      </c>
      <c r="D872" s="14" t="n">
        <f aca="false">IF(C872="BUY",B872,IF(G871="IN",D871,""))</f>
        <v>65.81</v>
      </c>
      <c r="E872" s="14" t="str">
        <f aca="false">IF(C872="SELL",B872,"")</f>
        <v/>
      </c>
      <c r="F872" s="14" t="str">
        <f aca="false">IF(E872="","",(E872-D872)/D872*100)</f>
        <v/>
      </c>
      <c r="G872" s="0" t="str">
        <f aca="false">IF(C872="BUY","IN",IF(C872="SELL","OUT",IF(G871="IN","IN","OUT")))</f>
        <v>IN</v>
      </c>
      <c r="H872" s="14" t="n">
        <f aca="false">H871+IF(F872="",0,F872)</f>
        <v>39.7218760951215</v>
      </c>
      <c r="I872" s="14" t="n">
        <f aca="false">MAX(I871,H872)</f>
        <v>39.7218760951215</v>
      </c>
      <c r="J872" s="14" t="n">
        <f aca="false">I872-H872</f>
        <v>0</v>
      </c>
    </row>
    <row r="873" customFormat="false" ht="15" hidden="false" customHeight="false" outlineLevel="0" collapsed="false">
      <c r="A873" s="12" t="n">
        <f aca="false">Data!A873</f>
        <v>43272</v>
      </c>
      <c r="B873" s="14" t="n">
        <f aca="false">Data!B873</f>
        <v>65.54</v>
      </c>
      <c r="C873" s="0" t="str">
        <f aca="false">IF(Data!D873="","HOLD",IF(AND(G872&lt;&gt;"IN",Data!E873&lt;-5),"BUY",IF(AND(G872="IN",Data!E873&gt;0),"SELL","HOLD")))</f>
        <v>HOLD</v>
      </c>
      <c r="D873" s="14" t="n">
        <f aca="false">IF(C873="BUY",B873,IF(G872="IN",D872,""))</f>
        <v>65.81</v>
      </c>
      <c r="E873" s="14" t="str">
        <f aca="false">IF(C873="SELL",B873,"")</f>
        <v/>
      </c>
      <c r="F873" s="14" t="str">
        <f aca="false">IF(E873="","",(E873-D873)/D873*100)</f>
        <v/>
      </c>
      <c r="G873" s="0" t="str">
        <f aca="false">IF(C873="BUY","IN",IF(C873="SELL","OUT",IF(G872="IN","IN","OUT")))</f>
        <v>IN</v>
      </c>
      <c r="H873" s="14" t="n">
        <f aca="false">H872+IF(F873="",0,F873)</f>
        <v>39.7218760951215</v>
      </c>
      <c r="I873" s="14" t="n">
        <f aca="false">MAX(I872,H873)</f>
        <v>39.7218760951215</v>
      </c>
      <c r="J873" s="14" t="n">
        <f aca="false">I873-H873</f>
        <v>0</v>
      </c>
    </row>
    <row r="874" customFormat="false" ht="15" hidden="false" customHeight="false" outlineLevel="0" collapsed="false">
      <c r="A874" s="12" t="n">
        <f aca="false">Data!A874</f>
        <v>43273</v>
      </c>
      <c r="B874" s="14" t="n">
        <f aca="false">Data!B874</f>
        <v>68.58</v>
      </c>
      <c r="C874" s="0" t="str">
        <f aca="false">IF(Data!D874="","HOLD",IF(AND(G873&lt;&gt;"IN",Data!E874&lt;-5),"BUY",IF(AND(G873="IN",Data!E874&gt;0),"SELL","HOLD")))</f>
        <v>SELL</v>
      </c>
      <c r="D874" s="14" t="n">
        <f aca="false">IF(C874="BUY",B874,IF(G873="IN",D873,""))</f>
        <v>65.81</v>
      </c>
      <c r="E874" s="14" t="n">
        <f aca="false">IF(C874="SELL",B874,"")</f>
        <v>68.58</v>
      </c>
      <c r="F874" s="14" t="n">
        <f aca="false">IF(E874="","",(E874-D874)/D874*100)</f>
        <v>4.20908676492934</v>
      </c>
      <c r="G874" s="0" t="str">
        <f aca="false">IF(C874="BUY","IN",IF(C874="SELL","OUT",IF(G873="IN","IN","OUT")))</f>
        <v>OUT</v>
      </c>
      <c r="H874" s="14" t="n">
        <f aca="false">H873+IF(F874="",0,F874)</f>
        <v>43.9309628600509</v>
      </c>
      <c r="I874" s="14" t="n">
        <f aca="false">MAX(I873,H874)</f>
        <v>43.9309628600509</v>
      </c>
      <c r="J874" s="14" t="n">
        <f aca="false">I874-H874</f>
        <v>0</v>
      </c>
    </row>
    <row r="875" customFormat="false" ht="15" hidden="false" customHeight="false" outlineLevel="0" collapsed="false">
      <c r="A875" s="12" t="n">
        <f aca="false">Data!A875</f>
        <v>43276</v>
      </c>
      <c r="B875" s="14" t="n">
        <f aca="false">Data!B875</f>
        <v>68.08</v>
      </c>
      <c r="C875" s="0" t="str">
        <f aca="false">IF(Data!D875="","HOLD",IF(AND(G874&lt;&gt;"IN",Data!E875&lt;-5),"BUY",IF(AND(G874="IN",Data!E875&gt;0),"SELL","HOLD")))</f>
        <v>HOLD</v>
      </c>
      <c r="D875" s="14" t="str">
        <f aca="false">IF(C875="BUY",B875,IF(G874="IN",D874,""))</f>
        <v/>
      </c>
      <c r="E875" s="14" t="str">
        <f aca="false">IF(C875="SELL",B875,"")</f>
        <v/>
      </c>
      <c r="F875" s="14" t="str">
        <f aca="false">IF(E875="","",(E875-D875)/D875*100)</f>
        <v/>
      </c>
      <c r="G875" s="0" t="str">
        <f aca="false">IF(C875="BUY","IN",IF(C875="SELL","OUT",IF(G874="IN","IN","OUT")))</f>
        <v>OUT</v>
      </c>
      <c r="H875" s="14" t="n">
        <f aca="false">H874+IF(F875="",0,F875)</f>
        <v>43.9309628600509</v>
      </c>
      <c r="I875" s="14" t="n">
        <f aca="false">MAX(I874,H875)</f>
        <v>43.9309628600509</v>
      </c>
      <c r="J875" s="14" t="n">
        <f aca="false">I875-H875</f>
        <v>0</v>
      </c>
    </row>
    <row r="876" customFormat="false" ht="15" hidden="false" customHeight="false" outlineLevel="0" collapsed="false">
      <c r="A876" s="12" t="n">
        <f aca="false">Data!A876</f>
        <v>43277</v>
      </c>
      <c r="B876" s="14" t="n">
        <f aca="false">Data!B876</f>
        <v>70.53</v>
      </c>
      <c r="C876" s="0" t="str">
        <f aca="false">IF(Data!D876="","HOLD",IF(AND(G875&lt;&gt;"IN",Data!E876&lt;-5),"BUY",IF(AND(G875="IN",Data!E876&gt;0),"SELL","HOLD")))</f>
        <v>HOLD</v>
      </c>
      <c r="D876" s="14" t="str">
        <f aca="false">IF(C876="BUY",B876,IF(G875="IN",D875,""))</f>
        <v/>
      </c>
      <c r="E876" s="14" t="str">
        <f aca="false">IF(C876="SELL",B876,"")</f>
        <v/>
      </c>
      <c r="F876" s="14" t="str">
        <f aca="false">IF(E876="","",(E876-D876)/D876*100)</f>
        <v/>
      </c>
      <c r="G876" s="0" t="str">
        <f aca="false">IF(C876="BUY","IN",IF(C876="SELL","OUT",IF(G875="IN","IN","OUT")))</f>
        <v>OUT</v>
      </c>
      <c r="H876" s="14" t="n">
        <f aca="false">H875+IF(F876="",0,F876)</f>
        <v>43.9309628600509</v>
      </c>
      <c r="I876" s="14" t="n">
        <f aca="false">MAX(I875,H876)</f>
        <v>43.9309628600509</v>
      </c>
      <c r="J876" s="14" t="n">
        <f aca="false">I876-H876</f>
        <v>0</v>
      </c>
    </row>
    <row r="877" customFormat="false" ht="15" hidden="false" customHeight="false" outlineLevel="0" collapsed="false">
      <c r="A877" s="12" t="n">
        <f aca="false">Data!A877</f>
        <v>43278</v>
      </c>
      <c r="B877" s="14" t="n">
        <f aca="false">Data!B877</f>
        <v>72.76</v>
      </c>
      <c r="C877" s="0" t="str">
        <f aca="false">IF(Data!D877="","HOLD",IF(AND(G876&lt;&gt;"IN",Data!E877&lt;-5),"BUY",IF(AND(G876="IN",Data!E877&gt;0),"SELL","HOLD")))</f>
        <v>HOLD</v>
      </c>
      <c r="D877" s="14" t="str">
        <f aca="false">IF(C877="BUY",B877,IF(G876="IN",D876,""))</f>
        <v/>
      </c>
      <c r="E877" s="14" t="str">
        <f aca="false">IF(C877="SELL",B877,"")</f>
        <v/>
      </c>
      <c r="F877" s="14" t="str">
        <f aca="false">IF(E877="","",(E877-D877)/D877*100)</f>
        <v/>
      </c>
      <c r="G877" s="0" t="str">
        <f aca="false">IF(C877="BUY","IN",IF(C877="SELL","OUT",IF(G876="IN","IN","OUT")))</f>
        <v>OUT</v>
      </c>
      <c r="H877" s="14" t="n">
        <f aca="false">H876+IF(F877="",0,F877)</f>
        <v>43.9309628600509</v>
      </c>
      <c r="I877" s="14" t="n">
        <f aca="false">MAX(I876,H877)</f>
        <v>43.9309628600509</v>
      </c>
      <c r="J877" s="14" t="n">
        <f aca="false">I877-H877</f>
        <v>0</v>
      </c>
    </row>
    <row r="878" customFormat="false" ht="15" hidden="false" customHeight="false" outlineLevel="0" collapsed="false">
      <c r="A878" s="12" t="n">
        <f aca="false">Data!A878</f>
        <v>43279</v>
      </c>
      <c r="B878" s="14" t="n">
        <f aca="false">Data!B878</f>
        <v>73.45</v>
      </c>
      <c r="C878" s="0" t="str">
        <f aca="false">IF(Data!D878="","HOLD",IF(AND(G877&lt;&gt;"IN",Data!E878&lt;-5),"BUY",IF(AND(G877="IN",Data!E878&gt;0),"SELL","HOLD")))</f>
        <v>HOLD</v>
      </c>
      <c r="D878" s="14" t="str">
        <f aca="false">IF(C878="BUY",B878,IF(G877="IN",D877,""))</f>
        <v/>
      </c>
      <c r="E878" s="14" t="str">
        <f aca="false">IF(C878="SELL",B878,"")</f>
        <v/>
      </c>
      <c r="F878" s="14" t="str">
        <f aca="false">IF(E878="","",(E878-D878)/D878*100)</f>
        <v/>
      </c>
      <c r="G878" s="0" t="str">
        <f aca="false">IF(C878="BUY","IN",IF(C878="SELL","OUT",IF(G877="IN","IN","OUT")))</f>
        <v>OUT</v>
      </c>
      <c r="H878" s="14" t="n">
        <f aca="false">H877+IF(F878="",0,F878)</f>
        <v>43.9309628600509</v>
      </c>
      <c r="I878" s="14" t="n">
        <f aca="false">MAX(I877,H878)</f>
        <v>43.9309628600509</v>
      </c>
      <c r="J878" s="14" t="n">
        <f aca="false">I878-H878</f>
        <v>0</v>
      </c>
    </row>
    <row r="879" customFormat="false" ht="15" hidden="false" customHeight="false" outlineLevel="0" collapsed="false">
      <c r="A879" s="12" t="n">
        <f aca="false">Data!A879</f>
        <v>43280</v>
      </c>
      <c r="B879" s="14" t="n">
        <f aca="false">Data!B879</f>
        <v>74.15</v>
      </c>
      <c r="C879" s="0" t="str">
        <f aca="false">IF(Data!D879="","HOLD",IF(AND(G878&lt;&gt;"IN",Data!E879&lt;-5),"BUY",IF(AND(G878="IN",Data!E879&gt;0),"SELL","HOLD")))</f>
        <v>HOLD</v>
      </c>
      <c r="D879" s="14" t="str">
        <f aca="false">IF(C879="BUY",B879,IF(G878="IN",D878,""))</f>
        <v/>
      </c>
      <c r="E879" s="14" t="str">
        <f aca="false">IF(C879="SELL",B879,"")</f>
        <v/>
      </c>
      <c r="F879" s="14" t="str">
        <f aca="false">IF(E879="","",(E879-D879)/D879*100)</f>
        <v/>
      </c>
      <c r="G879" s="0" t="str">
        <f aca="false">IF(C879="BUY","IN",IF(C879="SELL","OUT",IF(G878="IN","IN","OUT")))</f>
        <v>OUT</v>
      </c>
      <c r="H879" s="14" t="n">
        <f aca="false">H878+IF(F879="",0,F879)</f>
        <v>43.9309628600509</v>
      </c>
      <c r="I879" s="14" t="n">
        <f aca="false">MAX(I878,H879)</f>
        <v>43.9309628600509</v>
      </c>
      <c r="J879" s="14" t="n">
        <f aca="false">I879-H879</f>
        <v>0</v>
      </c>
    </row>
    <row r="880" customFormat="false" ht="15" hidden="false" customHeight="false" outlineLevel="0" collapsed="false">
      <c r="A880" s="12" t="n">
        <f aca="false">Data!A880</f>
        <v>43283</v>
      </c>
      <c r="B880" s="14" t="n">
        <f aca="false">Data!B880</f>
        <v>73.94</v>
      </c>
      <c r="C880" s="0" t="str">
        <f aca="false">IF(Data!D880="","HOLD",IF(AND(G879&lt;&gt;"IN",Data!E880&lt;-5),"BUY",IF(AND(G879="IN",Data!E880&gt;0),"SELL","HOLD")))</f>
        <v>HOLD</v>
      </c>
      <c r="D880" s="14" t="str">
        <f aca="false">IF(C880="BUY",B880,IF(G879="IN",D879,""))</f>
        <v/>
      </c>
      <c r="E880" s="14" t="str">
        <f aca="false">IF(C880="SELL",B880,"")</f>
        <v/>
      </c>
      <c r="F880" s="14" t="str">
        <f aca="false">IF(E880="","",(E880-D880)/D880*100)</f>
        <v/>
      </c>
      <c r="G880" s="0" t="str">
        <f aca="false">IF(C880="BUY","IN",IF(C880="SELL","OUT",IF(G879="IN","IN","OUT")))</f>
        <v>OUT</v>
      </c>
      <c r="H880" s="14" t="n">
        <f aca="false">H879+IF(F880="",0,F880)</f>
        <v>43.9309628600509</v>
      </c>
      <c r="I880" s="14" t="n">
        <f aca="false">MAX(I879,H880)</f>
        <v>43.9309628600509</v>
      </c>
      <c r="J880" s="14" t="n">
        <f aca="false">I880-H880</f>
        <v>0</v>
      </c>
    </row>
    <row r="881" customFormat="false" ht="15" hidden="false" customHeight="false" outlineLevel="0" collapsed="false">
      <c r="A881" s="12" t="n">
        <f aca="false">Data!A881</f>
        <v>43284</v>
      </c>
      <c r="B881" s="14" t="n">
        <f aca="false">Data!B881</f>
        <v>74.14</v>
      </c>
      <c r="C881" s="0" t="str">
        <f aca="false">IF(Data!D881="","HOLD",IF(AND(G880&lt;&gt;"IN",Data!E881&lt;-5),"BUY",IF(AND(G880="IN",Data!E881&gt;0),"SELL","HOLD")))</f>
        <v>HOLD</v>
      </c>
      <c r="D881" s="14" t="str">
        <f aca="false">IF(C881="BUY",B881,IF(G880="IN",D880,""))</f>
        <v/>
      </c>
      <c r="E881" s="14" t="str">
        <f aca="false">IF(C881="SELL",B881,"")</f>
        <v/>
      </c>
      <c r="F881" s="14" t="str">
        <f aca="false">IF(E881="","",(E881-D881)/D881*100)</f>
        <v/>
      </c>
      <c r="G881" s="0" t="str">
        <f aca="false">IF(C881="BUY","IN",IF(C881="SELL","OUT",IF(G880="IN","IN","OUT")))</f>
        <v>OUT</v>
      </c>
      <c r="H881" s="14" t="n">
        <f aca="false">H880+IF(F881="",0,F881)</f>
        <v>43.9309628600509</v>
      </c>
      <c r="I881" s="14" t="n">
        <f aca="false">MAX(I880,H881)</f>
        <v>43.9309628600509</v>
      </c>
      <c r="J881" s="14" t="n">
        <f aca="false">I881-H881</f>
        <v>0</v>
      </c>
    </row>
    <row r="882" customFormat="false" ht="15" hidden="false" customHeight="false" outlineLevel="0" collapsed="false">
      <c r="A882" s="12" t="n">
        <f aca="false">Data!A882</f>
        <v>43286</v>
      </c>
      <c r="B882" s="14" t="n">
        <f aca="false">Data!B882</f>
        <v>72.94</v>
      </c>
      <c r="C882" s="0" t="str">
        <f aca="false">IF(Data!D882="","HOLD",IF(AND(G881&lt;&gt;"IN",Data!E882&lt;-5),"BUY",IF(AND(G881="IN",Data!E882&gt;0),"SELL","HOLD")))</f>
        <v>HOLD</v>
      </c>
      <c r="D882" s="14" t="str">
        <f aca="false">IF(C882="BUY",B882,IF(G881="IN",D881,""))</f>
        <v/>
      </c>
      <c r="E882" s="14" t="str">
        <f aca="false">IF(C882="SELL",B882,"")</f>
        <v/>
      </c>
      <c r="F882" s="14" t="str">
        <f aca="false">IF(E882="","",(E882-D882)/D882*100)</f>
        <v/>
      </c>
      <c r="G882" s="0" t="str">
        <f aca="false">IF(C882="BUY","IN",IF(C882="SELL","OUT",IF(G881="IN","IN","OUT")))</f>
        <v>OUT</v>
      </c>
      <c r="H882" s="14" t="n">
        <f aca="false">H881+IF(F882="",0,F882)</f>
        <v>43.9309628600509</v>
      </c>
      <c r="I882" s="14" t="n">
        <f aca="false">MAX(I881,H882)</f>
        <v>43.9309628600509</v>
      </c>
      <c r="J882" s="14" t="n">
        <f aca="false">I882-H882</f>
        <v>0</v>
      </c>
    </row>
    <row r="883" customFormat="false" ht="15" hidden="false" customHeight="false" outlineLevel="0" collapsed="false">
      <c r="A883" s="12" t="n">
        <f aca="false">Data!A883</f>
        <v>43287</v>
      </c>
      <c r="B883" s="14" t="n">
        <f aca="false">Data!B883</f>
        <v>73.8</v>
      </c>
      <c r="C883" s="0" t="str">
        <f aca="false">IF(Data!D883="","HOLD",IF(AND(G882&lt;&gt;"IN",Data!E883&lt;-5),"BUY",IF(AND(G882="IN",Data!E883&gt;0),"SELL","HOLD")))</f>
        <v>HOLD</v>
      </c>
      <c r="D883" s="14" t="str">
        <f aca="false">IF(C883="BUY",B883,IF(G882="IN",D882,""))</f>
        <v/>
      </c>
      <c r="E883" s="14" t="str">
        <f aca="false">IF(C883="SELL",B883,"")</f>
        <v/>
      </c>
      <c r="F883" s="14" t="str">
        <f aca="false">IF(E883="","",(E883-D883)/D883*100)</f>
        <v/>
      </c>
      <c r="G883" s="0" t="str">
        <f aca="false">IF(C883="BUY","IN",IF(C883="SELL","OUT",IF(G882="IN","IN","OUT")))</f>
        <v>OUT</v>
      </c>
      <c r="H883" s="14" t="n">
        <f aca="false">H882+IF(F883="",0,F883)</f>
        <v>43.9309628600509</v>
      </c>
      <c r="I883" s="14" t="n">
        <f aca="false">MAX(I882,H883)</f>
        <v>43.9309628600509</v>
      </c>
      <c r="J883" s="14" t="n">
        <f aca="false">I883-H883</f>
        <v>0</v>
      </c>
    </row>
    <row r="884" customFormat="false" ht="15" hidden="false" customHeight="false" outlineLevel="0" collapsed="false">
      <c r="A884" s="12" t="n">
        <f aca="false">Data!A884</f>
        <v>43290</v>
      </c>
      <c r="B884" s="14" t="n">
        <f aca="false">Data!B884</f>
        <v>73.85</v>
      </c>
      <c r="C884" s="0" t="str">
        <f aca="false">IF(Data!D884="","HOLD",IF(AND(G883&lt;&gt;"IN",Data!E884&lt;-5),"BUY",IF(AND(G883="IN",Data!E884&gt;0),"SELL","HOLD")))</f>
        <v>HOLD</v>
      </c>
      <c r="D884" s="14" t="str">
        <f aca="false">IF(C884="BUY",B884,IF(G883="IN",D883,""))</f>
        <v/>
      </c>
      <c r="E884" s="14" t="str">
        <f aca="false">IF(C884="SELL",B884,"")</f>
        <v/>
      </c>
      <c r="F884" s="14" t="str">
        <f aca="false">IF(E884="","",(E884-D884)/D884*100)</f>
        <v/>
      </c>
      <c r="G884" s="0" t="str">
        <f aca="false">IF(C884="BUY","IN",IF(C884="SELL","OUT",IF(G883="IN","IN","OUT")))</f>
        <v>OUT</v>
      </c>
      <c r="H884" s="14" t="n">
        <f aca="false">H883+IF(F884="",0,F884)</f>
        <v>43.9309628600509</v>
      </c>
      <c r="I884" s="14" t="n">
        <f aca="false">MAX(I883,H884)</f>
        <v>43.9309628600509</v>
      </c>
      <c r="J884" s="14" t="n">
        <f aca="false">I884-H884</f>
        <v>0</v>
      </c>
    </row>
    <row r="885" customFormat="false" ht="15" hidden="false" customHeight="false" outlineLevel="0" collapsed="false">
      <c r="A885" s="12" t="n">
        <f aca="false">Data!A885</f>
        <v>43291</v>
      </c>
      <c r="B885" s="14" t="n">
        <f aca="false">Data!B885</f>
        <v>74.11</v>
      </c>
      <c r="C885" s="0" t="str">
        <f aca="false">IF(Data!D885="","HOLD",IF(AND(G884&lt;&gt;"IN",Data!E885&lt;-5),"BUY",IF(AND(G884="IN",Data!E885&gt;0),"SELL","HOLD")))</f>
        <v>HOLD</v>
      </c>
      <c r="D885" s="14" t="str">
        <f aca="false">IF(C885="BUY",B885,IF(G884="IN",D884,""))</f>
        <v/>
      </c>
      <c r="E885" s="14" t="str">
        <f aca="false">IF(C885="SELL",B885,"")</f>
        <v/>
      </c>
      <c r="F885" s="14" t="str">
        <f aca="false">IF(E885="","",(E885-D885)/D885*100)</f>
        <v/>
      </c>
      <c r="G885" s="0" t="str">
        <f aca="false">IF(C885="BUY","IN",IF(C885="SELL","OUT",IF(G884="IN","IN","OUT")))</f>
        <v>OUT</v>
      </c>
      <c r="H885" s="14" t="n">
        <f aca="false">H884+IF(F885="",0,F885)</f>
        <v>43.9309628600509</v>
      </c>
      <c r="I885" s="14" t="n">
        <f aca="false">MAX(I884,H885)</f>
        <v>43.9309628600509</v>
      </c>
      <c r="J885" s="14" t="n">
        <f aca="false">I885-H885</f>
        <v>0</v>
      </c>
    </row>
    <row r="886" customFormat="false" ht="15" hidden="false" customHeight="false" outlineLevel="0" collapsed="false">
      <c r="A886" s="12" t="n">
        <f aca="false">Data!A886</f>
        <v>43292</v>
      </c>
      <c r="B886" s="14" t="n">
        <f aca="false">Data!B886</f>
        <v>70.38</v>
      </c>
      <c r="C886" s="0" t="str">
        <f aca="false">IF(Data!D886="","HOLD",IF(AND(G885&lt;&gt;"IN",Data!E886&lt;-5),"BUY",IF(AND(G885="IN",Data!E886&gt;0),"SELL","HOLD")))</f>
        <v>HOLD</v>
      </c>
      <c r="D886" s="14" t="str">
        <f aca="false">IF(C886="BUY",B886,IF(G885="IN",D885,""))</f>
        <v/>
      </c>
      <c r="E886" s="14" t="str">
        <f aca="false">IF(C886="SELL",B886,"")</f>
        <v/>
      </c>
      <c r="F886" s="14" t="str">
        <f aca="false">IF(E886="","",(E886-D886)/D886*100)</f>
        <v/>
      </c>
      <c r="G886" s="0" t="str">
        <f aca="false">IF(C886="BUY","IN",IF(C886="SELL","OUT",IF(G885="IN","IN","OUT")))</f>
        <v>OUT</v>
      </c>
      <c r="H886" s="14" t="n">
        <f aca="false">H885+IF(F886="",0,F886)</f>
        <v>43.9309628600509</v>
      </c>
      <c r="I886" s="14" t="n">
        <f aca="false">MAX(I885,H886)</f>
        <v>43.9309628600509</v>
      </c>
      <c r="J886" s="14" t="n">
        <f aca="false">I886-H886</f>
        <v>0</v>
      </c>
    </row>
    <row r="887" customFormat="false" ht="15" hidden="false" customHeight="false" outlineLevel="0" collapsed="false">
      <c r="A887" s="12" t="n">
        <f aca="false">Data!A887</f>
        <v>43293</v>
      </c>
      <c r="B887" s="14" t="n">
        <f aca="false">Data!B887</f>
        <v>70.33</v>
      </c>
      <c r="C887" s="0" t="str">
        <f aca="false">IF(Data!D887="","HOLD",IF(AND(G886&lt;&gt;"IN",Data!E887&lt;-5),"BUY",IF(AND(G886="IN",Data!E887&gt;0),"SELL","HOLD")))</f>
        <v>HOLD</v>
      </c>
      <c r="D887" s="14" t="str">
        <f aca="false">IF(C887="BUY",B887,IF(G886="IN",D886,""))</f>
        <v/>
      </c>
      <c r="E887" s="14" t="str">
        <f aca="false">IF(C887="SELL",B887,"")</f>
        <v/>
      </c>
      <c r="F887" s="14" t="str">
        <f aca="false">IF(E887="","",(E887-D887)/D887*100)</f>
        <v/>
      </c>
      <c r="G887" s="0" t="str">
        <f aca="false">IF(C887="BUY","IN",IF(C887="SELL","OUT",IF(G886="IN","IN","OUT")))</f>
        <v>OUT</v>
      </c>
      <c r="H887" s="14" t="n">
        <f aca="false">H886+IF(F887="",0,F887)</f>
        <v>43.9309628600509</v>
      </c>
      <c r="I887" s="14" t="n">
        <f aca="false">MAX(I886,H887)</f>
        <v>43.9309628600509</v>
      </c>
      <c r="J887" s="14" t="n">
        <f aca="false">I887-H887</f>
        <v>0</v>
      </c>
    </row>
    <row r="888" customFormat="false" ht="15" hidden="false" customHeight="false" outlineLevel="0" collapsed="false">
      <c r="A888" s="12" t="n">
        <f aca="false">Data!A888</f>
        <v>43294</v>
      </c>
      <c r="B888" s="14" t="n">
        <f aca="false">Data!B888</f>
        <v>71.01</v>
      </c>
      <c r="C888" s="0" t="str">
        <f aca="false">IF(Data!D888="","HOLD",IF(AND(G887&lt;&gt;"IN",Data!E888&lt;-5),"BUY",IF(AND(G887="IN",Data!E888&gt;0),"SELL","HOLD")))</f>
        <v>HOLD</v>
      </c>
      <c r="D888" s="14" t="str">
        <f aca="false">IF(C888="BUY",B888,IF(G887="IN",D887,""))</f>
        <v/>
      </c>
      <c r="E888" s="14" t="str">
        <f aca="false">IF(C888="SELL",B888,"")</f>
        <v/>
      </c>
      <c r="F888" s="14" t="str">
        <f aca="false">IF(E888="","",(E888-D888)/D888*100)</f>
        <v/>
      </c>
      <c r="G888" s="0" t="str">
        <f aca="false">IF(C888="BUY","IN",IF(C888="SELL","OUT",IF(G887="IN","IN","OUT")))</f>
        <v>OUT</v>
      </c>
      <c r="H888" s="14" t="n">
        <f aca="false">H887+IF(F888="",0,F888)</f>
        <v>43.9309628600509</v>
      </c>
      <c r="I888" s="14" t="n">
        <f aca="false">MAX(I887,H888)</f>
        <v>43.9309628600509</v>
      </c>
      <c r="J888" s="14" t="n">
        <f aca="false">I888-H888</f>
        <v>0</v>
      </c>
    </row>
    <row r="889" customFormat="false" ht="15" hidden="false" customHeight="false" outlineLevel="0" collapsed="false">
      <c r="A889" s="12" t="n">
        <f aca="false">Data!A889</f>
        <v>43297</v>
      </c>
      <c r="B889" s="14" t="n">
        <f aca="false">Data!B889</f>
        <v>68.06</v>
      </c>
      <c r="C889" s="0" t="str">
        <f aca="false">IF(Data!D889="","HOLD",IF(AND(G888&lt;&gt;"IN",Data!E889&lt;-5),"BUY",IF(AND(G888="IN",Data!E889&gt;0),"SELL","HOLD")))</f>
        <v>HOLD</v>
      </c>
      <c r="D889" s="14" t="str">
        <f aca="false">IF(C889="BUY",B889,IF(G888="IN",D888,""))</f>
        <v/>
      </c>
      <c r="E889" s="14" t="str">
        <f aca="false">IF(C889="SELL",B889,"")</f>
        <v/>
      </c>
      <c r="F889" s="14" t="str">
        <f aca="false">IF(E889="","",(E889-D889)/D889*100)</f>
        <v/>
      </c>
      <c r="G889" s="0" t="str">
        <f aca="false">IF(C889="BUY","IN",IF(C889="SELL","OUT",IF(G888="IN","IN","OUT")))</f>
        <v>OUT</v>
      </c>
      <c r="H889" s="14" t="n">
        <f aca="false">H888+IF(F889="",0,F889)</f>
        <v>43.9309628600509</v>
      </c>
      <c r="I889" s="14" t="n">
        <f aca="false">MAX(I888,H889)</f>
        <v>43.9309628600509</v>
      </c>
      <c r="J889" s="14" t="n">
        <f aca="false">I889-H889</f>
        <v>0</v>
      </c>
    </row>
    <row r="890" customFormat="false" ht="15" hidden="false" customHeight="false" outlineLevel="0" collapsed="false">
      <c r="A890" s="12" t="n">
        <f aca="false">Data!A890</f>
        <v>43298</v>
      </c>
      <c r="B890" s="14" t="n">
        <f aca="false">Data!B890</f>
        <v>68.08</v>
      </c>
      <c r="C890" s="0" t="str">
        <f aca="false">IF(Data!D890="","HOLD",IF(AND(G889&lt;&gt;"IN",Data!E890&lt;-5),"BUY",IF(AND(G889="IN",Data!E890&gt;0),"SELL","HOLD")))</f>
        <v>HOLD</v>
      </c>
      <c r="D890" s="14" t="str">
        <f aca="false">IF(C890="BUY",B890,IF(G889="IN",D889,""))</f>
        <v/>
      </c>
      <c r="E890" s="14" t="str">
        <f aca="false">IF(C890="SELL",B890,"")</f>
        <v/>
      </c>
      <c r="F890" s="14" t="str">
        <f aca="false">IF(E890="","",(E890-D890)/D890*100)</f>
        <v/>
      </c>
      <c r="G890" s="0" t="str">
        <f aca="false">IF(C890="BUY","IN",IF(C890="SELL","OUT",IF(G889="IN","IN","OUT")))</f>
        <v>OUT</v>
      </c>
      <c r="H890" s="14" t="n">
        <f aca="false">H889+IF(F890="",0,F890)</f>
        <v>43.9309628600509</v>
      </c>
      <c r="I890" s="14" t="n">
        <f aca="false">MAX(I889,H890)</f>
        <v>43.9309628600509</v>
      </c>
      <c r="J890" s="14" t="n">
        <f aca="false">I890-H890</f>
        <v>0</v>
      </c>
    </row>
    <row r="891" customFormat="false" ht="15" hidden="false" customHeight="false" outlineLevel="0" collapsed="false">
      <c r="A891" s="12" t="n">
        <f aca="false">Data!A891</f>
        <v>43299</v>
      </c>
      <c r="B891" s="14" t="n">
        <f aca="false">Data!B891</f>
        <v>68.76</v>
      </c>
      <c r="C891" s="0" t="str">
        <f aca="false">IF(Data!D891="","HOLD",IF(AND(G890&lt;&gt;"IN",Data!E891&lt;-5),"BUY",IF(AND(G890="IN",Data!E891&gt;0),"SELL","HOLD")))</f>
        <v>HOLD</v>
      </c>
      <c r="D891" s="14" t="str">
        <f aca="false">IF(C891="BUY",B891,IF(G890="IN",D890,""))</f>
        <v/>
      </c>
      <c r="E891" s="14" t="str">
        <f aca="false">IF(C891="SELL",B891,"")</f>
        <v/>
      </c>
      <c r="F891" s="14" t="str">
        <f aca="false">IF(E891="","",(E891-D891)/D891*100)</f>
        <v/>
      </c>
      <c r="G891" s="0" t="str">
        <f aca="false">IF(C891="BUY","IN",IF(C891="SELL","OUT",IF(G890="IN","IN","OUT")))</f>
        <v>OUT</v>
      </c>
      <c r="H891" s="14" t="n">
        <f aca="false">H890+IF(F891="",0,F891)</f>
        <v>43.9309628600509</v>
      </c>
      <c r="I891" s="14" t="n">
        <f aca="false">MAX(I890,H891)</f>
        <v>43.9309628600509</v>
      </c>
      <c r="J891" s="14" t="n">
        <f aca="false">I891-H891</f>
        <v>0</v>
      </c>
    </row>
    <row r="892" customFormat="false" ht="15" hidden="false" customHeight="false" outlineLevel="0" collapsed="false">
      <c r="A892" s="12" t="n">
        <f aca="false">Data!A892</f>
        <v>43300</v>
      </c>
      <c r="B892" s="14" t="n">
        <f aca="false">Data!B892</f>
        <v>69.46</v>
      </c>
      <c r="C892" s="0" t="str">
        <f aca="false">IF(Data!D892="","HOLD",IF(AND(G891&lt;&gt;"IN",Data!E892&lt;-5),"BUY",IF(AND(G891="IN",Data!E892&gt;0),"SELL","HOLD")))</f>
        <v>HOLD</v>
      </c>
      <c r="D892" s="14" t="str">
        <f aca="false">IF(C892="BUY",B892,IF(G891="IN",D891,""))</f>
        <v/>
      </c>
      <c r="E892" s="14" t="str">
        <f aca="false">IF(C892="SELL",B892,"")</f>
        <v/>
      </c>
      <c r="F892" s="14" t="str">
        <f aca="false">IF(E892="","",(E892-D892)/D892*100)</f>
        <v/>
      </c>
      <c r="G892" s="0" t="str">
        <f aca="false">IF(C892="BUY","IN",IF(C892="SELL","OUT",IF(G891="IN","IN","OUT")))</f>
        <v>OUT</v>
      </c>
      <c r="H892" s="14" t="n">
        <f aca="false">H891+IF(F892="",0,F892)</f>
        <v>43.9309628600509</v>
      </c>
      <c r="I892" s="14" t="n">
        <f aca="false">MAX(I891,H892)</f>
        <v>43.9309628600509</v>
      </c>
      <c r="J892" s="14" t="n">
        <f aca="false">I892-H892</f>
        <v>0</v>
      </c>
    </row>
    <row r="893" customFormat="false" ht="15" hidden="false" customHeight="false" outlineLevel="0" collapsed="false">
      <c r="A893" s="12" t="n">
        <f aca="false">Data!A893</f>
        <v>43301</v>
      </c>
      <c r="B893" s="14" t="n">
        <f aca="false">Data!B893</f>
        <v>70.46</v>
      </c>
      <c r="C893" s="0" t="str">
        <f aca="false">IF(Data!D893="","HOLD",IF(AND(G892&lt;&gt;"IN",Data!E893&lt;-5),"BUY",IF(AND(G892="IN",Data!E893&gt;0),"SELL","HOLD")))</f>
        <v>HOLD</v>
      </c>
      <c r="D893" s="14" t="str">
        <f aca="false">IF(C893="BUY",B893,IF(G892="IN",D892,""))</f>
        <v/>
      </c>
      <c r="E893" s="14" t="str">
        <f aca="false">IF(C893="SELL",B893,"")</f>
        <v/>
      </c>
      <c r="F893" s="14" t="str">
        <f aca="false">IF(E893="","",(E893-D893)/D893*100)</f>
        <v/>
      </c>
      <c r="G893" s="0" t="str">
        <f aca="false">IF(C893="BUY","IN",IF(C893="SELL","OUT",IF(G892="IN","IN","OUT")))</f>
        <v>OUT</v>
      </c>
      <c r="H893" s="14" t="n">
        <f aca="false">H892+IF(F893="",0,F893)</f>
        <v>43.9309628600509</v>
      </c>
      <c r="I893" s="14" t="n">
        <f aca="false">MAX(I892,H893)</f>
        <v>43.9309628600509</v>
      </c>
      <c r="J893" s="14" t="n">
        <f aca="false">I893-H893</f>
        <v>0</v>
      </c>
    </row>
    <row r="894" customFormat="false" ht="15" hidden="false" customHeight="false" outlineLevel="0" collapsed="false">
      <c r="A894" s="12" t="n">
        <f aca="false">Data!A894</f>
        <v>43304</v>
      </c>
      <c r="B894" s="14" t="n">
        <f aca="false">Data!B894</f>
        <v>67.89</v>
      </c>
      <c r="C894" s="0" t="str">
        <f aca="false">IF(Data!D894="","HOLD",IF(AND(G893&lt;&gt;"IN",Data!E894&lt;-5),"BUY",IF(AND(G893="IN",Data!E894&gt;0),"SELL","HOLD")))</f>
        <v>HOLD</v>
      </c>
      <c r="D894" s="14" t="str">
        <f aca="false">IF(C894="BUY",B894,IF(G893="IN",D893,""))</f>
        <v/>
      </c>
      <c r="E894" s="14" t="str">
        <f aca="false">IF(C894="SELL",B894,"")</f>
        <v/>
      </c>
      <c r="F894" s="14" t="str">
        <f aca="false">IF(E894="","",(E894-D894)/D894*100)</f>
        <v/>
      </c>
      <c r="G894" s="0" t="str">
        <f aca="false">IF(C894="BUY","IN",IF(C894="SELL","OUT",IF(G893="IN","IN","OUT")))</f>
        <v>OUT</v>
      </c>
      <c r="H894" s="14" t="n">
        <f aca="false">H893+IF(F894="",0,F894)</f>
        <v>43.9309628600509</v>
      </c>
      <c r="I894" s="14" t="n">
        <f aca="false">MAX(I893,H894)</f>
        <v>43.9309628600509</v>
      </c>
      <c r="J894" s="14" t="n">
        <f aca="false">I894-H894</f>
        <v>0</v>
      </c>
    </row>
    <row r="895" customFormat="false" ht="15" hidden="false" customHeight="false" outlineLevel="0" collapsed="false">
      <c r="A895" s="12" t="n">
        <f aca="false">Data!A895</f>
        <v>43305</v>
      </c>
      <c r="B895" s="14" t="n">
        <f aca="false">Data!B895</f>
        <v>68.52</v>
      </c>
      <c r="C895" s="0" t="str">
        <f aca="false">IF(Data!D895="","HOLD",IF(AND(G894&lt;&gt;"IN",Data!E895&lt;-5),"BUY",IF(AND(G894="IN",Data!E895&gt;0),"SELL","HOLD")))</f>
        <v>HOLD</v>
      </c>
      <c r="D895" s="14" t="str">
        <f aca="false">IF(C895="BUY",B895,IF(G894="IN",D894,""))</f>
        <v/>
      </c>
      <c r="E895" s="14" t="str">
        <f aca="false">IF(C895="SELL",B895,"")</f>
        <v/>
      </c>
      <c r="F895" s="14" t="str">
        <f aca="false">IF(E895="","",(E895-D895)/D895*100)</f>
        <v/>
      </c>
      <c r="G895" s="0" t="str">
        <f aca="false">IF(C895="BUY","IN",IF(C895="SELL","OUT",IF(G894="IN","IN","OUT")))</f>
        <v>OUT</v>
      </c>
      <c r="H895" s="14" t="n">
        <f aca="false">H894+IF(F895="",0,F895)</f>
        <v>43.9309628600509</v>
      </c>
      <c r="I895" s="14" t="n">
        <f aca="false">MAX(I894,H895)</f>
        <v>43.9309628600509</v>
      </c>
      <c r="J895" s="14" t="n">
        <f aca="false">I895-H895</f>
        <v>0</v>
      </c>
    </row>
    <row r="896" customFormat="false" ht="15" hidden="false" customHeight="false" outlineLevel="0" collapsed="false">
      <c r="A896" s="12" t="n">
        <f aca="false">Data!A896</f>
        <v>43306</v>
      </c>
      <c r="B896" s="14" t="n">
        <f aca="false">Data!B896</f>
        <v>69.3</v>
      </c>
      <c r="C896" s="0" t="str">
        <f aca="false">IF(Data!D896="","HOLD",IF(AND(G895&lt;&gt;"IN",Data!E896&lt;-5),"BUY",IF(AND(G895="IN",Data!E896&gt;0),"SELL","HOLD")))</f>
        <v>HOLD</v>
      </c>
      <c r="D896" s="14" t="str">
        <f aca="false">IF(C896="BUY",B896,IF(G895="IN",D895,""))</f>
        <v/>
      </c>
      <c r="E896" s="14" t="str">
        <f aca="false">IF(C896="SELL",B896,"")</f>
        <v/>
      </c>
      <c r="F896" s="14" t="str">
        <f aca="false">IF(E896="","",(E896-D896)/D896*100)</f>
        <v/>
      </c>
      <c r="G896" s="0" t="str">
        <f aca="false">IF(C896="BUY","IN",IF(C896="SELL","OUT",IF(G895="IN","IN","OUT")))</f>
        <v>OUT</v>
      </c>
      <c r="H896" s="14" t="n">
        <f aca="false">H895+IF(F896="",0,F896)</f>
        <v>43.9309628600509</v>
      </c>
      <c r="I896" s="14" t="n">
        <f aca="false">MAX(I895,H896)</f>
        <v>43.9309628600509</v>
      </c>
      <c r="J896" s="14" t="n">
        <f aca="false">I896-H896</f>
        <v>0</v>
      </c>
    </row>
    <row r="897" customFormat="false" ht="15" hidden="false" customHeight="false" outlineLevel="0" collapsed="false">
      <c r="A897" s="12" t="n">
        <f aca="false">Data!A897</f>
        <v>43307</v>
      </c>
      <c r="B897" s="14" t="n">
        <f aca="false">Data!B897</f>
        <v>69.61</v>
      </c>
      <c r="C897" s="0" t="str">
        <f aca="false">IF(Data!D897="","HOLD",IF(AND(G896&lt;&gt;"IN",Data!E897&lt;-5),"BUY",IF(AND(G896="IN",Data!E897&gt;0),"SELL","HOLD")))</f>
        <v>HOLD</v>
      </c>
      <c r="D897" s="14" t="str">
        <f aca="false">IF(C897="BUY",B897,IF(G896="IN",D896,""))</f>
        <v/>
      </c>
      <c r="E897" s="14" t="str">
        <f aca="false">IF(C897="SELL",B897,"")</f>
        <v/>
      </c>
      <c r="F897" s="14" t="str">
        <f aca="false">IF(E897="","",(E897-D897)/D897*100)</f>
        <v/>
      </c>
      <c r="G897" s="0" t="str">
        <f aca="false">IF(C897="BUY","IN",IF(C897="SELL","OUT",IF(G896="IN","IN","OUT")))</f>
        <v>OUT</v>
      </c>
      <c r="H897" s="14" t="n">
        <f aca="false">H896+IF(F897="",0,F897)</f>
        <v>43.9309628600509</v>
      </c>
      <c r="I897" s="14" t="n">
        <f aca="false">MAX(I896,H897)</f>
        <v>43.9309628600509</v>
      </c>
      <c r="J897" s="14" t="n">
        <f aca="false">I897-H897</f>
        <v>0</v>
      </c>
    </row>
    <row r="898" customFormat="false" ht="15" hidden="false" customHeight="false" outlineLevel="0" collapsed="false">
      <c r="A898" s="12" t="n">
        <f aca="false">Data!A898</f>
        <v>43308</v>
      </c>
      <c r="B898" s="14" t="n">
        <f aca="false">Data!B898</f>
        <v>68.69</v>
      </c>
      <c r="C898" s="0" t="str">
        <f aca="false">IF(Data!D898="","HOLD",IF(AND(G897&lt;&gt;"IN",Data!E898&lt;-5),"BUY",IF(AND(G897="IN",Data!E898&gt;0),"SELL","HOLD")))</f>
        <v>HOLD</v>
      </c>
      <c r="D898" s="14" t="str">
        <f aca="false">IF(C898="BUY",B898,IF(G897="IN",D897,""))</f>
        <v/>
      </c>
      <c r="E898" s="14" t="str">
        <f aca="false">IF(C898="SELL",B898,"")</f>
        <v/>
      </c>
      <c r="F898" s="14" t="str">
        <f aca="false">IF(E898="","",(E898-D898)/D898*100)</f>
        <v/>
      </c>
      <c r="G898" s="0" t="str">
        <f aca="false">IF(C898="BUY","IN",IF(C898="SELL","OUT",IF(G897="IN","IN","OUT")))</f>
        <v>OUT</v>
      </c>
      <c r="H898" s="14" t="n">
        <f aca="false">H897+IF(F898="",0,F898)</f>
        <v>43.9309628600509</v>
      </c>
      <c r="I898" s="14" t="n">
        <f aca="false">MAX(I897,H898)</f>
        <v>43.9309628600509</v>
      </c>
      <c r="J898" s="14" t="n">
        <f aca="false">I898-H898</f>
        <v>0</v>
      </c>
    </row>
    <row r="899" customFormat="false" ht="15" hidden="false" customHeight="false" outlineLevel="0" collapsed="false">
      <c r="A899" s="12" t="n">
        <f aca="false">Data!A899</f>
        <v>43311</v>
      </c>
      <c r="B899" s="14" t="n">
        <f aca="false">Data!B899</f>
        <v>70.13</v>
      </c>
      <c r="C899" s="0" t="str">
        <f aca="false">IF(Data!D899="","HOLD",IF(AND(G898&lt;&gt;"IN",Data!E899&lt;-5),"BUY",IF(AND(G898="IN",Data!E899&gt;0),"SELL","HOLD")))</f>
        <v>HOLD</v>
      </c>
      <c r="D899" s="14" t="str">
        <f aca="false">IF(C899="BUY",B899,IF(G898="IN",D898,""))</f>
        <v/>
      </c>
      <c r="E899" s="14" t="str">
        <f aca="false">IF(C899="SELL",B899,"")</f>
        <v/>
      </c>
      <c r="F899" s="14" t="str">
        <f aca="false">IF(E899="","",(E899-D899)/D899*100)</f>
        <v/>
      </c>
      <c r="G899" s="0" t="str">
        <f aca="false">IF(C899="BUY","IN",IF(C899="SELL","OUT",IF(G898="IN","IN","OUT")))</f>
        <v>OUT</v>
      </c>
      <c r="H899" s="14" t="n">
        <f aca="false">H898+IF(F899="",0,F899)</f>
        <v>43.9309628600509</v>
      </c>
      <c r="I899" s="14" t="n">
        <f aca="false">MAX(I898,H899)</f>
        <v>43.9309628600509</v>
      </c>
      <c r="J899" s="14" t="n">
        <f aca="false">I899-H899</f>
        <v>0</v>
      </c>
    </row>
    <row r="900" customFormat="false" ht="15" hidden="false" customHeight="false" outlineLevel="0" collapsed="false">
      <c r="A900" s="12" t="n">
        <f aca="false">Data!A900</f>
        <v>43312</v>
      </c>
      <c r="B900" s="14" t="n">
        <f aca="false">Data!B900</f>
        <v>68.76</v>
      </c>
      <c r="C900" s="0" t="str">
        <f aca="false">IF(Data!D900="","HOLD",IF(AND(G899&lt;&gt;"IN",Data!E900&lt;-5),"BUY",IF(AND(G899="IN",Data!E900&gt;0),"SELL","HOLD")))</f>
        <v>HOLD</v>
      </c>
      <c r="D900" s="14" t="str">
        <f aca="false">IF(C900="BUY",B900,IF(G899="IN",D899,""))</f>
        <v/>
      </c>
      <c r="E900" s="14" t="str">
        <f aca="false">IF(C900="SELL",B900,"")</f>
        <v/>
      </c>
      <c r="F900" s="14" t="str">
        <f aca="false">IF(E900="","",(E900-D900)/D900*100)</f>
        <v/>
      </c>
      <c r="G900" s="0" t="str">
        <f aca="false">IF(C900="BUY","IN",IF(C900="SELL","OUT",IF(G899="IN","IN","OUT")))</f>
        <v>OUT</v>
      </c>
      <c r="H900" s="14" t="n">
        <f aca="false">H899+IF(F900="",0,F900)</f>
        <v>43.9309628600509</v>
      </c>
      <c r="I900" s="14" t="n">
        <f aca="false">MAX(I899,H900)</f>
        <v>43.9309628600509</v>
      </c>
      <c r="J900" s="14" t="n">
        <f aca="false">I900-H900</f>
        <v>0</v>
      </c>
    </row>
    <row r="901" customFormat="false" ht="15" hidden="false" customHeight="false" outlineLevel="0" collapsed="false">
      <c r="A901" s="12" t="n">
        <f aca="false">Data!A901</f>
        <v>43313</v>
      </c>
      <c r="B901" s="14" t="n">
        <f aca="false">Data!B901</f>
        <v>67.66</v>
      </c>
      <c r="C901" s="0" t="str">
        <f aca="false">IF(Data!D901="","HOLD",IF(AND(G900&lt;&gt;"IN",Data!E901&lt;-5),"BUY",IF(AND(G900="IN",Data!E901&gt;0),"SELL","HOLD")))</f>
        <v>HOLD</v>
      </c>
      <c r="D901" s="14" t="str">
        <f aca="false">IF(C901="BUY",B901,IF(G900="IN",D900,""))</f>
        <v/>
      </c>
      <c r="E901" s="14" t="str">
        <f aca="false">IF(C901="SELL",B901,"")</f>
        <v/>
      </c>
      <c r="F901" s="14" t="str">
        <f aca="false">IF(E901="","",(E901-D901)/D901*100)</f>
        <v/>
      </c>
      <c r="G901" s="0" t="str">
        <f aca="false">IF(C901="BUY","IN",IF(C901="SELL","OUT",IF(G900="IN","IN","OUT")))</f>
        <v>OUT</v>
      </c>
      <c r="H901" s="14" t="n">
        <f aca="false">H900+IF(F901="",0,F901)</f>
        <v>43.9309628600509</v>
      </c>
      <c r="I901" s="14" t="n">
        <f aca="false">MAX(I900,H901)</f>
        <v>43.9309628600509</v>
      </c>
      <c r="J901" s="14" t="n">
        <f aca="false">I901-H901</f>
        <v>0</v>
      </c>
    </row>
    <row r="902" customFormat="false" ht="15" hidden="false" customHeight="false" outlineLevel="0" collapsed="false">
      <c r="A902" s="12" t="n">
        <f aca="false">Data!A902</f>
        <v>43314</v>
      </c>
      <c r="B902" s="14" t="n">
        <f aca="false">Data!B902</f>
        <v>68.96</v>
      </c>
      <c r="C902" s="0" t="str">
        <f aca="false">IF(Data!D902="","HOLD",IF(AND(G901&lt;&gt;"IN",Data!E902&lt;-5),"BUY",IF(AND(G901="IN",Data!E902&gt;0),"SELL","HOLD")))</f>
        <v>HOLD</v>
      </c>
      <c r="D902" s="14" t="str">
        <f aca="false">IF(C902="BUY",B902,IF(G901="IN",D901,""))</f>
        <v/>
      </c>
      <c r="E902" s="14" t="str">
        <f aca="false">IF(C902="SELL",B902,"")</f>
        <v/>
      </c>
      <c r="F902" s="14" t="str">
        <f aca="false">IF(E902="","",(E902-D902)/D902*100)</f>
        <v/>
      </c>
      <c r="G902" s="0" t="str">
        <f aca="false">IF(C902="BUY","IN",IF(C902="SELL","OUT",IF(G901="IN","IN","OUT")))</f>
        <v>OUT</v>
      </c>
      <c r="H902" s="14" t="n">
        <f aca="false">H901+IF(F902="",0,F902)</f>
        <v>43.9309628600509</v>
      </c>
      <c r="I902" s="14" t="n">
        <f aca="false">MAX(I901,H902)</f>
        <v>43.9309628600509</v>
      </c>
      <c r="J902" s="14" t="n">
        <f aca="false">I902-H902</f>
        <v>0</v>
      </c>
    </row>
    <row r="903" customFormat="false" ht="15" hidden="false" customHeight="false" outlineLevel="0" collapsed="false">
      <c r="A903" s="12" t="n">
        <f aca="false">Data!A903</f>
        <v>43315</v>
      </c>
      <c r="B903" s="14" t="n">
        <f aca="false">Data!B903</f>
        <v>68.49</v>
      </c>
      <c r="C903" s="0" t="str">
        <f aca="false">IF(Data!D903="","HOLD",IF(AND(G902&lt;&gt;"IN",Data!E903&lt;-5),"BUY",IF(AND(G902="IN",Data!E903&gt;0),"SELL","HOLD")))</f>
        <v>HOLD</v>
      </c>
      <c r="D903" s="14" t="str">
        <f aca="false">IF(C903="BUY",B903,IF(G902="IN",D902,""))</f>
        <v/>
      </c>
      <c r="E903" s="14" t="str">
        <f aca="false">IF(C903="SELL",B903,"")</f>
        <v/>
      </c>
      <c r="F903" s="14" t="str">
        <f aca="false">IF(E903="","",(E903-D903)/D903*100)</f>
        <v/>
      </c>
      <c r="G903" s="0" t="str">
        <f aca="false">IF(C903="BUY","IN",IF(C903="SELL","OUT",IF(G902="IN","IN","OUT")))</f>
        <v>OUT</v>
      </c>
      <c r="H903" s="14" t="n">
        <f aca="false">H902+IF(F903="",0,F903)</f>
        <v>43.9309628600509</v>
      </c>
      <c r="I903" s="14" t="n">
        <f aca="false">MAX(I902,H903)</f>
        <v>43.9309628600509</v>
      </c>
      <c r="J903" s="14" t="n">
        <f aca="false">I903-H903</f>
        <v>0</v>
      </c>
    </row>
    <row r="904" customFormat="false" ht="15" hidden="false" customHeight="false" outlineLevel="0" collapsed="false">
      <c r="A904" s="12" t="n">
        <f aca="false">Data!A904</f>
        <v>43318</v>
      </c>
      <c r="B904" s="14" t="n">
        <f aca="false">Data!B904</f>
        <v>69.01</v>
      </c>
      <c r="C904" s="0" t="str">
        <f aca="false">IF(Data!D904="","HOLD",IF(AND(G903&lt;&gt;"IN",Data!E904&lt;-5),"BUY",IF(AND(G903="IN",Data!E904&gt;0),"SELL","HOLD")))</f>
        <v>HOLD</v>
      </c>
      <c r="D904" s="14" t="str">
        <f aca="false">IF(C904="BUY",B904,IF(G903="IN",D903,""))</f>
        <v/>
      </c>
      <c r="E904" s="14" t="str">
        <f aca="false">IF(C904="SELL",B904,"")</f>
        <v/>
      </c>
      <c r="F904" s="14" t="str">
        <f aca="false">IF(E904="","",(E904-D904)/D904*100)</f>
        <v/>
      </c>
      <c r="G904" s="0" t="str">
        <f aca="false">IF(C904="BUY","IN",IF(C904="SELL","OUT",IF(G903="IN","IN","OUT")))</f>
        <v>OUT</v>
      </c>
      <c r="H904" s="14" t="n">
        <f aca="false">H903+IF(F904="",0,F904)</f>
        <v>43.9309628600509</v>
      </c>
      <c r="I904" s="14" t="n">
        <f aca="false">MAX(I903,H904)</f>
        <v>43.9309628600509</v>
      </c>
      <c r="J904" s="14" t="n">
        <f aca="false">I904-H904</f>
        <v>0</v>
      </c>
    </row>
    <row r="905" customFormat="false" ht="15" hidden="false" customHeight="false" outlineLevel="0" collapsed="false">
      <c r="A905" s="12" t="n">
        <f aca="false">Data!A905</f>
        <v>43319</v>
      </c>
      <c r="B905" s="14" t="n">
        <f aca="false">Data!B905</f>
        <v>69.17</v>
      </c>
      <c r="C905" s="0" t="str">
        <f aca="false">IF(Data!D905="","HOLD",IF(AND(G904&lt;&gt;"IN",Data!E905&lt;-5),"BUY",IF(AND(G904="IN",Data!E905&gt;0),"SELL","HOLD")))</f>
        <v>HOLD</v>
      </c>
      <c r="D905" s="14" t="str">
        <f aca="false">IF(C905="BUY",B905,IF(G904="IN",D904,""))</f>
        <v/>
      </c>
      <c r="E905" s="14" t="str">
        <f aca="false">IF(C905="SELL",B905,"")</f>
        <v/>
      </c>
      <c r="F905" s="14" t="str">
        <f aca="false">IF(E905="","",(E905-D905)/D905*100)</f>
        <v/>
      </c>
      <c r="G905" s="0" t="str">
        <f aca="false">IF(C905="BUY","IN",IF(C905="SELL","OUT",IF(G904="IN","IN","OUT")))</f>
        <v>OUT</v>
      </c>
      <c r="H905" s="14" t="n">
        <f aca="false">H904+IF(F905="",0,F905)</f>
        <v>43.9309628600509</v>
      </c>
      <c r="I905" s="14" t="n">
        <f aca="false">MAX(I904,H905)</f>
        <v>43.9309628600509</v>
      </c>
      <c r="J905" s="14" t="n">
        <f aca="false">I905-H905</f>
        <v>0</v>
      </c>
    </row>
    <row r="906" customFormat="false" ht="15" hidden="false" customHeight="false" outlineLevel="0" collapsed="false">
      <c r="A906" s="12" t="n">
        <f aca="false">Data!A906</f>
        <v>43320</v>
      </c>
      <c r="B906" s="14" t="n">
        <f aca="false">Data!B906</f>
        <v>66.94</v>
      </c>
      <c r="C906" s="0" t="str">
        <f aca="false">IF(Data!D906="","HOLD",IF(AND(G905&lt;&gt;"IN",Data!E906&lt;-5),"BUY",IF(AND(G905="IN",Data!E906&gt;0),"SELL","HOLD")))</f>
        <v>HOLD</v>
      </c>
      <c r="D906" s="14" t="str">
        <f aca="false">IF(C906="BUY",B906,IF(G905="IN",D905,""))</f>
        <v/>
      </c>
      <c r="E906" s="14" t="str">
        <f aca="false">IF(C906="SELL",B906,"")</f>
        <v/>
      </c>
      <c r="F906" s="14" t="str">
        <f aca="false">IF(E906="","",(E906-D906)/D906*100)</f>
        <v/>
      </c>
      <c r="G906" s="0" t="str">
        <f aca="false">IF(C906="BUY","IN",IF(C906="SELL","OUT",IF(G905="IN","IN","OUT")))</f>
        <v>OUT</v>
      </c>
      <c r="H906" s="14" t="n">
        <f aca="false">H905+IF(F906="",0,F906)</f>
        <v>43.9309628600509</v>
      </c>
      <c r="I906" s="14" t="n">
        <f aca="false">MAX(I905,H906)</f>
        <v>43.9309628600509</v>
      </c>
      <c r="J906" s="14" t="n">
        <f aca="false">I906-H906</f>
        <v>0</v>
      </c>
    </row>
    <row r="907" customFormat="false" ht="15" hidden="false" customHeight="false" outlineLevel="0" collapsed="false">
      <c r="A907" s="12" t="n">
        <f aca="false">Data!A907</f>
        <v>43321</v>
      </c>
      <c r="B907" s="14" t="n">
        <f aca="false">Data!B907</f>
        <v>66.81</v>
      </c>
      <c r="C907" s="0" t="str">
        <f aca="false">IF(Data!D907="","HOLD",IF(AND(G906&lt;&gt;"IN",Data!E907&lt;-5),"BUY",IF(AND(G906="IN",Data!E907&gt;0),"SELL","HOLD")))</f>
        <v>HOLD</v>
      </c>
      <c r="D907" s="14" t="str">
        <f aca="false">IF(C907="BUY",B907,IF(G906="IN",D906,""))</f>
        <v/>
      </c>
      <c r="E907" s="14" t="str">
        <f aca="false">IF(C907="SELL",B907,"")</f>
        <v/>
      </c>
      <c r="F907" s="14" t="str">
        <f aca="false">IF(E907="","",(E907-D907)/D907*100)</f>
        <v/>
      </c>
      <c r="G907" s="0" t="str">
        <f aca="false">IF(C907="BUY","IN",IF(C907="SELL","OUT",IF(G906="IN","IN","OUT")))</f>
        <v>OUT</v>
      </c>
      <c r="H907" s="14" t="n">
        <f aca="false">H906+IF(F907="",0,F907)</f>
        <v>43.9309628600509</v>
      </c>
      <c r="I907" s="14" t="n">
        <f aca="false">MAX(I906,H907)</f>
        <v>43.9309628600509</v>
      </c>
      <c r="J907" s="14" t="n">
        <f aca="false">I907-H907</f>
        <v>0</v>
      </c>
    </row>
    <row r="908" customFormat="false" ht="15" hidden="false" customHeight="false" outlineLevel="0" collapsed="false">
      <c r="A908" s="12" t="n">
        <f aca="false">Data!A908</f>
        <v>43322</v>
      </c>
      <c r="B908" s="14" t="n">
        <f aca="false">Data!B908</f>
        <v>67.63</v>
      </c>
      <c r="C908" s="0" t="str">
        <f aca="false">IF(Data!D908="","HOLD",IF(AND(G907&lt;&gt;"IN",Data!E908&lt;-5),"BUY",IF(AND(G907="IN",Data!E908&gt;0),"SELL","HOLD")))</f>
        <v>HOLD</v>
      </c>
      <c r="D908" s="14" t="str">
        <f aca="false">IF(C908="BUY",B908,IF(G907="IN",D907,""))</f>
        <v/>
      </c>
      <c r="E908" s="14" t="str">
        <f aca="false">IF(C908="SELL",B908,"")</f>
        <v/>
      </c>
      <c r="F908" s="14" t="str">
        <f aca="false">IF(E908="","",(E908-D908)/D908*100)</f>
        <v/>
      </c>
      <c r="G908" s="0" t="str">
        <f aca="false">IF(C908="BUY","IN",IF(C908="SELL","OUT",IF(G907="IN","IN","OUT")))</f>
        <v>OUT</v>
      </c>
      <c r="H908" s="14" t="n">
        <f aca="false">H907+IF(F908="",0,F908)</f>
        <v>43.9309628600509</v>
      </c>
      <c r="I908" s="14" t="n">
        <f aca="false">MAX(I907,H908)</f>
        <v>43.9309628600509</v>
      </c>
      <c r="J908" s="14" t="n">
        <f aca="false">I908-H908</f>
        <v>0</v>
      </c>
    </row>
    <row r="909" customFormat="false" ht="15" hidden="false" customHeight="false" outlineLevel="0" collapsed="false">
      <c r="A909" s="12" t="n">
        <f aca="false">Data!A909</f>
        <v>43325</v>
      </c>
      <c r="B909" s="14" t="n">
        <f aca="false">Data!B909</f>
        <v>67.2</v>
      </c>
      <c r="C909" s="0" t="str">
        <f aca="false">IF(Data!D909="","HOLD",IF(AND(G908&lt;&gt;"IN",Data!E909&lt;-5),"BUY",IF(AND(G908="IN",Data!E909&gt;0),"SELL","HOLD")))</f>
        <v>HOLD</v>
      </c>
      <c r="D909" s="14" t="str">
        <f aca="false">IF(C909="BUY",B909,IF(G908="IN",D908,""))</f>
        <v/>
      </c>
      <c r="E909" s="14" t="str">
        <f aca="false">IF(C909="SELL",B909,"")</f>
        <v/>
      </c>
      <c r="F909" s="14" t="str">
        <f aca="false">IF(E909="","",(E909-D909)/D909*100)</f>
        <v/>
      </c>
      <c r="G909" s="0" t="str">
        <f aca="false">IF(C909="BUY","IN",IF(C909="SELL","OUT",IF(G908="IN","IN","OUT")))</f>
        <v>OUT</v>
      </c>
      <c r="H909" s="14" t="n">
        <f aca="false">H908+IF(F909="",0,F909)</f>
        <v>43.9309628600509</v>
      </c>
      <c r="I909" s="14" t="n">
        <f aca="false">MAX(I908,H909)</f>
        <v>43.9309628600509</v>
      </c>
      <c r="J909" s="14" t="n">
        <f aca="false">I909-H909</f>
        <v>0</v>
      </c>
    </row>
    <row r="910" customFormat="false" ht="15" hidden="false" customHeight="false" outlineLevel="0" collapsed="false">
      <c r="A910" s="12" t="n">
        <f aca="false">Data!A910</f>
        <v>43326</v>
      </c>
      <c r="B910" s="14" t="n">
        <f aca="false">Data!B910</f>
        <v>67.04</v>
      </c>
      <c r="C910" s="0" t="str">
        <f aca="false">IF(Data!D910="","HOLD",IF(AND(G909&lt;&gt;"IN",Data!E910&lt;-5),"BUY",IF(AND(G909="IN",Data!E910&gt;0),"SELL","HOLD")))</f>
        <v>HOLD</v>
      </c>
      <c r="D910" s="14" t="str">
        <f aca="false">IF(C910="BUY",B910,IF(G909="IN",D909,""))</f>
        <v/>
      </c>
      <c r="E910" s="14" t="str">
        <f aca="false">IF(C910="SELL",B910,"")</f>
        <v/>
      </c>
      <c r="F910" s="14" t="str">
        <f aca="false">IF(E910="","",(E910-D910)/D910*100)</f>
        <v/>
      </c>
      <c r="G910" s="0" t="str">
        <f aca="false">IF(C910="BUY","IN",IF(C910="SELL","OUT",IF(G909="IN","IN","OUT")))</f>
        <v>OUT</v>
      </c>
      <c r="H910" s="14" t="n">
        <f aca="false">H909+IF(F910="",0,F910)</f>
        <v>43.9309628600509</v>
      </c>
      <c r="I910" s="14" t="n">
        <f aca="false">MAX(I909,H910)</f>
        <v>43.9309628600509</v>
      </c>
      <c r="J910" s="14" t="n">
        <f aca="false">I910-H910</f>
        <v>0</v>
      </c>
    </row>
    <row r="911" customFormat="false" ht="15" hidden="false" customHeight="false" outlineLevel="0" collapsed="false">
      <c r="A911" s="12" t="n">
        <f aca="false">Data!A911</f>
        <v>43327</v>
      </c>
      <c r="B911" s="14" t="n">
        <f aca="false">Data!B911</f>
        <v>65.01</v>
      </c>
      <c r="C911" s="0" t="str">
        <f aca="false">IF(Data!D911="","HOLD",IF(AND(G910&lt;&gt;"IN",Data!E911&lt;-5),"BUY",IF(AND(G910="IN",Data!E911&gt;0),"SELL","HOLD")))</f>
        <v>HOLD</v>
      </c>
      <c r="D911" s="14" t="str">
        <f aca="false">IF(C911="BUY",B911,IF(G910="IN",D910,""))</f>
        <v/>
      </c>
      <c r="E911" s="14" t="str">
        <f aca="false">IF(C911="SELL",B911,"")</f>
        <v/>
      </c>
      <c r="F911" s="14" t="str">
        <f aca="false">IF(E911="","",(E911-D911)/D911*100)</f>
        <v/>
      </c>
      <c r="G911" s="0" t="str">
        <f aca="false">IF(C911="BUY","IN",IF(C911="SELL","OUT",IF(G910="IN","IN","OUT")))</f>
        <v>OUT</v>
      </c>
      <c r="H911" s="14" t="n">
        <f aca="false">H910+IF(F911="",0,F911)</f>
        <v>43.9309628600509</v>
      </c>
      <c r="I911" s="14" t="n">
        <f aca="false">MAX(I910,H911)</f>
        <v>43.9309628600509</v>
      </c>
      <c r="J911" s="14" t="n">
        <f aca="false">I911-H911</f>
        <v>0</v>
      </c>
    </row>
    <row r="912" customFormat="false" ht="15" hidden="false" customHeight="false" outlineLevel="0" collapsed="false">
      <c r="A912" s="12" t="n">
        <f aca="false">Data!A912</f>
        <v>43328</v>
      </c>
      <c r="B912" s="14" t="n">
        <f aca="false">Data!B912</f>
        <v>65.46</v>
      </c>
      <c r="C912" s="0" t="str">
        <f aca="false">IF(Data!D912="","HOLD",IF(AND(G911&lt;&gt;"IN",Data!E912&lt;-5),"BUY",IF(AND(G911="IN",Data!E912&gt;0),"SELL","HOLD")))</f>
        <v>HOLD</v>
      </c>
      <c r="D912" s="14" t="str">
        <f aca="false">IF(C912="BUY",B912,IF(G911="IN",D911,""))</f>
        <v/>
      </c>
      <c r="E912" s="14" t="str">
        <f aca="false">IF(C912="SELL",B912,"")</f>
        <v/>
      </c>
      <c r="F912" s="14" t="str">
        <f aca="false">IF(E912="","",(E912-D912)/D912*100)</f>
        <v/>
      </c>
      <c r="G912" s="0" t="str">
        <f aca="false">IF(C912="BUY","IN",IF(C912="SELL","OUT",IF(G911="IN","IN","OUT")))</f>
        <v>OUT</v>
      </c>
      <c r="H912" s="14" t="n">
        <f aca="false">H911+IF(F912="",0,F912)</f>
        <v>43.9309628600509</v>
      </c>
      <c r="I912" s="14" t="n">
        <f aca="false">MAX(I911,H912)</f>
        <v>43.9309628600509</v>
      </c>
      <c r="J912" s="14" t="n">
        <f aca="false">I912-H912</f>
        <v>0</v>
      </c>
    </row>
    <row r="913" customFormat="false" ht="15" hidden="false" customHeight="false" outlineLevel="0" collapsed="false">
      <c r="A913" s="12" t="n">
        <f aca="false">Data!A913</f>
        <v>43329</v>
      </c>
      <c r="B913" s="14" t="n">
        <f aca="false">Data!B913</f>
        <v>65.91</v>
      </c>
      <c r="C913" s="0" t="str">
        <f aca="false">IF(Data!D913="","HOLD",IF(AND(G912&lt;&gt;"IN",Data!E913&lt;-5),"BUY",IF(AND(G912="IN",Data!E913&gt;0),"SELL","HOLD")))</f>
        <v>HOLD</v>
      </c>
      <c r="D913" s="14" t="str">
        <f aca="false">IF(C913="BUY",B913,IF(G912="IN",D912,""))</f>
        <v/>
      </c>
      <c r="E913" s="14" t="str">
        <f aca="false">IF(C913="SELL",B913,"")</f>
        <v/>
      </c>
      <c r="F913" s="14" t="str">
        <f aca="false">IF(E913="","",(E913-D913)/D913*100)</f>
        <v/>
      </c>
      <c r="G913" s="0" t="str">
        <f aca="false">IF(C913="BUY","IN",IF(C913="SELL","OUT",IF(G912="IN","IN","OUT")))</f>
        <v>OUT</v>
      </c>
      <c r="H913" s="14" t="n">
        <f aca="false">H912+IF(F913="",0,F913)</f>
        <v>43.9309628600509</v>
      </c>
      <c r="I913" s="14" t="n">
        <f aca="false">MAX(I912,H913)</f>
        <v>43.9309628600509</v>
      </c>
      <c r="J913" s="14" t="n">
        <f aca="false">I913-H913</f>
        <v>0</v>
      </c>
    </row>
    <row r="914" customFormat="false" ht="15" hidden="false" customHeight="false" outlineLevel="0" collapsed="false">
      <c r="A914" s="12" t="n">
        <f aca="false">Data!A914</f>
        <v>43332</v>
      </c>
      <c r="B914" s="14" t="n">
        <f aca="false">Data!B914</f>
        <v>66.43</v>
      </c>
      <c r="C914" s="0" t="str">
        <f aca="false">IF(Data!D914="","HOLD",IF(AND(G913&lt;&gt;"IN",Data!E914&lt;-5),"BUY",IF(AND(G913="IN",Data!E914&gt;0),"SELL","HOLD")))</f>
        <v>HOLD</v>
      </c>
      <c r="D914" s="14" t="str">
        <f aca="false">IF(C914="BUY",B914,IF(G913="IN",D913,""))</f>
        <v/>
      </c>
      <c r="E914" s="14" t="str">
        <f aca="false">IF(C914="SELL",B914,"")</f>
        <v/>
      </c>
      <c r="F914" s="14" t="str">
        <f aca="false">IF(E914="","",(E914-D914)/D914*100)</f>
        <v/>
      </c>
      <c r="G914" s="0" t="str">
        <f aca="false">IF(C914="BUY","IN",IF(C914="SELL","OUT",IF(G913="IN","IN","OUT")))</f>
        <v>OUT</v>
      </c>
      <c r="H914" s="14" t="n">
        <f aca="false">H913+IF(F914="",0,F914)</f>
        <v>43.9309628600509</v>
      </c>
      <c r="I914" s="14" t="n">
        <f aca="false">MAX(I913,H914)</f>
        <v>43.9309628600509</v>
      </c>
      <c r="J914" s="14" t="n">
        <f aca="false">I914-H914</f>
        <v>0</v>
      </c>
    </row>
    <row r="915" customFormat="false" ht="15" hidden="false" customHeight="false" outlineLevel="0" collapsed="false">
      <c r="A915" s="12" t="n">
        <f aca="false">Data!A915</f>
        <v>43333</v>
      </c>
      <c r="B915" s="14" t="n">
        <f aca="false">Data!B915</f>
        <v>67.35</v>
      </c>
      <c r="C915" s="0" t="str">
        <f aca="false">IF(Data!D915="","HOLD",IF(AND(G914&lt;&gt;"IN",Data!E915&lt;-5),"BUY",IF(AND(G914="IN",Data!E915&gt;0),"SELL","HOLD")))</f>
        <v>HOLD</v>
      </c>
      <c r="D915" s="14" t="str">
        <f aca="false">IF(C915="BUY",B915,IF(G914="IN",D914,""))</f>
        <v/>
      </c>
      <c r="E915" s="14" t="str">
        <f aca="false">IF(C915="SELL",B915,"")</f>
        <v/>
      </c>
      <c r="F915" s="14" t="str">
        <f aca="false">IF(E915="","",(E915-D915)/D915*100)</f>
        <v/>
      </c>
      <c r="G915" s="0" t="str">
        <f aca="false">IF(C915="BUY","IN",IF(C915="SELL","OUT",IF(G914="IN","IN","OUT")))</f>
        <v>OUT</v>
      </c>
      <c r="H915" s="14" t="n">
        <f aca="false">H914+IF(F915="",0,F915)</f>
        <v>43.9309628600509</v>
      </c>
      <c r="I915" s="14" t="n">
        <f aca="false">MAX(I914,H915)</f>
        <v>43.9309628600509</v>
      </c>
      <c r="J915" s="14" t="n">
        <f aca="false">I915-H915</f>
        <v>0</v>
      </c>
    </row>
    <row r="916" customFormat="false" ht="15" hidden="false" customHeight="false" outlineLevel="0" collapsed="false">
      <c r="A916" s="12" t="n">
        <f aca="false">Data!A916</f>
        <v>43334</v>
      </c>
      <c r="B916" s="14" t="n">
        <f aca="false">Data!B916</f>
        <v>67.86</v>
      </c>
      <c r="C916" s="0" t="str">
        <f aca="false">IF(Data!D916="","HOLD",IF(AND(G915&lt;&gt;"IN",Data!E916&lt;-5),"BUY",IF(AND(G915="IN",Data!E916&gt;0),"SELL","HOLD")))</f>
        <v>HOLD</v>
      </c>
      <c r="D916" s="14" t="str">
        <f aca="false">IF(C916="BUY",B916,IF(G915="IN",D915,""))</f>
        <v/>
      </c>
      <c r="E916" s="14" t="str">
        <f aca="false">IF(C916="SELL",B916,"")</f>
        <v/>
      </c>
      <c r="F916" s="14" t="str">
        <f aca="false">IF(E916="","",(E916-D916)/D916*100)</f>
        <v/>
      </c>
      <c r="G916" s="0" t="str">
        <f aca="false">IF(C916="BUY","IN",IF(C916="SELL","OUT",IF(G915="IN","IN","OUT")))</f>
        <v>OUT</v>
      </c>
      <c r="H916" s="14" t="n">
        <f aca="false">H915+IF(F916="",0,F916)</f>
        <v>43.9309628600509</v>
      </c>
      <c r="I916" s="14" t="n">
        <f aca="false">MAX(I915,H916)</f>
        <v>43.9309628600509</v>
      </c>
      <c r="J916" s="14" t="n">
        <f aca="false">I916-H916</f>
        <v>0</v>
      </c>
    </row>
    <row r="917" customFormat="false" ht="15" hidden="false" customHeight="false" outlineLevel="0" collapsed="false">
      <c r="A917" s="12" t="n">
        <f aca="false">Data!A917</f>
        <v>43335</v>
      </c>
      <c r="B917" s="14" t="n">
        <f aca="false">Data!B917</f>
        <v>67.83</v>
      </c>
      <c r="C917" s="0" t="str">
        <f aca="false">IF(Data!D917="","HOLD",IF(AND(G916&lt;&gt;"IN",Data!E917&lt;-5),"BUY",IF(AND(G916="IN",Data!E917&gt;0),"SELL","HOLD")))</f>
        <v>HOLD</v>
      </c>
      <c r="D917" s="14" t="str">
        <f aca="false">IF(C917="BUY",B917,IF(G916="IN",D916,""))</f>
        <v/>
      </c>
      <c r="E917" s="14" t="str">
        <f aca="false">IF(C917="SELL",B917,"")</f>
        <v/>
      </c>
      <c r="F917" s="14" t="str">
        <f aca="false">IF(E917="","",(E917-D917)/D917*100)</f>
        <v/>
      </c>
      <c r="G917" s="0" t="str">
        <f aca="false">IF(C917="BUY","IN",IF(C917="SELL","OUT",IF(G916="IN","IN","OUT")))</f>
        <v>OUT</v>
      </c>
      <c r="H917" s="14" t="n">
        <f aca="false">H916+IF(F917="",0,F917)</f>
        <v>43.9309628600509</v>
      </c>
      <c r="I917" s="14" t="n">
        <f aca="false">MAX(I916,H917)</f>
        <v>43.9309628600509</v>
      </c>
      <c r="J917" s="14" t="n">
        <f aca="false">I917-H917</f>
        <v>0</v>
      </c>
    </row>
    <row r="918" customFormat="false" ht="15" hidden="false" customHeight="false" outlineLevel="0" collapsed="false">
      <c r="A918" s="12" t="n">
        <f aca="false">Data!A918</f>
        <v>43336</v>
      </c>
      <c r="B918" s="14" t="n">
        <f aca="false">Data!B918</f>
        <v>68.72</v>
      </c>
      <c r="C918" s="0" t="str">
        <f aca="false">IF(Data!D918="","HOLD",IF(AND(G917&lt;&gt;"IN",Data!E918&lt;-5),"BUY",IF(AND(G917="IN",Data!E918&gt;0),"SELL","HOLD")))</f>
        <v>HOLD</v>
      </c>
      <c r="D918" s="14" t="str">
        <f aca="false">IF(C918="BUY",B918,IF(G917="IN",D917,""))</f>
        <v/>
      </c>
      <c r="E918" s="14" t="str">
        <f aca="false">IF(C918="SELL",B918,"")</f>
        <v/>
      </c>
      <c r="F918" s="14" t="str">
        <f aca="false">IF(E918="","",(E918-D918)/D918*100)</f>
        <v/>
      </c>
      <c r="G918" s="0" t="str">
        <f aca="false">IF(C918="BUY","IN",IF(C918="SELL","OUT",IF(G917="IN","IN","OUT")))</f>
        <v>OUT</v>
      </c>
      <c r="H918" s="14" t="n">
        <f aca="false">H917+IF(F918="",0,F918)</f>
        <v>43.9309628600509</v>
      </c>
      <c r="I918" s="14" t="n">
        <f aca="false">MAX(I917,H918)</f>
        <v>43.9309628600509</v>
      </c>
      <c r="J918" s="14" t="n">
        <f aca="false">I918-H918</f>
        <v>0</v>
      </c>
    </row>
    <row r="919" customFormat="false" ht="15" hidden="false" customHeight="false" outlineLevel="0" collapsed="false">
      <c r="A919" s="12" t="n">
        <f aca="false">Data!A919</f>
        <v>43339</v>
      </c>
      <c r="B919" s="14" t="n">
        <f aca="false">Data!B919</f>
        <v>68.87</v>
      </c>
      <c r="C919" s="0" t="str">
        <f aca="false">IF(Data!D919="","HOLD",IF(AND(G918&lt;&gt;"IN",Data!E919&lt;-5),"BUY",IF(AND(G918="IN",Data!E919&gt;0),"SELL","HOLD")))</f>
        <v>HOLD</v>
      </c>
      <c r="D919" s="14" t="str">
        <f aca="false">IF(C919="BUY",B919,IF(G918="IN",D918,""))</f>
        <v/>
      </c>
      <c r="E919" s="14" t="str">
        <f aca="false">IF(C919="SELL",B919,"")</f>
        <v/>
      </c>
      <c r="F919" s="14" t="str">
        <f aca="false">IF(E919="","",(E919-D919)/D919*100)</f>
        <v/>
      </c>
      <c r="G919" s="0" t="str">
        <f aca="false">IF(C919="BUY","IN",IF(C919="SELL","OUT",IF(G918="IN","IN","OUT")))</f>
        <v>OUT</v>
      </c>
      <c r="H919" s="14" t="n">
        <f aca="false">H918+IF(F919="",0,F919)</f>
        <v>43.9309628600509</v>
      </c>
      <c r="I919" s="14" t="n">
        <f aca="false">MAX(I918,H919)</f>
        <v>43.9309628600509</v>
      </c>
      <c r="J919" s="14" t="n">
        <f aca="false">I919-H919</f>
        <v>0</v>
      </c>
    </row>
    <row r="920" customFormat="false" ht="15" hidden="false" customHeight="false" outlineLevel="0" collapsed="false">
      <c r="A920" s="12" t="n">
        <f aca="false">Data!A920</f>
        <v>43340</v>
      </c>
      <c r="B920" s="14" t="n">
        <f aca="false">Data!B920</f>
        <v>68.53</v>
      </c>
      <c r="C920" s="0" t="str">
        <f aca="false">IF(Data!D920="","HOLD",IF(AND(G919&lt;&gt;"IN",Data!E920&lt;-5),"BUY",IF(AND(G919="IN",Data!E920&gt;0),"SELL","HOLD")))</f>
        <v>HOLD</v>
      </c>
      <c r="D920" s="14" t="str">
        <f aca="false">IF(C920="BUY",B920,IF(G919="IN",D919,""))</f>
        <v/>
      </c>
      <c r="E920" s="14" t="str">
        <f aca="false">IF(C920="SELL",B920,"")</f>
        <v/>
      </c>
      <c r="F920" s="14" t="str">
        <f aca="false">IF(E920="","",(E920-D920)/D920*100)</f>
        <v/>
      </c>
      <c r="G920" s="0" t="str">
        <f aca="false">IF(C920="BUY","IN",IF(C920="SELL","OUT",IF(G919="IN","IN","OUT")))</f>
        <v>OUT</v>
      </c>
      <c r="H920" s="14" t="n">
        <f aca="false">H919+IF(F920="",0,F920)</f>
        <v>43.9309628600509</v>
      </c>
      <c r="I920" s="14" t="n">
        <f aca="false">MAX(I919,H920)</f>
        <v>43.9309628600509</v>
      </c>
      <c r="J920" s="14" t="n">
        <f aca="false">I920-H920</f>
        <v>0</v>
      </c>
    </row>
    <row r="921" customFormat="false" ht="15" hidden="false" customHeight="false" outlineLevel="0" collapsed="false">
      <c r="A921" s="12" t="n">
        <f aca="false">Data!A921</f>
        <v>43341</v>
      </c>
      <c r="B921" s="14" t="n">
        <f aca="false">Data!B921</f>
        <v>69.51</v>
      </c>
      <c r="C921" s="0" t="str">
        <f aca="false">IF(Data!D921="","HOLD",IF(AND(G920&lt;&gt;"IN",Data!E921&lt;-5),"BUY",IF(AND(G920="IN",Data!E921&gt;0),"SELL","HOLD")))</f>
        <v>HOLD</v>
      </c>
      <c r="D921" s="14" t="str">
        <f aca="false">IF(C921="BUY",B921,IF(G920="IN",D920,""))</f>
        <v/>
      </c>
      <c r="E921" s="14" t="str">
        <f aca="false">IF(C921="SELL",B921,"")</f>
        <v/>
      </c>
      <c r="F921" s="14" t="str">
        <f aca="false">IF(E921="","",(E921-D921)/D921*100)</f>
        <v/>
      </c>
      <c r="G921" s="0" t="str">
        <f aca="false">IF(C921="BUY","IN",IF(C921="SELL","OUT",IF(G920="IN","IN","OUT")))</f>
        <v>OUT</v>
      </c>
      <c r="H921" s="14" t="n">
        <f aca="false">H920+IF(F921="",0,F921)</f>
        <v>43.9309628600509</v>
      </c>
      <c r="I921" s="14" t="n">
        <f aca="false">MAX(I920,H921)</f>
        <v>43.9309628600509</v>
      </c>
      <c r="J921" s="14" t="n">
        <f aca="false">I921-H921</f>
        <v>0</v>
      </c>
    </row>
    <row r="922" customFormat="false" ht="15" hidden="false" customHeight="false" outlineLevel="0" collapsed="false">
      <c r="A922" s="12" t="n">
        <f aca="false">Data!A922</f>
        <v>43342</v>
      </c>
      <c r="B922" s="14" t="n">
        <f aca="false">Data!B922</f>
        <v>70.25</v>
      </c>
      <c r="C922" s="0" t="str">
        <f aca="false">IF(Data!D922="","HOLD",IF(AND(G921&lt;&gt;"IN",Data!E922&lt;-5),"BUY",IF(AND(G921="IN",Data!E922&gt;0),"SELL","HOLD")))</f>
        <v>HOLD</v>
      </c>
      <c r="D922" s="14" t="str">
        <f aca="false">IF(C922="BUY",B922,IF(G921="IN",D921,""))</f>
        <v/>
      </c>
      <c r="E922" s="14" t="str">
        <f aca="false">IF(C922="SELL",B922,"")</f>
        <v/>
      </c>
      <c r="F922" s="14" t="str">
        <f aca="false">IF(E922="","",(E922-D922)/D922*100)</f>
        <v/>
      </c>
      <c r="G922" s="0" t="str">
        <f aca="false">IF(C922="BUY","IN",IF(C922="SELL","OUT",IF(G921="IN","IN","OUT")))</f>
        <v>OUT</v>
      </c>
      <c r="H922" s="14" t="n">
        <f aca="false">H921+IF(F922="",0,F922)</f>
        <v>43.9309628600509</v>
      </c>
      <c r="I922" s="14" t="n">
        <f aca="false">MAX(I921,H922)</f>
        <v>43.9309628600509</v>
      </c>
      <c r="J922" s="14" t="n">
        <f aca="false">I922-H922</f>
        <v>0</v>
      </c>
    </row>
    <row r="923" customFormat="false" ht="15" hidden="false" customHeight="false" outlineLevel="0" collapsed="false">
      <c r="A923" s="12" t="n">
        <f aca="false">Data!A923</f>
        <v>43343</v>
      </c>
      <c r="B923" s="14" t="n">
        <f aca="false">Data!B923</f>
        <v>69.8</v>
      </c>
      <c r="C923" s="0" t="str">
        <f aca="false">IF(Data!D923="","HOLD",IF(AND(G922&lt;&gt;"IN",Data!E923&lt;-5),"BUY",IF(AND(G922="IN",Data!E923&gt;0),"SELL","HOLD")))</f>
        <v>HOLD</v>
      </c>
      <c r="D923" s="14" t="str">
        <f aca="false">IF(C923="BUY",B923,IF(G922="IN",D922,""))</f>
        <v/>
      </c>
      <c r="E923" s="14" t="str">
        <f aca="false">IF(C923="SELL",B923,"")</f>
        <v/>
      </c>
      <c r="F923" s="14" t="str">
        <f aca="false">IF(E923="","",(E923-D923)/D923*100)</f>
        <v/>
      </c>
      <c r="G923" s="0" t="str">
        <f aca="false">IF(C923="BUY","IN",IF(C923="SELL","OUT",IF(G922="IN","IN","OUT")))</f>
        <v>OUT</v>
      </c>
      <c r="H923" s="14" t="n">
        <f aca="false">H922+IF(F923="",0,F923)</f>
        <v>43.9309628600509</v>
      </c>
      <c r="I923" s="14" t="n">
        <f aca="false">MAX(I922,H923)</f>
        <v>43.9309628600509</v>
      </c>
      <c r="J923" s="14" t="n">
        <f aca="false">I923-H923</f>
        <v>0</v>
      </c>
    </row>
    <row r="924" customFormat="false" ht="15" hidden="false" customHeight="false" outlineLevel="0" collapsed="false">
      <c r="A924" s="12" t="n">
        <f aca="false">Data!A924</f>
        <v>43347</v>
      </c>
      <c r="B924" s="14" t="n">
        <f aca="false">Data!B924</f>
        <v>69.87</v>
      </c>
      <c r="C924" s="0" t="str">
        <f aca="false">IF(Data!D924="","HOLD",IF(AND(G923&lt;&gt;"IN",Data!E924&lt;-5),"BUY",IF(AND(G923="IN",Data!E924&gt;0),"SELL","HOLD")))</f>
        <v>HOLD</v>
      </c>
      <c r="D924" s="14" t="str">
        <f aca="false">IF(C924="BUY",B924,IF(G923="IN",D923,""))</f>
        <v/>
      </c>
      <c r="E924" s="14" t="str">
        <f aca="false">IF(C924="SELL",B924,"")</f>
        <v/>
      </c>
      <c r="F924" s="14" t="str">
        <f aca="false">IF(E924="","",(E924-D924)/D924*100)</f>
        <v/>
      </c>
      <c r="G924" s="0" t="str">
        <f aca="false">IF(C924="BUY","IN",IF(C924="SELL","OUT",IF(G923="IN","IN","OUT")))</f>
        <v>OUT</v>
      </c>
      <c r="H924" s="14" t="n">
        <f aca="false">H923+IF(F924="",0,F924)</f>
        <v>43.9309628600509</v>
      </c>
      <c r="I924" s="14" t="n">
        <f aca="false">MAX(I923,H924)</f>
        <v>43.9309628600509</v>
      </c>
      <c r="J924" s="14" t="n">
        <f aca="false">I924-H924</f>
        <v>0</v>
      </c>
    </row>
    <row r="925" customFormat="false" ht="15" hidden="false" customHeight="false" outlineLevel="0" collapsed="false">
      <c r="A925" s="12" t="n">
        <f aca="false">Data!A925</f>
        <v>43348</v>
      </c>
      <c r="B925" s="14" t="n">
        <f aca="false">Data!B925</f>
        <v>68.72</v>
      </c>
      <c r="C925" s="0" t="str">
        <f aca="false">IF(Data!D925="","HOLD",IF(AND(G924&lt;&gt;"IN",Data!E925&lt;-5),"BUY",IF(AND(G924="IN",Data!E925&gt;0),"SELL","HOLD")))</f>
        <v>HOLD</v>
      </c>
      <c r="D925" s="14" t="str">
        <f aca="false">IF(C925="BUY",B925,IF(G924="IN",D924,""))</f>
        <v/>
      </c>
      <c r="E925" s="14" t="str">
        <f aca="false">IF(C925="SELL",B925,"")</f>
        <v/>
      </c>
      <c r="F925" s="14" t="str">
        <f aca="false">IF(E925="","",(E925-D925)/D925*100)</f>
        <v/>
      </c>
      <c r="G925" s="0" t="str">
        <f aca="false">IF(C925="BUY","IN",IF(C925="SELL","OUT",IF(G924="IN","IN","OUT")))</f>
        <v>OUT</v>
      </c>
      <c r="H925" s="14" t="n">
        <f aca="false">H924+IF(F925="",0,F925)</f>
        <v>43.9309628600509</v>
      </c>
      <c r="I925" s="14" t="n">
        <f aca="false">MAX(I924,H925)</f>
        <v>43.9309628600509</v>
      </c>
      <c r="J925" s="14" t="n">
        <f aca="false">I925-H925</f>
        <v>0</v>
      </c>
    </row>
    <row r="926" customFormat="false" ht="15" hidden="false" customHeight="false" outlineLevel="0" collapsed="false">
      <c r="A926" s="12" t="n">
        <f aca="false">Data!A926</f>
        <v>43349</v>
      </c>
      <c r="B926" s="14" t="n">
        <f aca="false">Data!B926</f>
        <v>67.77</v>
      </c>
      <c r="C926" s="0" t="str">
        <f aca="false">IF(Data!D926="","HOLD",IF(AND(G925&lt;&gt;"IN",Data!E926&lt;-5),"BUY",IF(AND(G925="IN",Data!E926&gt;0),"SELL","HOLD")))</f>
        <v>HOLD</v>
      </c>
      <c r="D926" s="14" t="str">
        <f aca="false">IF(C926="BUY",B926,IF(G925="IN",D925,""))</f>
        <v/>
      </c>
      <c r="E926" s="14" t="str">
        <f aca="false">IF(C926="SELL",B926,"")</f>
        <v/>
      </c>
      <c r="F926" s="14" t="str">
        <f aca="false">IF(E926="","",(E926-D926)/D926*100)</f>
        <v/>
      </c>
      <c r="G926" s="0" t="str">
        <f aca="false">IF(C926="BUY","IN",IF(C926="SELL","OUT",IF(G925="IN","IN","OUT")))</f>
        <v>OUT</v>
      </c>
      <c r="H926" s="14" t="n">
        <f aca="false">H925+IF(F926="",0,F926)</f>
        <v>43.9309628600509</v>
      </c>
      <c r="I926" s="14" t="n">
        <f aca="false">MAX(I925,H926)</f>
        <v>43.9309628600509</v>
      </c>
      <c r="J926" s="14" t="n">
        <f aca="false">I926-H926</f>
        <v>0</v>
      </c>
    </row>
    <row r="927" customFormat="false" ht="15" hidden="false" customHeight="false" outlineLevel="0" collapsed="false">
      <c r="A927" s="12" t="n">
        <f aca="false">Data!A927</f>
        <v>43350</v>
      </c>
      <c r="B927" s="14" t="n">
        <f aca="false">Data!B927</f>
        <v>67.75</v>
      </c>
      <c r="C927" s="0" t="str">
        <f aca="false">IF(Data!D927="","HOLD",IF(AND(G926&lt;&gt;"IN",Data!E927&lt;-5),"BUY",IF(AND(G926="IN",Data!E927&gt;0),"SELL","HOLD")))</f>
        <v>HOLD</v>
      </c>
      <c r="D927" s="14" t="str">
        <f aca="false">IF(C927="BUY",B927,IF(G926="IN",D926,""))</f>
        <v/>
      </c>
      <c r="E927" s="14" t="str">
        <f aca="false">IF(C927="SELL",B927,"")</f>
        <v/>
      </c>
      <c r="F927" s="14" t="str">
        <f aca="false">IF(E927="","",(E927-D927)/D927*100)</f>
        <v/>
      </c>
      <c r="G927" s="0" t="str">
        <f aca="false">IF(C927="BUY","IN",IF(C927="SELL","OUT",IF(G926="IN","IN","OUT")))</f>
        <v>OUT</v>
      </c>
      <c r="H927" s="14" t="n">
        <f aca="false">H926+IF(F927="",0,F927)</f>
        <v>43.9309628600509</v>
      </c>
      <c r="I927" s="14" t="n">
        <f aca="false">MAX(I926,H927)</f>
        <v>43.9309628600509</v>
      </c>
      <c r="J927" s="14" t="n">
        <f aca="false">I927-H927</f>
        <v>0</v>
      </c>
    </row>
    <row r="928" customFormat="false" ht="15" hidden="false" customHeight="false" outlineLevel="0" collapsed="false">
      <c r="A928" s="12" t="n">
        <f aca="false">Data!A928</f>
        <v>43353</v>
      </c>
      <c r="B928" s="14" t="n">
        <f aca="false">Data!B928</f>
        <v>67.54</v>
      </c>
      <c r="C928" s="0" t="str">
        <f aca="false">IF(Data!D928="","HOLD",IF(AND(G927&lt;&gt;"IN",Data!E928&lt;-5),"BUY",IF(AND(G927="IN",Data!E928&gt;0),"SELL","HOLD")))</f>
        <v>HOLD</v>
      </c>
      <c r="D928" s="14" t="str">
        <f aca="false">IF(C928="BUY",B928,IF(G927="IN",D927,""))</f>
        <v/>
      </c>
      <c r="E928" s="14" t="str">
        <f aca="false">IF(C928="SELL",B928,"")</f>
        <v/>
      </c>
      <c r="F928" s="14" t="str">
        <f aca="false">IF(E928="","",(E928-D928)/D928*100)</f>
        <v/>
      </c>
      <c r="G928" s="0" t="str">
        <f aca="false">IF(C928="BUY","IN",IF(C928="SELL","OUT",IF(G927="IN","IN","OUT")))</f>
        <v>OUT</v>
      </c>
      <c r="H928" s="14" t="n">
        <f aca="false">H927+IF(F928="",0,F928)</f>
        <v>43.9309628600509</v>
      </c>
      <c r="I928" s="14" t="n">
        <f aca="false">MAX(I927,H928)</f>
        <v>43.9309628600509</v>
      </c>
      <c r="J928" s="14" t="n">
        <f aca="false">I928-H928</f>
        <v>0</v>
      </c>
    </row>
    <row r="929" customFormat="false" ht="15" hidden="false" customHeight="false" outlineLevel="0" collapsed="false">
      <c r="A929" s="12" t="n">
        <f aca="false">Data!A929</f>
        <v>43354</v>
      </c>
      <c r="B929" s="14" t="n">
        <f aca="false">Data!B929</f>
        <v>69.25</v>
      </c>
      <c r="C929" s="0" t="str">
        <f aca="false">IF(Data!D929="","HOLD",IF(AND(G928&lt;&gt;"IN",Data!E929&lt;-5),"BUY",IF(AND(G928="IN",Data!E929&gt;0),"SELL","HOLD")))</f>
        <v>HOLD</v>
      </c>
      <c r="D929" s="14" t="str">
        <f aca="false">IF(C929="BUY",B929,IF(G928="IN",D928,""))</f>
        <v/>
      </c>
      <c r="E929" s="14" t="str">
        <f aca="false">IF(C929="SELL",B929,"")</f>
        <v/>
      </c>
      <c r="F929" s="14" t="str">
        <f aca="false">IF(E929="","",(E929-D929)/D929*100)</f>
        <v/>
      </c>
      <c r="G929" s="0" t="str">
        <f aca="false">IF(C929="BUY","IN",IF(C929="SELL","OUT",IF(G928="IN","IN","OUT")))</f>
        <v>OUT</v>
      </c>
      <c r="H929" s="14" t="n">
        <f aca="false">H928+IF(F929="",0,F929)</f>
        <v>43.9309628600509</v>
      </c>
      <c r="I929" s="14" t="n">
        <f aca="false">MAX(I928,H929)</f>
        <v>43.9309628600509</v>
      </c>
      <c r="J929" s="14" t="n">
        <f aca="false">I929-H929</f>
        <v>0</v>
      </c>
    </row>
    <row r="930" customFormat="false" ht="15" hidden="false" customHeight="false" outlineLevel="0" collapsed="false">
      <c r="A930" s="12" t="n">
        <f aca="false">Data!A930</f>
        <v>43355</v>
      </c>
      <c r="B930" s="14" t="n">
        <f aca="false">Data!B930</f>
        <v>70.37</v>
      </c>
      <c r="C930" s="0" t="str">
        <f aca="false">IF(Data!D930="","HOLD",IF(AND(G929&lt;&gt;"IN",Data!E930&lt;-5),"BUY",IF(AND(G929="IN",Data!E930&gt;0),"SELL","HOLD")))</f>
        <v>HOLD</v>
      </c>
      <c r="D930" s="14" t="str">
        <f aca="false">IF(C930="BUY",B930,IF(G929="IN",D929,""))</f>
        <v/>
      </c>
      <c r="E930" s="14" t="str">
        <f aca="false">IF(C930="SELL",B930,"")</f>
        <v/>
      </c>
      <c r="F930" s="14" t="str">
        <f aca="false">IF(E930="","",(E930-D930)/D930*100)</f>
        <v/>
      </c>
      <c r="G930" s="0" t="str">
        <f aca="false">IF(C930="BUY","IN",IF(C930="SELL","OUT",IF(G929="IN","IN","OUT")))</f>
        <v>OUT</v>
      </c>
      <c r="H930" s="14" t="n">
        <f aca="false">H929+IF(F930="",0,F930)</f>
        <v>43.9309628600509</v>
      </c>
      <c r="I930" s="14" t="n">
        <f aca="false">MAX(I929,H930)</f>
        <v>43.9309628600509</v>
      </c>
      <c r="J930" s="14" t="n">
        <f aca="false">I930-H930</f>
        <v>0</v>
      </c>
    </row>
    <row r="931" customFormat="false" ht="15" hidden="false" customHeight="false" outlineLevel="0" collapsed="false">
      <c r="A931" s="12" t="n">
        <f aca="false">Data!A931</f>
        <v>43356</v>
      </c>
      <c r="B931" s="14" t="n">
        <f aca="false">Data!B931</f>
        <v>68.59</v>
      </c>
      <c r="C931" s="0" t="str">
        <f aca="false">IF(Data!D931="","HOLD",IF(AND(G930&lt;&gt;"IN",Data!E931&lt;-5),"BUY",IF(AND(G930="IN",Data!E931&gt;0),"SELL","HOLD")))</f>
        <v>HOLD</v>
      </c>
      <c r="D931" s="14" t="str">
        <f aca="false">IF(C931="BUY",B931,IF(G930="IN",D930,""))</f>
        <v/>
      </c>
      <c r="E931" s="14" t="str">
        <f aca="false">IF(C931="SELL",B931,"")</f>
        <v/>
      </c>
      <c r="F931" s="14" t="str">
        <f aca="false">IF(E931="","",(E931-D931)/D931*100)</f>
        <v/>
      </c>
      <c r="G931" s="0" t="str">
        <f aca="false">IF(C931="BUY","IN",IF(C931="SELL","OUT",IF(G930="IN","IN","OUT")))</f>
        <v>OUT</v>
      </c>
      <c r="H931" s="14" t="n">
        <f aca="false">H930+IF(F931="",0,F931)</f>
        <v>43.9309628600509</v>
      </c>
      <c r="I931" s="14" t="n">
        <f aca="false">MAX(I930,H931)</f>
        <v>43.9309628600509</v>
      </c>
      <c r="J931" s="14" t="n">
        <f aca="false">I931-H931</f>
        <v>0</v>
      </c>
    </row>
    <row r="932" customFormat="false" ht="15" hidden="false" customHeight="false" outlineLevel="0" collapsed="false">
      <c r="A932" s="12" t="n">
        <f aca="false">Data!A932</f>
        <v>43357</v>
      </c>
      <c r="B932" s="14" t="n">
        <f aca="false">Data!B932</f>
        <v>68.99</v>
      </c>
      <c r="C932" s="0" t="str">
        <f aca="false">IF(Data!D932="","HOLD",IF(AND(G931&lt;&gt;"IN",Data!E932&lt;-5),"BUY",IF(AND(G931="IN",Data!E932&gt;0),"SELL","HOLD")))</f>
        <v>HOLD</v>
      </c>
      <c r="D932" s="14" t="str">
        <f aca="false">IF(C932="BUY",B932,IF(G931="IN",D931,""))</f>
        <v/>
      </c>
      <c r="E932" s="14" t="str">
        <f aca="false">IF(C932="SELL",B932,"")</f>
        <v/>
      </c>
      <c r="F932" s="14" t="str">
        <f aca="false">IF(E932="","",(E932-D932)/D932*100)</f>
        <v/>
      </c>
      <c r="G932" s="0" t="str">
        <f aca="false">IF(C932="BUY","IN",IF(C932="SELL","OUT",IF(G931="IN","IN","OUT")))</f>
        <v>OUT</v>
      </c>
      <c r="H932" s="14" t="n">
        <f aca="false">H931+IF(F932="",0,F932)</f>
        <v>43.9309628600509</v>
      </c>
      <c r="I932" s="14" t="n">
        <f aca="false">MAX(I931,H932)</f>
        <v>43.9309628600509</v>
      </c>
      <c r="J932" s="14" t="n">
        <f aca="false">I932-H932</f>
        <v>0</v>
      </c>
    </row>
    <row r="933" customFormat="false" ht="15" hidden="false" customHeight="false" outlineLevel="0" collapsed="false">
      <c r="A933" s="12" t="n">
        <f aca="false">Data!A933</f>
        <v>43360</v>
      </c>
      <c r="B933" s="14" t="n">
        <f aca="false">Data!B933</f>
        <v>68.91</v>
      </c>
      <c r="C933" s="0" t="str">
        <f aca="false">IF(Data!D933="","HOLD",IF(AND(G932&lt;&gt;"IN",Data!E933&lt;-5),"BUY",IF(AND(G932="IN",Data!E933&gt;0),"SELL","HOLD")))</f>
        <v>HOLD</v>
      </c>
      <c r="D933" s="14" t="str">
        <f aca="false">IF(C933="BUY",B933,IF(G932="IN",D932,""))</f>
        <v/>
      </c>
      <c r="E933" s="14" t="str">
        <f aca="false">IF(C933="SELL",B933,"")</f>
        <v/>
      </c>
      <c r="F933" s="14" t="str">
        <f aca="false">IF(E933="","",(E933-D933)/D933*100)</f>
        <v/>
      </c>
      <c r="G933" s="0" t="str">
        <f aca="false">IF(C933="BUY","IN",IF(C933="SELL","OUT",IF(G932="IN","IN","OUT")))</f>
        <v>OUT</v>
      </c>
      <c r="H933" s="14" t="n">
        <f aca="false">H932+IF(F933="",0,F933)</f>
        <v>43.9309628600509</v>
      </c>
      <c r="I933" s="14" t="n">
        <f aca="false">MAX(I932,H933)</f>
        <v>43.9309628600509</v>
      </c>
      <c r="J933" s="14" t="n">
        <f aca="false">I933-H933</f>
        <v>0</v>
      </c>
    </row>
    <row r="934" customFormat="false" ht="15" hidden="false" customHeight="false" outlineLevel="0" collapsed="false">
      <c r="A934" s="12" t="n">
        <f aca="false">Data!A934</f>
        <v>43361</v>
      </c>
      <c r="B934" s="14" t="n">
        <f aca="false">Data!B934</f>
        <v>69.85</v>
      </c>
      <c r="C934" s="0" t="str">
        <f aca="false">IF(Data!D934="","HOLD",IF(AND(G933&lt;&gt;"IN",Data!E934&lt;-5),"BUY",IF(AND(G933="IN",Data!E934&gt;0),"SELL","HOLD")))</f>
        <v>HOLD</v>
      </c>
      <c r="D934" s="14" t="str">
        <f aca="false">IF(C934="BUY",B934,IF(G933="IN",D933,""))</f>
        <v/>
      </c>
      <c r="E934" s="14" t="str">
        <f aca="false">IF(C934="SELL",B934,"")</f>
        <v/>
      </c>
      <c r="F934" s="14" t="str">
        <f aca="false">IF(E934="","",(E934-D934)/D934*100)</f>
        <v/>
      </c>
      <c r="G934" s="0" t="str">
        <f aca="false">IF(C934="BUY","IN",IF(C934="SELL","OUT",IF(G933="IN","IN","OUT")))</f>
        <v>OUT</v>
      </c>
      <c r="H934" s="14" t="n">
        <f aca="false">H933+IF(F934="",0,F934)</f>
        <v>43.9309628600509</v>
      </c>
      <c r="I934" s="14" t="n">
        <f aca="false">MAX(I933,H934)</f>
        <v>43.9309628600509</v>
      </c>
      <c r="J934" s="14" t="n">
        <f aca="false">I934-H934</f>
        <v>0</v>
      </c>
    </row>
    <row r="935" customFormat="false" ht="15" hidden="false" customHeight="false" outlineLevel="0" collapsed="false">
      <c r="A935" s="12" t="n">
        <f aca="false">Data!A935</f>
        <v>43362</v>
      </c>
      <c r="B935" s="14" t="n">
        <f aca="false">Data!B935</f>
        <v>71.12</v>
      </c>
      <c r="C935" s="0" t="str">
        <f aca="false">IF(Data!D935="","HOLD",IF(AND(G934&lt;&gt;"IN",Data!E935&lt;-5),"BUY",IF(AND(G934="IN",Data!E935&gt;0),"SELL","HOLD")))</f>
        <v>HOLD</v>
      </c>
      <c r="D935" s="14" t="str">
        <f aca="false">IF(C935="BUY",B935,IF(G934="IN",D934,""))</f>
        <v/>
      </c>
      <c r="E935" s="14" t="str">
        <f aca="false">IF(C935="SELL",B935,"")</f>
        <v/>
      </c>
      <c r="F935" s="14" t="str">
        <f aca="false">IF(E935="","",(E935-D935)/D935*100)</f>
        <v/>
      </c>
      <c r="G935" s="0" t="str">
        <f aca="false">IF(C935="BUY","IN",IF(C935="SELL","OUT",IF(G934="IN","IN","OUT")))</f>
        <v>OUT</v>
      </c>
      <c r="H935" s="14" t="n">
        <f aca="false">H934+IF(F935="",0,F935)</f>
        <v>43.9309628600509</v>
      </c>
      <c r="I935" s="14" t="n">
        <f aca="false">MAX(I934,H935)</f>
        <v>43.9309628600509</v>
      </c>
      <c r="J935" s="14" t="n">
        <f aca="false">I935-H935</f>
        <v>0</v>
      </c>
    </row>
    <row r="936" customFormat="false" ht="15" hidden="false" customHeight="false" outlineLevel="0" collapsed="false">
      <c r="A936" s="12" t="n">
        <f aca="false">Data!A936</f>
        <v>43363</v>
      </c>
      <c r="B936" s="14" t="n">
        <f aca="false">Data!B936</f>
        <v>70.8</v>
      </c>
      <c r="C936" s="0" t="str">
        <f aca="false">IF(Data!D936="","HOLD",IF(AND(G935&lt;&gt;"IN",Data!E936&lt;-5),"BUY",IF(AND(G935="IN",Data!E936&gt;0),"SELL","HOLD")))</f>
        <v>HOLD</v>
      </c>
      <c r="D936" s="14" t="str">
        <f aca="false">IF(C936="BUY",B936,IF(G935="IN",D935,""))</f>
        <v/>
      </c>
      <c r="E936" s="14" t="str">
        <f aca="false">IF(C936="SELL",B936,"")</f>
        <v/>
      </c>
      <c r="F936" s="14" t="str">
        <f aca="false">IF(E936="","",(E936-D936)/D936*100)</f>
        <v/>
      </c>
      <c r="G936" s="0" t="str">
        <f aca="false">IF(C936="BUY","IN",IF(C936="SELL","OUT",IF(G935="IN","IN","OUT")))</f>
        <v>OUT</v>
      </c>
      <c r="H936" s="14" t="n">
        <f aca="false">H935+IF(F936="",0,F936)</f>
        <v>43.9309628600509</v>
      </c>
      <c r="I936" s="14" t="n">
        <f aca="false">MAX(I935,H936)</f>
        <v>43.9309628600509</v>
      </c>
      <c r="J936" s="14" t="n">
        <f aca="false">I936-H936</f>
        <v>0</v>
      </c>
    </row>
    <row r="937" customFormat="false" ht="15" hidden="false" customHeight="false" outlineLevel="0" collapsed="false">
      <c r="A937" s="12" t="n">
        <f aca="false">Data!A937</f>
        <v>43364</v>
      </c>
      <c r="B937" s="14" t="n">
        <f aca="false">Data!B937</f>
        <v>70.78</v>
      </c>
      <c r="C937" s="0" t="str">
        <f aca="false">IF(Data!D937="","HOLD",IF(AND(G936&lt;&gt;"IN",Data!E937&lt;-5),"BUY",IF(AND(G936="IN",Data!E937&gt;0),"SELL","HOLD")))</f>
        <v>HOLD</v>
      </c>
      <c r="D937" s="14" t="str">
        <f aca="false">IF(C937="BUY",B937,IF(G936="IN",D936,""))</f>
        <v/>
      </c>
      <c r="E937" s="14" t="str">
        <f aca="false">IF(C937="SELL",B937,"")</f>
        <v/>
      </c>
      <c r="F937" s="14" t="str">
        <f aca="false">IF(E937="","",(E937-D937)/D937*100)</f>
        <v/>
      </c>
      <c r="G937" s="0" t="str">
        <f aca="false">IF(C937="BUY","IN",IF(C937="SELL","OUT",IF(G936="IN","IN","OUT")))</f>
        <v>OUT</v>
      </c>
      <c r="H937" s="14" t="n">
        <f aca="false">H936+IF(F937="",0,F937)</f>
        <v>43.9309628600509</v>
      </c>
      <c r="I937" s="14" t="n">
        <f aca="false">MAX(I936,H937)</f>
        <v>43.9309628600509</v>
      </c>
      <c r="J937" s="14" t="n">
        <f aca="false">I937-H937</f>
        <v>0</v>
      </c>
    </row>
    <row r="938" customFormat="false" ht="15" hidden="false" customHeight="false" outlineLevel="0" collapsed="false">
      <c r="A938" s="12" t="n">
        <f aca="false">Data!A938</f>
        <v>43367</v>
      </c>
      <c r="B938" s="14" t="n">
        <f aca="false">Data!B938</f>
        <v>72.08</v>
      </c>
      <c r="C938" s="0" t="str">
        <f aca="false">IF(Data!D938="","HOLD",IF(AND(G937&lt;&gt;"IN",Data!E938&lt;-5),"BUY",IF(AND(G937="IN",Data!E938&gt;0),"SELL","HOLD")))</f>
        <v>HOLD</v>
      </c>
      <c r="D938" s="14" t="str">
        <f aca="false">IF(C938="BUY",B938,IF(G937="IN",D937,""))</f>
        <v/>
      </c>
      <c r="E938" s="14" t="str">
        <f aca="false">IF(C938="SELL",B938,"")</f>
        <v/>
      </c>
      <c r="F938" s="14" t="str">
        <f aca="false">IF(E938="","",(E938-D938)/D938*100)</f>
        <v/>
      </c>
      <c r="G938" s="0" t="str">
        <f aca="false">IF(C938="BUY","IN",IF(C938="SELL","OUT",IF(G937="IN","IN","OUT")))</f>
        <v>OUT</v>
      </c>
      <c r="H938" s="14" t="n">
        <f aca="false">H937+IF(F938="",0,F938)</f>
        <v>43.9309628600509</v>
      </c>
      <c r="I938" s="14" t="n">
        <f aca="false">MAX(I937,H938)</f>
        <v>43.9309628600509</v>
      </c>
      <c r="J938" s="14" t="n">
        <f aca="false">I938-H938</f>
        <v>0</v>
      </c>
    </row>
    <row r="939" customFormat="false" ht="15" hidden="false" customHeight="false" outlineLevel="0" collapsed="false">
      <c r="A939" s="12" t="n">
        <f aca="false">Data!A939</f>
        <v>43368</v>
      </c>
      <c r="B939" s="14" t="n">
        <f aca="false">Data!B939</f>
        <v>72.28</v>
      </c>
      <c r="C939" s="0" t="str">
        <f aca="false">IF(Data!D939="","HOLD",IF(AND(G938&lt;&gt;"IN",Data!E939&lt;-5),"BUY",IF(AND(G938="IN",Data!E939&gt;0),"SELL","HOLD")))</f>
        <v>HOLD</v>
      </c>
      <c r="D939" s="14" t="str">
        <f aca="false">IF(C939="BUY",B939,IF(G938="IN",D938,""))</f>
        <v/>
      </c>
      <c r="E939" s="14" t="str">
        <f aca="false">IF(C939="SELL",B939,"")</f>
        <v/>
      </c>
      <c r="F939" s="14" t="str">
        <f aca="false">IF(E939="","",(E939-D939)/D939*100)</f>
        <v/>
      </c>
      <c r="G939" s="0" t="str">
        <f aca="false">IF(C939="BUY","IN",IF(C939="SELL","OUT",IF(G938="IN","IN","OUT")))</f>
        <v>OUT</v>
      </c>
      <c r="H939" s="14" t="n">
        <f aca="false">H938+IF(F939="",0,F939)</f>
        <v>43.9309628600509</v>
      </c>
      <c r="I939" s="14" t="n">
        <f aca="false">MAX(I938,H939)</f>
        <v>43.9309628600509</v>
      </c>
      <c r="J939" s="14" t="n">
        <f aca="false">I939-H939</f>
        <v>0</v>
      </c>
    </row>
    <row r="940" customFormat="false" ht="15" hidden="false" customHeight="false" outlineLevel="0" collapsed="false">
      <c r="A940" s="12" t="n">
        <f aca="false">Data!A940</f>
        <v>43369</v>
      </c>
      <c r="B940" s="14" t="n">
        <f aca="false">Data!B940</f>
        <v>71.57</v>
      </c>
      <c r="C940" s="0" t="str">
        <f aca="false">IF(Data!D940="","HOLD",IF(AND(G939&lt;&gt;"IN",Data!E940&lt;-5),"BUY",IF(AND(G939="IN",Data!E940&gt;0),"SELL","HOLD")))</f>
        <v>HOLD</v>
      </c>
      <c r="D940" s="14" t="str">
        <f aca="false">IF(C940="BUY",B940,IF(G939="IN",D939,""))</f>
        <v/>
      </c>
      <c r="E940" s="14" t="str">
        <f aca="false">IF(C940="SELL",B940,"")</f>
        <v/>
      </c>
      <c r="F940" s="14" t="str">
        <f aca="false">IF(E940="","",(E940-D940)/D940*100)</f>
        <v/>
      </c>
      <c r="G940" s="0" t="str">
        <f aca="false">IF(C940="BUY","IN",IF(C940="SELL","OUT",IF(G939="IN","IN","OUT")))</f>
        <v>OUT</v>
      </c>
      <c r="H940" s="14" t="n">
        <f aca="false">H939+IF(F940="",0,F940)</f>
        <v>43.9309628600509</v>
      </c>
      <c r="I940" s="14" t="n">
        <f aca="false">MAX(I939,H940)</f>
        <v>43.9309628600509</v>
      </c>
      <c r="J940" s="14" t="n">
        <f aca="false">I940-H940</f>
        <v>0</v>
      </c>
    </row>
    <row r="941" customFormat="false" ht="15" hidden="false" customHeight="false" outlineLevel="0" collapsed="false">
      <c r="A941" s="12" t="n">
        <f aca="false">Data!A941</f>
        <v>43370</v>
      </c>
      <c r="B941" s="14" t="n">
        <f aca="false">Data!B941</f>
        <v>72.12</v>
      </c>
      <c r="C941" s="0" t="str">
        <f aca="false">IF(Data!D941="","HOLD",IF(AND(G940&lt;&gt;"IN",Data!E941&lt;-5),"BUY",IF(AND(G940="IN",Data!E941&gt;0),"SELL","HOLD")))</f>
        <v>HOLD</v>
      </c>
      <c r="D941" s="14" t="str">
        <f aca="false">IF(C941="BUY",B941,IF(G940="IN",D940,""))</f>
        <v/>
      </c>
      <c r="E941" s="14" t="str">
        <f aca="false">IF(C941="SELL",B941,"")</f>
        <v/>
      </c>
      <c r="F941" s="14" t="str">
        <f aca="false">IF(E941="","",(E941-D941)/D941*100)</f>
        <v/>
      </c>
      <c r="G941" s="0" t="str">
        <f aca="false">IF(C941="BUY","IN",IF(C941="SELL","OUT",IF(G940="IN","IN","OUT")))</f>
        <v>OUT</v>
      </c>
      <c r="H941" s="14" t="n">
        <f aca="false">H940+IF(F941="",0,F941)</f>
        <v>43.9309628600509</v>
      </c>
      <c r="I941" s="14" t="n">
        <f aca="false">MAX(I940,H941)</f>
        <v>43.9309628600509</v>
      </c>
      <c r="J941" s="14" t="n">
        <f aca="false">I941-H941</f>
        <v>0</v>
      </c>
    </row>
    <row r="942" customFormat="false" ht="15" hidden="false" customHeight="false" outlineLevel="0" collapsed="false">
      <c r="A942" s="12" t="n">
        <f aca="false">Data!A942</f>
        <v>43371</v>
      </c>
      <c r="B942" s="14" t="n">
        <f aca="false">Data!B942</f>
        <v>73.25</v>
      </c>
      <c r="C942" s="0" t="str">
        <f aca="false">IF(Data!D942="","HOLD",IF(AND(G941&lt;&gt;"IN",Data!E942&lt;-5),"BUY",IF(AND(G941="IN",Data!E942&gt;0),"SELL","HOLD")))</f>
        <v>HOLD</v>
      </c>
      <c r="D942" s="14" t="str">
        <f aca="false">IF(C942="BUY",B942,IF(G941="IN",D941,""))</f>
        <v/>
      </c>
      <c r="E942" s="14" t="str">
        <f aca="false">IF(C942="SELL",B942,"")</f>
        <v/>
      </c>
      <c r="F942" s="14" t="str">
        <f aca="false">IF(E942="","",(E942-D942)/D942*100)</f>
        <v/>
      </c>
      <c r="G942" s="0" t="str">
        <f aca="false">IF(C942="BUY","IN",IF(C942="SELL","OUT",IF(G941="IN","IN","OUT")))</f>
        <v>OUT</v>
      </c>
      <c r="H942" s="14" t="n">
        <f aca="false">H941+IF(F942="",0,F942)</f>
        <v>43.9309628600509</v>
      </c>
      <c r="I942" s="14" t="n">
        <f aca="false">MAX(I941,H942)</f>
        <v>43.9309628600509</v>
      </c>
      <c r="J942" s="14" t="n">
        <f aca="false">I942-H942</f>
        <v>0</v>
      </c>
    </row>
    <row r="943" customFormat="false" ht="15" hidden="false" customHeight="false" outlineLevel="0" collapsed="false">
      <c r="A943" s="12" t="n">
        <f aca="false">Data!A943</f>
        <v>43374</v>
      </c>
      <c r="B943" s="14" t="n">
        <f aca="false">Data!B943</f>
        <v>75.3</v>
      </c>
      <c r="C943" s="0" t="str">
        <f aca="false">IF(Data!D943="","HOLD",IF(AND(G942&lt;&gt;"IN",Data!E943&lt;-5),"BUY",IF(AND(G942="IN",Data!E943&gt;0),"SELL","HOLD")))</f>
        <v>HOLD</v>
      </c>
      <c r="D943" s="14" t="str">
        <f aca="false">IF(C943="BUY",B943,IF(G942="IN",D942,""))</f>
        <v/>
      </c>
      <c r="E943" s="14" t="str">
        <f aca="false">IF(C943="SELL",B943,"")</f>
        <v/>
      </c>
      <c r="F943" s="14" t="str">
        <f aca="false">IF(E943="","",(E943-D943)/D943*100)</f>
        <v/>
      </c>
      <c r="G943" s="0" t="str">
        <f aca="false">IF(C943="BUY","IN",IF(C943="SELL","OUT",IF(G942="IN","IN","OUT")))</f>
        <v>OUT</v>
      </c>
      <c r="H943" s="14" t="n">
        <f aca="false">H942+IF(F943="",0,F943)</f>
        <v>43.9309628600509</v>
      </c>
      <c r="I943" s="14" t="n">
        <f aca="false">MAX(I942,H943)</f>
        <v>43.9309628600509</v>
      </c>
      <c r="J943" s="14" t="n">
        <f aca="false">I943-H943</f>
        <v>0</v>
      </c>
    </row>
    <row r="944" customFormat="false" ht="15" hidden="false" customHeight="false" outlineLevel="0" collapsed="false">
      <c r="A944" s="12" t="n">
        <f aca="false">Data!A944</f>
        <v>43375</v>
      </c>
      <c r="B944" s="14" t="n">
        <f aca="false">Data!B944</f>
        <v>75.23</v>
      </c>
      <c r="C944" s="0" t="str">
        <f aca="false">IF(Data!D944="","HOLD",IF(AND(G943&lt;&gt;"IN",Data!E944&lt;-5),"BUY",IF(AND(G943="IN",Data!E944&gt;0),"SELL","HOLD")))</f>
        <v>HOLD</v>
      </c>
      <c r="D944" s="14" t="str">
        <f aca="false">IF(C944="BUY",B944,IF(G943="IN",D943,""))</f>
        <v/>
      </c>
      <c r="E944" s="14" t="str">
        <f aca="false">IF(C944="SELL",B944,"")</f>
        <v/>
      </c>
      <c r="F944" s="14" t="str">
        <f aca="false">IF(E944="","",(E944-D944)/D944*100)</f>
        <v/>
      </c>
      <c r="G944" s="0" t="str">
        <f aca="false">IF(C944="BUY","IN",IF(C944="SELL","OUT",IF(G943="IN","IN","OUT")))</f>
        <v>OUT</v>
      </c>
      <c r="H944" s="14" t="n">
        <f aca="false">H943+IF(F944="",0,F944)</f>
        <v>43.9309628600509</v>
      </c>
      <c r="I944" s="14" t="n">
        <f aca="false">MAX(I943,H944)</f>
        <v>43.9309628600509</v>
      </c>
      <c r="J944" s="14" t="n">
        <f aca="false">I944-H944</f>
        <v>0</v>
      </c>
    </row>
    <row r="945" customFormat="false" ht="15" hidden="false" customHeight="false" outlineLevel="0" collapsed="false">
      <c r="A945" s="12" t="n">
        <f aca="false">Data!A945</f>
        <v>43376</v>
      </c>
      <c r="B945" s="14" t="n">
        <f aca="false">Data!B945</f>
        <v>76.41</v>
      </c>
      <c r="C945" s="0" t="str">
        <f aca="false">IF(Data!D945="","HOLD",IF(AND(G944&lt;&gt;"IN",Data!E945&lt;-5),"BUY",IF(AND(G944="IN",Data!E945&gt;0),"SELL","HOLD")))</f>
        <v>HOLD</v>
      </c>
      <c r="D945" s="14" t="str">
        <f aca="false">IF(C945="BUY",B945,IF(G944="IN",D944,""))</f>
        <v/>
      </c>
      <c r="E945" s="14" t="str">
        <f aca="false">IF(C945="SELL",B945,"")</f>
        <v/>
      </c>
      <c r="F945" s="14" t="str">
        <f aca="false">IF(E945="","",(E945-D945)/D945*100)</f>
        <v/>
      </c>
      <c r="G945" s="0" t="str">
        <f aca="false">IF(C945="BUY","IN",IF(C945="SELL","OUT",IF(G944="IN","IN","OUT")))</f>
        <v>OUT</v>
      </c>
      <c r="H945" s="14" t="n">
        <f aca="false">H944+IF(F945="",0,F945)</f>
        <v>43.9309628600509</v>
      </c>
      <c r="I945" s="14" t="n">
        <f aca="false">MAX(I944,H945)</f>
        <v>43.9309628600509</v>
      </c>
      <c r="J945" s="14" t="n">
        <f aca="false">I945-H945</f>
        <v>0</v>
      </c>
    </row>
    <row r="946" customFormat="false" ht="15" hidden="false" customHeight="false" outlineLevel="0" collapsed="false">
      <c r="A946" s="12" t="n">
        <f aca="false">Data!A946</f>
        <v>43377</v>
      </c>
      <c r="B946" s="14" t="n">
        <f aca="false">Data!B946</f>
        <v>74.33</v>
      </c>
      <c r="C946" s="0" t="str">
        <f aca="false">IF(Data!D946="","HOLD",IF(AND(G945&lt;&gt;"IN",Data!E946&lt;-5),"BUY",IF(AND(G945="IN",Data!E946&gt;0),"SELL","HOLD")))</f>
        <v>HOLD</v>
      </c>
      <c r="D946" s="14" t="str">
        <f aca="false">IF(C946="BUY",B946,IF(G945="IN",D945,""))</f>
        <v/>
      </c>
      <c r="E946" s="14" t="str">
        <f aca="false">IF(C946="SELL",B946,"")</f>
        <v/>
      </c>
      <c r="F946" s="14" t="str">
        <f aca="false">IF(E946="","",(E946-D946)/D946*100)</f>
        <v/>
      </c>
      <c r="G946" s="0" t="str">
        <f aca="false">IF(C946="BUY","IN",IF(C946="SELL","OUT",IF(G945="IN","IN","OUT")))</f>
        <v>OUT</v>
      </c>
      <c r="H946" s="14" t="n">
        <f aca="false">H945+IF(F946="",0,F946)</f>
        <v>43.9309628600509</v>
      </c>
      <c r="I946" s="14" t="n">
        <f aca="false">MAX(I945,H946)</f>
        <v>43.9309628600509</v>
      </c>
      <c r="J946" s="14" t="n">
        <f aca="false">I946-H946</f>
        <v>0</v>
      </c>
    </row>
    <row r="947" customFormat="false" ht="15" hidden="false" customHeight="false" outlineLevel="0" collapsed="false">
      <c r="A947" s="12" t="n">
        <f aca="false">Data!A947</f>
        <v>43378</v>
      </c>
      <c r="B947" s="14" t="n">
        <f aca="false">Data!B947</f>
        <v>74.34</v>
      </c>
      <c r="C947" s="0" t="str">
        <f aca="false">IF(Data!D947="","HOLD",IF(AND(G946&lt;&gt;"IN",Data!E947&lt;-5),"BUY",IF(AND(G946="IN",Data!E947&gt;0),"SELL","HOLD")))</f>
        <v>HOLD</v>
      </c>
      <c r="D947" s="14" t="str">
        <f aca="false">IF(C947="BUY",B947,IF(G946="IN",D946,""))</f>
        <v/>
      </c>
      <c r="E947" s="14" t="str">
        <f aca="false">IF(C947="SELL",B947,"")</f>
        <v/>
      </c>
      <c r="F947" s="14" t="str">
        <f aca="false">IF(E947="","",(E947-D947)/D947*100)</f>
        <v/>
      </c>
      <c r="G947" s="0" t="str">
        <f aca="false">IF(C947="BUY","IN",IF(C947="SELL","OUT",IF(G946="IN","IN","OUT")))</f>
        <v>OUT</v>
      </c>
      <c r="H947" s="14" t="n">
        <f aca="false">H946+IF(F947="",0,F947)</f>
        <v>43.9309628600509</v>
      </c>
      <c r="I947" s="14" t="n">
        <f aca="false">MAX(I946,H947)</f>
        <v>43.9309628600509</v>
      </c>
      <c r="J947" s="14" t="n">
        <f aca="false">I947-H947</f>
        <v>0</v>
      </c>
    </row>
    <row r="948" customFormat="false" ht="15" hidden="false" customHeight="false" outlineLevel="0" collapsed="false">
      <c r="A948" s="12" t="n">
        <f aca="false">Data!A948</f>
        <v>43381</v>
      </c>
      <c r="B948" s="14" t="n">
        <f aca="false">Data!B948</f>
        <v>74.29</v>
      </c>
      <c r="C948" s="0" t="str">
        <f aca="false">IF(Data!D948="","HOLD",IF(AND(G947&lt;&gt;"IN",Data!E948&lt;-5),"BUY",IF(AND(G947="IN",Data!E948&gt;0),"SELL","HOLD")))</f>
        <v>HOLD</v>
      </c>
      <c r="D948" s="14" t="str">
        <f aca="false">IF(C948="BUY",B948,IF(G947="IN",D947,""))</f>
        <v/>
      </c>
      <c r="E948" s="14" t="str">
        <f aca="false">IF(C948="SELL",B948,"")</f>
        <v/>
      </c>
      <c r="F948" s="14" t="str">
        <f aca="false">IF(E948="","",(E948-D948)/D948*100)</f>
        <v/>
      </c>
      <c r="G948" s="0" t="str">
        <f aca="false">IF(C948="BUY","IN",IF(C948="SELL","OUT",IF(G947="IN","IN","OUT")))</f>
        <v>OUT</v>
      </c>
      <c r="H948" s="14" t="n">
        <f aca="false">H947+IF(F948="",0,F948)</f>
        <v>43.9309628600509</v>
      </c>
      <c r="I948" s="14" t="n">
        <f aca="false">MAX(I947,H948)</f>
        <v>43.9309628600509</v>
      </c>
      <c r="J948" s="14" t="n">
        <f aca="false">I948-H948</f>
        <v>0</v>
      </c>
    </row>
    <row r="949" customFormat="false" ht="15" hidden="false" customHeight="false" outlineLevel="0" collapsed="false">
      <c r="A949" s="12" t="n">
        <f aca="false">Data!A949</f>
        <v>43382</v>
      </c>
      <c r="B949" s="14" t="n">
        <f aca="false">Data!B949</f>
        <v>74.96</v>
      </c>
      <c r="C949" s="0" t="str">
        <f aca="false">IF(Data!D949="","HOLD",IF(AND(G948&lt;&gt;"IN",Data!E949&lt;-5),"BUY",IF(AND(G948="IN",Data!E949&gt;0),"SELL","HOLD")))</f>
        <v>HOLD</v>
      </c>
      <c r="D949" s="14" t="str">
        <f aca="false">IF(C949="BUY",B949,IF(G948="IN",D948,""))</f>
        <v/>
      </c>
      <c r="E949" s="14" t="str">
        <f aca="false">IF(C949="SELL",B949,"")</f>
        <v/>
      </c>
      <c r="F949" s="14" t="str">
        <f aca="false">IF(E949="","",(E949-D949)/D949*100)</f>
        <v/>
      </c>
      <c r="G949" s="0" t="str">
        <f aca="false">IF(C949="BUY","IN",IF(C949="SELL","OUT",IF(G948="IN","IN","OUT")))</f>
        <v>OUT</v>
      </c>
      <c r="H949" s="14" t="n">
        <f aca="false">H948+IF(F949="",0,F949)</f>
        <v>43.9309628600509</v>
      </c>
      <c r="I949" s="14" t="n">
        <f aca="false">MAX(I948,H949)</f>
        <v>43.9309628600509</v>
      </c>
      <c r="J949" s="14" t="n">
        <f aca="false">I949-H949</f>
        <v>0</v>
      </c>
    </row>
    <row r="950" customFormat="false" ht="15" hidden="false" customHeight="false" outlineLevel="0" collapsed="false">
      <c r="A950" s="12" t="n">
        <f aca="false">Data!A950</f>
        <v>43383</v>
      </c>
      <c r="B950" s="14" t="n">
        <f aca="false">Data!B950</f>
        <v>73.17</v>
      </c>
      <c r="C950" s="0" t="str">
        <f aca="false">IF(Data!D950="","HOLD",IF(AND(G949&lt;&gt;"IN",Data!E950&lt;-5),"BUY",IF(AND(G949="IN",Data!E950&gt;0),"SELL","HOLD")))</f>
        <v>HOLD</v>
      </c>
      <c r="D950" s="14" t="str">
        <f aca="false">IF(C950="BUY",B950,IF(G949="IN",D949,""))</f>
        <v/>
      </c>
      <c r="E950" s="14" t="str">
        <f aca="false">IF(C950="SELL",B950,"")</f>
        <v/>
      </c>
      <c r="F950" s="14" t="str">
        <f aca="false">IF(E950="","",(E950-D950)/D950*100)</f>
        <v/>
      </c>
      <c r="G950" s="0" t="str">
        <f aca="false">IF(C950="BUY","IN",IF(C950="SELL","OUT",IF(G949="IN","IN","OUT")))</f>
        <v>OUT</v>
      </c>
      <c r="H950" s="14" t="n">
        <f aca="false">H949+IF(F950="",0,F950)</f>
        <v>43.9309628600509</v>
      </c>
      <c r="I950" s="14" t="n">
        <f aca="false">MAX(I949,H950)</f>
        <v>43.9309628600509</v>
      </c>
      <c r="J950" s="14" t="n">
        <f aca="false">I950-H950</f>
        <v>0</v>
      </c>
    </row>
    <row r="951" customFormat="false" ht="15" hidden="false" customHeight="false" outlineLevel="0" collapsed="false">
      <c r="A951" s="12" t="n">
        <f aca="false">Data!A951</f>
        <v>43384</v>
      </c>
      <c r="B951" s="14" t="n">
        <f aca="false">Data!B951</f>
        <v>70.97</v>
      </c>
      <c r="C951" s="0" t="str">
        <f aca="false">IF(Data!D951="","HOLD",IF(AND(G950&lt;&gt;"IN",Data!E951&lt;-5),"BUY",IF(AND(G950="IN",Data!E951&gt;0),"SELL","HOLD")))</f>
        <v>HOLD</v>
      </c>
      <c r="D951" s="14" t="str">
        <f aca="false">IF(C951="BUY",B951,IF(G950="IN",D950,""))</f>
        <v/>
      </c>
      <c r="E951" s="14" t="str">
        <f aca="false">IF(C951="SELL",B951,"")</f>
        <v/>
      </c>
      <c r="F951" s="14" t="str">
        <f aca="false">IF(E951="","",(E951-D951)/D951*100)</f>
        <v/>
      </c>
      <c r="G951" s="0" t="str">
        <f aca="false">IF(C951="BUY","IN",IF(C951="SELL","OUT",IF(G950="IN","IN","OUT")))</f>
        <v>OUT</v>
      </c>
      <c r="H951" s="14" t="n">
        <f aca="false">H950+IF(F951="",0,F951)</f>
        <v>43.9309628600509</v>
      </c>
      <c r="I951" s="14" t="n">
        <f aca="false">MAX(I950,H951)</f>
        <v>43.9309628600509</v>
      </c>
      <c r="J951" s="14" t="n">
        <f aca="false">I951-H951</f>
        <v>0</v>
      </c>
    </row>
    <row r="952" customFormat="false" ht="15" hidden="false" customHeight="false" outlineLevel="0" collapsed="false">
      <c r="A952" s="12" t="n">
        <f aca="false">Data!A952</f>
        <v>43385</v>
      </c>
      <c r="B952" s="14" t="n">
        <f aca="false">Data!B952</f>
        <v>71.34</v>
      </c>
      <c r="C952" s="0" t="str">
        <f aca="false">IF(Data!D952="","HOLD",IF(AND(G951&lt;&gt;"IN",Data!E952&lt;-5),"BUY",IF(AND(G951="IN",Data!E952&gt;0),"SELL","HOLD")))</f>
        <v>HOLD</v>
      </c>
      <c r="D952" s="14" t="str">
        <f aca="false">IF(C952="BUY",B952,IF(G951="IN",D951,""))</f>
        <v/>
      </c>
      <c r="E952" s="14" t="str">
        <f aca="false">IF(C952="SELL",B952,"")</f>
        <v/>
      </c>
      <c r="F952" s="14" t="str">
        <f aca="false">IF(E952="","",(E952-D952)/D952*100)</f>
        <v/>
      </c>
      <c r="G952" s="0" t="str">
        <f aca="false">IF(C952="BUY","IN",IF(C952="SELL","OUT",IF(G951="IN","IN","OUT")))</f>
        <v>OUT</v>
      </c>
      <c r="H952" s="14" t="n">
        <f aca="false">H951+IF(F952="",0,F952)</f>
        <v>43.9309628600509</v>
      </c>
      <c r="I952" s="14" t="n">
        <f aca="false">MAX(I951,H952)</f>
        <v>43.9309628600509</v>
      </c>
      <c r="J952" s="14" t="n">
        <f aca="false">I952-H952</f>
        <v>0</v>
      </c>
    </row>
    <row r="953" customFormat="false" ht="15" hidden="false" customHeight="false" outlineLevel="0" collapsed="false">
      <c r="A953" s="12" t="n">
        <f aca="false">Data!A953</f>
        <v>43388</v>
      </c>
      <c r="B953" s="14" t="n">
        <f aca="false">Data!B953</f>
        <v>71.78</v>
      </c>
      <c r="C953" s="0" t="str">
        <f aca="false">IF(Data!D953="","HOLD",IF(AND(G952&lt;&gt;"IN",Data!E953&lt;-5),"BUY",IF(AND(G952="IN",Data!E953&gt;0),"SELL","HOLD")))</f>
        <v>HOLD</v>
      </c>
      <c r="D953" s="14" t="str">
        <f aca="false">IF(C953="BUY",B953,IF(G952="IN",D952,""))</f>
        <v/>
      </c>
      <c r="E953" s="14" t="str">
        <f aca="false">IF(C953="SELL",B953,"")</f>
        <v/>
      </c>
      <c r="F953" s="14" t="str">
        <f aca="false">IF(E953="","",(E953-D953)/D953*100)</f>
        <v/>
      </c>
      <c r="G953" s="0" t="str">
        <f aca="false">IF(C953="BUY","IN",IF(C953="SELL","OUT",IF(G952="IN","IN","OUT")))</f>
        <v>OUT</v>
      </c>
      <c r="H953" s="14" t="n">
        <f aca="false">H952+IF(F953="",0,F953)</f>
        <v>43.9309628600509</v>
      </c>
      <c r="I953" s="14" t="n">
        <f aca="false">MAX(I952,H953)</f>
        <v>43.9309628600509</v>
      </c>
      <c r="J953" s="14" t="n">
        <f aca="false">I953-H953</f>
        <v>0</v>
      </c>
    </row>
    <row r="954" customFormat="false" ht="15" hidden="false" customHeight="false" outlineLevel="0" collapsed="false">
      <c r="A954" s="12" t="n">
        <f aca="false">Data!A954</f>
        <v>43389</v>
      </c>
      <c r="B954" s="14" t="n">
        <f aca="false">Data!B954</f>
        <v>71.92</v>
      </c>
      <c r="C954" s="0" t="str">
        <f aca="false">IF(Data!D954="","HOLD",IF(AND(G953&lt;&gt;"IN",Data!E954&lt;-5),"BUY",IF(AND(G953="IN",Data!E954&gt;0),"SELL","HOLD")))</f>
        <v>HOLD</v>
      </c>
      <c r="D954" s="14" t="str">
        <f aca="false">IF(C954="BUY",B954,IF(G953="IN",D953,""))</f>
        <v/>
      </c>
      <c r="E954" s="14" t="str">
        <f aca="false">IF(C954="SELL",B954,"")</f>
        <v/>
      </c>
      <c r="F954" s="14" t="str">
        <f aca="false">IF(E954="","",(E954-D954)/D954*100)</f>
        <v/>
      </c>
      <c r="G954" s="0" t="str">
        <f aca="false">IF(C954="BUY","IN",IF(C954="SELL","OUT",IF(G953="IN","IN","OUT")))</f>
        <v>OUT</v>
      </c>
      <c r="H954" s="14" t="n">
        <f aca="false">H953+IF(F954="",0,F954)</f>
        <v>43.9309628600509</v>
      </c>
      <c r="I954" s="14" t="n">
        <f aca="false">MAX(I953,H954)</f>
        <v>43.9309628600509</v>
      </c>
      <c r="J954" s="14" t="n">
        <f aca="false">I954-H954</f>
        <v>0</v>
      </c>
    </row>
    <row r="955" customFormat="false" ht="15" hidden="false" customHeight="false" outlineLevel="0" collapsed="false">
      <c r="A955" s="12" t="n">
        <f aca="false">Data!A955</f>
        <v>43390</v>
      </c>
      <c r="B955" s="14" t="n">
        <f aca="false">Data!B955</f>
        <v>69.75</v>
      </c>
      <c r="C955" s="0" t="str">
        <f aca="false">IF(Data!D955="","HOLD",IF(AND(G954&lt;&gt;"IN",Data!E955&lt;-5),"BUY",IF(AND(G954="IN",Data!E955&gt;0),"SELL","HOLD")))</f>
        <v>HOLD</v>
      </c>
      <c r="D955" s="14" t="str">
        <f aca="false">IF(C955="BUY",B955,IF(G954="IN",D954,""))</f>
        <v/>
      </c>
      <c r="E955" s="14" t="str">
        <f aca="false">IF(C955="SELL",B955,"")</f>
        <v/>
      </c>
      <c r="F955" s="14" t="str">
        <f aca="false">IF(E955="","",(E955-D955)/D955*100)</f>
        <v/>
      </c>
      <c r="G955" s="0" t="str">
        <f aca="false">IF(C955="BUY","IN",IF(C955="SELL","OUT",IF(G954="IN","IN","OUT")))</f>
        <v>OUT</v>
      </c>
      <c r="H955" s="14" t="n">
        <f aca="false">H954+IF(F955="",0,F955)</f>
        <v>43.9309628600509</v>
      </c>
      <c r="I955" s="14" t="n">
        <f aca="false">MAX(I954,H955)</f>
        <v>43.9309628600509</v>
      </c>
      <c r="J955" s="14" t="n">
        <f aca="false">I955-H955</f>
        <v>0</v>
      </c>
    </row>
    <row r="956" customFormat="false" ht="15" hidden="false" customHeight="false" outlineLevel="0" collapsed="false">
      <c r="A956" s="12" t="n">
        <f aca="false">Data!A956</f>
        <v>43391</v>
      </c>
      <c r="B956" s="14" t="n">
        <f aca="false">Data!B956</f>
        <v>68.65</v>
      </c>
      <c r="C956" s="0" t="str">
        <f aca="false">IF(Data!D956="","HOLD",IF(AND(G955&lt;&gt;"IN",Data!E956&lt;-5),"BUY",IF(AND(G955="IN",Data!E956&gt;0),"SELL","HOLD")))</f>
        <v>BUY</v>
      </c>
      <c r="D956" s="14" t="n">
        <f aca="false">IF(C956="BUY",B956,IF(G955="IN",D955,""))</f>
        <v>68.65</v>
      </c>
      <c r="E956" s="14" t="str">
        <f aca="false">IF(C956="SELL",B956,"")</f>
        <v/>
      </c>
      <c r="F956" s="14" t="str">
        <f aca="false">IF(E956="","",(E956-D956)/D956*100)</f>
        <v/>
      </c>
      <c r="G956" s="0" t="str">
        <f aca="false">IF(C956="BUY","IN",IF(C956="SELL","OUT",IF(G955="IN","IN","OUT")))</f>
        <v>IN</v>
      </c>
      <c r="H956" s="14" t="n">
        <f aca="false">H955+IF(F956="",0,F956)</f>
        <v>43.9309628600509</v>
      </c>
      <c r="I956" s="14" t="n">
        <f aca="false">MAX(I955,H956)</f>
        <v>43.9309628600509</v>
      </c>
      <c r="J956" s="14" t="n">
        <f aca="false">I956-H956</f>
        <v>0</v>
      </c>
    </row>
    <row r="957" customFormat="false" ht="15" hidden="false" customHeight="false" outlineLevel="0" collapsed="false">
      <c r="A957" s="12" t="n">
        <f aca="false">Data!A957</f>
        <v>43392</v>
      </c>
      <c r="B957" s="14" t="n">
        <f aca="false">Data!B957</f>
        <v>69.12</v>
      </c>
      <c r="C957" s="0" t="str">
        <f aca="false">IF(Data!D957="","HOLD",IF(AND(G956&lt;&gt;"IN",Data!E957&lt;-5),"BUY",IF(AND(G956="IN",Data!E957&gt;0),"SELL","HOLD")))</f>
        <v>HOLD</v>
      </c>
      <c r="D957" s="14" t="n">
        <f aca="false">IF(C957="BUY",B957,IF(G956="IN",D956,""))</f>
        <v>68.65</v>
      </c>
      <c r="E957" s="14" t="str">
        <f aca="false">IF(C957="SELL",B957,"")</f>
        <v/>
      </c>
      <c r="F957" s="14" t="str">
        <f aca="false">IF(E957="","",(E957-D957)/D957*100)</f>
        <v/>
      </c>
      <c r="G957" s="0" t="str">
        <f aca="false">IF(C957="BUY","IN",IF(C957="SELL","OUT",IF(G956="IN","IN","OUT")))</f>
        <v>IN</v>
      </c>
      <c r="H957" s="14" t="n">
        <f aca="false">H956+IF(F957="",0,F957)</f>
        <v>43.9309628600509</v>
      </c>
      <c r="I957" s="14" t="n">
        <f aca="false">MAX(I956,H957)</f>
        <v>43.9309628600509</v>
      </c>
      <c r="J957" s="14" t="n">
        <f aca="false">I957-H957</f>
        <v>0</v>
      </c>
    </row>
    <row r="958" customFormat="false" ht="15" hidden="false" customHeight="false" outlineLevel="0" collapsed="false">
      <c r="A958" s="12" t="n">
        <f aca="false">Data!A958</f>
        <v>43395</v>
      </c>
      <c r="B958" s="14" t="n">
        <f aca="false">Data!B958</f>
        <v>69.17</v>
      </c>
      <c r="C958" s="0" t="str">
        <f aca="false">IF(Data!D958="","HOLD",IF(AND(G957&lt;&gt;"IN",Data!E958&lt;-5),"BUY",IF(AND(G957="IN",Data!E958&gt;0),"SELL","HOLD")))</f>
        <v>HOLD</v>
      </c>
      <c r="D958" s="14" t="n">
        <f aca="false">IF(C958="BUY",B958,IF(G957="IN",D957,""))</f>
        <v>68.65</v>
      </c>
      <c r="E958" s="14" t="str">
        <f aca="false">IF(C958="SELL",B958,"")</f>
        <v/>
      </c>
      <c r="F958" s="14" t="str">
        <f aca="false">IF(E958="","",(E958-D958)/D958*100)</f>
        <v/>
      </c>
      <c r="G958" s="0" t="str">
        <f aca="false">IF(C958="BUY","IN",IF(C958="SELL","OUT",IF(G957="IN","IN","OUT")))</f>
        <v>IN</v>
      </c>
      <c r="H958" s="14" t="n">
        <f aca="false">H957+IF(F958="",0,F958)</f>
        <v>43.9309628600509</v>
      </c>
      <c r="I958" s="14" t="n">
        <f aca="false">MAX(I957,H958)</f>
        <v>43.9309628600509</v>
      </c>
      <c r="J958" s="14" t="n">
        <f aca="false">I958-H958</f>
        <v>0</v>
      </c>
    </row>
    <row r="959" customFormat="false" ht="15" hidden="false" customHeight="false" outlineLevel="0" collapsed="false">
      <c r="A959" s="12" t="n">
        <f aca="false">Data!A959</f>
        <v>43396</v>
      </c>
      <c r="B959" s="14" t="n">
        <f aca="false">Data!B959</f>
        <v>66.43</v>
      </c>
      <c r="C959" s="0" t="str">
        <f aca="false">IF(Data!D959="","HOLD",IF(AND(G958&lt;&gt;"IN",Data!E959&lt;-5),"BUY",IF(AND(G958="IN",Data!E959&gt;0),"SELL","HOLD")))</f>
        <v>HOLD</v>
      </c>
      <c r="D959" s="14" t="n">
        <f aca="false">IF(C959="BUY",B959,IF(G958="IN",D958,""))</f>
        <v>68.65</v>
      </c>
      <c r="E959" s="14" t="str">
        <f aca="false">IF(C959="SELL",B959,"")</f>
        <v/>
      </c>
      <c r="F959" s="14" t="str">
        <f aca="false">IF(E959="","",(E959-D959)/D959*100)</f>
        <v/>
      </c>
      <c r="G959" s="0" t="str">
        <f aca="false">IF(C959="BUY","IN",IF(C959="SELL","OUT",IF(G958="IN","IN","OUT")))</f>
        <v>IN</v>
      </c>
      <c r="H959" s="14" t="n">
        <f aca="false">H958+IF(F959="",0,F959)</f>
        <v>43.9309628600509</v>
      </c>
      <c r="I959" s="14" t="n">
        <f aca="false">MAX(I958,H959)</f>
        <v>43.9309628600509</v>
      </c>
      <c r="J959" s="14" t="n">
        <f aca="false">I959-H959</f>
        <v>0</v>
      </c>
    </row>
    <row r="960" customFormat="false" ht="15" hidden="false" customHeight="false" outlineLevel="0" collapsed="false">
      <c r="A960" s="12" t="n">
        <f aca="false">Data!A960</f>
        <v>43397</v>
      </c>
      <c r="B960" s="14" t="n">
        <f aca="false">Data!B960</f>
        <v>66.82</v>
      </c>
      <c r="C960" s="0" t="str">
        <f aca="false">IF(Data!D960="","HOLD",IF(AND(G959&lt;&gt;"IN",Data!E960&lt;-5),"BUY",IF(AND(G959="IN",Data!E960&gt;0),"SELL","HOLD")))</f>
        <v>HOLD</v>
      </c>
      <c r="D960" s="14" t="n">
        <f aca="false">IF(C960="BUY",B960,IF(G959="IN",D959,""))</f>
        <v>68.65</v>
      </c>
      <c r="E960" s="14" t="str">
        <f aca="false">IF(C960="SELL",B960,"")</f>
        <v/>
      </c>
      <c r="F960" s="14" t="str">
        <f aca="false">IF(E960="","",(E960-D960)/D960*100)</f>
        <v/>
      </c>
      <c r="G960" s="0" t="str">
        <f aca="false">IF(C960="BUY","IN",IF(C960="SELL","OUT",IF(G959="IN","IN","OUT")))</f>
        <v>IN</v>
      </c>
      <c r="H960" s="14" t="n">
        <f aca="false">H959+IF(F960="",0,F960)</f>
        <v>43.9309628600509</v>
      </c>
      <c r="I960" s="14" t="n">
        <f aca="false">MAX(I959,H960)</f>
        <v>43.9309628600509</v>
      </c>
      <c r="J960" s="14" t="n">
        <f aca="false">I960-H960</f>
        <v>0</v>
      </c>
    </row>
    <row r="961" customFormat="false" ht="15" hidden="false" customHeight="false" outlineLevel="0" collapsed="false">
      <c r="A961" s="12" t="n">
        <f aca="false">Data!A961</f>
        <v>43398</v>
      </c>
      <c r="B961" s="14" t="n">
        <f aca="false">Data!B961</f>
        <v>67.33</v>
      </c>
      <c r="C961" s="0" t="str">
        <f aca="false">IF(Data!D961="","HOLD",IF(AND(G960&lt;&gt;"IN",Data!E961&lt;-5),"BUY",IF(AND(G960="IN",Data!E961&gt;0),"SELL","HOLD")))</f>
        <v>HOLD</v>
      </c>
      <c r="D961" s="14" t="n">
        <f aca="false">IF(C961="BUY",B961,IF(G960="IN",D960,""))</f>
        <v>68.65</v>
      </c>
      <c r="E961" s="14" t="str">
        <f aca="false">IF(C961="SELL",B961,"")</f>
        <v/>
      </c>
      <c r="F961" s="14" t="str">
        <f aca="false">IF(E961="","",(E961-D961)/D961*100)</f>
        <v/>
      </c>
      <c r="G961" s="0" t="str">
        <f aca="false">IF(C961="BUY","IN",IF(C961="SELL","OUT",IF(G960="IN","IN","OUT")))</f>
        <v>IN</v>
      </c>
      <c r="H961" s="14" t="n">
        <f aca="false">H960+IF(F961="",0,F961)</f>
        <v>43.9309628600509</v>
      </c>
      <c r="I961" s="14" t="n">
        <f aca="false">MAX(I960,H961)</f>
        <v>43.9309628600509</v>
      </c>
      <c r="J961" s="14" t="n">
        <f aca="false">I961-H961</f>
        <v>0</v>
      </c>
    </row>
    <row r="962" customFormat="false" ht="15" hidden="false" customHeight="false" outlineLevel="0" collapsed="false">
      <c r="A962" s="12" t="n">
        <f aca="false">Data!A962</f>
        <v>43399</v>
      </c>
      <c r="B962" s="14" t="n">
        <f aca="false">Data!B962</f>
        <v>67.59</v>
      </c>
      <c r="C962" s="0" t="str">
        <f aca="false">IF(Data!D962="","HOLD",IF(AND(G961&lt;&gt;"IN",Data!E962&lt;-5),"BUY",IF(AND(G961="IN",Data!E962&gt;0),"SELL","HOLD")))</f>
        <v>HOLD</v>
      </c>
      <c r="D962" s="14" t="n">
        <f aca="false">IF(C962="BUY",B962,IF(G961="IN",D961,""))</f>
        <v>68.65</v>
      </c>
      <c r="E962" s="14" t="str">
        <f aca="false">IF(C962="SELL",B962,"")</f>
        <v/>
      </c>
      <c r="F962" s="14" t="str">
        <f aca="false">IF(E962="","",(E962-D962)/D962*100)</f>
        <v/>
      </c>
      <c r="G962" s="0" t="str">
        <f aca="false">IF(C962="BUY","IN",IF(C962="SELL","OUT",IF(G961="IN","IN","OUT")))</f>
        <v>IN</v>
      </c>
      <c r="H962" s="14" t="n">
        <f aca="false">H961+IF(F962="",0,F962)</f>
        <v>43.9309628600509</v>
      </c>
      <c r="I962" s="14" t="n">
        <f aca="false">MAX(I961,H962)</f>
        <v>43.9309628600509</v>
      </c>
      <c r="J962" s="14" t="n">
        <f aca="false">I962-H962</f>
        <v>0</v>
      </c>
    </row>
    <row r="963" customFormat="false" ht="15" hidden="false" customHeight="false" outlineLevel="0" collapsed="false">
      <c r="A963" s="12" t="n">
        <f aca="false">Data!A963</f>
        <v>43402</v>
      </c>
      <c r="B963" s="14" t="n">
        <f aca="false">Data!B963</f>
        <v>67.04</v>
      </c>
      <c r="C963" s="0" t="str">
        <f aca="false">IF(Data!D963="","HOLD",IF(AND(G962&lt;&gt;"IN",Data!E963&lt;-5),"BUY",IF(AND(G962="IN",Data!E963&gt;0),"SELL","HOLD")))</f>
        <v>HOLD</v>
      </c>
      <c r="D963" s="14" t="n">
        <f aca="false">IF(C963="BUY",B963,IF(G962="IN",D962,""))</f>
        <v>68.65</v>
      </c>
      <c r="E963" s="14" t="str">
        <f aca="false">IF(C963="SELL",B963,"")</f>
        <v/>
      </c>
      <c r="F963" s="14" t="str">
        <f aca="false">IF(E963="","",(E963-D963)/D963*100)</f>
        <v/>
      </c>
      <c r="G963" s="0" t="str">
        <f aca="false">IF(C963="BUY","IN",IF(C963="SELL","OUT",IF(G962="IN","IN","OUT")))</f>
        <v>IN</v>
      </c>
      <c r="H963" s="14" t="n">
        <f aca="false">H962+IF(F963="",0,F963)</f>
        <v>43.9309628600509</v>
      </c>
      <c r="I963" s="14" t="n">
        <f aca="false">MAX(I962,H963)</f>
        <v>43.9309628600509</v>
      </c>
      <c r="J963" s="14" t="n">
        <f aca="false">I963-H963</f>
        <v>0</v>
      </c>
    </row>
    <row r="964" customFormat="false" ht="15" hidden="false" customHeight="false" outlineLevel="0" collapsed="false">
      <c r="A964" s="12" t="n">
        <f aca="false">Data!A964</f>
        <v>43403</v>
      </c>
      <c r="B964" s="14" t="n">
        <f aca="false">Data!B964</f>
        <v>66.18</v>
      </c>
      <c r="C964" s="0" t="str">
        <f aca="false">IF(Data!D964="","HOLD",IF(AND(G963&lt;&gt;"IN",Data!E964&lt;-5),"BUY",IF(AND(G963="IN",Data!E964&gt;0),"SELL","HOLD")))</f>
        <v>HOLD</v>
      </c>
      <c r="D964" s="14" t="n">
        <f aca="false">IF(C964="BUY",B964,IF(G963="IN",D963,""))</f>
        <v>68.65</v>
      </c>
      <c r="E964" s="14" t="str">
        <f aca="false">IF(C964="SELL",B964,"")</f>
        <v/>
      </c>
      <c r="F964" s="14" t="str">
        <f aca="false">IF(E964="","",(E964-D964)/D964*100)</f>
        <v/>
      </c>
      <c r="G964" s="0" t="str">
        <f aca="false">IF(C964="BUY","IN",IF(C964="SELL","OUT",IF(G963="IN","IN","OUT")))</f>
        <v>IN</v>
      </c>
      <c r="H964" s="14" t="n">
        <f aca="false">H963+IF(F964="",0,F964)</f>
        <v>43.9309628600509</v>
      </c>
      <c r="I964" s="14" t="n">
        <f aca="false">MAX(I963,H964)</f>
        <v>43.9309628600509</v>
      </c>
      <c r="J964" s="14" t="n">
        <f aca="false">I964-H964</f>
        <v>0</v>
      </c>
    </row>
    <row r="965" customFormat="false" ht="15" hidden="false" customHeight="false" outlineLevel="0" collapsed="false">
      <c r="A965" s="12" t="n">
        <f aca="false">Data!A965</f>
        <v>43404</v>
      </c>
      <c r="B965" s="14" t="n">
        <f aca="false">Data!B965</f>
        <v>65.31</v>
      </c>
      <c r="C965" s="0" t="str">
        <f aca="false">IF(Data!D965="","HOLD",IF(AND(G964&lt;&gt;"IN",Data!E965&lt;-5),"BUY",IF(AND(G964="IN",Data!E965&gt;0),"SELL","HOLD")))</f>
        <v>HOLD</v>
      </c>
      <c r="D965" s="14" t="n">
        <f aca="false">IF(C965="BUY",B965,IF(G964="IN",D964,""))</f>
        <v>68.65</v>
      </c>
      <c r="E965" s="14" t="str">
        <f aca="false">IF(C965="SELL",B965,"")</f>
        <v/>
      </c>
      <c r="F965" s="14" t="str">
        <f aca="false">IF(E965="","",(E965-D965)/D965*100)</f>
        <v/>
      </c>
      <c r="G965" s="0" t="str">
        <f aca="false">IF(C965="BUY","IN",IF(C965="SELL","OUT",IF(G964="IN","IN","OUT")))</f>
        <v>IN</v>
      </c>
      <c r="H965" s="14" t="n">
        <f aca="false">H964+IF(F965="",0,F965)</f>
        <v>43.9309628600509</v>
      </c>
      <c r="I965" s="14" t="n">
        <f aca="false">MAX(I964,H965)</f>
        <v>43.9309628600509</v>
      </c>
      <c r="J965" s="14" t="n">
        <f aca="false">I965-H965</f>
        <v>0</v>
      </c>
    </row>
    <row r="966" customFormat="false" ht="15" hidden="false" customHeight="false" outlineLevel="0" collapsed="false">
      <c r="A966" s="12" t="n">
        <f aca="false">Data!A966</f>
        <v>43405</v>
      </c>
      <c r="B966" s="14" t="n">
        <f aca="false">Data!B966</f>
        <v>63.69</v>
      </c>
      <c r="C966" s="0" t="str">
        <f aca="false">IF(Data!D966="","HOLD",IF(AND(G965&lt;&gt;"IN",Data!E966&lt;-5),"BUY",IF(AND(G965="IN",Data!E966&gt;0),"SELL","HOLD")))</f>
        <v>HOLD</v>
      </c>
      <c r="D966" s="14" t="n">
        <f aca="false">IF(C966="BUY",B966,IF(G965="IN",D965,""))</f>
        <v>68.65</v>
      </c>
      <c r="E966" s="14" t="str">
        <f aca="false">IF(C966="SELL",B966,"")</f>
        <v/>
      </c>
      <c r="F966" s="14" t="str">
        <f aca="false">IF(E966="","",(E966-D966)/D966*100)</f>
        <v/>
      </c>
      <c r="G966" s="0" t="str">
        <f aca="false">IF(C966="BUY","IN",IF(C966="SELL","OUT",IF(G965="IN","IN","OUT")))</f>
        <v>IN</v>
      </c>
      <c r="H966" s="14" t="n">
        <f aca="false">H965+IF(F966="",0,F966)</f>
        <v>43.9309628600509</v>
      </c>
      <c r="I966" s="14" t="n">
        <f aca="false">MAX(I965,H966)</f>
        <v>43.9309628600509</v>
      </c>
      <c r="J966" s="14" t="n">
        <f aca="false">I966-H966</f>
        <v>0</v>
      </c>
    </row>
    <row r="967" customFormat="false" ht="15" hidden="false" customHeight="false" outlineLevel="0" collapsed="false">
      <c r="A967" s="12" t="n">
        <f aca="false">Data!A967</f>
        <v>43406</v>
      </c>
      <c r="B967" s="14" t="n">
        <f aca="false">Data!B967</f>
        <v>63.14</v>
      </c>
      <c r="C967" s="0" t="str">
        <f aca="false">IF(Data!D967="","HOLD",IF(AND(G966&lt;&gt;"IN",Data!E967&lt;-5),"BUY",IF(AND(G966="IN",Data!E967&gt;0),"SELL","HOLD")))</f>
        <v>HOLD</v>
      </c>
      <c r="D967" s="14" t="n">
        <f aca="false">IF(C967="BUY",B967,IF(G966="IN",D966,""))</f>
        <v>68.65</v>
      </c>
      <c r="E967" s="14" t="str">
        <f aca="false">IF(C967="SELL",B967,"")</f>
        <v/>
      </c>
      <c r="F967" s="14" t="str">
        <f aca="false">IF(E967="","",(E967-D967)/D967*100)</f>
        <v/>
      </c>
      <c r="G967" s="0" t="str">
        <f aca="false">IF(C967="BUY","IN",IF(C967="SELL","OUT",IF(G966="IN","IN","OUT")))</f>
        <v>IN</v>
      </c>
      <c r="H967" s="14" t="n">
        <f aca="false">H966+IF(F967="",0,F967)</f>
        <v>43.9309628600509</v>
      </c>
      <c r="I967" s="14" t="n">
        <f aca="false">MAX(I966,H967)</f>
        <v>43.9309628600509</v>
      </c>
      <c r="J967" s="14" t="n">
        <f aca="false">I967-H967</f>
        <v>0</v>
      </c>
    </row>
    <row r="968" customFormat="false" ht="15" hidden="false" customHeight="false" outlineLevel="0" collapsed="false">
      <c r="A968" s="12" t="n">
        <f aca="false">Data!A968</f>
        <v>43409</v>
      </c>
      <c r="B968" s="14" t="n">
        <f aca="false">Data!B968</f>
        <v>63.1</v>
      </c>
      <c r="C968" s="0" t="str">
        <f aca="false">IF(Data!D968="","HOLD",IF(AND(G967&lt;&gt;"IN",Data!E968&lt;-5),"BUY",IF(AND(G967="IN",Data!E968&gt;0),"SELL","HOLD")))</f>
        <v>HOLD</v>
      </c>
      <c r="D968" s="14" t="n">
        <f aca="false">IF(C968="BUY",B968,IF(G967="IN",D967,""))</f>
        <v>68.65</v>
      </c>
      <c r="E968" s="14" t="str">
        <f aca="false">IF(C968="SELL",B968,"")</f>
        <v/>
      </c>
      <c r="F968" s="14" t="str">
        <f aca="false">IF(E968="","",(E968-D968)/D968*100)</f>
        <v/>
      </c>
      <c r="G968" s="0" t="str">
        <f aca="false">IF(C968="BUY","IN",IF(C968="SELL","OUT",IF(G967="IN","IN","OUT")))</f>
        <v>IN</v>
      </c>
      <c r="H968" s="14" t="n">
        <f aca="false">H967+IF(F968="",0,F968)</f>
        <v>43.9309628600509</v>
      </c>
      <c r="I968" s="14" t="n">
        <f aca="false">MAX(I967,H968)</f>
        <v>43.9309628600509</v>
      </c>
      <c r="J968" s="14" t="n">
        <f aca="false">I968-H968</f>
        <v>0</v>
      </c>
    </row>
    <row r="969" customFormat="false" ht="15" hidden="false" customHeight="false" outlineLevel="0" collapsed="false">
      <c r="A969" s="12" t="n">
        <f aca="false">Data!A969</f>
        <v>43410</v>
      </c>
      <c r="B969" s="14" t="n">
        <f aca="false">Data!B969</f>
        <v>62.21</v>
      </c>
      <c r="C969" s="0" t="str">
        <f aca="false">IF(Data!D969="","HOLD",IF(AND(G968&lt;&gt;"IN",Data!E969&lt;-5),"BUY",IF(AND(G968="IN",Data!E969&gt;0),"SELL","HOLD")))</f>
        <v>HOLD</v>
      </c>
      <c r="D969" s="14" t="n">
        <f aca="false">IF(C969="BUY",B969,IF(G968="IN",D968,""))</f>
        <v>68.65</v>
      </c>
      <c r="E969" s="14" t="str">
        <f aca="false">IF(C969="SELL",B969,"")</f>
        <v/>
      </c>
      <c r="F969" s="14" t="str">
        <f aca="false">IF(E969="","",(E969-D969)/D969*100)</f>
        <v/>
      </c>
      <c r="G969" s="0" t="str">
        <f aca="false">IF(C969="BUY","IN",IF(C969="SELL","OUT",IF(G968="IN","IN","OUT")))</f>
        <v>IN</v>
      </c>
      <c r="H969" s="14" t="n">
        <f aca="false">H968+IF(F969="",0,F969)</f>
        <v>43.9309628600509</v>
      </c>
      <c r="I969" s="14" t="n">
        <f aca="false">MAX(I968,H969)</f>
        <v>43.9309628600509</v>
      </c>
      <c r="J969" s="14" t="n">
        <f aca="false">I969-H969</f>
        <v>0</v>
      </c>
    </row>
    <row r="970" customFormat="false" ht="15" hidden="false" customHeight="false" outlineLevel="0" collapsed="false">
      <c r="A970" s="12" t="n">
        <f aca="false">Data!A970</f>
        <v>43411</v>
      </c>
      <c r="B970" s="14" t="n">
        <f aca="false">Data!B970</f>
        <v>61.67</v>
      </c>
      <c r="C970" s="0" t="str">
        <f aca="false">IF(Data!D970="","HOLD",IF(AND(G969&lt;&gt;"IN",Data!E970&lt;-5),"BUY",IF(AND(G969="IN",Data!E970&gt;0),"SELL","HOLD")))</f>
        <v>HOLD</v>
      </c>
      <c r="D970" s="14" t="n">
        <f aca="false">IF(C970="BUY",B970,IF(G969="IN",D969,""))</f>
        <v>68.65</v>
      </c>
      <c r="E970" s="14" t="str">
        <f aca="false">IF(C970="SELL",B970,"")</f>
        <v/>
      </c>
      <c r="F970" s="14" t="str">
        <f aca="false">IF(E970="","",(E970-D970)/D970*100)</f>
        <v/>
      </c>
      <c r="G970" s="0" t="str">
        <f aca="false">IF(C970="BUY","IN",IF(C970="SELL","OUT",IF(G969="IN","IN","OUT")))</f>
        <v>IN</v>
      </c>
      <c r="H970" s="14" t="n">
        <f aca="false">H969+IF(F970="",0,F970)</f>
        <v>43.9309628600509</v>
      </c>
      <c r="I970" s="14" t="n">
        <f aca="false">MAX(I969,H970)</f>
        <v>43.9309628600509</v>
      </c>
      <c r="J970" s="14" t="n">
        <f aca="false">I970-H970</f>
        <v>0</v>
      </c>
    </row>
    <row r="971" customFormat="false" ht="15" hidden="false" customHeight="false" outlineLevel="0" collapsed="false">
      <c r="A971" s="12" t="n">
        <f aca="false">Data!A971</f>
        <v>43412</v>
      </c>
      <c r="B971" s="14" t="n">
        <f aca="false">Data!B971</f>
        <v>60.67</v>
      </c>
      <c r="C971" s="0" t="str">
        <f aca="false">IF(Data!D971="","HOLD",IF(AND(G970&lt;&gt;"IN",Data!E971&lt;-5),"BUY",IF(AND(G970="IN",Data!E971&gt;0),"SELL","HOLD")))</f>
        <v>HOLD</v>
      </c>
      <c r="D971" s="14" t="n">
        <f aca="false">IF(C971="BUY",B971,IF(G970="IN",D970,""))</f>
        <v>68.65</v>
      </c>
      <c r="E971" s="14" t="str">
        <f aca="false">IF(C971="SELL",B971,"")</f>
        <v/>
      </c>
      <c r="F971" s="14" t="str">
        <f aca="false">IF(E971="","",(E971-D971)/D971*100)</f>
        <v/>
      </c>
      <c r="G971" s="0" t="str">
        <f aca="false">IF(C971="BUY","IN",IF(C971="SELL","OUT",IF(G970="IN","IN","OUT")))</f>
        <v>IN</v>
      </c>
      <c r="H971" s="14" t="n">
        <f aca="false">H970+IF(F971="",0,F971)</f>
        <v>43.9309628600509</v>
      </c>
      <c r="I971" s="14" t="n">
        <f aca="false">MAX(I970,H971)</f>
        <v>43.9309628600509</v>
      </c>
      <c r="J971" s="14" t="n">
        <f aca="false">I971-H971</f>
        <v>0</v>
      </c>
    </row>
    <row r="972" customFormat="false" ht="15" hidden="false" customHeight="false" outlineLevel="0" collapsed="false">
      <c r="A972" s="12" t="n">
        <f aca="false">Data!A972</f>
        <v>43413</v>
      </c>
      <c r="B972" s="14" t="n">
        <f aca="false">Data!B972</f>
        <v>60.19</v>
      </c>
      <c r="C972" s="0" t="str">
        <f aca="false">IF(Data!D972="","HOLD",IF(AND(G971&lt;&gt;"IN",Data!E972&lt;-5),"BUY",IF(AND(G971="IN",Data!E972&gt;0),"SELL","HOLD")))</f>
        <v>HOLD</v>
      </c>
      <c r="D972" s="14" t="n">
        <f aca="false">IF(C972="BUY",B972,IF(G971="IN",D971,""))</f>
        <v>68.65</v>
      </c>
      <c r="E972" s="14" t="str">
        <f aca="false">IF(C972="SELL",B972,"")</f>
        <v/>
      </c>
      <c r="F972" s="14" t="str">
        <f aca="false">IF(E972="","",(E972-D972)/D972*100)</f>
        <v/>
      </c>
      <c r="G972" s="0" t="str">
        <f aca="false">IF(C972="BUY","IN",IF(C972="SELL","OUT",IF(G971="IN","IN","OUT")))</f>
        <v>IN</v>
      </c>
      <c r="H972" s="14" t="n">
        <f aca="false">H971+IF(F972="",0,F972)</f>
        <v>43.9309628600509</v>
      </c>
      <c r="I972" s="14" t="n">
        <f aca="false">MAX(I971,H972)</f>
        <v>43.9309628600509</v>
      </c>
      <c r="J972" s="14" t="n">
        <f aca="false">I972-H972</f>
        <v>0</v>
      </c>
    </row>
    <row r="973" customFormat="false" ht="15" hidden="false" customHeight="false" outlineLevel="0" collapsed="false">
      <c r="A973" s="12" t="n">
        <f aca="false">Data!A973</f>
        <v>43416</v>
      </c>
      <c r="B973" s="14" t="n">
        <f aca="false">Data!B973</f>
        <v>59.93</v>
      </c>
      <c r="C973" s="0" t="str">
        <f aca="false">IF(Data!D973="","HOLD",IF(AND(G972&lt;&gt;"IN",Data!E973&lt;-5),"BUY",IF(AND(G972="IN",Data!E973&gt;0),"SELL","HOLD")))</f>
        <v>HOLD</v>
      </c>
      <c r="D973" s="14" t="n">
        <f aca="false">IF(C973="BUY",B973,IF(G972="IN",D972,""))</f>
        <v>68.65</v>
      </c>
      <c r="E973" s="14" t="str">
        <f aca="false">IF(C973="SELL",B973,"")</f>
        <v/>
      </c>
      <c r="F973" s="14" t="str">
        <f aca="false">IF(E973="","",(E973-D973)/D973*100)</f>
        <v/>
      </c>
      <c r="G973" s="0" t="str">
        <f aca="false">IF(C973="BUY","IN",IF(C973="SELL","OUT",IF(G972="IN","IN","OUT")))</f>
        <v>IN</v>
      </c>
      <c r="H973" s="14" t="n">
        <f aca="false">H972+IF(F973="",0,F973)</f>
        <v>43.9309628600509</v>
      </c>
      <c r="I973" s="14" t="n">
        <f aca="false">MAX(I972,H973)</f>
        <v>43.9309628600509</v>
      </c>
      <c r="J973" s="14" t="n">
        <f aca="false">I973-H973</f>
        <v>0</v>
      </c>
    </row>
    <row r="974" customFormat="false" ht="15" hidden="false" customHeight="false" outlineLevel="0" collapsed="false">
      <c r="A974" s="12" t="n">
        <f aca="false">Data!A974</f>
        <v>43417</v>
      </c>
      <c r="B974" s="14" t="n">
        <f aca="false">Data!B974</f>
        <v>55.69</v>
      </c>
      <c r="C974" s="0" t="str">
        <f aca="false">IF(Data!D974="","HOLD",IF(AND(G973&lt;&gt;"IN",Data!E974&lt;-5),"BUY",IF(AND(G973="IN",Data!E974&gt;0),"SELL","HOLD")))</f>
        <v>HOLD</v>
      </c>
      <c r="D974" s="14" t="n">
        <f aca="false">IF(C974="BUY",B974,IF(G973="IN",D973,""))</f>
        <v>68.65</v>
      </c>
      <c r="E974" s="14" t="str">
        <f aca="false">IF(C974="SELL",B974,"")</f>
        <v/>
      </c>
      <c r="F974" s="14" t="str">
        <f aca="false">IF(E974="","",(E974-D974)/D974*100)</f>
        <v/>
      </c>
      <c r="G974" s="0" t="str">
        <f aca="false">IF(C974="BUY","IN",IF(C974="SELL","OUT",IF(G973="IN","IN","OUT")))</f>
        <v>IN</v>
      </c>
      <c r="H974" s="14" t="n">
        <f aca="false">H973+IF(F974="",0,F974)</f>
        <v>43.9309628600509</v>
      </c>
      <c r="I974" s="14" t="n">
        <f aca="false">MAX(I973,H974)</f>
        <v>43.9309628600509</v>
      </c>
      <c r="J974" s="14" t="n">
        <f aca="false">I974-H974</f>
        <v>0</v>
      </c>
    </row>
    <row r="975" customFormat="false" ht="15" hidden="false" customHeight="false" outlineLevel="0" collapsed="false">
      <c r="A975" s="12" t="n">
        <f aca="false">Data!A975</f>
        <v>43418</v>
      </c>
      <c r="B975" s="14" t="n">
        <f aca="false">Data!B975</f>
        <v>56.25</v>
      </c>
      <c r="C975" s="0" t="str">
        <f aca="false">IF(Data!D975="","HOLD",IF(AND(G974&lt;&gt;"IN",Data!E975&lt;-5),"BUY",IF(AND(G974="IN",Data!E975&gt;0),"SELL","HOLD")))</f>
        <v>HOLD</v>
      </c>
      <c r="D975" s="14" t="n">
        <f aca="false">IF(C975="BUY",B975,IF(G974="IN",D974,""))</f>
        <v>68.65</v>
      </c>
      <c r="E975" s="14" t="str">
        <f aca="false">IF(C975="SELL",B975,"")</f>
        <v/>
      </c>
      <c r="F975" s="14" t="str">
        <f aca="false">IF(E975="","",(E975-D975)/D975*100)</f>
        <v/>
      </c>
      <c r="G975" s="0" t="str">
        <f aca="false">IF(C975="BUY","IN",IF(C975="SELL","OUT",IF(G974="IN","IN","OUT")))</f>
        <v>IN</v>
      </c>
      <c r="H975" s="14" t="n">
        <f aca="false">H974+IF(F975="",0,F975)</f>
        <v>43.9309628600509</v>
      </c>
      <c r="I975" s="14" t="n">
        <f aca="false">MAX(I974,H975)</f>
        <v>43.9309628600509</v>
      </c>
      <c r="J975" s="14" t="n">
        <f aca="false">I975-H975</f>
        <v>0</v>
      </c>
    </row>
    <row r="976" customFormat="false" ht="15" hidden="false" customHeight="false" outlineLevel="0" collapsed="false">
      <c r="A976" s="12" t="n">
        <f aca="false">Data!A976</f>
        <v>43419</v>
      </c>
      <c r="B976" s="14" t="n">
        <f aca="false">Data!B976</f>
        <v>56.46</v>
      </c>
      <c r="C976" s="0" t="str">
        <f aca="false">IF(Data!D976="","HOLD",IF(AND(G975&lt;&gt;"IN",Data!E976&lt;-5),"BUY",IF(AND(G975="IN",Data!E976&gt;0),"SELL","HOLD")))</f>
        <v>HOLD</v>
      </c>
      <c r="D976" s="14" t="n">
        <f aca="false">IF(C976="BUY",B976,IF(G975="IN",D975,""))</f>
        <v>68.65</v>
      </c>
      <c r="E976" s="14" t="str">
        <f aca="false">IF(C976="SELL",B976,"")</f>
        <v/>
      </c>
      <c r="F976" s="14" t="str">
        <f aca="false">IF(E976="","",(E976-D976)/D976*100)</f>
        <v/>
      </c>
      <c r="G976" s="0" t="str">
        <f aca="false">IF(C976="BUY","IN",IF(C976="SELL","OUT",IF(G975="IN","IN","OUT")))</f>
        <v>IN</v>
      </c>
      <c r="H976" s="14" t="n">
        <f aca="false">H975+IF(F976="",0,F976)</f>
        <v>43.9309628600509</v>
      </c>
      <c r="I976" s="14" t="n">
        <f aca="false">MAX(I975,H976)</f>
        <v>43.9309628600509</v>
      </c>
      <c r="J976" s="14" t="n">
        <f aca="false">I976-H976</f>
        <v>0</v>
      </c>
    </row>
    <row r="977" customFormat="false" ht="15" hidden="false" customHeight="false" outlineLevel="0" collapsed="false">
      <c r="A977" s="12" t="n">
        <f aca="false">Data!A977</f>
        <v>43420</v>
      </c>
      <c r="B977" s="14" t="n">
        <f aca="false">Data!B977</f>
        <v>56.46</v>
      </c>
      <c r="C977" s="0" t="str">
        <f aca="false">IF(Data!D977="","HOLD",IF(AND(G976&lt;&gt;"IN",Data!E977&lt;-5),"BUY",IF(AND(G976="IN",Data!E977&gt;0),"SELL","HOLD")))</f>
        <v>HOLD</v>
      </c>
      <c r="D977" s="14" t="n">
        <f aca="false">IF(C977="BUY",B977,IF(G976="IN",D976,""))</f>
        <v>68.65</v>
      </c>
      <c r="E977" s="14" t="str">
        <f aca="false">IF(C977="SELL",B977,"")</f>
        <v/>
      </c>
      <c r="F977" s="14" t="str">
        <f aca="false">IF(E977="","",(E977-D977)/D977*100)</f>
        <v/>
      </c>
      <c r="G977" s="0" t="str">
        <f aca="false">IF(C977="BUY","IN",IF(C977="SELL","OUT",IF(G976="IN","IN","OUT")))</f>
        <v>IN</v>
      </c>
      <c r="H977" s="14" t="n">
        <f aca="false">H976+IF(F977="",0,F977)</f>
        <v>43.9309628600509</v>
      </c>
      <c r="I977" s="14" t="n">
        <f aca="false">MAX(I976,H977)</f>
        <v>43.9309628600509</v>
      </c>
      <c r="J977" s="14" t="n">
        <f aca="false">I977-H977</f>
        <v>0</v>
      </c>
    </row>
    <row r="978" customFormat="false" ht="15" hidden="false" customHeight="false" outlineLevel="0" collapsed="false">
      <c r="A978" s="12" t="n">
        <f aca="false">Data!A978</f>
        <v>43423</v>
      </c>
      <c r="B978" s="14" t="n">
        <f aca="false">Data!B978</f>
        <v>56.76</v>
      </c>
      <c r="C978" s="0" t="str">
        <f aca="false">IF(Data!D978="","HOLD",IF(AND(G977&lt;&gt;"IN",Data!E978&lt;-5),"BUY",IF(AND(G977="IN",Data!E978&gt;0),"SELL","HOLD")))</f>
        <v>HOLD</v>
      </c>
      <c r="D978" s="14" t="n">
        <f aca="false">IF(C978="BUY",B978,IF(G977="IN",D977,""))</f>
        <v>68.65</v>
      </c>
      <c r="E978" s="14" t="str">
        <f aca="false">IF(C978="SELL",B978,"")</f>
        <v/>
      </c>
      <c r="F978" s="14" t="str">
        <f aca="false">IF(E978="","",(E978-D978)/D978*100)</f>
        <v/>
      </c>
      <c r="G978" s="0" t="str">
        <f aca="false">IF(C978="BUY","IN",IF(C978="SELL","OUT",IF(G977="IN","IN","OUT")))</f>
        <v>IN</v>
      </c>
      <c r="H978" s="14" t="n">
        <f aca="false">H977+IF(F978="",0,F978)</f>
        <v>43.9309628600509</v>
      </c>
      <c r="I978" s="14" t="n">
        <f aca="false">MAX(I977,H978)</f>
        <v>43.9309628600509</v>
      </c>
      <c r="J978" s="14" t="n">
        <f aca="false">I978-H978</f>
        <v>0</v>
      </c>
    </row>
    <row r="979" customFormat="false" ht="15" hidden="false" customHeight="false" outlineLevel="0" collapsed="false">
      <c r="A979" s="12" t="n">
        <f aca="false">Data!A979</f>
        <v>43424</v>
      </c>
      <c r="B979" s="14" t="n">
        <f aca="false">Data!B979</f>
        <v>53.43</v>
      </c>
      <c r="C979" s="0" t="str">
        <f aca="false">IF(Data!D979="","HOLD",IF(AND(G978&lt;&gt;"IN",Data!E979&lt;-5),"BUY",IF(AND(G978="IN",Data!E979&gt;0),"SELL","HOLD")))</f>
        <v>HOLD</v>
      </c>
      <c r="D979" s="14" t="n">
        <f aca="false">IF(C979="BUY",B979,IF(G978="IN",D978,""))</f>
        <v>68.65</v>
      </c>
      <c r="E979" s="14" t="str">
        <f aca="false">IF(C979="SELL",B979,"")</f>
        <v/>
      </c>
      <c r="F979" s="14" t="str">
        <f aca="false">IF(E979="","",(E979-D979)/D979*100)</f>
        <v/>
      </c>
      <c r="G979" s="0" t="str">
        <f aca="false">IF(C979="BUY","IN",IF(C979="SELL","OUT",IF(G978="IN","IN","OUT")))</f>
        <v>IN</v>
      </c>
      <c r="H979" s="14" t="n">
        <f aca="false">H978+IF(F979="",0,F979)</f>
        <v>43.9309628600509</v>
      </c>
      <c r="I979" s="14" t="n">
        <f aca="false">MAX(I978,H979)</f>
        <v>43.9309628600509</v>
      </c>
      <c r="J979" s="14" t="n">
        <f aca="false">I979-H979</f>
        <v>0</v>
      </c>
    </row>
    <row r="980" customFormat="false" ht="15" hidden="false" customHeight="false" outlineLevel="0" collapsed="false">
      <c r="A980" s="12" t="n">
        <f aca="false">Data!A980</f>
        <v>43425</v>
      </c>
      <c r="B980" s="14" t="n">
        <f aca="false">Data!B980</f>
        <v>54.63</v>
      </c>
      <c r="C980" s="0" t="str">
        <f aca="false">IF(Data!D980="","HOLD",IF(AND(G979&lt;&gt;"IN",Data!E980&lt;-5),"BUY",IF(AND(G979="IN",Data!E980&gt;0),"SELL","HOLD")))</f>
        <v>HOLD</v>
      </c>
      <c r="D980" s="14" t="n">
        <f aca="false">IF(C980="BUY",B980,IF(G979="IN",D979,""))</f>
        <v>68.65</v>
      </c>
      <c r="E980" s="14" t="str">
        <f aca="false">IF(C980="SELL",B980,"")</f>
        <v/>
      </c>
      <c r="F980" s="14" t="str">
        <f aca="false">IF(E980="","",(E980-D980)/D980*100)</f>
        <v/>
      </c>
      <c r="G980" s="0" t="str">
        <f aca="false">IF(C980="BUY","IN",IF(C980="SELL","OUT",IF(G979="IN","IN","OUT")))</f>
        <v>IN</v>
      </c>
      <c r="H980" s="14" t="n">
        <f aca="false">H979+IF(F980="",0,F980)</f>
        <v>43.9309628600509</v>
      </c>
      <c r="I980" s="14" t="n">
        <f aca="false">MAX(I979,H980)</f>
        <v>43.9309628600509</v>
      </c>
      <c r="J980" s="14" t="n">
        <f aca="false">I980-H980</f>
        <v>0</v>
      </c>
    </row>
    <row r="981" customFormat="false" ht="15" hidden="false" customHeight="false" outlineLevel="0" collapsed="false">
      <c r="A981" s="12" t="n">
        <f aca="false">Data!A981</f>
        <v>43427</v>
      </c>
      <c r="B981" s="14" t="n">
        <f aca="false">Data!B981</f>
        <v>50.42</v>
      </c>
      <c r="C981" s="0" t="str">
        <f aca="false">IF(Data!D981="","HOLD",IF(AND(G980&lt;&gt;"IN",Data!E981&lt;-5),"BUY",IF(AND(G980="IN",Data!E981&gt;0),"SELL","HOLD")))</f>
        <v>HOLD</v>
      </c>
      <c r="D981" s="14" t="n">
        <f aca="false">IF(C981="BUY",B981,IF(G980="IN",D980,""))</f>
        <v>68.65</v>
      </c>
      <c r="E981" s="14" t="str">
        <f aca="false">IF(C981="SELL",B981,"")</f>
        <v/>
      </c>
      <c r="F981" s="14" t="str">
        <f aca="false">IF(E981="","",(E981-D981)/D981*100)</f>
        <v/>
      </c>
      <c r="G981" s="0" t="str">
        <f aca="false">IF(C981="BUY","IN",IF(C981="SELL","OUT",IF(G980="IN","IN","OUT")))</f>
        <v>IN</v>
      </c>
      <c r="H981" s="14" t="n">
        <f aca="false">H980+IF(F981="",0,F981)</f>
        <v>43.9309628600509</v>
      </c>
      <c r="I981" s="14" t="n">
        <f aca="false">MAX(I980,H981)</f>
        <v>43.9309628600509</v>
      </c>
      <c r="J981" s="14" t="n">
        <f aca="false">I981-H981</f>
        <v>0</v>
      </c>
    </row>
    <row r="982" customFormat="false" ht="15" hidden="false" customHeight="false" outlineLevel="0" collapsed="false">
      <c r="A982" s="12" t="n">
        <f aca="false">Data!A982</f>
        <v>43430</v>
      </c>
      <c r="B982" s="14" t="n">
        <f aca="false">Data!B982</f>
        <v>51.63</v>
      </c>
      <c r="C982" s="0" t="str">
        <f aca="false">IF(Data!D982="","HOLD",IF(AND(G981&lt;&gt;"IN",Data!E982&lt;-5),"BUY",IF(AND(G981="IN",Data!E982&gt;0),"SELL","HOLD")))</f>
        <v>HOLD</v>
      </c>
      <c r="D982" s="14" t="n">
        <f aca="false">IF(C982="BUY",B982,IF(G981="IN",D981,""))</f>
        <v>68.65</v>
      </c>
      <c r="E982" s="14" t="str">
        <f aca="false">IF(C982="SELL",B982,"")</f>
        <v/>
      </c>
      <c r="F982" s="14" t="str">
        <f aca="false">IF(E982="","",(E982-D982)/D982*100)</f>
        <v/>
      </c>
      <c r="G982" s="0" t="str">
        <f aca="false">IF(C982="BUY","IN",IF(C982="SELL","OUT",IF(G981="IN","IN","OUT")))</f>
        <v>IN</v>
      </c>
      <c r="H982" s="14" t="n">
        <f aca="false">H981+IF(F982="",0,F982)</f>
        <v>43.9309628600509</v>
      </c>
      <c r="I982" s="14" t="n">
        <f aca="false">MAX(I981,H982)</f>
        <v>43.9309628600509</v>
      </c>
      <c r="J982" s="14" t="n">
        <f aca="false">I982-H982</f>
        <v>0</v>
      </c>
    </row>
    <row r="983" customFormat="false" ht="15" hidden="false" customHeight="false" outlineLevel="0" collapsed="false">
      <c r="A983" s="12" t="n">
        <f aca="false">Data!A983</f>
        <v>43431</v>
      </c>
      <c r="B983" s="14" t="n">
        <f aca="false">Data!B983</f>
        <v>51.56</v>
      </c>
      <c r="C983" s="0" t="str">
        <f aca="false">IF(Data!D983="","HOLD",IF(AND(G982&lt;&gt;"IN",Data!E983&lt;-5),"BUY",IF(AND(G982="IN",Data!E983&gt;0),"SELL","HOLD")))</f>
        <v>HOLD</v>
      </c>
      <c r="D983" s="14" t="n">
        <f aca="false">IF(C983="BUY",B983,IF(G982="IN",D982,""))</f>
        <v>68.65</v>
      </c>
      <c r="E983" s="14" t="str">
        <f aca="false">IF(C983="SELL",B983,"")</f>
        <v/>
      </c>
      <c r="F983" s="14" t="str">
        <f aca="false">IF(E983="","",(E983-D983)/D983*100)</f>
        <v/>
      </c>
      <c r="G983" s="0" t="str">
        <f aca="false">IF(C983="BUY","IN",IF(C983="SELL","OUT",IF(G982="IN","IN","OUT")))</f>
        <v>IN</v>
      </c>
      <c r="H983" s="14" t="n">
        <f aca="false">H982+IF(F983="",0,F983)</f>
        <v>43.9309628600509</v>
      </c>
      <c r="I983" s="14" t="n">
        <f aca="false">MAX(I982,H983)</f>
        <v>43.9309628600509</v>
      </c>
      <c r="J983" s="14" t="n">
        <f aca="false">I983-H983</f>
        <v>0</v>
      </c>
    </row>
    <row r="984" customFormat="false" ht="15" hidden="false" customHeight="false" outlineLevel="0" collapsed="false">
      <c r="A984" s="12" t="n">
        <f aca="false">Data!A984</f>
        <v>43432</v>
      </c>
      <c r="B984" s="14" t="n">
        <f aca="false">Data!B984</f>
        <v>50.29</v>
      </c>
      <c r="C984" s="0" t="str">
        <f aca="false">IF(Data!D984="","HOLD",IF(AND(G983&lt;&gt;"IN",Data!E984&lt;-5),"BUY",IF(AND(G983="IN",Data!E984&gt;0),"SELL","HOLD")))</f>
        <v>HOLD</v>
      </c>
      <c r="D984" s="14" t="n">
        <f aca="false">IF(C984="BUY",B984,IF(G983="IN",D983,""))</f>
        <v>68.65</v>
      </c>
      <c r="E984" s="14" t="str">
        <f aca="false">IF(C984="SELL",B984,"")</f>
        <v/>
      </c>
      <c r="F984" s="14" t="str">
        <f aca="false">IF(E984="","",(E984-D984)/D984*100)</f>
        <v/>
      </c>
      <c r="G984" s="0" t="str">
        <f aca="false">IF(C984="BUY","IN",IF(C984="SELL","OUT",IF(G983="IN","IN","OUT")))</f>
        <v>IN</v>
      </c>
      <c r="H984" s="14" t="n">
        <f aca="false">H983+IF(F984="",0,F984)</f>
        <v>43.9309628600509</v>
      </c>
      <c r="I984" s="14" t="n">
        <f aca="false">MAX(I983,H984)</f>
        <v>43.9309628600509</v>
      </c>
      <c r="J984" s="14" t="n">
        <f aca="false">I984-H984</f>
        <v>0</v>
      </c>
    </row>
    <row r="985" customFormat="false" ht="15" hidden="false" customHeight="false" outlineLevel="0" collapsed="false">
      <c r="A985" s="12" t="n">
        <f aca="false">Data!A985</f>
        <v>43433</v>
      </c>
      <c r="B985" s="14" t="n">
        <f aca="false">Data!B985</f>
        <v>51.45</v>
      </c>
      <c r="C985" s="0" t="str">
        <f aca="false">IF(Data!D985="","HOLD",IF(AND(G984&lt;&gt;"IN",Data!E985&lt;-5),"BUY",IF(AND(G984="IN",Data!E985&gt;0),"SELL","HOLD")))</f>
        <v>HOLD</v>
      </c>
      <c r="D985" s="14" t="n">
        <f aca="false">IF(C985="BUY",B985,IF(G984="IN",D984,""))</f>
        <v>68.65</v>
      </c>
      <c r="E985" s="14" t="str">
        <f aca="false">IF(C985="SELL",B985,"")</f>
        <v/>
      </c>
      <c r="F985" s="14" t="str">
        <f aca="false">IF(E985="","",(E985-D985)/D985*100)</f>
        <v/>
      </c>
      <c r="G985" s="0" t="str">
        <f aca="false">IF(C985="BUY","IN",IF(C985="SELL","OUT",IF(G984="IN","IN","OUT")))</f>
        <v>IN</v>
      </c>
      <c r="H985" s="14" t="n">
        <f aca="false">H984+IF(F985="",0,F985)</f>
        <v>43.9309628600509</v>
      </c>
      <c r="I985" s="14" t="n">
        <f aca="false">MAX(I984,H985)</f>
        <v>43.9309628600509</v>
      </c>
      <c r="J985" s="14" t="n">
        <f aca="false">I985-H985</f>
        <v>0</v>
      </c>
    </row>
    <row r="986" customFormat="false" ht="15" hidden="false" customHeight="false" outlineLevel="0" collapsed="false">
      <c r="A986" s="12" t="n">
        <f aca="false">Data!A986</f>
        <v>43434</v>
      </c>
      <c r="B986" s="14" t="n">
        <f aca="false">Data!B986</f>
        <v>50.93</v>
      </c>
      <c r="C986" s="0" t="str">
        <f aca="false">IF(Data!D986="","HOLD",IF(AND(G985&lt;&gt;"IN",Data!E986&lt;-5),"BUY",IF(AND(G985="IN",Data!E986&gt;0),"SELL","HOLD")))</f>
        <v>HOLD</v>
      </c>
      <c r="D986" s="14" t="n">
        <f aca="false">IF(C986="BUY",B986,IF(G985="IN",D985,""))</f>
        <v>68.65</v>
      </c>
      <c r="E986" s="14" t="str">
        <f aca="false">IF(C986="SELL",B986,"")</f>
        <v/>
      </c>
      <c r="F986" s="14" t="str">
        <f aca="false">IF(E986="","",(E986-D986)/D986*100)</f>
        <v/>
      </c>
      <c r="G986" s="0" t="str">
        <f aca="false">IF(C986="BUY","IN",IF(C986="SELL","OUT",IF(G985="IN","IN","OUT")))</f>
        <v>IN</v>
      </c>
      <c r="H986" s="14" t="n">
        <f aca="false">H985+IF(F986="",0,F986)</f>
        <v>43.9309628600509</v>
      </c>
      <c r="I986" s="14" t="n">
        <f aca="false">MAX(I985,H986)</f>
        <v>43.9309628600509</v>
      </c>
      <c r="J986" s="14" t="n">
        <f aca="false">I986-H986</f>
        <v>0</v>
      </c>
    </row>
    <row r="987" customFormat="false" ht="15" hidden="false" customHeight="false" outlineLevel="0" collapsed="false">
      <c r="A987" s="12" t="n">
        <f aca="false">Data!A987</f>
        <v>43437</v>
      </c>
      <c r="B987" s="14" t="n">
        <f aca="false">Data!B987</f>
        <v>52.95</v>
      </c>
      <c r="C987" s="0" t="str">
        <f aca="false">IF(Data!D987="","HOLD",IF(AND(G986&lt;&gt;"IN",Data!E987&lt;-5),"BUY",IF(AND(G986="IN",Data!E987&gt;0),"SELL","HOLD")))</f>
        <v>HOLD</v>
      </c>
      <c r="D987" s="14" t="n">
        <f aca="false">IF(C987="BUY",B987,IF(G986="IN",D986,""))</f>
        <v>68.65</v>
      </c>
      <c r="E987" s="14" t="str">
        <f aca="false">IF(C987="SELL",B987,"")</f>
        <v/>
      </c>
      <c r="F987" s="14" t="str">
        <f aca="false">IF(E987="","",(E987-D987)/D987*100)</f>
        <v/>
      </c>
      <c r="G987" s="0" t="str">
        <f aca="false">IF(C987="BUY","IN",IF(C987="SELL","OUT",IF(G986="IN","IN","OUT")))</f>
        <v>IN</v>
      </c>
      <c r="H987" s="14" t="n">
        <f aca="false">H986+IF(F987="",0,F987)</f>
        <v>43.9309628600509</v>
      </c>
      <c r="I987" s="14" t="n">
        <f aca="false">MAX(I986,H987)</f>
        <v>43.9309628600509</v>
      </c>
      <c r="J987" s="14" t="n">
        <f aca="false">I987-H987</f>
        <v>0</v>
      </c>
    </row>
    <row r="988" customFormat="false" ht="15" hidden="false" customHeight="false" outlineLevel="0" collapsed="false">
      <c r="A988" s="12" t="n">
        <f aca="false">Data!A988</f>
        <v>43438</v>
      </c>
      <c r="B988" s="14" t="n">
        <f aca="false">Data!B988</f>
        <v>53.25</v>
      </c>
      <c r="C988" s="0" t="str">
        <f aca="false">IF(Data!D988="","HOLD",IF(AND(G987&lt;&gt;"IN",Data!E988&lt;-5),"BUY",IF(AND(G987="IN",Data!E988&gt;0),"SELL","HOLD")))</f>
        <v>HOLD</v>
      </c>
      <c r="D988" s="14" t="n">
        <f aca="false">IF(C988="BUY",B988,IF(G987="IN",D987,""))</f>
        <v>68.65</v>
      </c>
      <c r="E988" s="14" t="str">
        <f aca="false">IF(C988="SELL",B988,"")</f>
        <v/>
      </c>
      <c r="F988" s="14" t="str">
        <f aca="false">IF(E988="","",(E988-D988)/D988*100)</f>
        <v/>
      </c>
      <c r="G988" s="0" t="str">
        <f aca="false">IF(C988="BUY","IN",IF(C988="SELL","OUT",IF(G987="IN","IN","OUT")))</f>
        <v>IN</v>
      </c>
      <c r="H988" s="14" t="n">
        <f aca="false">H987+IF(F988="",0,F988)</f>
        <v>43.9309628600509</v>
      </c>
      <c r="I988" s="14" t="n">
        <f aca="false">MAX(I987,H988)</f>
        <v>43.9309628600509</v>
      </c>
      <c r="J988" s="14" t="n">
        <f aca="false">I988-H988</f>
        <v>0</v>
      </c>
    </row>
    <row r="989" customFormat="false" ht="15" hidden="false" customHeight="false" outlineLevel="0" collapsed="false">
      <c r="A989" s="12" t="n">
        <f aca="false">Data!A989</f>
        <v>43440</v>
      </c>
      <c r="B989" s="14" t="n">
        <f aca="false">Data!B989</f>
        <v>51.49</v>
      </c>
      <c r="C989" s="0" t="str">
        <f aca="false">IF(Data!D989="","HOLD",IF(AND(G988&lt;&gt;"IN",Data!E989&lt;-5),"BUY",IF(AND(G988="IN",Data!E989&gt;0),"SELL","HOLD")))</f>
        <v>HOLD</v>
      </c>
      <c r="D989" s="14" t="n">
        <f aca="false">IF(C989="BUY",B989,IF(G988="IN",D988,""))</f>
        <v>68.65</v>
      </c>
      <c r="E989" s="14" t="str">
        <f aca="false">IF(C989="SELL",B989,"")</f>
        <v/>
      </c>
      <c r="F989" s="14" t="str">
        <f aca="false">IF(E989="","",(E989-D989)/D989*100)</f>
        <v/>
      </c>
      <c r="G989" s="0" t="str">
        <f aca="false">IF(C989="BUY","IN",IF(C989="SELL","OUT",IF(G988="IN","IN","OUT")))</f>
        <v>IN</v>
      </c>
      <c r="H989" s="14" t="n">
        <f aca="false">H988+IF(F989="",0,F989)</f>
        <v>43.9309628600509</v>
      </c>
      <c r="I989" s="14" t="n">
        <f aca="false">MAX(I988,H989)</f>
        <v>43.9309628600509</v>
      </c>
      <c r="J989" s="14" t="n">
        <f aca="false">I989-H989</f>
        <v>0</v>
      </c>
    </row>
    <row r="990" customFormat="false" ht="15" hidden="false" customHeight="false" outlineLevel="0" collapsed="false">
      <c r="A990" s="12" t="n">
        <f aca="false">Data!A990</f>
        <v>43441</v>
      </c>
      <c r="B990" s="14" t="n">
        <f aca="false">Data!B990</f>
        <v>52.61</v>
      </c>
      <c r="C990" s="0" t="str">
        <f aca="false">IF(Data!D990="","HOLD",IF(AND(G989&lt;&gt;"IN",Data!E990&lt;-5),"BUY",IF(AND(G989="IN",Data!E990&gt;0),"SELL","HOLD")))</f>
        <v>HOLD</v>
      </c>
      <c r="D990" s="14" t="n">
        <f aca="false">IF(C990="BUY",B990,IF(G989="IN",D989,""))</f>
        <v>68.65</v>
      </c>
      <c r="E990" s="14" t="str">
        <f aca="false">IF(C990="SELL",B990,"")</f>
        <v/>
      </c>
      <c r="F990" s="14" t="str">
        <f aca="false">IF(E990="","",(E990-D990)/D990*100)</f>
        <v/>
      </c>
      <c r="G990" s="0" t="str">
        <f aca="false">IF(C990="BUY","IN",IF(C990="SELL","OUT",IF(G989="IN","IN","OUT")))</f>
        <v>IN</v>
      </c>
      <c r="H990" s="14" t="n">
        <f aca="false">H989+IF(F990="",0,F990)</f>
        <v>43.9309628600509</v>
      </c>
      <c r="I990" s="14" t="n">
        <f aca="false">MAX(I989,H990)</f>
        <v>43.9309628600509</v>
      </c>
      <c r="J990" s="14" t="n">
        <f aca="false">I990-H990</f>
        <v>0</v>
      </c>
    </row>
    <row r="991" customFormat="false" ht="15" hidden="false" customHeight="false" outlineLevel="0" collapsed="false">
      <c r="A991" s="12" t="n">
        <f aca="false">Data!A991</f>
        <v>43444</v>
      </c>
      <c r="B991" s="14" t="n">
        <f aca="false">Data!B991</f>
        <v>51</v>
      </c>
      <c r="C991" s="0" t="str">
        <f aca="false">IF(Data!D991="","HOLD",IF(AND(G990&lt;&gt;"IN",Data!E991&lt;-5),"BUY",IF(AND(G990="IN",Data!E991&gt;0),"SELL","HOLD")))</f>
        <v>HOLD</v>
      </c>
      <c r="D991" s="14" t="n">
        <f aca="false">IF(C991="BUY",B991,IF(G990="IN",D990,""))</f>
        <v>68.65</v>
      </c>
      <c r="E991" s="14" t="str">
        <f aca="false">IF(C991="SELL",B991,"")</f>
        <v/>
      </c>
      <c r="F991" s="14" t="str">
        <f aca="false">IF(E991="","",(E991-D991)/D991*100)</f>
        <v/>
      </c>
      <c r="G991" s="0" t="str">
        <f aca="false">IF(C991="BUY","IN",IF(C991="SELL","OUT",IF(G990="IN","IN","OUT")))</f>
        <v>IN</v>
      </c>
      <c r="H991" s="14" t="n">
        <f aca="false">H990+IF(F991="",0,F991)</f>
        <v>43.9309628600509</v>
      </c>
      <c r="I991" s="14" t="n">
        <f aca="false">MAX(I990,H991)</f>
        <v>43.9309628600509</v>
      </c>
      <c r="J991" s="14" t="n">
        <f aca="false">I991-H991</f>
        <v>0</v>
      </c>
    </row>
    <row r="992" customFormat="false" ht="15" hidden="false" customHeight="false" outlineLevel="0" collapsed="false">
      <c r="A992" s="12" t="n">
        <f aca="false">Data!A992</f>
        <v>43445</v>
      </c>
      <c r="B992" s="14" t="n">
        <f aca="false">Data!B992</f>
        <v>51.65</v>
      </c>
      <c r="C992" s="0" t="str">
        <f aca="false">IF(Data!D992="","HOLD",IF(AND(G991&lt;&gt;"IN",Data!E992&lt;-5),"BUY",IF(AND(G991="IN",Data!E992&gt;0),"SELL","HOLD")))</f>
        <v>HOLD</v>
      </c>
      <c r="D992" s="14" t="n">
        <f aca="false">IF(C992="BUY",B992,IF(G991="IN",D991,""))</f>
        <v>68.65</v>
      </c>
      <c r="E992" s="14" t="str">
        <f aca="false">IF(C992="SELL",B992,"")</f>
        <v/>
      </c>
      <c r="F992" s="14" t="str">
        <f aca="false">IF(E992="","",(E992-D992)/D992*100)</f>
        <v/>
      </c>
      <c r="G992" s="0" t="str">
        <f aca="false">IF(C992="BUY","IN",IF(C992="SELL","OUT",IF(G991="IN","IN","OUT")))</f>
        <v>IN</v>
      </c>
      <c r="H992" s="14" t="n">
        <f aca="false">H991+IF(F992="",0,F992)</f>
        <v>43.9309628600509</v>
      </c>
      <c r="I992" s="14" t="n">
        <f aca="false">MAX(I991,H992)</f>
        <v>43.9309628600509</v>
      </c>
      <c r="J992" s="14" t="n">
        <f aca="false">I992-H992</f>
        <v>0</v>
      </c>
    </row>
    <row r="993" customFormat="false" ht="15" hidden="false" customHeight="false" outlineLevel="0" collapsed="false">
      <c r="A993" s="12" t="n">
        <f aca="false">Data!A993</f>
        <v>43446</v>
      </c>
      <c r="B993" s="14" t="n">
        <f aca="false">Data!B993</f>
        <v>51.15</v>
      </c>
      <c r="C993" s="0" t="str">
        <f aca="false">IF(Data!D993="","HOLD",IF(AND(G992&lt;&gt;"IN",Data!E993&lt;-5),"BUY",IF(AND(G992="IN",Data!E993&gt;0),"SELL","HOLD")))</f>
        <v>HOLD</v>
      </c>
      <c r="D993" s="14" t="n">
        <f aca="false">IF(C993="BUY",B993,IF(G992="IN",D992,""))</f>
        <v>68.65</v>
      </c>
      <c r="E993" s="14" t="str">
        <f aca="false">IF(C993="SELL",B993,"")</f>
        <v/>
      </c>
      <c r="F993" s="14" t="str">
        <f aca="false">IF(E993="","",(E993-D993)/D993*100)</f>
        <v/>
      </c>
      <c r="G993" s="0" t="str">
        <f aca="false">IF(C993="BUY","IN",IF(C993="SELL","OUT",IF(G992="IN","IN","OUT")))</f>
        <v>IN</v>
      </c>
      <c r="H993" s="14" t="n">
        <f aca="false">H992+IF(F993="",0,F993)</f>
        <v>43.9309628600509</v>
      </c>
      <c r="I993" s="14" t="n">
        <f aca="false">MAX(I992,H993)</f>
        <v>43.9309628600509</v>
      </c>
      <c r="J993" s="14" t="n">
        <f aca="false">I993-H993</f>
        <v>0</v>
      </c>
    </row>
    <row r="994" customFormat="false" ht="15" hidden="false" customHeight="false" outlineLevel="0" collapsed="false">
      <c r="A994" s="12" t="n">
        <f aca="false">Data!A994</f>
        <v>43447</v>
      </c>
      <c r="B994" s="14" t="n">
        <f aca="false">Data!B994</f>
        <v>52.58</v>
      </c>
      <c r="C994" s="0" t="str">
        <f aca="false">IF(Data!D994="","HOLD",IF(AND(G993&lt;&gt;"IN",Data!E994&lt;-5),"BUY",IF(AND(G993="IN",Data!E994&gt;0),"SELL","HOLD")))</f>
        <v>HOLD</v>
      </c>
      <c r="D994" s="14" t="n">
        <f aca="false">IF(C994="BUY",B994,IF(G993="IN",D993,""))</f>
        <v>68.65</v>
      </c>
      <c r="E994" s="14" t="str">
        <f aca="false">IF(C994="SELL",B994,"")</f>
        <v/>
      </c>
      <c r="F994" s="14" t="str">
        <f aca="false">IF(E994="","",(E994-D994)/D994*100)</f>
        <v/>
      </c>
      <c r="G994" s="0" t="str">
        <f aca="false">IF(C994="BUY","IN",IF(C994="SELL","OUT",IF(G993="IN","IN","OUT")))</f>
        <v>IN</v>
      </c>
      <c r="H994" s="14" t="n">
        <f aca="false">H993+IF(F994="",0,F994)</f>
        <v>43.9309628600509</v>
      </c>
      <c r="I994" s="14" t="n">
        <f aca="false">MAX(I993,H994)</f>
        <v>43.9309628600509</v>
      </c>
      <c r="J994" s="14" t="n">
        <f aca="false">I994-H994</f>
        <v>0</v>
      </c>
    </row>
    <row r="995" customFormat="false" ht="15" hidden="false" customHeight="false" outlineLevel="0" collapsed="false">
      <c r="A995" s="12" t="n">
        <f aca="false">Data!A995</f>
        <v>43448</v>
      </c>
      <c r="B995" s="14" t="n">
        <f aca="false">Data!B995</f>
        <v>51.2</v>
      </c>
      <c r="C995" s="0" t="str">
        <f aca="false">IF(Data!D995="","HOLD",IF(AND(G994&lt;&gt;"IN",Data!E995&lt;-5),"BUY",IF(AND(G994="IN",Data!E995&gt;0),"SELL","HOLD")))</f>
        <v>HOLD</v>
      </c>
      <c r="D995" s="14" t="n">
        <f aca="false">IF(C995="BUY",B995,IF(G994="IN",D994,""))</f>
        <v>68.65</v>
      </c>
      <c r="E995" s="14" t="str">
        <f aca="false">IF(C995="SELL",B995,"")</f>
        <v/>
      </c>
      <c r="F995" s="14" t="str">
        <f aca="false">IF(E995="","",(E995-D995)/D995*100)</f>
        <v/>
      </c>
      <c r="G995" s="0" t="str">
        <f aca="false">IF(C995="BUY","IN",IF(C995="SELL","OUT",IF(G994="IN","IN","OUT")))</f>
        <v>IN</v>
      </c>
      <c r="H995" s="14" t="n">
        <f aca="false">H994+IF(F995="",0,F995)</f>
        <v>43.9309628600509</v>
      </c>
      <c r="I995" s="14" t="n">
        <f aca="false">MAX(I994,H995)</f>
        <v>43.9309628600509</v>
      </c>
      <c r="J995" s="14" t="n">
        <f aca="false">I995-H995</f>
        <v>0</v>
      </c>
    </row>
    <row r="996" customFormat="false" ht="15" hidden="false" customHeight="false" outlineLevel="0" collapsed="false">
      <c r="A996" s="12" t="n">
        <f aca="false">Data!A996</f>
        <v>43451</v>
      </c>
      <c r="B996" s="14" t="n">
        <f aca="false">Data!B996</f>
        <v>49.88</v>
      </c>
      <c r="C996" s="0" t="str">
        <f aca="false">IF(Data!D996="","HOLD",IF(AND(G995&lt;&gt;"IN",Data!E996&lt;-5),"BUY",IF(AND(G995="IN",Data!E996&gt;0),"SELL","HOLD")))</f>
        <v>HOLD</v>
      </c>
      <c r="D996" s="14" t="n">
        <f aca="false">IF(C996="BUY",B996,IF(G995="IN",D995,""))</f>
        <v>68.65</v>
      </c>
      <c r="E996" s="14" t="str">
        <f aca="false">IF(C996="SELL",B996,"")</f>
        <v/>
      </c>
      <c r="F996" s="14" t="str">
        <f aca="false">IF(E996="","",(E996-D996)/D996*100)</f>
        <v/>
      </c>
      <c r="G996" s="0" t="str">
        <f aca="false">IF(C996="BUY","IN",IF(C996="SELL","OUT",IF(G995="IN","IN","OUT")))</f>
        <v>IN</v>
      </c>
      <c r="H996" s="14" t="n">
        <f aca="false">H995+IF(F996="",0,F996)</f>
        <v>43.9309628600509</v>
      </c>
      <c r="I996" s="14" t="n">
        <f aca="false">MAX(I995,H996)</f>
        <v>43.9309628600509</v>
      </c>
      <c r="J996" s="14" t="n">
        <f aca="false">I996-H996</f>
        <v>0</v>
      </c>
    </row>
    <row r="997" customFormat="false" ht="15" hidden="false" customHeight="false" outlineLevel="0" collapsed="false">
      <c r="A997" s="12" t="n">
        <f aca="false">Data!A997</f>
        <v>43452</v>
      </c>
      <c r="B997" s="14" t="n">
        <f aca="false">Data!B997</f>
        <v>46.24</v>
      </c>
      <c r="C997" s="0" t="str">
        <f aca="false">IF(Data!D997="","HOLD",IF(AND(G996&lt;&gt;"IN",Data!E997&lt;-5),"BUY",IF(AND(G996="IN",Data!E997&gt;0),"SELL","HOLD")))</f>
        <v>HOLD</v>
      </c>
      <c r="D997" s="14" t="n">
        <f aca="false">IF(C997="BUY",B997,IF(G996="IN",D996,""))</f>
        <v>68.65</v>
      </c>
      <c r="E997" s="14" t="str">
        <f aca="false">IF(C997="SELL",B997,"")</f>
        <v/>
      </c>
      <c r="F997" s="14" t="str">
        <f aca="false">IF(E997="","",(E997-D997)/D997*100)</f>
        <v/>
      </c>
      <c r="G997" s="0" t="str">
        <f aca="false">IF(C997="BUY","IN",IF(C997="SELL","OUT",IF(G996="IN","IN","OUT")))</f>
        <v>IN</v>
      </c>
      <c r="H997" s="14" t="n">
        <f aca="false">H996+IF(F997="",0,F997)</f>
        <v>43.9309628600509</v>
      </c>
      <c r="I997" s="14" t="n">
        <f aca="false">MAX(I996,H997)</f>
        <v>43.9309628600509</v>
      </c>
      <c r="J997" s="14" t="n">
        <f aca="false">I997-H997</f>
        <v>0</v>
      </c>
    </row>
    <row r="998" customFormat="false" ht="15" hidden="false" customHeight="false" outlineLevel="0" collapsed="false">
      <c r="A998" s="12" t="n">
        <f aca="false">Data!A998</f>
        <v>43453</v>
      </c>
      <c r="B998" s="14" t="n">
        <f aca="false">Data!B998</f>
        <v>47.2</v>
      </c>
      <c r="C998" s="0" t="str">
        <f aca="false">IF(Data!D998="","HOLD",IF(AND(G997&lt;&gt;"IN",Data!E998&lt;-5),"BUY",IF(AND(G997="IN",Data!E998&gt;0),"SELL","HOLD")))</f>
        <v>HOLD</v>
      </c>
      <c r="D998" s="14" t="n">
        <f aca="false">IF(C998="BUY",B998,IF(G997="IN",D997,""))</f>
        <v>68.65</v>
      </c>
      <c r="E998" s="14" t="str">
        <f aca="false">IF(C998="SELL",B998,"")</f>
        <v/>
      </c>
      <c r="F998" s="14" t="str">
        <f aca="false">IF(E998="","",(E998-D998)/D998*100)</f>
        <v/>
      </c>
      <c r="G998" s="0" t="str">
        <f aca="false">IF(C998="BUY","IN",IF(C998="SELL","OUT",IF(G997="IN","IN","OUT")))</f>
        <v>IN</v>
      </c>
      <c r="H998" s="14" t="n">
        <f aca="false">H997+IF(F998="",0,F998)</f>
        <v>43.9309628600509</v>
      </c>
      <c r="I998" s="14" t="n">
        <f aca="false">MAX(I997,H998)</f>
        <v>43.9309628600509</v>
      </c>
      <c r="J998" s="14" t="n">
        <f aca="false">I998-H998</f>
        <v>0</v>
      </c>
    </row>
    <row r="999" customFormat="false" ht="15" hidden="false" customHeight="false" outlineLevel="0" collapsed="false">
      <c r="A999" s="12" t="n">
        <f aca="false">Data!A999</f>
        <v>43454</v>
      </c>
      <c r="B999" s="14" t="n">
        <f aca="false">Data!B999</f>
        <v>45.88</v>
      </c>
      <c r="C999" s="0" t="str">
        <f aca="false">IF(Data!D999="","HOLD",IF(AND(G998&lt;&gt;"IN",Data!E999&lt;-5),"BUY",IF(AND(G998="IN",Data!E999&gt;0),"SELL","HOLD")))</f>
        <v>HOLD</v>
      </c>
      <c r="D999" s="14" t="n">
        <f aca="false">IF(C999="BUY",B999,IF(G998="IN",D998,""))</f>
        <v>68.65</v>
      </c>
      <c r="E999" s="14" t="str">
        <f aca="false">IF(C999="SELL",B999,"")</f>
        <v/>
      </c>
      <c r="F999" s="14" t="str">
        <f aca="false">IF(E999="","",(E999-D999)/D999*100)</f>
        <v/>
      </c>
      <c r="G999" s="0" t="str">
        <f aca="false">IF(C999="BUY","IN",IF(C999="SELL","OUT",IF(G998="IN","IN","OUT")))</f>
        <v>IN</v>
      </c>
      <c r="H999" s="14" t="n">
        <f aca="false">H998+IF(F999="",0,F999)</f>
        <v>43.9309628600509</v>
      </c>
      <c r="I999" s="14" t="n">
        <f aca="false">MAX(I998,H999)</f>
        <v>43.9309628600509</v>
      </c>
      <c r="J999" s="14" t="n">
        <f aca="false">I999-H999</f>
        <v>0</v>
      </c>
    </row>
    <row r="1000" customFormat="false" ht="15" hidden="false" customHeight="false" outlineLevel="0" collapsed="false">
      <c r="A1000" s="12" t="n">
        <f aca="false">Data!A1000</f>
        <v>43455</v>
      </c>
      <c r="B1000" s="14" t="n">
        <f aca="false">Data!B1000</f>
        <v>45.59</v>
      </c>
      <c r="C1000" s="0" t="str">
        <f aca="false">IF(Data!D1000="","HOLD",IF(AND(G999&lt;&gt;"IN",Data!E1000&lt;-5),"BUY",IF(AND(G999="IN",Data!E1000&gt;0),"SELL","HOLD")))</f>
        <v>HOLD</v>
      </c>
      <c r="D1000" s="14" t="n">
        <f aca="false">IF(C1000="BUY",B1000,IF(G999="IN",D999,""))</f>
        <v>68.65</v>
      </c>
      <c r="E1000" s="14" t="str">
        <f aca="false">IF(C1000="SELL",B1000,"")</f>
        <v/>
      </c>
      <c r="F1000" s="14" t="str">
        <f aca="false">IF(E1000="","",(E1000-D1000)/D1000*100)</f>
        <v/>
      </c>
      <c r="G1000" s="0" t="str">
        <f aca="false">IF(C1000="BUY","IN",IF(C1000="SELL","OUT",IF(G999="IN","IN","OUT")))</f>
        <v>IN</v>
      </c>
      <c r="H1000" s="14" t="n">
        <f aca="false">H999+IF(F1000="",0,F1000)</f>
        <v>43.9309628600509</v>
      </c>
      <c r="I1000" s="14" t="n">
        <f aca="false">MAX(I999,H1000)</f>
        <v>43.9309628600509</v>
      </c>
      <c r="J1000" s="14" t="n">
        <f aca="false">I1000-H1000</f>
        <v>0</v>
      </c>
    </row>
    <row r="1001" customFormat="false" ht="15" hidden="false" customHeight="false" outlineLevel="0" collapsed="false">
      <c r="A1001" s="12" t="n">
        <f aca="false">Data!A1001</f>
        <v>43458</v>
      </c>
      <c r="B1001" s="14" t="n">
        <f aca="false">Data!B1001</f>
        <v>42.53</v>
      </c>
      <c r="C1001" s="0" t="str">
        <f aca="false">IF(Data!D1001="","HOLD",IF(AND(G1000&lt;&gt;"IN",Data!E1001&lt;-5),"BUY",IF(AND(G1000="IN",Data!E1001&gt;0),"SELL","HOLD")))</f>
        <v>HOLD</v>
      </c>
      <c r="D1001" s="14" t="n">
        <f aca="false">IF(C1001="BUY",B1001,IF(G1000="IN",D1000,""))</f>
        <v>68.65</v>
      </c>
      <c r="E1001" s="14" t="str">
        <f aca="false">IF(C1001="SELL",B1001,"")</f>
        <v/>
      </c>
      <c r="F1001" s="14" t="str">
        <f aca="false">IF(E1001="","",(E1001-D1001)/D1001*100)</f>
        <v/>
      </c>
      <c r="G1001" s="0" t="str">
        <f aca="false">IF(C1001="BUY","IN",IF(C1001="SELL","OUT",IF(G1000="IN","IN","OUT")))</f>
        <v>IN</v>
      </c>
      <c r="H1001" s="14" t="n">
        <f aca="false">H1000+IF(F1001="",0,F1001)</f>
        <v>43.9309628600509</v>
      </c>
      <c r="I1001" s="14" t="n">
        <f aca="false">MAX(I1000,H1001)</f>
        <v>43.9309628600509</v>
      </c>
      <c r="J1001" s="14" t="n">
        <f aca="false">I1001-H1001</f>
        <v>0</v>
      </c>
    </row>
    <row r="1002" customFormat="false" ht="15" hidden="false" customHeight="false" outlineLevel="0" collapsed="false">
      <c r="A1002" s="12" t="n">
        <f aca="false">Data!A1002</f>
        <v>43460</v>
      </c>
      <c r="B1002" s="14" t="n">
        <f aca="false">Data!B1002</f>
        <v>46.22</v>
      </c>
      <c r="C1002" s="0" t="str">
        <f aca="false">IF(Data!D1002="","HOLD",IF(AND(G1001&lt;&gt;"IN",Data!E1002&lt;-5),"BUY",IF(AND(G1001="IN",Data!E1002&gt;0),"SELL","HOLD")))</f>
        <v>HOLD</v>
      </c>
      <c r="D1002" s="14" t="n">
        <f aca="false">IF(C1002="BUY",B1002,IF(G1001="IN",D1001,""))</f>
        <v>68.65</v>
      </c>
      <c r="E1002" s="14" t="str">
        <f aca="false">IF(C1002="SELL",B1002,"")</f>
        <v/>
      </c>
      <c r="F1002" s="14" t="str">
        <f aca="false">IF(E1002="","",(E1002-D1002)/D1002*100)</f>
        <v/>
      </c>
      <c r="G1002" s="0" t="str">
        <f aca="false">IF(C1002="BUY","IN",IF(C1002="SELL","OUT",IF(G1001="IN","IN","OUT")))</f>
        <v>IN</v>
      </c>
      <c r="H1002" s="14" t="n">
        <f aca="false">H1001+IF(F1002="",0,F1002)</f>
        <v>43.9309628600509</v>
      </c>
      <c r="I1002" s="14" t="n">
        <f aca="false">MAX(I1001,H1002)</f>
        <v>43.9309628600509</v>
      </c>
      <c r="J1002" s="14" t="n">
        <f aca="false">I1002-H1002</f>
        <v>0</v>
      </c>
    </row>
    <row r="1003" customFormat="false" ht="15" hidden="false" customHeight="false" outlineLevel="0" collapsed="false">
      <c r="A1003" s="12" t="n">
        <f aca="false">Data!A1003</f>
        <v>43461</v>
      </c>
      <c r="B1003" s="14" t="n">
        <f aca="false">Data!B1003</f>
        <v>44.61</v>
      </c>
      <c r="C1003" s="0" t="str">
        <f aca="false">IF(Data!D1003="","HOLD",IF(AND(G1002&lt;&gt;"IN",Data!E1003&lt;-5),"BUY",IF(AND(G1002="IN",Data!E1003&gt;0),"SELL","HOLD")))</f>
        <v>HOLD</v>
      </c>
      <c r="D1003" s="14" t="n">
        <f aca="false">IF(C1003="BUY",B1003,IF(G1002="IN",D1002,""))</f>
        <v>68.65</v>
      </c>
      <c r="E1003" s="14" t="str">
        <f aca="false">IF(C1003="SELL",B1003,"")</f>
        <v/>
      </c>
      <c r="F1003" s="14" t="str">
        <f aca="false">IF(E1003="","",(E1003-D1003)/D1003*100)</f>
        <v/>
      </c>
      <c r="G1003" s="0" t="str">
        <f aca="false">IF(C1003="BUY","IN",IF(C1003="SELL","OUT",IF(G1002="IN","IN","OUT")))</f>
        <v>IN</v>
      </c>
      <c r="H1003" s="14" t="n">
        <f aca="false">H1002+IF(F1003="",0,F1003)</f>
        <v>43.9309628600509</v>
      </c>
      <c r="I1003" s="14" t="n">
        <f aca="false">MAX(I1002,H1003)</f>
        <v>43.9309628600509</v>
      </c>
      <c r="J1003" s="14" t="n">
        <f aca="false">I1003-H1003</f>
        <v>0</v>
      </c>
    </row>
    <row r="1004" customFormat="false" ht="15" hidden="false" customHeight="false" outlineLevel="0" collapsed="false">
      <c r="A1004" s="12" t="n">
        <f aca="false">Data!A1004</f>
        <v>43462</v>
      </c>
      <c r="B1004" s="14" t="n">
        <f aca="false">Data!B1004</f>
        <v>45.33</v>
      </c>
      <c r="C1004" s="0" t="str">
        <f aca="false">IF(Data!D1004="","HOLD",IF(AND(G1003&lt;&gt;"IN",Data!E1004&lt;-5),"BUY",IF(AND(G1003="IN",Data!E1004&gt;0),"SELL","HOLD")))</f>
        <v>HOLD</v>
      </c>
      <c r="D1004" s="14" t="n">
        <f aca="false">IF(C1004="BUY",B1004,IF(G1003="IN",D1003,""))</f>
        <v>68.65</v>
      </c>
      <c r="E1004" s="14" t="str">
        <f aca="false">IF(C1004="SELL",B1004,"")</f>
        <v/>
      </c>
      <c r="F1004" s="14" t="str">
        <f aca="false">IF(E1004="","",(E1004-D1004)/D1004*100)</f>
        <v/>
      </c>
      <c r="G1004" s="0" t="str">
        <f aca="false">IF(C1004="BUY","IN",IF(C1004="SELL","OUT",IF(G1003="IN","IN","OUT")))</f>
        <v>IN</v>
      </c>
      <c r="H1004" s="14" t="n">
        <f aca="false">H1003+IF(F1004="",0,F1004)</f>
        <v>43.9309628600509</v>
      </c>
      <c r="I1004" s="14" t="n">
        <f aca="false">MAX(I1003,H1004)</f>
        <v>43.9309628600509</v>
      </c>
      <c r="J1004" s="14" t="n">
        <f aca="false">I1004-H1004</f>
        <v>0</v>
      </c>
    </row>
    <row r="1005" customFormat="false" ht="15" hidden="false" customHeight="false" outlineLevel="0" collapsed="false">
      <c r="A1005" s="12" t="n">
        <f aca="false">Data!A1005</f>
        <v>43465</v>
      </c>
      <c r="B1005" s="14" t="n">
        <f aca="false">Data!B1005</f>
        <v>45.41</v>
      </c>
      <c r="C1005" s="0" t="str">
        <f aca="false">IF(Data!D1005="","HOLD",IF(AND(G1004&lt;&gt;"IN",Data!E1005&lt;-5),"BUY",IF(AND(G1004="IN",Data!E1005&gt;0),"SELL","HOLD")))</f>
        <v>HOLD</v>
      </c>
      <c r="D1005" s="14" t="n">
        <f aca="false">IF(C1005="BUY",B1005,IF(G1004="IN",D1004,""))</f>
        <v>68.65</v>
      </c>
      <c r="E1005" s="14" t="str">
        <f aca="false">IF(C1005="SELL",B1005,"")</f>
        <v/>
      </c>
      <c r="F1005" s="14" t="str">
        <f aca="false">IF(E1005="","",(E1005-D1005)/D1005*100)</f>
        <v/>
      </c>
      <c r="G1005" s="0" t="str">
        <f aca="false">IF(C1005="BUY","IN",IF(C1005="SELL","OUT",IF(G1004="IN","IN","OUT")))</f>
        <v>IN</v>
      </c>
      <c r="H1005" s="14" t="n">
        <f aca="false">H1004+IF(F1005="",0,F1005)</f>
        <v>43.9309628600509</v>
      </c>
      <c r="I1005" s="14" t="n">
        <f aca="false">MAX(I1004,H1005)</f>
        <v>43.9309628600509</v>
      </c>
      <c r="J1005" s="14" t="n">
        <f aca="false">I1005-H1005</f>
        <v>0</v>
      </c>
    </row>
    <row r="1006" customFormat="false" ht="15" hidden="false" customHeight="false" outlineLevel="0" collapsed="false">
      <c r="A1006" s="12" t="n">
        <f aca="false">Data!A1006</f>
        <v>43467</v>
      </c>
      <c r="B1006" s="14" t="n">
        <f aca="false">Data!B1006</f>
        <v>46.54</v>
      </c>
      <c r="C1006" s="0" t="str">
        <f aca="false">IF(Data!D1006="","HOLD",IF(AND(G1005&lt;&gt;"IN",Data!E1006&lt;-5),"BUY",IF(AND(G1005="IN",Data!E1006&gt;0),"SELL","HOLD")))</f>
        <v>HOLD</v>
      </c>
      <c r="D1006" s="14" t="n">
        <f aca="false">IF(C1006="BUY",B1006,IF(G1005="IN",D1005,""))</f>
        <v>68.65</v>
      </c>
      <c r="E1006" s="14" t="str">
        <f aca="false">IF(C1006="SELL",B1006,"")</f>
        <v/>
      </c>
      <c r="F1006" s="14" t="str">
        <f aca="false">IF(E1006="","",(E1006-D1006)/D1006*100)</f>
        <v/>
      </c>
      <c r="G1006" s="0" t="str">
        <f aca="false">IF(C1006="BUY","IN",IF(C1006="SELL","OUT",IF(G1005="IN","IN","OUT")))</f>
        <v>IN</v>
      </c>
      <c r="H1006" s="14" t="n">
        <f aca="false">H1005+IF(F1006="",0,F1006)</f>
        <v>43.9309628600509</v>
      </c>
      <c r="I1006" s="14" t="n">
        <f aca="false">MAX(I1005,H1006)</f>
        <v>43.9309628600509</v>
      </c>
      <c r="J1006" s="14" t="n">
        <f aca="false">I1006-H1006</f>
        <v>0</v>
      </c>
    </row>
    <row r="1007" customFormat="false" ht="15" hidden="false" customHeight="false" outlineLevel="0" collapsed="false">
      <c r="A1007" s="12" t="n">
        <f aca="false">Data!A1007</f>
        <v>43468</v>
      </c>
      <c r="B1007" s="14" t="n">
        <f aca="false">Data!B1007</f>
        <v>47.09</v>
      </c>
      <c r="C1007" s="0" t="str">
        <f aca="false">IF(Data!D1007="","HOLD",IF(AND(G1006&lt;&gt;"IN",Data!E1007&lt;-5),"BUY",IF(AND(G1006="IN",Data!E1007&gt;0),"SELL","HOLD")))</f>
        <v>HOLD</v>
      </c>
      <c r="D1007" s="14" t="n">
        <f aca="false">IF(C1007="BUY",B1007,IF(G1006="IN",D1006,""))</f>
        <v>68.65</v>
      </c>
      <c r="E1007" s="14" t="str">
        <f aca="false">IF(C1007="SELL",B1007,"")</f>
        <v/>
      </c>
      <c r="F1007" s="14" t="str">
        <f aca="false">IF(E1007="","",(E1007-D1007)/D1007*100)</f>
        <v/>
      </c>
      <c r="G1007" s="0" t="str">
        <f aca="false">IF(C1007="BUY","IN",IF(C1007="SELL","OUT",IF(G1006="IN","IN","OUT")))</f>
        <v>IN</v>
      </c>
      <c r="H1007" s="14" t="n">
        <f aca="false">H1006+IF(F1007="",0,F1007)</f>
        <v>43.9309628600509</v>
      </c>
      <c r="I1007" s="14" t="n">
        <f aca="false">MAX(I1006,H1007)</f>
        <v>43.9309628600509</v>
      </c>
      <c r="J1007" s="14" t="n">
        <f aca="false">I1007-H1007</f>
        <v>0</v>
      </c>
    </row>
    <row r="1008" customFormat="false" ht="15" hidden="false" customHeight="false" outlineLevel="0" collapsed="false">
      <c r="A1008" s="12" t="n">
        <f aca="false">Data!A1008</f>
        <v>43469</v>
      </c>
      <c r="B1008" s="14" t="n">
        <f aca="false">Data!B1008</f>
        <v>47.96</v>
      </c>
      <c r="C1008" s="0" t="str">
        <f aca="false">IF(Data!D1008="","HOLD",IF(AND(G1007&lt;&gt;"IN",Data!E1008&lt;-5),"BUY",IF(AND(G1007="IN",Data!E1008&gt;0),"SELL","HOLD")))</f>
        <v>HOLD</v>
      </c>
      <c r="D1008" s="14" t="n">
        <f aca="false">IF(C1008="BUY",B1008,IF(G1007="IN",D1007,""))</f>
        <v>68.65</v>
      </c>
      <c r="E1008" s="14" t="str">
        <f aca="false">IF(C1008="SELL",B1008,"")</f>
        <v/>
      </c>
      <c r="F1008" s="14" t="str">
        <f aca="false">IF(E1008="","",(E1008-D1008)/D1008*100)</f>
        <v/>
      </c>
      <c r="G1008" s="0" t="str">
        <f aca="false">IF(C1008="BUY","IN",IF(C1008="SELL","OUT",IF(G1007="IN","IN","OUT")))</f>
        <v>IN</v>
      </c>
      <c r="H1008" s="14" t="n">
        <f aca="false">H1007+IF(F1008="",0,F1008)</f>
        <v>43.9309628600509</v>
      </c>
      <c r="I1008" s="14" t="n">
        <f aca="false">MAX(I1007,H1008)</f>
        <v>43.9309628600509</v>
      </c>
      <c r="J1008" s="14" t="n">
        <f aca="false">I1008-H1008</f>
        <v>0</v>
      </c>
    </row>
    <row r="1009" customFormat="false" ht="15" hidden="false" customHeight="false" outlineLevel="0" collapsed="false">
      <c r="A1009" s="12" t="n">
        <f aca="false">Data!A1009</f>
        <v>43472</v>
      </c>
      <c r="B1009" s="14" t="n">
        <f aca="false">Data!B1009</f>
        <v>48.52</v>
      </c>
      <c r="C1009" s="0" t="str">
        <f aca="false">IF(Data!D1009="","HOLD",IF(AND(G1008&lt;&gt;"IN",Data!E1009&lt;-5),"BUY",IF(AND(G1008="IN",Data!E1009&gt;0),"SELL","HOLD")))</f>
        <v>SELL</v>
      </c>
      <c r="D1009" s="14" t="n">
        <f aca="false">IF(C1009="BUY",B1009,IF(G1008="IN",D1008,""))</f>
        <v>68.65</v>
      </c>
      <c r="E1009" s="14" t="n">
        <f aca="false">IF(C1009="SELL",B1009,"")</f>
        <v>48.52</v>
      </c>
      <c r="F1009" s="14" t="n">
        <f aca="false">IF(E1009="","",(E1009-D1009)/D1009*100)</f>
        <v>-29.3226511289148</v>
      </c>
      <c r="G1009" s="0" t="str">
        <f aca="false">IF(C1009="BUY","IN",IF(C1009="SELL","OUT",IF(G1008="IN","IN","OUT")))</f>
        <v>OUT</v>
      </c>
      <c r="H1009" s="14" t="n">
        <f aca="false">H1008+IF(F1009="",0,F1009)</f>
        <v>14.6083117311361</v>
      </c>
      <c r="I1009" s="14" t="n">
        <f aca="false">MAX(I1008,H1009)</f>
        <v>43.9309628600509</v>
      </c>
      <c r="J1009" s="14" t="n">
        <f aca="false">I1009-H1009</f>
        <v>29.3226511289148</v>
      </c>
    </row>
    <row r="1010" customFormat="false" ht="15" hidden="false" customHeight="false" outlineLevel="0" collapsed="false">
      <c r="A1010" s="12" t="n">
        <f aca="false">Data!A1010</f>
        <v>43473</v>
      </c>
      <c r="B1010" s="14" t="n">
        <f aca="false">Data!B1010</f>
        <v>49.78</v>
      </c>
      <c r="C1010" s="0" t="str">
        <f aca="false">IF(Data!D1010="","HOLD",IF(AND(G1009&lt;&gt;"IN",Data!E1010&lt;-5),"BUY",IF(AND(G1009="IN",Data!E1010&gt;0),"SELL","HOLD")))</f>
        <v>HOLD</v>
      </c>
      <c r="D1010" s="14" t="str">
        <f aca="false">IF(C1010="BUY",B1010,IF(G1009="IN",D1009,""))</f>
        <v/>
      </c>
      <c r="E1010" s="14" t="str">
        <f aca="false">IF(C1010="SELL",B1010,"")</f>
        <v/>
      </c>
      <c r="F1010" s="14" t="str">
        <f aca="false">IF(E1010="","",(E1010-D1010)/D1010*100)</f>
        <v/>
      </c>
      <c r="G1010" s="0" t="str">
        <f aca="false">IF(C1010="BUY","IN",IF(C1010="SELL","OUT",IF(G1009="IN","IN","OUT")))</f>
        <v>OUT</v>
      </c>
      <c r="H1010" s="14" t="n">
        <f aca="false">H1009+IF(F1010="",0,F1010)</f>
        <v>14.6083117311361</v>
      </c>
      <c r="I1010" s="14" t="n">
        <f aca="false">MAX(I1009,H1010)</f>
        <v>43.9309628600509</v>
      </c>
      <c r="J1010" s="14" t="n">
        <f aca="false">I1010-H1010</f>
        <v>29.3226511289148</v>
      </c>
    </row>
    <row r="1011" customFormat="false" ht="15" hidden="false" customHeight="false" outlineLevel="0" collapsed="false">
      <c r="A1011" s="12" t="n">
        <f aca="false">Data!A1011</f>
        <v>43474</v>
      </c>
      <c r="B1011" s="14" t="n">
        <f aca="false">Data!B1011</f>
        <v>52.36</v>
      </c>
      <c r="C1011" s="0" t="str">
        <f aca="false">IF(Data!D1011="","HOLD",IF(AND(G1010&lt;&gt;"IN",Data!E1011&lt;-5),"BUY",IF(AND(G1010="IN",Data!E1011&gt;0),"SELL","HOLD")))</f>
        <v>HOLD</v>
      </c>
      <c r="D1011" s="14" t="str">
        <f aca="false">IF(C1011="BUY",B1011,IF(G1010="IN",D1010,""))</f>
        <v/>
      </c>
      <c r="E1011" s="14" t="str">
        <f aca="false">IF(C1011="SELL",B1011,"")</f>
        <v/>
      </c>
      <c r="F1011" s="14" t="str">
        <f aca="false">IF(E1011="","",(E1011-D1011)/D1011*100)</f>
        <v/>
      </c>
      <c r="G1011" s="0" t="str">
        <f aca="false">IF(C1011="BUY","IN",IF(C1011="SELL","OUT",IF(G1010="IN","IN","OUT")))</f>
        <v>OUT</v>
      </c>
      <c r="H1011" s="14" t="n">
        <f aca="false">H1010+IF(F1011="",0,F1011)</f>
        <v>14.6083117311361</v>
      </c>
      <c r="I1011" s="14" t="n">
        <f aca="false">MAX(I1010,H1011)</f>
        <v>43.9309628600509</v>
      </c>
      <c r="J1011" s="14" t="n">
        <f aca="false">I1011-H1011</f>
        <v>29.3226511289148</v>
      </c>
    </row>
    <row r="1012" customFormat="false" ht="15" hidden="false" customHeight="false" outlineLevel="0" collapsed="false">
      <c r="A1012" s="12" t="n">
        <f aca="false">Data!A1012</f>
        <v>43475</v>
      </c>
      <c r="B1012" s="14" t="n">
        <f aca="false">Data!B1012</f>
        <v>52.59</v>
      </c>
      <c r="C1012" s="0" t="str">
        <f aca="false">IF(Data!D1012="","HOLD",IF(AND(G1011&lt;&gt;"IN",Data!E1012&lt;-5),"BUY",IF(AND(G1011="IN",Data!E1012&gt;0),"SELL","HOLD")))</f>
        <v>HOLD</v>
      </c>
      <c r="D1012" s="14" t="str">
        <f aca="false">IF(C1012="BUY",B1012,IF(G1011="IN",D1011,""))</f>
        <v/>
      </c>
      <c r="E1012" s="14" t="str">
        <f aca="false">IF(C1012="SELL",B1012,"")</f>
        <v/>
      </c>
      <c r="F1012" s="14" t="str">
        <f aca="false">IF(E1012="","",(E1012-D1012)/D1012*100)</f>
        <v/>
      </c>
      <c r="G1012" s="0" t="str">
        <f aca="false">IF(C1012="BUY","IN",IF(C1012="SELL","OUT",IF(G1011="IN","IN","OUT")))</f>
        <v>OUT</v>
      </c>
      <c r="H1012" s="14" t="n">
        <f aca="false">H1011+IF(F1012="",0,F1012)</f>
        <v>14.6083117311361</v>
      </c>
      <c r="I1012" s="14" t="n">
        <f aca="false">MAX(I1011,H1012)</f>
        <v>43.9309628600509</v>
      </c>
      <c r="J1012" s="14" t="n">
        <f aca="false">I1012-H1012</f>
        <v>29.3226511289148</v>
      </c>
    </row>
    <row r="1013" customFormat="false" ht="15" hidden="false" customHeight="false" outlineLevel="0" collapsed="false">
      <c r="A1013" s="12" t="n">
        <f aca="false">Data!A1013</f>
        <v>43476</v>
      </c>
      <c r="B1013" s="14" t="n">
        <f aca="false">Data!B1013</f>
        <v>51.59</v>
      </c>
      <c r="C1013" s="0" t="str">
        <f aca="false">IF(Data!D1013="","HOLD",IF(AND(G1012&lt;&gt;"IN",Data!E1013&lt;-5),"BUY",IF(AND(G1012="IN",Data!E1013&gt;0),"SELL","HOLD")))</f>
        <v>HOLD</v>
      </c>
      <c r="D1013" s="14" t="str">
        <f aca="false">IF(C1013="BUY",B1013,IF(G1012="IN",D1012,""))</f>
        <v/>
      </c>
      <c r="E1013" s="14" t="str">
        <f aca="false">IF(C1013="SELL",B1013,"")</f>
        <v/>
      </c>
      <c r="F1013" s="14" t="str">
        <f aca="false">IF(E1013="","",(E1013-D1013)/D1013*100)</f>
        <v/>
      </c>
      <c r="G1013" s="0" t="str">
        <f aca="false">IF(C1013="BUY","IN",IF(C1013="SELL","OUT",IF(G1012="IN","IN","OUT")))</f>
        <v>OUT</v>
      </c>
      <c r="H1013" s="14" t="n">
        <f aca="false">H1012+IF(F1013="",0,F1013)</f>
        <v>14.6083117311361</v>
      </c>
      <c r="I1013" s="14" t="n">
        <f aca="false">MAX(I1012,H1013)</f>
        <v>43.9309628600509</v>
      </c>
      <c r="J1013" s="14" t="n">
        <f aca="false">I1013-H1013</f>
        <v>29.3226511289148</v>
      </c>
    </row>
    <row r="1014" customFormat="false" ht="15" hidden="false" customHeight="false" outlineLevel="0" collapsed="false">
      <c r="A1014" s="12" t="n">
        <f aca="false">Data!A1014</f>
        <v>43479</v>
      </c>
      <c r="B1014" s="14" t="n">
        <f aca="false">Data!B1014</f>
        <v>50.51</v>
      </c>
      <c r="C1014" s="0" t="str">
        <f aca="false">IF(Data!D1014="","HOLD",IF(AND(G1013&lt;&gt;"IN",Data!E1014&lt;-5),"BUY",IF(AND(G1013="IN",Data!E1014&gt;0),"SELL","HOLD")))</f>
        <v>HOLD</v>
      </c>
      <c r="D1014" s="14" t="str">
        <f aca="false">IF(C1014="BUY",B1014,IF(G1013="IN",D1013,""))</f>
        <v/>
      </c>
      <c r="E1014" s="14" t="str">
        <f aca="false">IF(C1014="SELL",B1014,"")</f>
        <v/>
      </c>
      <c r="F1014" s="14" t="str">
        <f aca="false">IF(E1014="","",(E1014-D1014)/D1014*100)</f>
        <v/>
      </c>
      <c r="G1014" s="0" t="str">
        <f aca="false">IF(C1014="BUY","IN",IF(C1014="SELL","OUT",IF(G1013="IN","IN","OUT")))</f>
        <v>OUT</v>
      </c>
      <c r="H1014" s="14" t="n">
        <f aca="false">H1013+IF(F1014="",0,F1014)</f>
        <v>14.6083117311361</v>
      </c>
      <c r="I1014" s="14" t="n">
        <f aca="false">MAX(I1013,H1014)</f>
        <v>43.9309628600509</v>
      </c>
      <c r="J1014" s="14" t="n">
        <f aca="false">I1014-H1014</f>
        <v>29.3226511289148</v>
      </c>
    </row>
    <row r="1015" customFormat="false" ht="15" hidden="false" customHeight="false" outlineLevel="0" collapsed="false">
      <c r="A1015" s="12" t="n">
        <f aca="false">Data!A1015</f>
        <v>43480</v>
      </c>
      <c r="B1015" s="14" t="n">
        <f aca="false">Data!B1015</f>
        <v>52.11</v>
      </c>
      <c r="C1015" s="0" t="str">
        <f aca="false">IF(Data!D1015="","HOLD",IF(AND(G1014&lt;&gt;"IN",Data!E1015&lt;-5),"BUY",IF(AND(G1014="IN",Data!E1015&gt;0),"SELL","HOLD")))</f>
        <v>HOLD</v>
      </c>
      <c r="D1015" s="14" t="str">
        <f aca="false">IF(C1015="BUY",B1015,IF(G1014="IN",D1014,""))</f>
        <v/>
      </c>
      <c r="E1015" s="14" t="str">
        <f aca="false">IF(C1015="SELL",B1015,"")</f>
        <v/>
      </c>
      <c r="F1015" s="14" t="str">
        <f aca="false">IF(E1015="","",(E1015-D1015)/D1015*100)</f>
        <v/>
      </c>
      <c r="G1015" s="0" t="str">
        <f aca="false">IF(C1015="BUY","IN",IF(C1015="SELL","OUT",IF(G1014="IN","IN","OUT")))</f>
        <v>OUT</v>
      </c>
      <c r="H1015" s="14" t="n">
        <f aca="false">H1014+IF(F1015="",0,F1015)</f>
        <v>14.6083117311361</v>
      </c>
      <c r="I1015" s="14" t="n">
        <f aca="false">MAX(I1014,H1015)</f>
        <v>43.9309628600509</v>
      </c>
      <c r="J1015" s="14" t="n">
        <f aca="false">I1015-H1015</f>
        <v>29.3226511289148</v>
      </c>
    </row>
    <row r="1016" customFormat="false" ht="15" hidden="false" customHeight="false" outlineLevel="0" collapsed="false">
      <c r="A1016" s="12" t="n">
        <f aca="false">Data!A1016</f>
        <v>43481</v>
      </c>
      <c r="B1016" s="14" t="n">
        <f aca="false">Data!B1016</f>
        <v>52.31</v>
      </c>
      <c r="C1016" s="0" t="str">
        <f aca="false">IF(Data!D1016="","HOLD",IF(AND(G1015&lt;&gt;"IN",Data!E1016&lt;-5),"BUY",IF(AND(G1015="IN",Data!E1016&gt;0),"SELL","HOLD")))</f>
        <v>HOLD</v>
      </c>
      <c r="D1016" s="14" t="str">
        <f aca="false">IF(C1016="BUY",B1016,IF(G1015="IN",D1015,""))</f>
        <v/>
      </c>
      <c r="E1016" s="14" t="str">
        <f aca="false">IF(C1016="SELL",B1016,"")</f>
        <v/>
      </c>
      <c r="F1016" s="14" t="str">
        <f aca="false">IF(E1016="","",(E1016-D1016)/D1016*100)</f>
        <v/>
      </c>
      <c r="G1016" s="0" t="str">
        <f aca="false">IF(C1016="BUY","IN",IF(C1016="SELL","OUT",IF(G1015="IN","IN","OUT")))</f>
        <v>OUT</v>
      </c>
      <c r="H1016" s="14" t="n">
        <f aca="false">H1015+IF(F1016="",0,F1016)</f>
        <v>14.6083117311361</v>
      </c>
      <c r="I1016" s="14" t="n">
        <f aca="false">MAX(I1015,H1016)</f>
        <v>43.9309628600509</v>
      </c>
      <c r="J1016" s="14" t="n">
        <f aca="false">I1016-H1016</f>
        <v>29.3226511289148</v>
      </c>
    </row>
    <row r="1017" customFormat="false" ht="15" hidden="false" customHeight="false" outlineLevel="0" collapsed="false">
      <c r="A1017" s="12" t="n">
        <f aca="false">Data!A1017</f>
        <v>43482</v>
      </c>
      <c r="B1017" s="14" t="n">
        <f aca="false">Data!B1017</f>
        <v>52.07</v>
      </c>
      <c r="C1017" s="0" t="str">
        <f aca="false">IF(Data!D1017="","HOLD",IF(AND(G1016&lt;&gt;"IN",Data!E1017&lt;-5),"BUY",IF(AND(G1016="IN",Data!E1017&gt;0),"SELL","HOLD")))</f>
        <v>HOLD</v>
      </c>
      <c r="D1017" s="14" t="str">
        <f aca="false">IF(C1017="BUY",B1017,IF(G1016="IN",D1016,""))</f>
        <v/>
      </c>
      <c r="E1017" s="14" t="str">
        <f aca="false">IF(C1017="SELL",B1017,"")</f>
        <v/>
      </c>
      <c r="F1017" s="14" t="str">
        <f aca="false">IF(E1017="","",(E1017-D1017)/D1017*100)</f>
        <v/>
      </c>
      <c r="G1017" s="0" t="str">
        <f aca="false">IF(C1017="BUY","IN",IF(C1017="SELL","OUT",IF(G1016="IN","IN","OUT")))</f>
        <v>OUT</v>
      </c>
      <c r="H1017" s="14" t="n">
        <f aca="false">H1016+IF(F1017="",0,F1017)</f>
        <v>14.6083117311361</v>
      </c>
      <c r="I1017" s="14" t="n">
        <f aca="false">MAX(I1016,H1017)</f>
        <v>43.9309628600509</v>
      </c>
      <c r="J1017" s="14" t="n">
        <f aca="false">I1017-H1017</f>
        <v>29.3226511289148</v>
      </c>
    </row>
    <row r="1018" customFormat="false" ht="15" hidden="false" customHeight="false" outlineLevel="0" collapsed="false">
      <c r="A1018" s="12" t="n">
        <f aca="false">Data!A1018</f>
        <v>43483</v>
      </c>
      <c r="B1018" s="14" t="n">
        <f aca="false">Data!B1018</f>
        <v>53.8</v>
      </c>
      <c r="C1018" s="0" t="str">
        <f aca="false">IF(Data!D1018="","HOLD",IF(AND(G1017&lt;&gt;"IN",Data!E1018&lt;-5),"BUY",IF(AND(G1017="IN",Data!E1018&gt;0),"SELL","HOLD")))</f>
        <v>HOLD</v>
      </c>
      <c r="D1018" s="14" t="str">
        <f aca="false">IF(C1018="BUY",B1018,IF(G1017="IN",D1017,""))</f>
        <v/>
      </c>
      <c r="E1018" s="14" t="str">
        <f aca="false">IF(C1018="SELL",B1018,"")</f>
        <v/>
      </c>
      <c r="F1018" s="14" t="str">
        <f aca="false">IF(E1018="","",(E1018-D1018)/D1018*100)</f>
        <v/>
      </c>
      <c r="G1018" s="0" t="str">
        <f aca="false">IF(C1018="BUY","IN",IF(C1018="SELL","OUT",IF(G1017="IN","IN","OUT")))</f>
        <v>OUT</v>
      </c>
      <c r="H1018" s="14" t="n">
        <f aca="false">H1017+IF(F1018="",0,F1018)</f>
        <v>14.6083117311361</v>
      </c>
      <c r="I1018" s="14" t="n">
        <f aca="false">MAX(I1017,H1018)</f>
        <v>43.9309628600509</v>
      </c>
      <c r="J1018" s="14" t="n">
        <f aca="false">I1018-H1018</f>
        <v>29.3226511289148</v>
      </c>
    </row>
    <row r="1019" customFormat="false" ht="15" hidden="false" customHeight="false" outlineLevel="0" collapsed="false">
      <c r="A1019" s="12" t="n">
        <f aca="false">Data!A1019</f>
        <v>43487</v>
      </c>
      <c r="B1019" s="14" t="n">
        <f aca="false">Data!B1019</f>
        <v>52.57</v>
      </c>
      <c r="C1019" s="0" t="str">
        <f aca="false">IF(Data!D1019="","HOLD",IF(AND(G1018&lt;&gt;"IN",Data!E1019&lt;-5),"BUY",IF(AND(G1018="IN",Data!E1019&gt;0),"SELL","HOLD")))</f>
        <v>HOLD</v>
      </c>
      <c r="D1019" s="14" t="str">
        <f aca="false">IF(C1019="BUY",B1019,IF(G1018="IN",D1018,""))</f>
        <v/>
      </c>
      <c r="E1019" s="14" t="str">
        <f aca="false">IF(C1019="SELL",B1019,"")</f>
        <v/>
      </c>
      <c r="F1019" s="14" t="str">
        <f aca="false">IF(E1019="","",(E1019-D1019)/D1019*100)</f>
        <v/>
      </c>
      <c r="G1019" s="0" t="str">
        <f aca="false">IF(C1019="BUY","IN",IF(C1019="SELL","OUT",IF(G1018="IN","IN","OUT")))</f>
        <v>OUT</v>
      </c>
      <c r="H1019" s="14" t="n">
        <f aca="false">H1018+IF(F1019="",0,F1019)</f>
        <v>14.6083117311361</v>
      </c>
      <c r="I1019" s="14" t="n">
        <f aca="false">MAX(I1018,H1019)</f>
        <v>43.9309628600509</v>
      </c>
      <c r="J1019" s="14" t="n">
        <f aca="false">I1019-H1019</f>
        <v>29.3226511289148</v>
      </c>
    </row>
    <row r="1020" customFormat="false" ht="15" hidden="false" customHeight="false" outlineLevel="0" collapsed="false">
      <c r="A1020" s="12" t="n">
        <f aca="false">Data!A1020</f>
        <v>43488</v>
      </c>
      <c r="B1020" s="14" t="n">
        <f aca="false">Data!B1020</f>
        <v>52.62</v>
      </c>
      <c r="C1020" s="0" t="str">
        <f aca="false">IF(Data!D1020="","HOLD",IF(AND(G1019&lt;&gt;"IN",Data!E1020&lt;-5),"BUY",IF(AND(G1019="IN",Data!E1020&gt;0),"SELL","HOLD")))</f>
        <v>HOLD</v>
      </c>
      <c r="D1020" s="14" t="str">
        <f aca="false">IF(C1020="BUY",B1020,IF(G1019="IN",D1019,""))</f>
        <v/>
      </c>
      <c r="E1020" s="14" t="str">
        <f aca="false">IF(C1020="SELL",B1020,"")</f>
        <v/>
      </c>
      <c r="F1020" s="14" t="str">
        <f aca="false">IF(E1020="","",(E1020-D1020)/D1020*100)</f>
        <v/>
      </c>
      <c r="G1020" s="0" t="str">
        <f aca="false">IF(C1020="BUY","IN",IF(C1020="SELL","OUT",IF(G1019="IN","IN","OUT")))</f>
        <v>OUT</v>
      </c>
      <c r="H1020" s="14" t="n">
        <f aca="false">H1019+IF(F1020="",0,F1020)</f>
        <v>14.6083117311361</v>
      </c>
      <c r="I1020" s="14" t="n">
        <f aca="false">MAX(I1019,H1020)</f>
        <v>43.9309628600509</v>
      </c>
      <c r="J1020" s="14" t="n">
        <f aca="false">I1020-H1020</f>
        <v>29.3226511289148</v>
      </c>
    </row>
    <row r="1021" customFormat="false" ht="15" hidden="false" customHeight="false" outlineLevel="0" collapsed="false">
      <c r="A1021" s="12" t="n">
        <f aca="false">Data!A1021</f>
        <v>43489</v>
      </c>
      <c r="B1021" s="14" t="n">
        <f aca="false">Data!B1021</f>
        <v>53.13</v>
      </c>
      <c r="C1021" s="0" t="str">
        <f aca="false">IF(Data!D1021="","HOLD",IF(AND(G1020&lt;&gt;"IN",Data!E1021&lt;-5),"BUY",IF(AND(G1020="IN",Data!E1021&gt;0),"SELL","HOLD")))</f>
        <v>HOLD</v>
      </c>
      <c r="D1021" s="14" t="str">
        <f aca="false">IF(C1021="BUY",B1021,IF(G1020="IN",D1020,""))</f>
        <v/>
      </c>
      <c r="E1021" s="14" t="str">
        <f aca="false">IF(C1021="SELL",B1021,"")</f>
        <v/>
      </c>
      <c r="F1021" s="14" t="str">
        <f aca="false">IF(E1021="","",(E1021-D1021)/D1021*100)</f>
        <v/>
      </c>
      <c r="G1021" s="0" t="str">
        <f aca="false">IF(C1021="BUY","IN",IF(C1021="SELL","OUT",IF(G1020="IN","IN","OUT")))</f>
        <v>OUT</v>
      </c>
      <c r="H1021" s="14" t="n">
        <f aca="false">H1020+IF(F1021="",0,F1021)</f>
        <v>14.6083117311361</v>
      </c>
      <c r="I1021" s="14" t="n">
        <f aca="false">MAX(I1020,H1021)</f>
        <v>43.9309628600509</v>
      </c>
      <c r="J1021" s="14" t="n">
        <f aca="false">I1021-H1021</f>
        <v>29.3226511289148</v>
      </c>
    </row>
    <row r="1022" customFormat="false" ht="15" hidden="false" customHeight="false" outlineLevel="0" collapsed="false">
      <c r="A1022" s="12" t="n">
        <f aca="false">Data!A1022</f>
        <v>43490</v>
      </c>
      <c r="B1022" s="14" t="n">
        <f aca="false">Data!B1022</f>
        <v>53.69</v>
      </c>
      <c r="C1022" s="0" t="str">
        <f aca="false">IF(Data!D1022="","HOLD",IF(AND(G1021&lt;&gt;"IN",Data!E1022&lt;-5),"BUY",IF(AND(G1021="IN",Data!E1022&gt;0),"SELL","HOLD")))</f>
        <v>HOLD</v>
      </c>
      <c r="D1022" s="14" t="str">
        <f aca="false">IF(C1022="BUY",B1022,IF(G1021="IN",D1021,""))</f>
        <v/>
      </c>
      <c r="E1022" s="14" t="str">
        <f aca="false">IF(C1022="SELL",B1022,"")</f>
        <v/>
      </c>
      <c r="F1022" s="14" t="str">
        <f aca="false">IF(E1022="","",(E1022-D1022)/D1022*100)</f>
        <v/>
      </c>
      <c r="G1022" s="0" t="str">
        <f aca="false">IF(C1022="BUY","IN",IF(C1022="SELL","OUT",IF(G1021="IN","IN","OUT")))</f>
        <v>OUT</v>
      </c>
      <c r="H1022" s="14" t="n">
        <f aca="false">H1021+IF(F1022="",0,F1022)</f>
        <v>14.6083117311361</v>
      </c>
      <c r="I1022" s="14" t="n">
        <f aca="false">MAX(I1021,H1022)</f>
        <v>43.9309628600509</v>
      </c>
      <c r="J1022" s="14" t="n">
        <f aca="false">I1022-H1022</f>
        <v>29.3226511289148</v>
      </c>
    </row>
    <row r="1023" customFormat="false" ht="15" hidden="false" customHeight="false" outlineLevel="0" collapsed="false">
      <c r="A1023" s="12" t="n">
        <f aca="false">Data!A1023</f>
        <v>43493</v>
      </c>
      <c r="B1023" s="14" t="n">
        <f aca="false">Data!B1023</f>
        <v>51.99</v>
      </c>
      <c r="C1023" s="0" t="str">
        <f aca="false">IF(Data!D1023="","HOLD",IF(AND(G1022&lt;&gt;"IN",Data!E1023&lt;-5),"BUY",IF(AND(G1022="IN",Data!E1023&gt;0),"SELL","HOLD")))</f>
        <v>HOLD</v>
      </c>
      <c r="D1023" s="14" t="str">
        <f aca="false">IF(C1023="BUY",B1023,IF(G1022="IN",D1022,""))</f>
        <v/>
      </c>
      <c r="E1023" s="14" t="str">
        <f aca="false">IF(C1023="SELL",B1023,"")</f>
        <v/>
      </c>
      <c r="F1023" s="14" t="str">
        <f aca="false">IF(E1023="","",(E1023-D1023)/D1023*100)</f>
        <v/>
      </c>
      <c r="G1023" s="0" t="str">
        <f aca="false">IF(C1023="BUY","IN",IF(C1023="SELL","OUT",IF(G1022="IN","IN","OUT")))</f>
        <v>OUT</v>
      </c>
      <c r="H1023" s="14" t="n">
        <f aca="false">H1022+IF(F1023="",0,F1023)</f>
        <v>14.6083117311361</v>
      </c>
      <c r="I1023" s="14" t="n">
        <f aca="false">MAX(I1022,H1023)</f>
        <v>43.9309628600509</v>
      </c>
      <c r="J1023" s="14" t="n">
        <f aca="false">I1023-H1023</f>
        <v>29.3226511289148</v>
      </c>
    </row>
    <row r="1024" customFormat="false" ht="15" hidden="false" customHeight="false" outlineLevel="0" collapsed="false">
      <c r="A1024" s="12" t="n">
        <f aca="false">Data!A1024</f>
        <v>43494</v>
      </c>
      <c r="B1024" s="14" t="n">
        <f aca="false">Data!B1024</f>
        <v>53.31</v>
      </c>
      <c r="C1024" s="0" t="str">
        <f aca="false">IF(Data!D1024="","HOLD",IF(AND(G1023&lt;&gt;"IN",Data!E1024&lt;-5),"BUY",IF(AND(G1023="IN",Data!E1024&gt;0),"SELL","HOLD")))</f>
        <v>HOLD</v>
      </c>
      <c r="D1024" s="14" t="str">
        <f aca="false">IF(C1024="BUY",B1024,IF(G1023="IN",D1023,""))</f>
        <v/>
      </c>
      <c r="E1024" s="14" t="str">
        <f aca="false">IF(C1024="SELL",B1024,"")</f>
        <v/>
      </c>
      <c r="F1024" s="14" t="str">
        <f aca="false">IF(E1024="","",(E1024-D1024)/D1024*100)</f>
        <v/>
      </c>
      <c r="G1024" s="0" t="str">
        <f aca="false">IF(C1024="BUY","IN",IF(C1024="SELL","OUT",IF(G1023="IN","IN","OUT")))</f>
        <v>OUT</v>
      </c>
      <c r="H1024" s="14" t="n">
        <f aca="false">H1023+IF(F1024="",0,F1024)</f>
        <v>14.6083117311361</v>
      </c>
      <c r="I1024" s="14" t="n">
        <f aca="false">MAX(I1023,H1024)</f>
        <v>43.9309628600509</v>
      </c>
      <c r="J1024" s="14" t="n">
        <f aca="false">I1024-H1024</f>
        <v>29.3226511289148</v>
      </c>
    </row>
    <row r="1025" customFormat="false" ht="15" hidden="false" customHeight="false" outlineLevel="0" collapsed="false">
      <c r="A1025" s="12" t="n">
        <f aca="false">Data!A1025</f>
        <v>43495</v>
      </c>
      <c r="B1025" s="14" t="n">
        <f aca="false">Data!B1025</f>
        <v>54.23</v>
      </c>
      <c r="C1025" s="0" t="str">
        <f aca="false">IF(Data!D1025="","HOLD",IF(AND(G1024&lt;&gt;"IN",Data!E1025&lt;-5),"BUY",IF(AND(G1024="IN",Data!E1025&gt;0),"SELL","HOLD")))</f>
        <v>HOLD</v>
      </c>
      <c r="D1025" s="14" t="str">
        <f aca="false">IF(C1025="BUY",B1025,IF(G1024="IN",D1024,""))</f>
        <v/>
      </c>
      <c r="E1025" s="14" t="str">
        <f aca="false">IF(C1025="SELL",B1025,"")</f>
        <v/>
      </c>
      <c r="F1025" s="14" t="str">
        <f aca="false">IF(E1025="","",(E1025-D1025)/D1025*100)</f>
        <v/>
      </c>
      <c r="G1025" s="0" t="str">
        <f aca="false">IF(C1025="BUY","IN",IF(C1025="SELL","OUT",IF(G1024="IN","IN","OUT")))</f>
        <v>OUT</v>
      </c>
      <c r="H1025" s="14" t="n">
        <f aca="false">H1024+IF(F1025="",0,F1025)</f>
        <v>14.6083117311361</v>
      </c>
      <c r="I1025" s="14" t="n">
        <f aca="false">MAX(I1024,H1025)</f>
        <v>43.9309628600509</v>
      </c>
      <c r="J1025" s="14" t="n">
        <f aca="false">I1025-H1025</f>
        <v>29.3226511289148</v>
      </c>
    </row>
    <row r="1026" customFormat="false" ht="15" hidden="false" customHeight="false" outlineLevel="0" collapsed="false">
      <c r="A1026" s="12" t="n">
        <f aca="false">Data!A1026</f>
        <v>43496</v>
      </c>
      <c r="B1026" s="14" t="n">
        <f aca="false">Data!B1026</f>
        <v>53.79</v>
      </c>
      <c r="C1026" s="0" t="str">
        <f aca="false">IF(Data!D1026="","HOLD",IF(AND(G1025&lt;&gt;"IN",Data!E1026&lt;-5),"BUY",IF(AND(G1025="IN",Data!E1026&gt;0),"SELL","HOLD")))</f>
        <v>HOLD</v>
      </c>
      <c r="D1026" s="14" t="str">
        <f aca="false">IF(C1026="BUY",B1026,IF(G1025="IN",D1025,""))</f>
        <v/>
      </c>
      <c r="E1026" s="14" t="str">
        <f aca="false">IF(C1026="SELL",B1026,"")</f>
        <v/>
      </c>
      <c r="F1026" s="14" t="str">
        <f aca="false">IF(E1026="","",(E1026-D1026)/D1026*100)</f>
        <v/>
      </c>
      <c r="G1026" s="0" t="str">
        <f aca="false">IF(C1026="BUY","IN",IF(C1026="SELL","OUT",IF(G1025="IN","IN","OUT")))</f>
        <v>OUT</v>
      </c>
      <c r="H1026" s="14" t="n">
        <f aca="false">H1025+IF(F1026="",0,F1026)</f>
        <v>14.6083117311361</v>
      </c>
      <c r="I1026" s="14" t="n">
        <f aca="false">MAX(I1025,H1026)</f>
        <v>43.9309628600509</v>
      </c>
      <c r="J1026" s="14" t="n">
        <f aca="false">I1026-H1026</f>
        <v>29.3226511289148</v>
      </c>
    </row>
    <row r="1027" customFormat="false" ht="15" hidden="false" customHeight="false" outlineLevel="0" collapsed="false">
      <c r="A1027" s="12" t="n">
        <f aca="false">Data!A1027</f>
        <v>43497</v>
      </c>
      <c r="B1027" s="14" t="n">
        <f aca="false">Data!B1027</f>
        <v>55.26</v>
      </c>
      <c r="C1027" s="0" t="str">
        <f aca="false">IF(Data!D1027="","HOLD",IF(AND(G1026&lt;&gt;"IN",Data!E1027&lt;-5),"BUY",IF(AND(G1026="IN",Data!E1027&gt;0),"SELL","HOLD")))</f>
        <v>HOLD</v>
      </c>
      <c r="D1027" s="14" t="str">
        <f aca="false">IF(C1027="BUY",B1027,IF(G1026="IN",D1026,""))</f>
        <v/>
      </c>
      <c r="E1027" s="14" t="str">
        <f aca="false">IF(C1027="SELL",B1027,"")</f>
        <v/>
      </c>
      <c r="F1027" s="14" t="str">
        <f aca="false">IF(E1027="","",(E1027-D1027)/D1027*100)</f>
        <v/>
      </c>
      <c r="G1027" s="0" t="str">
        <f aca="false">IF(C1027="BUY","IN",IF(C1027="SELL","OUT",IF(G1026="IN","IN","OUT")))</f>
        <v>OUT</v>
      </c>
      <c r="H1027" s="14" t="n">
        <f aca="false">H1026+IF(F1027="",0,F1027)</f>
        <v>14.6083117311361</v>
      </c>
      <c r="I1027" s="14" t="n">
        <f aca="false">MAX(I1026,H1027)</f>
        <v>43.9309628600509</v>
      </c>
      <c r="J1027" s="14" t="n">
        <f aca="false">I1027-H1027</f>
        <v>29.3226511289148</v>
      </c>
    </row>
    <row r="1028" customFormat="false" ht="15" hidden="false" customHeight="false" outlineLevel="0" collapsed="false">
      <c r="A1028" s="12" t="n">
        <f aca="false">Data!A1028</f>
        <v>43500</v>
      </c>
      <c r="B1028" s="14" t="n">
        <f aca="false">Data!B1028</f>
        <v>54.56</v>
      </c>
      <c r="C1028" s="0" t="str">
        <f aca="false">IF(Data!D1028="","HOLD",IF(AND(G1027&lt;&gt;"IN",Data!E1028&lt;-5),"BUY",IF(AND(G1027="IN",Data!E1028&gt;0),"SELL","HOLD")))</f>
        <v>HOLD</v>
      </c>
      <c r="D1028" s="14" t="str">
        <f aca="false">IF(C1028="BUY",B1028,IF(G1027="IN",D1027,""))</f>
        <v/>
      </c>
      <c r="E1028" s="14" t="str">
        <f aca="false">IF(C1028="SELL",B1028,"")</f>
        <v/>
      </c>
      <c r="F1028" s="14" t="str">
        <f aca="false">IF(E1028="","",(E1028-D1028)/D1028*100)</f>
        <v/>
      </c>
      <c r="G1028" s="0" t="str">
        <f aca="false">IF(C1028="BUY","IN",IF(C1028="SELL","OUT",IF(G1027="IN","IN","OUT")))</f>
        <v>OUT</v>
      </c>
      <c r="H1028" s="14" t="n">
        <f aca="false">H1027+IF(F1028="",0,F1028)</f>
        <v>14.6083117311361</v>
      </c>
      <c r="I1028" s="14" t="n">
        <f aca="false">MAX(I1027,H1028)</f>
        <v>43.9309628600509</v>
      </c>
      <c r="J1028" s="14" t="n">
        <f aca="false">I1028-H1028</f>
        <v>29.3226511289148</v>
      </c>
    </row>
    <row r="1029" customFormat="false" ht="15" hidden="false" customHeight="false" outlineLevel="0" collapsed="false">
      <c r="A1029" s="12" t="n">
        <f aca="false">Data!A1029</f>
        <v>43501</v>
      </c>
      <c r="B1029" s="14" t="n">
        <f aca="false">Data!B1029</f>
        <v>53.66</v>
      </c>
      <c r="C1029" s="0" t="str">
        <f aca="false">IF(Data!D1029="","HOLD",IF(AND(G1028&lt;&gt;"IN",Data!E1029&lt;-5),"BUY",IF(AND(G1028="IN",Data!E1029&gt;0),"SELL","HOLD")))</f>
        <v>HOLD</v>
      </c>
      <c r="D1029" s="14" t="str">
        <f aca="false">IF(C1029="BUY",B1029,IF(G1028="IN",D1028,""))</f>
        <v/>
      </c>
      <c r="E1029" s="14" t="str">
        <f aca="false">IF(C1029="SELL",B1029,"")</f>
        <v/>
      </c>
      <c r="F1029" s="14" t="str">
        <f aca="false">IF(E1029="","",(E1029-D1029)/D1029*100)</f>
        <v/>
      </c>
      <c r="G1029" s="0" t="str">
        <f aca="false">IF(C1029="BUY","IN",IF(C1029="SELL","OUT",IF(G1028="IN","IN","OUT")))</f>
        <v>OUT</v>
      </c>
      <c r="H1029" s="14" t="n">
        <f aca="false">H1028+IF(F1029="",0,F1029)</f>
        <v>14.6083117311361</v>
      </c>
      <c r="I1029" s="14" t="n">
        <f aca="false">MAX(I1028,H1029)</f>
        <v>43.9309628600509</v>
      </c>
      <c r="J1029" s="14" t="n">
        <f aca="false">I1029-H1029</f>
        <v>29.3226511289148</v>
      </c>
    </row>
    <row r="1030" customFormat="false" ht="15" hidden="false" customHeight="false" outlineLevel="0" collapsed="false">
      <c r="A1030" s="12" t="n">
        <f aca="false">Data!A1030</f>
        <v>43502</v>
      </c>
      <c r="B1030" s="14" t="n">
        <f aca="false">Data!B1030</f>
        <v>54.01</v>
      </c>
      <c r="C1030" s="0" t="str">
        <f aca="false">IF(Data!D1030="","HOLD",IF(AND(G1029&lt;&gt;"IN",Data!E1030&lt;-5),"BUY",IF(AND(G1029="IN",Data!E1030&gt;0),"SELL","HOLD")))</f>
        <v>HOLD</v>
      </c>
      <c r="D1030" s="14" t="str">
        <f aca="false">IF(C1030="BUY",B1030,IF(G1029="IN",D1029,""))</f>
        <v/>
      </c>
      <c r="E1030" s="14" t="str">
        <f aca="false">IF(C1030="SELL",B1030,"")</f>
        <v/>
      </c>
      <c r="F1030" s="14" t="str">
        <f aca="false">IF(E1030="","",(E1030-D1030)/D1030*100)</f>
        <v/>
      </c>
      <c r="G1030" s="0" t="str">
        <f aca="false">IF(C1030="BUY","IN",IF(C1030="SELL","OUT",IF(G1029="IN","IN","OUT")))</f>
        <v>OUT</v>
      </c>
      <c r="H1030" s="14" t="n">
        <f aca="false">H1029+IF(F1030="",0,F1030)</f>
        <v>14.6083117311361</v>
      </c>
      <c r="I1030" s="14" t="n">
        <f aca="false">MAX(I1029,H1030)</f>
        <v>43.9309628600509</v>
      </c>
      <c r="J1030" s="14" t="n">
        <f aca="false">I1030-H1030</f>
        <v>29.3226511289148</v>
      </c>
    </row>
    <row r="1031" customFormat="false" ht="15" hidden="false" customHeight="false" outlineLevel="0" collapsed="false">
      <c r="A1031" s="12" t="n">
        <f aca="false">Data!A1031</f>
        <v>43503</v>
      </c>
      <c r="B1031" s="14" t="n">
        <f aca="false">Data!B1031</f>
        <v>52.64</v>
      </c>
      <c r="C1031" s="0" t="str">
        <f aca="false">IF(Data!D1031="","HOLD",IF(AND(G1030&lt;&gt;"IN",Data!E1031&lt;-5),"BUY",IF(AND(G1030="IN",Data!E1031&gt;0),"SELL","HOLD")))</f>
        <v>HOLD</v>
      </c>
      <c r="D1031" s="14" t="str">
        <f aca="false">IF(C1031="BUY",B1031,IF(G1030="IN",D1030,""))</f>
        <v/>
      </c>
      <c r="E1031" s="14" t="str">
        <f aca="false">IF(C1031="SELL",B1031,"")</f>
        <v/>
      </c>
      <c r="F1031" s="14" t="str">
        <f aca="false">IF(E1031="","",(E1031-D1031)/D1031*100)</f>
        <v/>
      </c>
      <c r="G1031" s="0" t="str">
        <f aca="false">IF(C1031="BUY","IN",IF(C1031="SELL","OUT",IF(G1030="IN","IN","OUT")))</f>
        <v>OUT</v>
      </c>
      <c r="H1031" s="14" t="n">
        <f aca="false">H1030+IF(F1031="",0,F1031)</f>
        <v>14.6083117311361</v>
      </c>
      <c r="I1031" s="14" t="n">
        <f aca="false">MAX(I1030,H1031)</f>
        <v>43.9309628600509</v>
      </c>
      <c r="J1031" s="14" t="n">
        <f aca="false">I1031-H1031</f>
        <v>29.3226511289148</v>
      </c>
    </row>
    <row r="1032" customFormat="false" ht="15" hidden="false" customHeight="false" outlineLevel="0" collapsed="false">
      <c r="A1032" s="12" t="n">
        <f aca="false">Data!A1032</f>
        <v>43504</v>
      </c>
      <c r="B1032" s="14" t="n">
        <f aca="false">Data!B1032</f>
        <v>52.72</v>
      </c>
      <c r="C1032" s="0" t="str">
        <f aca="false">IF(Data!D1032="","HOLD",IF(AND(G1031&lt;&gt;"IN",Data!E1032&lt;-5),"BUY",IF(AND(G1031="IN",Data!E1032&gt;0),"SELL","HOLD")))</f>
        <v>HOLD</v>
      </c>
      <c r="D1032" s="14" t="str">
        <f aca="false">IF(C1032="BUY",B1032,IF(G1031="IN",D1031,""))</f>
        <v/>
      </c>
      <c r="E1032" s="14" t="str">
        <f aca="false">IF(C1032="SELL",B1032,"")</f>
        <v/>
      </c>
      <c r="F1032" s="14" t="str">
        <f aca="false">IF(E1032="","",(E1032-D1032)/D1032*100)</f>
        <v/>
      </c>
      <c r="G1032" s="0" t="str">
        <f aca="false">IF(C1032="BUY","IN",IF(C1032="SELL","OUT",IF(G1031="IN","IN","OUT")))</f>
        <v>OUT</v>
      </c>
      <c r="H1032" s="14" t="n">
        <f aca="false">H1031+IF(F1032="",0,F1032)</f>
        <v>14.6083117311361</v>
      </c>
      <c r="I1032" s="14" t="n">
        <f aca="false">MAX(I1031,H1032)</f>
        <v>43.9309628600509</v>
      </c>
      <c r="J1032" s="14" t="n">
        <f aca="false">I1032-H1032</f>
        <v>29.3226511289148</v>
      </c>
    </row>
    <row r="1033" customFormat="false" ht="15" hidden="false" customHeight="false" outlineLevel="0" collapsed="false">
      <c r="A1033" s="12" t="n">
        <f aca="false">Data!A1033</f>
        <v>43507</v>
      </c>
      <c r="B1033" s="14" t="n">
        <f aca="false">Data!B1033</f>
        <v>52.41</v>
      </c>
      <c r="C1033" s="0" t="str">
        <f aca="false">IF(Data!D1033="","HOLD",IF(AND(G1032&lt;&gt;"IN",Data!E1033&lt;-5),"BUY",IF(AND(G1032="IN",Data!E1033&gt;0),"SELL","HOLD")))</f>
        <v>HOLD</v>
      </c>
      <c r="D1033" s="14" t="str">
        <f aca="false">IF(C1033="BUY",B1033,IF(G1032="IN",D1032,""))</f>
        <v/>
      </c>
      <c r="E1033" s="14" t="str">
        <f aca="false">IF(C1033="SELL",B1033,"")</f>
        <v/>
      </c>
      <c r="F1033" s="14" t="str">
        <f aca="false">IF(E1033="","",(E1033-D1033)/D1033*100)</f>
        <v/>
      </c>
      <c r="G1033" s="0" t="str">
        <f aca="false">IF(C1033="BUY","IN",IF(C1033="SELL","OUT",IF(G1032="IN","IN","OUT")))</f>
        <v>OUT</v>
      </c>
      <c r="H1033" s="14" t="n">
        <f aca="false">H1032+IF(F1033="",0,F1033)</f>
        <v>14.6083117311361</v>
      </c>
      <c r="I1033" s="14" t="n">
        <f aca="false">MAX(I1032,H1033)</f>
        <v>43.9309628600509</v>
      </c>
      <c r="J1033" s="14" t="n">
        <f aca="false">I1033-H1033</f>
        <v>29.3226511289148</v>
      </c>
    </row>
    <row r="1034" customFormat="false" ht="15" hidden="false" customHeight="false" outlineLevel="0" collapsed="false">
      <c r="A1034" s="12" t="n">
        <f aca="false">Data!A1034</f>
        <v>43508</v>
      </c>
      <c r="B1034" s="14" t="n">
        <f aca="false">Data!B1034</f>
        <v>53.1</v>
      </c>
      <c r="C1034" s="0" t="str">
        <f aca="false">IF(Data!D1034="","HOLD",IF(AND(G1033&lt;&gt;"IN",Data!E1034&lt;-5),"BUY",IF(AND(G1033="IN",Data!E1034&gt;0),"SELL","HOLD")))</f>
        <v>HOLD</v>
      </c>
      <c r="D1034" s="14" t="str">
        <f aca="false">IF(C1034="BUY",B1034,IF(G1033="IN",D1033,""))</f>
        <v/>
      </c>
      <c r="E1034" s="14" t="str">
        <f aca="false">IF(C1034="SELL",B1034,"")</f>
        <v/>
      </c>
      <c r="F1034" s="14" t="str">
        <f aca="false">IF(E1034="","",(E1034-D1034)/D1034*100)</f>
        <v/>
      </c>
      <c r="G1034" s="0" t="str">
        <f aca="false">IF(C1034="BUY","IN",IF(C1034="SELL","OUT",IF(G1033="IN","IN","OUT")))</f>
        <v>OUT</v>
      </c>
      <c r="H1034" s="14" t="n">
        <f aca="false">H1033+IF(F1034="",0,F1034)</f>
        <v>14.6083117311361</v>
      </c>
      <c r="I1034" s="14" t="n">
        <f aca="false">MAX(I1033,H1034)</f>
        <v>43.9309628600509</v>
      </c>
      <c r="J1034" s="14" t="n">
        <f aca="false">I1034-H1034</f>
        <v>29.3226511289148</v>
      </c>
    </row>
    <row r="1035" customFormat="false" ht="15" hidden="false" customHeight="false" outlineLevel="0" collapsed="false">
      <c r="A1035" s="12" t="n">
        <f aca="false">Data!A1035</f>
        <v>43509</v>
      </c>
      <c r="B1035" s="14" t="n">
        <f aca="false">Data!B1035</f>
        <v>53.9</v>
      </c>
      <c r="C1035" s="0" t="str">
        <f aca="false">IF(Data!D1035="","HOLD",IF(AND(G1034&lt;&gt;"IN",Data!E1035&lt;-5),"BUY",IF(AND(G1034="IN",Data!E1035&gt;0),"SELL","HOLD")))</f>
        <v>HOLD</v>
      </c>
      <c r="D1035" s="14" t="str">
        <f aca="false">IF(C1035="BUY",B1035,IF(G1034="IN",D1034,""))</f>
        <v/>
      </c>
      <c r="E1035" s="14" t="str">
        <f aca="false">IF(C1035="SELL",B1035,"")</f>
        <v/>
      </c>
      <c r="F1035" s="14" t="str">
        <f aca="false">IF(E1035="","",(E1035-D1035)/D1035*100)</f>
        <v/>
      </c>
      <c r="G1035" s="0" t="str">
        <f aca="false">IF(C1035="BUY","IN",IF(C1035="SELL","OUT",IF(G1034="IN","IN","OUT")))</f>
        <v>OUT</v>
      </c>
      <c r="H1035" s="14" t="n">
        <f aca="false">H1034+IF(F1035="",0,F1035)</f>
        <v>14.6083117311361</v>
      </c>
      <c r="I1035" s="14" t="n">
        <f aca="false">MAX(I1034,H1035)</f>
        <v>43.9309628600509</v>
      </c>
      <c r="J1035" s="14" t="n">
        <f aca="false">I1035-H1035</f>
        <v>29.3226511289148</v>
      </c>
    </row>
    <row r="1036" customFormat="false" ht="15" hidden="false" customHeight="false" outlineLevel="0" collapsed="false">
      <c r="A1036" s="12" t="n">
        <f aca="false">Data!A1036</f>
        <v>43510</v>
      </c>
      <c r="B1036" s="14" t="n">
        <f aca="false">Data!B1036</f>
        <v>54.41</v>
      </c>
      <c r="C1036" s="0" t="str">
        <f aca="false">IF(Data!D1036="","HOLD",IF(AND(G1035&lt;&gt;"IN",Data!E1036&lt;-5),"BUY",IF(AND(G1035="IN",Data!E1036&gt;0),"SELL","HOLD")))</f>
        <v>HOLD</v>
      </c>
      <c r="D1036" s="14" t="str">
        <f aca="false">IF(C1036="BUY",B1036,IF(G1035="IN",D1035,""))</f>
        <v/>
      </c>
      <c r="E1036" s="14" t="str">
        <f aca="false">IF(C1036="SELL",B1036,"")</f>
        <v/>
      </c>
      <c r="F1036" s="14" t="str">
        <f aca="false">IF(E1036="","",(E1036-D1036)/D1036*100)</f>
        <v/>
      </c>
      <c r="G1036" s="0" t="str">
        <f aca="false">IF(C1036="BUY","IN",IF(C1036="SELL","OUT",IF(G1035="IN","IN","OUT")))</f>
        <v>OUT</v>
      </c>
      <c r="H1036" s="14" t="n">
        <f aca="false">H1035+IF(F1036="",0,F1036)</f>
        <v>14.6083117311361</v>
      </c>
      <c r="I1036" s="14" t="n">
        <f aca="false">MAX(I1035,H1036)</f>
        <v>43.9309628600509</v>
      </c>
      <c r="J1036" s="14" t="n">
        <f aca="false">I1036-H1036</f>
        <v>29.3226511289148</v>
      </c>
    </row>
    <row r="1037" customFormat="false" ht="15" hidden="false" customHeight="false" outlineLevel="0" collapsed="false">
      <c r="A1037" s="12" t="n">
        <f aca="false">Data!A1037</f>
        <v>43511</v>
      </c>
      <c r="B1037" s="14" t="n">
        <f aca="false">Data!B1037</f>
        <v>55.59</v>
      </c>
      <c r="C1037" s="0" t="str">
        <f aca="false">IF(Data!D1037="","HOLD",IF(AND(G1036&lt;&gt;"IN",Data!E1037&lt;-5),"BUY",IF(AND(G1036="IN",Data!E1037&gt;0),"SELL","HOLD")))</f>
        <v>HOLD</v>
      </c>
      <c r="D1037" s="14" t="str">
        <f aca="false">IF(C1037="BUY",B1037,IF(G1036="IN",D1036,""))</f>
        <v/>
      </c>
      <c r="E1037" s="14" t="str">
        <f aca="false">IF(C1037="SELL",B1037,"")</f>
        <v/>
      </c>
      <c r="F1037" s="14" t="str">
        <f aca="false">IF(E1037="","",(E1037-D1037)/D1037*100)</f>
        <v/>
      </c>
      <c r="G1037" s="0" t="str">
        <f aca="false">IF(C1037="BUY","IN",IF(C1037="SELL","OUT",IF(G1036="IN","IN","OUT")))</f>
        <v>OUT</v>
      </c>
      <c r="H1037" s="14" t="n">
        <f aca="false">H1036+IF(F1037="",0,F1037)</f>
        <v>14.6083117311361</v>
      </c>
      <c r="I1037" s="14" t="n">
        <f aca="false">MAX(I1036,H1037)</f>
        <v>43.9309628600509</v>
      </c>
      <c r="J1037" s="14" t="n">
        <f aca="false">I1037-H1037</f>
        <v>29.3226511289148</v>
      </c>
    </row>
    <row r="1038" customFormat="false" ht="15" hidden="false" customHeight="false" outlineLevel="0" collapsed="false">
      <c r="A1038" s="12" t="n">
        <f aca="false">Data!A1038</f>
        <v>43515</v>
      </c>
      <c r="B1038" s="14" t="n">
        <f aca="false">Data!B1038</f>
        <v>56.09</v>
      </c>
      <c r="C1038" s="0" t="str">
        <f aca="false">IF(Data!D1038="","HOLD",IF(AND(G1037&lt;&gt;"IN",Data!E1038&lt;-5),"BUY",IF(AND(G1037="IN",Data!E1038&gt;0),"SELL","HOLD")))</f>
        <v>HOLD</v>
      </c>
      <c r="D1038" s="14" t="str">
        <f aca="false">IF(C1038="BUY",B1038,IF(G1037="IN",D1037,""))</f>
        <v/>
      </c>
      <c r="E1038" s="14" t="str">
        <f aca="false">IF(C1038="SELL",B1038,"")</f>
        <v/>
      </c>
      <c r="F1038" s="14" t="str">
        <f aca="false">IF(E1038="","",(E1038-D1038)/D1038*100)</f>
        <v/>
      </c>
      <c r="G1038" s="0" t="str">
        <f aca="false">IF(C1038="BUY","IN",IF(C1038="SELL","OUT",IF(G1037="IN","IN","OUT")))</f>
        <v>OUT</v>
      </c>
      <c r="H1038" s="14" t="n">
        <f aca="false">H1037+IF(F1038="",0,F1038)</f>
        <v>14.6083117311361</v>
      </c>
      <c r="I1038" s="14" t="n">
        <f aca="false">MAX(I1037,H1038)</f>
        <v>43.9309628600509</v>
      </c>
      <c r="J1038" s="14" t="n">
        <f aca="false">I1038-H1038</f>
        <v>29.3226511289148</v>
      </c>
    </row>
    <row r="1039" customFormat="false" ht="15" hidden="false" customHeight="false" outlineLevel="0" collapsed="false">
      <c r="A1039" s="12" t="n">
        <f aca="false">Data!A1039</f>
        <v>43516</v>
      </c>
      <c r="B1039" s="14" t="n">
        <f aca="false">Data!B1039</f>
        <v>56.92</v>
      </c>
      <c r="C1039" s="0" t="str">
        <f aca="false">IF(Data!D1039="","HOLD",IF(AND(G1038&lt;&gt;"IN",Data!E1039&lt;-5),"BUY",IF(AND(G1038="IN",Data!E1039&gt;0),"SELL","HOLD")))</f>
        <v>HOLD</v>
      </c>
      <c r="D1039" s="14" t="str">
        <f aca="false">IF(C1039="BUY",B1039,IF(G1038="IN",D1038,""))</f>
        <v/>
      </c>
      <c r="E1039" s="14" t="str">
        <f aca="false">IF(C1039="SELL",B1039,"")</f>
        <v/>
      </c>
      <c r="F1039" s="14" t="str">
        <f aca="false">IF(E1039="","",(E1039-D1039)/D1039*100)</f>
        <v/>
      </c>
      <c r="G1039" s="0" t="str">
        <f aca="false">IF(C1039="BUY","IN",IF(C1039="SELL","OUT",IF(G1038="IN","IN","OUT")))</f>
        <v>OUT</v>
      </c>
      <c r="H1039" s="14" t="n">
        <f aca="false">H1038+IF(F1039="",0,F1039)</f>
        <v>14.6083117311361</v>
      </c>
      <c r="I1039" s="14" t="n">
        <f aca="false">MAX(I1038,H1039)</f>
        <v>43.9309628600509</v>
      </c>
      <c r="J1039" s="14" t="n">
        <f aca="false">I1039-H1039</f>
        <v>29.3226511289148</v>
      </c>
    </row>
    <row r="1040" customFormat="false" ht="15" hidden="false" customHeight="false" outlineLevel="0" collapsed="false">
      <c r="A1040" s="12" t="n">
        <f aca="false">Data!A1040</f>
        <v>43517</v>
      </c>
      <c r="B1040" s="14" t="n">
        <f aca="false">Data!B1040</f>
        <v>56.96</v>
      </c>
      <c r="C1040" s="0" t="str">
        <f aca="false">IF(Data!D1040="","HOLD",IF(AND(G1039&lt;&gt;"IN",Data!E1040&lt;-5),"BUY",IF(AND(G1039="IN",Data!E1040&gt;0),"SELL","HOLD")))</f>
        <v>HOLD</v>
      </c>
      <c r="D1040" s="14" t="str">
        <f aca="false">IF(C1040="BUY",B1040,IF(G1039="IN",D1039,""))</f>
        <v/>
      </c>
      <c r="E1040" s="14" t="str">
        <f aca="false">IF(C1040="SELL",B1040,"")</f>
        <v/>
      </c>
      <c r="F1040" s="14" t="str">
        <f aca="false">IF(E1040="","",(E1040-D1040)/D1040*100)</f>
        <v/>
      </c>
      <c r="G1040" s="0" t="str">
        <f aca="false">IF(C1040="BUY","IN",IF(C1040="SELL","OUT",IF(G1039="IN","IN","OUT")))</f>
        <v>OUT</v>
      </c>
      <c r="H1040" s="14" t="n">
        <f aca="false">H1039+IF(F1040="",0,F1040)</f>
        <v>14.6083117311361</v>
      </c>
      <c r="I1040" s="14" t="n">
        <f aca="false">MAX(I1039,H1040)</f>
        <v>43.9309628600509</v>
      </c>
      <c r="J1040" s="14" t="n">
        <f aca="false">I1040-H1040</f>
        <v>29.3226511289148</v>
      </c>
    </row>
    <row r="1041" customFormat="false" ht="15" hidden="false" customHeight="false" outlineLevel="0" collapsed="false">
      <c r="A1041" s="12" t="n">
        <f aca="false">Data!A1041</f>
        <v>43518</v>
      </c>
      <c r="B1041" s="14" t="n">
        <f aca="false">Data!B1041</f>
        <v>57.26</v>
      </c>
      <c r="C1041" s="0" t="str">
        <f aca="false">IF(Data!D1041="","HOLD",IF(AND(G1040&lt;&gt;"IN",Data!E1041&lt;-5),"BUY",IF(AND(G1040="IN",Data!E1041&gt;0),"SELL","HOLD")))</f>
        <v>HOLD</v>
      </c>
      <c r="D1041" s="14" t="str">
        <f aca="false">IF(C1041="BUY",B1041,IF(G1040="IN",D1040,""))</f>
        <v/>
      </c>
      <c r="E1041" s="14" t="str">
        <f aca="false">IF(C1041="SELL",B1041,"")</f>
        <v/>
      </c>
      <c r="F1041" s="14" t="str">
        <f aca="false">IF(E1041="","",(E1041-D1041)/D1041*100)</f>
        <v/>
      </c>
      <c r="G1041" s="0" t="str">
        <f aca="false">IF(C1041="BUY","IN",IF(C1041="SELL","OUT",IF(G1040="IN","IN","OUT")))</f>
        <v>OUT</v>
      </c>
      <c r="H1041" s="14" t="n">
        <f aca="false">H1040+IF(F1041="",0,F1041)</f>
        <v>14.6083117311361</v>
      </c>
      <c r="I1041" s="14" t="n">
        <f aca="false">MAX(I1040,H1041)</f>
        <v>43.9309628600509</v>
      </c>
      <c r="J1041" s="14" t="n">
        <f aca="false">I1041-H1041</f>
        <v>29.3226511289148</v>
      </c>
    </row>
    <row r="1042" customFormat="false" ht="15" hidden="false" customHeight="false" outlineLevel="0" collapsed="false">
      <c r="A1042" s="12" t="n">
        <f aca="false">Data!A1042</f>
        <v>43521</v>
      </c>
      <c r="B1042" s="14" t="n">
        <f aca="false">Data!B1042</f>
        <v>55.48</v>
      </c>
      <c r="C1042" s="0" t="str">
        <f aca="false">IF(Data!D1042="","HOLD",IF(AND(G1041&lt;&gt;"IN",Data!E1042&lt;-5),"BUY",IF(AND(G1041="IN",Data!E1042&gt;0),"SELL","HOLD")))</f>
        <v>HOLD</v>
      </c>
      <c r="D1042" s="14" t="str">
        <f aca="false">IF(C1042="BUY",B1042,IF(G1041="IN",D1041,""))</f>
        <v/>
      </c>
      <c r="E1042" s="14" t="str">
        <f aca="false">IF(C1042="SELL",B1042,"")</f>
        <v/>
      </c>
      <c r="F1042" s="14" t="str">
        <f aca="false">IF(E1042="","",(E1042-D1042)/D1042*100)</f>
        <v/>
      </c>
      <c r="G1042" s="0" t="str">
        <f aca="false">IF(C1042="BUY","IN",IF(C1042="SELL","OUT",IF(G1041="IN","IN","OUT")))</f>
        <v>OUT</v>
      </c>
      <c r="H1042" s="14" t="n">
        <f aca="false">H1041+IF(F1042="",0,F1042)</f>
        <v>14.6083117311361</v>
      </c>
      <c r="I1042" s="14" t="n">
        <f aca="false">MAX(I1041,H1042)</f>
        <v>43.9309628600509</v>
      </c>
      <c r="J1042" s="14" t="n">
        <f aca="false">I1042-H1042</f>
        <v>29.3226511289148</v>
      </c>
    </row>
    <row r="1043" customFormat="false" ht="15" hidden="false" customHeight="false" outlineLevel="0" collapsed="false">
      <c r="A1043" s="12" t="n">
        <f aca="false">Data!A1043</f>
        <v>43522</v>
      </c>
      <c r="B1043" s="14" t="n">
        <f aca="false">Data!B1043</f>
        <v>55.5</v>
      </c>
      <c r="C1043" s="0" t="str">
        <f aca="false">IF(Data!D1043="","HOLD",IF(AND(G1042&lt;&gt;"IN",Data!E1043&lt;-5),"BUY",IF(AND(G1042="IN",Data!E1043&gt;0),"SELL","HOLD")))</f>
        <v>HOLD</v>
      </c>
      <c r="D1043" s="14" t="str">
        <f aca="false">IF(C1043="BUY",B1043,IF(G1042="IN",D1042,""))</f>
        <v/>
      </c>
      <c r="E1043" s="14" t="str">
        <f aca="false">IF(C1043="SELL",B1043,"")</f>
        <v/>
      </c>
      <c r="F1043" s="14" t="str">
        <f aca="false">IF(E1043="","",(E1043-D1043)/D1043*100)</f>
        <v/>
      </c>
      <c r="G1043" s="0" t="str">
        <f aca="false">IF(C1043="BUY","IN",IF(C1043="SELL","OUT",IF(G1042="IN","IN","OUT")))</f>
        <v>OUT</v>
      </c>
      <c r="H1043" s="14" t="n">
        <f aca="false">H1042+IF(F1043="",0,F1043)</f>
        <v>14.6083117311361</v>
      </c>
      <c r="I1043" s="14" t="n">
        <f aca="false">MAX(I1042,H1043)</f>
        <v>43.9309628600509</v>
      </c>
      <c r="J1043" s="14" t="n">
        <f aca="false">I1043-H1043</f>
        <v>29.3226511289148</v>
      </c>
    </row>
    <row r="1044" customFormat="false" ht="15" hidden="false" customHeight="false" outlineLevel="0" collapsed="false">
      <c r="A1044" s="12" t="n">
        <f aca="false">Data!A1044</f>
        <v>43523</v>
      </c>
      <c r="B1044" s="14" t="n">
        <f aca="false">Data!B1044</f>
        <v>56.94</v>
      </c>
      <c r="C1044" s="0" t="str">
        <f aca="false">IF(Data!D1044="","HOLD",IF(AND(G1043&lt;&gt;"IN",Data!E1044&lt;-5),"BUY",IF(AND(G1043="IN",Data!E1044&gt;0),"SELL","HOLD")))</f>
        <v>HOLD</v>
      </c>
      <c r="D1044" s="14" t="str">
        <f aca="false">IF(C1044="BUY",B1044,IF(G1043="IN",D1043,""))</f>
        <v/>
      </c>
      <c r="E1044" s="14" t="str">
        <f aca="false">IF(C1044="SELL",B1044,"")</f>
        <v/>
      </c>
      <c r="F1044" s="14" t="str">
        <f aca="false">IF(E1044="","",(E1044-D1044)/D1044*100)</f>
        <v/>
      </c>
      <c r="G1044" s="0" t="str">
        <f aca="false">IF(C1044="BUY","IN",IF(C1044="SELL","OUT",IF(G1043="IN","IN","OUT")))</f>
        <v>OUT</v>
      </c>
      <c r="H1044" s="14" t="n">
        <f aca="false">H1043+IF(F1044="",0,F1044)</f>
        <v>14.6083117311361</v>
      </c>
      <c r="I1044" s="14" t="n">
        <f aca="false">MAX(I1043,H1044)</f>
        <v>43.9309628600509</v>
      </c>
      <c r="J1044" s="14" t="n">
        <f aca="false">I1044-H1044</f>
        <v>29.3226511289148</v>
      </c>
    </row>
    <row r="1045" customFormat="false" ht="15" hidden="false" customHeight="false" outlineLevel="0" collapsed="false">
      <c r="A1045" s="12" t="n">
        <f aca="false">Data!A1045</f>
        <v>43524</v>
      </c>
      <c r="B1045" s="14" t="n">
        <f aca="false">Data!B1045</f>
        <v>57.22</v>
      </c>
      <c r="C1045" s="0" t="str">
        <f aca="false">IF(Data!D1045="","HOLD",IF(AND(G1044&lt;&gt;"IN",Data!E1045&lt;-5),"BUY",IF(AND(G1044="IN",Data!E1045&gt;0),"SELL","HOLD")))</f>
        <v>HOLD</v>
      </c>
      <c r="D1045" s="14" t="str">
        <f aca="false">IF(C1045="BUY",B1045,IF(G1044="IN",D1044,""))</f>
        <v/>
      </c>
      <c r="E1045" s="14" t="str">
        <f aca="false">IF(C1045="SELL",B1045,"")</f>
        <v/>
      </c>
      <c r="F1045" s="14" t="str">
        <f aca="false">IF(E1045="","",(E1045-D1045)/D1045*100)</f>
        <v/>
      </c>
      <c r="G1045" s="0" t="str">
        <f aca="false">IF(C1045="BUY","IN",IF(C1045="SELL","OUT",IF(G1044="IN","IN","OUT")))</f>
        <v>OUT</v>
      </c>
      <c r="H1045" s="14" t="n">
        <f aca="false">H1044+IF(F1045="",0,F1045)</f>
        <v>14.6083117311361</v>
      </c>
      <c r="I1045" s="14" t="n">
        <f aca="false">MAX(I1044,H1045)</f>
        <v>43.9309628600509</v>
      </c>
      <c r="J1045" s="14" t="n">
        <f aca="false">I1045-H1045</f>
        <v>29.3226511289148</v>
      </c>
    </row>
    <row r="1046" customFormat="false" ht="15" hidden="false" customHeight="false" outlineLevel="0" collapsed="false">
      <c r="A1046" s="12" t="n">
        <f aca="false">Data!A1046</f>
        <v>43525</v>
      </c>
      <c r="B1046" s="14" t="n">
        <f aca="false">Data!B1046</f>
        <v>55.8</v>
      </c>
      <c r="C1046" s="0" t="str">
        <f aca="false">IF(Data!D1046="","HOLD",IF(AND(G1045&lt;&gt;"IN",Data!E1046&lt;-5),"BUY",IF(AND(G1045="IN",Data!E1046&gt;0),"SELL","HOLD")))</f>
        <v>HOLD</v>
      </c>
      <c r="D1046" s="14" t="str">
        <f aca="false">IF(C1046="BUY",B1046,IF(G1045="IN",D1045,""))</f>
        <v/>
      </c>
      <c r="E1046" s="14" t="str">
        <f aca="false">IF(C1046="SELL",B1046,"")</f>
        <v/>
      </c>
      <c r="F1046" s="14" t="str">
        <f aca="false">IF(E1046="","",(E1046-D1046)/D1046*100)</f>
        <v/>
      </c>
      <c r="G1046" s="0" t="str">
        <f aca="false">IF(C1046="BUY","IN",IF(C1046="SELL","OUT",IF(G1045="IN","IN","OUT")))</f>
        <v>OUT</v>
      </c>
      <c r="H1046" s="14" t="n">
        <f aca="false">H1045+IF(F1046="",0,F1046)</f>
        <v>14.6083117311361</v>
      </c>
      <c r="I1046" s="14" t="n">
        <f aca="false">MAX(I1045,H1046)</f>
        <v>43.9309628600509</v>
      </c>
      <c r="J1046" s="14" t="n">
        <f aca="false">I1046-H1046</f>
        <v>29.3226511289148</v>
      </c>
    </row>
    <row r="1047" customFormat="false" ht="15" hidden="false" customHeight="false" outlineLevel="0" collapsed="false">
      <c r="A1047" s="12" t="n">
        <f aca="false">Data!A1047</f>
        <v>43528</v>
      </c>
      <c r="B1047" s="14" t="n">
        <f aca="false">Data!B1047</f>
        <v>56.59</v>
      </c>
      <c r="C1047" s="0" t="str">
        <f aca="false">IF(Data!D1047="","HOLD",IF(AND(G1046&lt;&gt;"IN",Data!E1047&lt;-5),"BUY",IF(AND(G1046="IN",Data!E1047&gt;0),"SELL","HOLD")))</f>
        <v>HOLD</v>
      </c>
      <c r="D1047" s="14" t="str">
        <f aca="false">IF(C1047="BUY",B1047,IF(G1046="IN",D1046,""))</f>
        <v/>
      </c>
      <c r="E1047" s="14" t="str">
        <f aca="false">IF(C1047="SELL",B1047,"")</f>
        <v/>
      </c>
      <c r="F1047" s="14" t="str">
        <f aca="false">IF(E1047="","",(E1047-D1047)/D1047*100)</f>
        <v/>
      </c>
      <c r="G1047" s="0" t="str">
        <f aca="false">IF(C1047="BUY","IN",IF(C1047="SELL","OUT",IF(G1046="IN","IN","OUT")))</f>
        <v>OUT</v>
      </c>
      <c r="H1047" s="14" t="n">
        <f aca="false">H1046+IF(F1047="",0,F1047)</f>
        <v>14.6083117311361</v>
      </c>
      <c r="I1047" s="14" t="n">
        <f aca="false">MAX(I1046,H1047)</f>
        <v>43.9309628600509</v>
      </c>
      <c r="J1047" s="14" t="n">
        <f aca="false">I1047-H1047</f>
        <v>29.3226511289148</v>
      </c>
    </row>
    <row r="1048" customFormat="false" ht="15" hidden="false" customHeight="false" outlineLevel="0" collapsed="false">
      <c r="A1048" s="12" t="n">
        <f aca="false">Data!A1048</f>
        <v>43529</v>
      </c>
      <c r="B1048" s="14" t="n">
        <f aca="false">Data!B1048</f>
        <v>56.56</v>
      </c>
      <c r="C1048" s="0" t="str">
        <f aca="false">IF(Data!D1048="","HOLD",IF(AND(G1047&lt;&gt;"IN",Data!E1048&lt;-5),"BUY",IF(AND(G1047="IN",Data!E1048&gt;0),"SELL","HOLD")))</f>
        <v>HOLD</v>
      </c>
      <c r="D1048" s="14" t="str">
        <f aca="false">IF(C1048="BUY",B1048,IF(G1047="IN",D1047,""))</f>
        <v/>
      </c>
      <c r="E1048" s="14" t="str">
        <f aca="false">IF(C1048="SELL",B1048,"")</f>
        <v/>
      </c>
      <c r="F1048" s="14" t="str">
        <f aca="false">IF(E1048="","",(E1048-D1048)/D1048*100)</f>
        <v/>
      </c>
      <c r="G1048" s="0" t="str">
        <f aca="false">IF(C1048="BUY","IN",IF(C1048="SELL","OUT",IF(G1047="IN","IN","OUT")))</f>
        <v>OUT</v>
      </c>
      <c r="H1048" s="14" t="n">
        <f aca="false">H1047+IF(F1048="",0,F1048)</f>
        <v>14.6083117311361</v>
      </c>
      <c r="I1048" s="14" t="n">
        <f aca="false">MAX(I1047,H1048)</f>
        <v>43.9309628600509</v>
      </c>
      <c r="J1048" s="14" t="n">
        <f aca="false">I1048-H1048</f>
        <v>29.3226511289148</v>
      </c>
    </row>
    <row r="1049" customFormat="false" ht="15" hidden="false" customHeight="false" outlineLevel="0" collapsed="false">
      <c r="A1049" s="12" t="n">
        <f aca="false">Data!A1049</f>
        <v>43530</v>
      </c>
      <c r="B1049" s="14" t="n">
        <f aca="false">Data!B1049</f>
        <v>56.22</v>
      </c>
      <c r="C1049" s="0" t="str">
        <f aca="false">IF(Data!D1049="","HOLD",IF(AND(G1048&lt;&gt;"IN",Data!E1049&lt;-5),"BUY",IF(AND(G1048="IN",Data!E1049&gt;0),"SELL","HOLD")))</f>
        <v>HOLD</v>
      </c>
      <c r="D1049" s="14" t="str">
        <f aca="false">IF(C1049="BUY",B1049,IF(G1048="IN",D1048,""))</f>
        <v/>
      </c>
      <c r="E1049" s="14" t="str">
        <f aca="false">IF(C1049="SELL",B1049,"")</f>
        <v/>
      </c>
      <c r="F1049" s="14" t="str">
        <f aca="false">IF(E1049="","",(E1049-D1049)/D1049*100)</f>
        <v/>
      </c>
      <c r="G1049" s="0" t="str">
        <f aca="false">IF(C1049="BUY","IN",IF(C1049="SELL","OUT",IF(G1048="IN","IN","OUT")))</f>
        <v>OUT</v>
      </c>
      <c r="H1049" s="14" t="n">
        <f aca="false">H1048+IF(F1049="",0,F1049)</f>
        <v>14.6083117311361</v>
      </c>
      <c r="I1049" s="14" t="n">
        <f aca="false">MAX(I1048,H1049)</f>
        <v>43.9309628600509</v>
      </c>
      <c r="J1049" s="14" t="n">
        <f aca="false">I1049-H1049</f>
        <v>29.3226511289148</v>
      </c>
    </row>
    <row r="1050" customFormat="false" ht="15" hidden="false" customHeight="false" outlineLevel="0" collapsed="false">
      <c r="A1050" s="12" t="n">
        <f aca="false">Data!A1050</f>
        <v>43531</v>
      </c>
      <c r="B1050" s="14" t="n">
        <f aca="false">Data!B1050</f>
        <v>56.66</v>
      </c>
      <c r="C1050" s="0" t="str">
        <f aca="false">IF(Data!D1050="","HOLD",IF(AND(G1049&lt;&gt;"IN",Data!E1050&lt;-5),"BUY",IF(AND(G1049="IN",Data!E1050&gt;0),"SELL","HOLD")))</f>
        <v>HOLD</v>
      </c>
      <c r="D1050" s="14" t="str">
        <f aca="false">IF(C1050="BUY",B1050,IF(G1049="IN",D1049,""))</f>
        <v/>
      </c>
      <c r="E1050" s="14" t="str">
        <f aca="false">IF(C1050="SELL",B1050,"")</f>
        <v/>
      </c>
      <c r="F1050" s="14" t="str">
        <f aca="false">IF(E1050="","",(E1050-D1050)/D1050*100)</f>
        <v/>
      </c>
      <c r="G1050" s="0" t="str">
        <f aca="false">IF(C1050="BUY","IN",IF(C1050="SELL","OUT",IF(G1049="IN","IN","OUT")))</f>
        <v>OUT</v>
      </c>
      <c r="H1050" s="14" t="n">
        <f aca="false">H1049+IF(F1050="",0,F1050)</f>
        <v>14.6083117311361</v>
      </c>
      <c r="I1050" s="14" t="n">
        <f aca="false">MAX(I1049,H1050)</f>
        <v>43.9309628600509</v>
      </c>
      <c r="J1050" s="14" t="n">
        <f aca="false">I1050-H1050</f>
        <v>29.3226511289148</v>
      </c>
    </row>
    <row r="1051" customFormat="false" ht="15" hidden="false" customHeight="false" outlineLevel="0" collapsed="false">
      <c r="A1051" s="12" t="n">
        <f aca="false">Data!A1051</f>
        <v>43532</v>
      </c>
      <c r="B1051" s="14" t="n">
        <f aca="false">Data!B1051</f>
        <v>56.07</v>
      </c>
      <c r="C1051" s="0" t="str">
        <f aca="false">IF(Data!D1051="","HOLD",IF(AND(G1050&lt;&gt;"IN",Data!E1051&lt;-5),"BUY",IF(AND(G1050="IN",Data!E1051&gt;0),"SELL","HOLD")))</f>
        <v>HOLD</v>
      </c>
      <c r="D1051" s="14" t="str">
        <f aca="false">IF(C1051="BUY",B1051,IF(G1050="IN",D1050,""))</f>
        <v/>
      </c>
      <c r="E1051" s="14" t="str">
        <f aca="false">IF(C1051="SELL",B1051,"")</f>
        <v/>
      </c>
      <c r="F1051" s="14" t="str">
        <f aca="false">IF(E1051="","",(E1051-D1051)/D1051*100)</f>
        <v/>
      </c>
      <c r="G1051" s="0" t="str">
        <f aca="false">IF(C1051="BUY","IN",IF(C1051="SELL","OUT",IF(G1050="IN","IN","OUT")))</f>
        <v>OUT</v>
      </c>
      <c r="H1051" s="14" t="n">
        <f aca="false">H1050+IF(F1051="",0,F1051)</f>
        <v>14.6083117311361</v>
      </c>
      <c r="I1051" s="14" t="n">
        <f aca="false">MAX(I1050,H1051)</f>
        <v>43.9309628600509</v>
      </c>
      <c r="J1051" s="14" t="n">
        <f aca="false">I1051-H1051</f>
        <v>29.3226511289148</v>
      </c>
    </row>
    <row r="1052" customFormat="false" ht="15" hidden="false" customHeight="false" outlineLevel="0" collapsed="false">
      <c r="A1052" s="12" t="n">
        <f aca="false">Data!A1052</f>
        <v>43535</v>
      </c>
      <c r="B1052" s="14" t="n">
        <f aca="false">Data!B1052</f>
        <v>56.79</v>
      </c>
      <c r="C1052" s="0" t="str">
        <f aca="false">IF(Data!D1052="","HOLD",IF(AND(G1051&lt;&gt;"IN",Data!E1052&lt;-5),"BUY",IF(AND(G1051="IN",Data!E1052&gt;0),"SELL","HOLD")))</f>
        <v>HOLD</v>
      </c>
      <c r="D1052" s="14" t="str">
        <f aca="false">IF(C1052="BUY",B1052,IF(G1051="IN",D1051,""))</f>
        <v/>
      </c>
      <c r="E1052" s="14" t="str">
        <f aca="false">IF(C1052="SELL",B1052,"")</f>
        <v/>
      </c>
      <c r="F1052" s="14" t="str">
        <f aca="false">IF(E1052="","",(E1052-D1052)/D1052*100)</f>
        <v/>
      </c>
      <c r="G1052" s="0" t="str">
        <f aca="false">IF(C1052="BUY","IN",IF(C1052="SELL","OUT",IF(G1051="IN","IN","OUT")))</f>
        <v>OUT</v>
      </c>
      <c r="H1052" s="14" t="n">
        <f aca="false">H1051+IF(F1052="",0,F1052)</f>
        <v>14.6083117311361</v>
      </c>
      <c r="I1052" s="14" t="n">
        <f aca="false">MAX(I1051,H1052)</f>
        <v>43.9309628600509</v>
      </c>
      <c r="J1052" s="14" t="n">
        <f aca="false">I1052-H1052</f>
        <v>29.3226511289148</v>
      </c>
    </row>
    <row r="1053" customFormat="false" ht="15" hidden="false" customHeight="false" outlineLevel="0" collapsed="false">
      <c r="A1053" s="12" t="n">
        <f aca="false">Data!A1053</f>
        <v>43536</v>
      </c>
      <c r="B1053" s="14" t="n">
        <f aca="false">Data!B1053</f>
        <v>56.87</v>
      </c>
      <c r="C1053" s="0" t="str">
        <f aca="false">IF(Data!D1053="","HOLD",IF(AND(G1052&lt;&gt;"IN",Data!E1053&lt;-5),"BUY",IF(AND(G1052="IN",Data!E1053&gt;0),"SELL","HOLD")))</f>
        <v>HOLD</v>
      </c>
      <c r="D1053" s="14" t="str">
        <f aca="false">IF(C1053="BUY",B1053,IF(G1052="IN",D1052,""))</f>
        <v/>
      </c>
      <c r="E1053" s="14" t="str">
        <f aca="false">IF(C1053="SELL",B1053,"")</f>
        <v/>
      </c>
      <c r="F1053" s="14" t="str">
        <f aca="false">IF(E1053="","",(E1053-D1053)/D1053*100)</f>
        <v/>
      </c>
      <c r="G1053" s="0" t="str">
        <f aca="false">IF(C1053="BUY","IN",IF(C1053="SELL","OUT",IF(G1052="IN","IN","OUT")))</f>
        <v>OUT</v>
      </c>
      <c r="H1053" s="14" t="n">
        <f aca="false">H1052+IF(F1053="",0,F1053)</f>
        <v>14.6083117311361</v>
      </c>
      <c r="I1053" s="14" t="n">
        <f aca="false">MAX(I1052,H1053)</f>
        <v>43.9309628600509</v>
      </c>
      <c r="J1053" s="14" t="n">
        <f aca="false">I1053-H1053</f>
        <v>29.3226511289148</v>
      </c>
    </row>
    <row r="1054" customFormat="false" ht="15" hidden="false" customHeight="false" outlineLevel="0" collapsed="false">
      <c r="A1054" s="12" t="n">
        <f aca="false">Data!A1054</f>
        <v>43537</v>
      </c>
      <c r="B1054" s="14" t="n">
        <f aca="false">Data!B1054</f>
        <v>58.26</v>
      </c>
      <c r="C1054" s="0" t="str">
        <f aca="false">IF(Data!D1054="","HOLD",IF(AND(G1053&lt;&gt;"IN",Data!E1054&lt;-5),"BUY",IF(AND(G1053="IN",Data!E1054&gt;0),"SELL","HOLD")))</f>
        <v>HOLD</v>
      </c>
      <c r="D1054" s="14" t="str">
        <f aca="false">IF(C1054="BUY",B1054,IF(G1053="IN",D1053,""))</f>
        <v/>
      </c>
      <c r="E1054" s="14" t="str">
        <f aca="false">IF(C1054="SELL",B1054,"")</f>
        <v/>
      </c>
      <c r="F1054" s="14" t="str">
        <f aca="false">IF(E1054="","",(E1054-D1054)/D1054*100)</f>
        <v/>
      </c>
      <c r="G1054" s="0" t="str">
        <f aca="false">IF(C1054="BUY","IN",IF(C1054="SELL","OUT",IF(G1053="IN","IN","OUT")))</f>
        <v>OUT</v>
      </c>
      <c r="H1054" s="14" t="n">
        <f aca="false">H1053+IF(F1054="",0,F1054)</f>
        <v>14.6083117311361</v>
      </c>
      <c r="I1054" s="14" t="n">
        <f aca="false">MAX(I1053,H1054)</f>
        <v>43.9309628600509</v>
      </c>
      <c r="J1054" s="14" t="n">
        <f aca="false">I1054-H1054</f>
        <v>29.3226511289148</v>
      </c>
    </row>
    <row r="1055" customFormat="false" ht="15" hidden="false" customHeight="false" outlineLevel="0" collapsed="false">
      <c r="A1055" s="12" t="n">
        <f aca="false">Data!A1055</f>
        <v>43538</v>
      </c>
      <c r="B1055" s="14" t="n">
        <f aca="false">Data!B1055</f>
        <v>58.61</v>
      </c>
      <c r="C1055" s="0" t="str">
        <f aca="false">IF(Data!D1055="","HOLD",IF(AND(G1054&lt;&gt;"IN",Data!E1055&lt;-5),"BUY",IF(AND(G1054="IN",Data!E1055&gt;0),"SELL","HOLD")))</f>
        <v>HOLD</v>
      </c>
      <c r="D1055" s="14" t="str">
        <f aca="false">IF(C1055="BUY",B1055,IF(G1054="IN",D1054,""))</f>
        <v/>
      </c>
      <c r="E1055" s="14" t="str">
        <f aca="false">IF(C1055="SELL",B1055,"")</f>
        <v/>
      </c>
      <c r="F1055" s="14" t="str">
        <f aca="false">IF(E1055="","",(E1055-D1055)/D1055*100)</f>
        <v/>
      </c>
      <c r="G1055" s="0" t="str">
        <f aca="false">IF(C1055="BUY","IN",IF(C1055="SELL","OUT",IF(G1054="IN","IN","OUT")))</f>
        <v>OUT</v>
      </c>
      <c r="H1055" s="14" t="n">
        <f aca="false">H1054+IF(F1055="",0,F1055)</f>
        <v>14.6083117311361</v>
      </c>
      <c r="I1055" s="14" t="n">
        <f aca="false">MAX(I1054,H1055)</f>
        <v>43.9309628600509</v>
      </c>
      <c r="J1055" s="14" t="n">
        <f aca="false">I1055-H1055</f>
        <v>29.3226511289148</v>
      </c>
    </row>
    <row r="1056" customFormat="false" ht="15" hidden="false" customHeight="false" outlineLevel="0" collapsed="false">
      <c r="A1056" s="12" t="n">
        <f aca="false">Data!A1056</f>
        <v>43539</v>
      </c>
      <c r="B1056" s="14" t="n">
        <f aca="false">Data!B1056</f>
        <v>58.52</v>
      </c>
      <c r="C1056" s="0" t="str">
        <f aca="false">IF(Data!D1056="","HOLD",IF(AND(G1055&lt;&gt;"IN",Data!E1056&lt;-5),"BUY",IF(AND(G1055="IN",Data!E1056&gt;0),"SELL","HOLD")))</f>
        <v>HOLD</v>
      </c>
      <c r="D1056" s="14" t="str">
        <f aca="false">IF(C1056="BUY",B1056,IF(G1055="IN",D1055,""))</f>
        <v/>
      </c>
      <c r="E1056" s="14" t="str">
        <f aca="false">IF(C1056="SELL",B1056,"")</f>
        <v/>
      </c>
      <c r="F1056" s="14" t="str">
        <f aca="false">IF(E1056="","",(E1056-D1056)/D1056*100)</f>
        <v/>
      </c>
      <c r="G1056" s="0" t="str">
        <f aca="false">IF(C1056="BUY","IN",IF(C1056="SELL","OUT",IF(G1055="IN","IN","OUT")))</f>
        <v>OUT</v>
      </c>
      <c r="H1056" s="14" t="n">
        <f aca="false">H1055+IF(F1056="",0,F1056)</f>
        <v>14.6083117311361</v>
      </c>
      <c r="I1056" s="14" t="n">
        <f aca="false">MAX(I1055,H1056)</f>
        <v>43.9309628600509</v>
      </c>
      <c r="J1056" s="14" t="n">
        <f aca="false">I1056-H1056</f>
        <v>29.3226511289148</v>
      </c>
    </row>
    <row r="1057" customFormat="false" ht="15" hidden="false" customHeight="false" outlineLevel="0" collapsed="false">
      <c r="A1057" s="12" t="n">
        <f aca="false">Data!A1057</f>
        <v>43542</v>
      </c>
      <c r="B1057" s="14" t="n">
        <f aca="false">Data!B1057</f>
        <v>59.09</v>
      </c>
      <c r="C1057" s="0" t="str">
        <f aca="false">IF(Data!D1057="","HOLD",IF(AND(G1056&lt;&gt;"IN",Data!E1057&lt;-5),"BUY",IF(AND(G1056="IN",Data!E1057&gt;0),"SELL","HOLD")))</f>
        <v>HOLD</v>
      </c>
      <c r="D1057" s="14" t="str">
        <f aca="false">IF(C1057="BUY",B1057,IF(G1056="IN",D1056,""))</f>
        <v/>
      </c>
      <c r="E1057" s="14" t="str">
        <f aca="false">IF(C1057="SELL",B1057,"")</f>
        <v/>
      </c>
      <c r="F1057" s="14" t="str">
        <f aca="false">IF(E1057="","",(E1057-D1057)/D1057*100)</f>
        <v/>
      </c>
      <c r="G1057" s="0" t="str">
        <f aca="false">IF(C1057="BUY","IN",IF(C1057="SELL","OUT",IF(G1056="IN","IN","OUT")))</f>
        <v>OUT</v>
      </c>
      <c r="H1057" s="14" t="n">
        <f aca="false">H1056+IF(F1057="",0,F1057)</f>
        <v>14.6083117311361</v>
      </c>
      <c r="I1057" s="14" t="n">
        <f aca="false">MAX(I1056,H1057)</f>
        <v>43.9309628600509</v>
      </c>
      <c r="J1057" s="14" t="n">
        <f aca="false">I1057-H1057</f>
        <v>29.3226511289148</v>
      </c>
    </row>
    <row r="1058" customFormat="false" ht="15" hidden="false" customHeight="false" outlineLevel="0" collapsed="false">
      <c r="A1058" s="12" t="n">
        <f aca="false">Data!A1058</f>
        <v>43543</v>
      </c>
      <c r="B1058" s="14" t="n">
        <f aca="false">Data!B1058</f>
        <v>59.03</v>
      </c>
      <c r="C1058" s="0" t="str">
        <f aca="false">IF(Data!D1058="","HOLD",IF(AND(G1057&lt;&gt;"IN",Data!E1058&lt;-5),"BUY",IF(AND(G1057="IN",Data!E1058&gt;0),"SELL","HOLD")))</f>
        <v>HOLD</v>
      </c>
      <c r="D1058" s="14" t="str">
        <f aca="false">IF(C1058="BUY",B1058,IF(G1057="IN",D1057,""))</f>
        <v/>
      </c>
      <c r="E1058" s="14" t="str">
        <f aca="false">IF(C1058="SELL",B1058,"")</f>
        <v/>
      </c>
      <c r="F1058" s="14" t="str">
        <f aca="false">IF(E1058="","",(E1058-D1058)/D1058*100)</f>
        <v/>
      </c>
      <c r="G1058" s="0" t="str">
        <f aca="false">IF(C1058="BUY","IN",IF(C1058="SELL","OUT",IF(G1057="IN","IN","OUT")))</f>
        <v>OUT</v>
      </c>
      <c r="H1058" s="14" t="n">
        <f aca="false">H1057+IF(F1058="",0,F1058)</f>
        <v>14.6083117311361</v>
      </c>
      <c r="I1058" s="14" t="n">
        <f aca="false">MAX(I1057,H1058)</f>
        <v>43.9309628600509</v>
      </c>
      <c r="J1058" s="14" t="n">
        <f aca="false">I1058-H1058</f>
        <v>29.3226511289148</v>
      </c>
    </row>
    <row r="1059" customFormat="false" ht="15" hidden="false" customHeight="false" outlineLevel="0" collapsed="false">
      <c r="A1059" s="12" t="n">
        <f aca="false">Data!A1059</f>
        <v>43544</v>
      </c>
      <c r="B1059" s="14" t="n">
        <f aca="false">Data!B1059</f>
        <v>59.83</v>
      </c>
      <c r="C1059" s="0" t="str">
        <f aca="false">IF(Data!D1059="","HOLD",IF(AND(G1058&lt;&gt;"IN",Data!E1059&lt;-5),"BUY",IF(AND(G1058="IN",Data!E1059&gt;0),"SELL","HOLD")))</f>
        <v>HOLD</v>
      </c>
      <c r="D1059" s="14" t="str">
        <f aca="false">IF(C1059="BUY",B1059,IF(G1058="IN",D1058,""))</f>
        <v/>
      </c>
      <c r="E1059" s="14" t="str">
        <f aca="false">IF(C1059="SELL",B1059,"")</f>
        <v/>
      </c>
      <c r="F1059" s="14" t="str">
        <f aca="false">IF(E1059="","",(E1059-D1059)/D1059*100)</f>
        <v/>
      </c>
      <c r="G1059" s="0" t="str">
        <f aca="false">IF(C1059="BUY","IN",IF(C1059="SELL","OUT",IF(G1058="IN","IN","OUT")))</f>
        <v>OUT</v>
      </c>
      <c r="H1059" s="14" t="n">
        <f aca="false">H1058+IF(F1059="",0,F1059)</f>
        <v>14.6083117311361</v>
      </c>
      <c r="I1059" s="14" t="n">
        <f aca="false">MAX(I1058,H1059)</f>
        <v>43.9309628600509</v>
      </c>
      <c r="J1059" s="14" t="n">
        <f aca="false">I1059-H1059</f>
        <v>29.3226511289148</v>
      </c>
    </row>
    <row r="1060" customFormat="false" ht="15" hidden="false" customHeight="false" outlineLevel="0" collapsed="false">
      <c r="A1060" s="12" t="n">
        <f aca="false">Data!A1060</f>
        <v>43545</v>
      </c>
      <c r="B1060" s="14" t="n">
        <f aca="false">Data!B1060</f>
        <v>59.98</v>
      </c>
      <c r="C1060" s="0" t="str">
        <f aca="false">IF(Data!D1060="","HOLD",IF(AND(G1059&lt;&gt;"IN",Data!E1060&lt;-5),"BUY",IF(AND(G1059="IN",Data!E1060&gt;0),"SELL","HOLD")))</f>
        <v>HOLD</v>
      </c>
      <c r="D1060" s="14" t="str">
        <f aca="false">IF(C1060="BUY",B1060,IF(G1059="IN",D1059,""))</f>
        <v/>
      </c>
      <c r="E1060" s="14" t="str">
        <f aca="false">IF(C1060="SELL",B1060,"")</f>
        <v/>
      </c>
      <c r="F1060" s="14" t="str">
        <f aca="false">IF(E1060="","",(E1060-D1060)/D1060*100)</f>
        <v/>
      </c>
      <c r="G1060" s="0" t="str">
        <f aca="false">IF(C1060="BUY","IN",IF(C1060="SELL","OUT",IF(G1059="IN","IN","OUT")))</f>
        <v>OUT</v>
      </c>
      <c r="H1060" s="14" t="n">
        <f aca="false">H1059+IF(F1060="",0,F1060)</f>
        <v>14.6083117311361</v>
      </c>
      <c r="I1060" s="14" t="n">
        <f aca="false">MAX(I1059,H1060)</f>
        <v>43.9309628600509</v>
      </c>
      <c r="J1060" s="14" t="n">
        <f aca="false">I1060-H1060</f>
        <v>29.3226511289148</v>
      </c>
    </row>
    <row r="1061" customFormat="false" ht="15" hidden="false" customHeight="false" outlineLevel="0" collapsed="false">
      <c r="A1061" s="12" t="n">
        <f aca="false">Data!A1061</f>
        <v>43546</v>
      </c>
      <c r="B1061" s="14" t="n">
        <f aca="false">Data!B1061</f>
        <v>59.04</v>
      </c>
      <c r="C1061" s="0" t="str">
        <f aca="false">IF(Data!D1061="","HOLD",IF(AND(G1060&lt;&gt;"IN",Data!E1061&lt;-5),"BUY",IF(AND(G1060="IN",Data!E1061&gt;0),"SELL","HOLD")))</f>
        <v>HOLD</v>
      </c>
      <c r="D1061" s="14" t="str">
        <f aca="false">IF(C1061="BUY",B1061,IF(G1060="IN",D1060,""))</f>
        <v/>
      </c>
      <c r="E1061" s="14" t="str">
        <f aca="false">IF(C1061="SELL",B1061,"")</f>
        <v/>
      </c>
      <c r="F1061" s="14" t="str">
        <f aca="false">IF(E1061="","",(E1061-D1061)/D1061*100)</f>
        <v/>
      </c>
      <c r="G1061" s="0" t="str">
        <f aca="false">IF(C1061="BUY","IN",IF(C1061="SELL","OUT",IF(G1060="IN","IN","OUT")))</f>
        <v>OUT</v>
      </c>
      <c r="H1061" s="14" t="n">
        <f aca="false">H1060+IF(F1061="",0,F1061)</f>
        <v>14.6083117311361</v>
      </c>
      <c r="I1061" s="14" t="n">
        <f aca="false">MAX(I1060,H1061)</f>
        <v>43.9309628600509</v>
      </c>
      <c r="J1061" s="14" t="n">
        <f aca="false">I1061-H1061</f>
        <v>29.3226511289148</v>
      </c>
    </row>
    <row r="1062" customFormat="false" ht="15" hidden="false" customHeight="false" outlineLevel="0" collapsed="false">
      <c r="A1062" s="12" t="n">
        <f aca="false">Data!A1062</f>
        <v>43549</v>
      </c>
      <c r="B1062" s="14" t="n">
        <f aca="false">Data!B1062</f>
        <v>58.82</v>
      </c>
      <c r="C1062" s="0" t="str">
        <f aca="false">IF(Data!D1062="","HOLD",IF(AND(G1061&lt;&gt;"IN",Data!E1062&lt;-5),"BUY",IF(AND(G1061="IN",Data!E1062&gt;0),"SELL","HOLD")))</f>
        <v>HOLD</v>
      </c>
      <c r="D1062" s="14" t="str">
        <f aca="false">IF(C1062="BUY",B1062,IF(G1061="IN",D1061,""))</f>
        <v/>
      </c>
      <c r="E1062" s="14" t="str">
        <f aca="false">IF(C1062="SELL",B1062,"")</f>
        <v/>
      </c>
      <c r="F1062" s="14" t="str">
        <f aca="false">IF(E1062="","",(E1062-D1062)/D1062*100)</f>
        <v/>
      </c>
      <c r="G1062" s="0" t="str">
        <f aca="false">IF(C1062="BUY","IN",IF(C1062="SELL","OUT",IF(G1061="IN","IN","OUT")))</f>
        <v>OUT</v>
      </c>
      <c r="H1062" s="14" t="n">
        <f aca="false">H1061+IF(F1062="",0,F1062)</f>
        <v>14.6083117311361</v>
      </c>
      <c r="I1062" s="14" t="n">
        <f aca="false">MAX(I1061,H1062)</f>
        <v>43.9309628600509</v>
      </c>
      <c r="J1062" s="14" t="n">
        <f aca="false">I1062-H1062</f>
        <v>29.3226511289148</v>
      </c>
    </row>
    <row r="1063" customFormat="false" ht="15" hidden="false" customHeight="false" outlineLevel="0" collapsed="false">
      <c r="A1063" s="12" t="n">
        <f aca="false">Data!A1063</f>
        <v>43550</v>
      </c>
      <c r="B1063" s="14" t="n">
        <f aca="false">Data!B1063</f>
        <v>59.94</v>
      </c>
      <c r="C1063" s="0" t="str">
        <f aca="false">IF(Data!D1063="","HOLD",IF(AND(G1062&lt;&gt;"IN",Data!E1063&lt;-5),"BUY",IF(AND(G1062="IN",Data!E1063&gt;0),"SELL","HOLD")))</f>
        <v>HOLD</v>
      </c>
      <c r="D1063" s="14" t="str">
        <f aca="false">IF(C1063="BUY",B1063,IF(G1062="IN",D1062,""))</f>
        <v/>
      </c>
      <c r="E1063" s="14" t="str">
        <f aca="false">IF(C1063="SELL",B1063,"")</f>
        <v/>
      </c>
      <c r="F1063" s="14" t="str">
        <f aca="false">IF(E1063="","",(E1063-D1063)/D1063*100)</f>
        <v/>
      </c>
      <c r="G1063" s="0" t="str">
        <f aca="false">IF(C1063="BUY","IN",IF(C1063="SELL","OUT",IF(G1062="IN","IN","OUT")))</f>
        <v>OUT</v>
      </c>
      <c r="H1063" s="14" t="n">
        <f aca="false">H1062+IF(F1063="",0,F1063)</f>
        <v>14.6083117311361</v>
      </c>
      <c r="I1063" s="14" t="n">
        <f aca="false">MAX(I1062,H1063)</f>
        <v>43.9309628600509</v>
      </c>
      <c r="J1063" s="14" t="n">
        <f aca="false">I1063-H1063</f>
        <v>29.3226511289148</v>
      </c>
    </row>
    <row r="1064" customFormat="false" ht="15" hidden="false" customHeight="false" outlineLevel="0" collapsed="false">
      <c r="A1064" s="12" t="n">
        <f aca="false">Data!A1064</f>
        <v>43551</v>
      </c>
      <c r="B1064" s="14" t="n">
        <f aca="false">Data!B1064</f>
        <v>59.41</v>
      </c>
      <c r="C1064" s="0" t="str">
        <f aca="false">IF(Data!D1064="","HOLD",IF(AND(G1063&lt;&gt;"IN",Data!E1064&lt;-5),"BUY",IF(AND(G1063="IN",Data!E1064&gt;0),"SELL","HOLD")))</f>
        <v>HOLD</v>
      </c>
      <c r="D1064" s="14" t="str">
        <f aca="false">IF(C1064="BUY",B1064,IF(G1063="IN",D1063,""))</f>
        <v/>
      </c>
      <c r="E1064" s="14" t="str">
        <f aca="false">IF(C1064="SELL",B1064,"")</f>
        <v/>
      </c>
      <c r="F1064" s="14" t="str">
        <f aca="false">IF(E1064="","",(E1064-D1064)/D1064*100)</f>
        <v/>
      </c>
      <c r="G1064" s="0" t="str">
        <f aca="false">IF(C1064="BUY","IN",IF(C1064="SELL","OUT",IF(G1063="IN","IN","OUT")))</f>
        <v>OUT</v>
      </c>
      <c r="H1064" s="14" t="n">
        <f aca="false">H1063+IF(F1064="",0,F1064)</f>
        <v>14.6083117311361</v>
      </c>
      <c r="I1064" s="14" t="n">
        <f aca="false">MAX(I1063,H1064)</f>
        <v>43.9309628600509</v>
      </c>
      <c r="J1064" s="14" t="n">
        <f aca="false">I1064-H1064</f>
        <v>29.3226511289148</v>
      </c>
    </row>
    <row r="1065" customFormat="false" ht="15" hidden="false" customHeight="false" outlineLevel="0" collapsed="false">
      <c r="A1065" s="12" t="n">
        <f aca="false">Data!A1065</f>
        <v>43552</v>
      </c>
      <c r="B1065" s="14" t="n">
        <f aca="false">Data!B1065</f>
        <v>59.3</v>
      </c>
      <c r="C1065" s="0" t="str">
        <f aca="false">IF(Data!D1065="","HOLD",IF(AND(G1064&lt;&gt;"IN",Data!E1065&lt;-5),"BUY",IF(AND(G1064="IN",Data!E1065&gt;0),"SELL","HOLD")))</f>
        <v>HOLD</v>
      </c>
      <c r="D1065" s="14" t="str">
        <f aca="false">IF(C1065="BUY",B1065,IF(G1064="IN",D1064,""))</f>
        <v/>
      </c>
      <c r="E1065" s="14" t="str">
        <f aca="false">IF(C1065="SELL",B1065,"")</f>
        <v/>
      </c>
      <c r="F1065" s="14" t="str">
        <f aca="false">IF(E1065="","",(E1065-D1065)/D1065*100)</f>
        <v/>
      </c>
      <c r="G1065" s="0" t="str">
        <f aca="false">IF(C1065="BUY","IN",IF(C1065="SELL","OUT",IF(G1064="IN","IN","OUT")))</f>
        <v>OUT</v>
      </c>
      <c r="H1065" s="14" t="n">
        <f aca="false">H1064+IF(F1065="",0,F1065)</f>
        <v>14.6083117311361</v>
      </c>
      <c r="I1065" s="14" t="n">
        <f aca="false">MAX(I1064,H1065)</f>
        <v>43.9309628600509</v>
      </c>
      <c r="J1065" s="14" t="n">
        <f aca="false">I1065-H1065</f>
        <v>29.3226511289148</v>
      </c>
    </row>
    <row r="1066" customFormat="false" ht="15" hidden="false" customHeight="false" outlineLevel="0" collapsed="false">
      <c r="A1066" s="12" t="n">
        <f aca="false">Data!A1066</f>
        <v>43553</v>
      </c>
      <c r="B1066" s="14" t="n">
        <f aca="false">Data!B1066</f>
        <v>60.14</v>
      </c>
      <c r="C1066" s="0" t="str">
        <f aca="false">IF(Data!D1066="","HOLD",IF(AND(G1065&lt;&gt;"IN",Data!E1066&lt;-5),"BUY",IF(AND(G1065="IN",Data!E1066&gt;0),"SELL","HOLD")))</f>
        <v>HOLD</v>
      </c>
      <c r="D1066" s="14" t="str">
        <f aca="false">IF(C1066="BUY",B1066,IF(G1065="IN",D1065,""))</f>
        <v/>
      </c>
      <c r="E1066" s="14" t="str">
        <f aca="false">IF(C1066="SELL",B1066,"")</f>
        <v/>
      </c>
      <c r="F1066" s="14" t="str">
        <f aca="false">IF(E1066="","",(E1066-D1066)/D1066*100)</f>
        <v/>
      </c>
      <c r="G1066" s="0" t="str">
        <f aca="false">IF(C1066="BUY","IN",IF(C1066="SELL","OUT",IF(G1065="IN","IN","OUT")))</f>
        <v>OUT</v>
      </c>
      <c r="H1066" s="14" t="n">
        <f aca="false">H1065+IF(F1066="",0,F1066)</f>
        <v>14.6083117311361</v>
      </c>
      <c r="I1066" s="14" t="n">
        <f aca="false">MAX(I1065,H1066)</f>
        <v>43.9309628600509</v>
      </c>
      <c r="J1066" s="14" t="n">
        <f aca="false">I1066-H1066</f>
        <v>29.3226511289148</v>
      </c>
    </row>
    <row r="1067" customFormat="false" ht="15" hidden="false" customHeight="false" outlineLevel="0" collapsed="false">
      <c r="A1067" s="12" t="n">
        <f aca="false">Data!A1067</f>
        <v>43556</v>
      </c>
      <c r="B1067" s="14" t="n">
        <f aca="false">Data!B1067</f>
        <v>61.59</v>
      </c>
      <c r="C1067" s="0" t="str">
        <f aca="false">IF(Data!D1067="","HOLD",IF(AND(G1066&lt;&gt;"IN",Data!E1067&lt;-5),"BUY",IF(AND(G1066="IN",Data!E1067&gt;0),"SELL","HOLD")))</f>
        <v>HOLD</v>
      </c>
      <c r="D1067" s="14" t="str">
        <f aca="false">IF(C1067="BUY",B1067,IF(G1066="IN",D1066,""))</f>
        <v/>
      </c>
      <c r="E1067" s="14" t="str">
        <f aca="false">IF(C1067="SELL",B1067,"")</f>
        <v/>
      </c>
      <c r="F1067" s="14" t="str">
        <f aca="false">IF(E1067="","",(E1067-D1067)/D1067*100)</f>
        <v/>
      </c>
      <c r="G1067" s="0" t="str">
        <f aca="false">IF(C1067="BUY","IN",IF(C1067="SELL","OUT",IF(G1066="IN","IN","OUT")))</f>
        <v>OUT</v>
      </c>
      <c r="H1067" s="14" t="n">
        <f aca="false">H1066+IF(F1067="",0,F1067)</f>
        <v>14.6083117311361</v>
      </c>
      <c r="I1067" s="14" t="n">
        <f aca="false">MAX(I1066,H1067)</f>
        <v>43.9309628600509</v>
      </c>
      <c r="J1067" s="14" t="n">
        <f aca="false">I1067-H1067</f>
        <v>29.3226511289148</v>
      </c>
    </row>
    <row r="1068" customFormat="false" ht="15" hidden="false" customHeight="false" outlineLevel="0" collapsed="false">
      <c r="A1068" s="12" t="n">
        <f aca="false">Data!A1068</f>
        <v>43557</v>
      </c>
      <c r="B1068" s="14" t="n">
        <f aca="false">Data!B1068</f>
        <v>62.58</v>
      </c>
      <c r="C1068" s="0" t="str">
        <f aca="false">IF(Data!D1068="","HOLD",IF(AND(G1067&lt;&gt;"IN",Data!E1068&lt;-5),"BUY",IF(AND(G1067="IN",Data!E1068&gt;0),"SELL","HOLD")))</f>
        <v>HOLD</v>
      </c>
      <c r="D1068" s="14" t="str">
        <f aca="false">IF(C1068="BUY",B1068,IF(G1067="IN",D1067,""))</f>
        <v/>
      </c>
      <c r="E1068" s="14" t="str">
        <f aca="false">IF(C1068="SELL",B1068,"")</f>
        <v/>
      </c>
      <c r="F1068" s="14" t="str">
        <f aca="false">IF(E1068="","",(E1068-D1068)/D1068*100)</f>
        <v/>
      </c>
      <c r="G1068" s="0" t="str">
        <f aca="false">IF(C1068="BUY","IN",IF(C1068="SELL","OUT",IF(G1067="IN","IN","OUT")))</f>
        <v>OUT</v>
      </c>
      <c r="H1068" s="14" t="n">
        <f aca="false">H1067+IF(F1068="",0,F1068)</f>
        <v>14.6083117311361</v>
      </c>
      <c r="I1068" s="14" t="n">
        <f aca="false">MAX(I1067,H1068)</f>
        <v>43.9309628600509</v>
      </c>
      <c r="J1068" s="14" t="n">
        <f aca="false">I1068-H1068</f>
        <v>29.3226511289148</v>
      </c>
    </row>
    <row r="1069" customFormat="false" ht="15" hidden="false" customHeight="false" outlineLevel="0" collapsed="false">
      <c r="A1069" s="12" t="n">
        <f aca="false">Data!A1069</f>
        <v>43558</v>
      </c>
      <c r="B1069" s="14" t="n">
        <f aca="false">Data!B1069</f>
        <v>62.46</v>
      </c>
      <c r="C1069" s="0" t="str">
        <f aca="false">IF(Data!D1069="","HOLD",IF(AND(G1068&lt;&gt;"IN",Data!E1069&lt;-5),"BUY",IF(AND(G1068="IN",Data!E1069&gt;0),"SELL","HOLD")))</f>
        <v>HOLD</v>
      </c>
      <c r="D1069" s="14" t="str">
        <f aca="false">IF(C1069="BUY",B1069,IF(G1068="IN",D1068,""))</f>
        <v/>
      </c>
      <c r="E1069" s="14" t="str">
        <f aca="false">IF(C1069="SELL",B1069,"")</f>
        <v/>
      </c>
      <c r="F1069" s="14" t="str">
        <f aca="false">IF(E1069="","",(E1069-D1069)/D1069*100)</f>
        <v/>
      </c>
      <c r="G1069" s="0" t="str">
        <f aca="false">IF(C1069="BUY","IN",IF(C1069="SELL","OUT",IF(G1068="IN","IN","OUT")))</f>
        <v>OUT</v>
      </c>
      <c r="H1069" s="14" t="n">
        <f aca="false">H1068+IF(F1069="",0,F1069)</f>
        <v>14.6083117311361</v>
      </c>
      <c r="I1069" s="14" t="n">
        <f aca="false">MAX(I1068,H1069)</f>
        <v>43.9309628600509</v>
      </c>
      <c r="J1069" s="14" t="n">
        <f aca="false">I1069-H1069</f>
        <v>29.3226511289148</v>
      </c>
    </row>
    <row r="1070" customFormat="false" ht="15" hidden="false" customHeight="false" outlineLevel="0" collapsed="false">
      <c r="A1070" s="12" t="n">
        <f aca="false">Data!A1070</f>
        <v>43559</v>
      </c>
      <c r="B1070" s="14" t="n">
        <f aca="false">Data!B1070</f>
        <v>62.1</v>
      </c>
      <c r="C1070" s="0" t="str">
        <f aca="false">IF(Data!D1070="","HOLD",IF(AND(G1069&lt;&gt;"IN",Data!E1070&lt;-5),"BUY",IF(AND(G1069="IN",Data!E1070&gt;0),"SELL","HOLD")))</f>
        <v>HOLD</v>
      </c>
      <c r="D1070" s="14" t="str">
        <f aca="false">IF(C1070="BUY",B1070,IF(G1069="IN",D1069,""))</f>
        <v/>
      </c>
      <c r="E1070" s="14" t="str">
        <f aca="false">IF(C1070="SELL",B1070,"")</f>
        <v/>
      </c>
      <c r="F1070" s="14" t="str">
        <f aca="false">IF(E1070="","",(E1070-D1070)/D1070*100)</f>
        <v/>
      </c>
      <c r="G1070" s="0" t="str">
        <f aca="false">IF(C1070="BUY","IN",IF(C1070="SELL","OUT",IF(G1069="IN","IN","OUT")))</f>
        <v>OUT</v>
      </c>
      <c r="H1070" s="14" t="n">
        <f aca="false">H1069+IF(F1070="",0,F1070)</f>
        <v>14.6083117311361</v>
      </c>
      <c r="I1070" s="14" t="n">
        <f aca="false">MAX(I1069,H1070)</f>
        <v>43.9309628600509</v>
      </c>
      <c r="J1070" s="14" t="n">
        <f aca="false">I1070-H1070</f>
        <v>29.3226511289148</v>
      </c>
    </row>
    <row r="1071" customFormat="false" ht="15" hidden="false" customHeight="false" outlineLevel="0" collapsed="false">
      <c r="A1071" s="12" t="n">
        <f aca="false">Data!A1071</f>
        <v>43560</v>
      </c>
      <c r="B1071" s="14" t="n">
        <f aca="false">Data!B1071</f>
        <v>63.08</v>
      </c>
      <c r="C1071" s="0" t="str">
        <f aca="false">IF(Data!D1071="","HOLD",IF(AND(G1070&lt;&gt;"IN",Data!E1071&lt;-5),"BUY",IF(AND(G1070="IN",Data!E1071&gt;0),"SELL","HOLD")))</f>
        <v>HOLD</v>
      </c>
      <c r="D1071" s="14" t="str">
        <f aca="false">IF(C1071="BUY",B1071,IF(G1070="IN",D1070,""))</f>
        <v/>
      </c>
      <c r="E1071" s="14" t="str">
        <f aca="false">IF(C1071="SELL",B1071,"")</f>
        <v/>
      </c>
      <c r="F1071" s="14" t="str">
        <f aca="false">IF(E1071="","",(E1071-D1071)/D1071*100)</f>
        <v/>
      </c>
      <c r="G1071" s="0" t="str">
        <f aca="false">IF(C1071="BUY","IN",IF(C1071="SELL","OUT",IF(G1070="IN","IN","OUT")))</f>
        <v>OUT</v>
      </c>
      <c r="H1071" s="14" t="n">
        <f aca="false">H1070+IF(F1071="",0,F1071)</f>
        <v>14.6083117311361</v>
      </c>
      <c r="I1071" s="14" t="n">
        <f aca="false">MAX(I1070,H1071)</f>
        <v>43.9309628600509</v>
      </c>
      <c r="J1071" s="14" t="n">
        <f aca="false">I1071-H1071</f>
        <v>29.3226511289148</v>
      </c>
    </row>
    <row r="1072" customFormat="false" ht="15" hidden="false" customHeight="false" outlineLevel="0" collapsed="false">
      <c r="A1072" s="12" t="n">
        <f aca="false">Data!A1072</f>
        <v>43563</v>
      </c>
      <c r="B1072" s="14" t="n">
        <f aca="false">Data!B1072</f>
        <v>64.4</v>
      </c>
      <c r="C1072" s="0" t="str">
        <f aca="false">IF(Data!D1072="","HOLD",IF(AND(G1071&lt;&gt;"IN",Data!E1072&lt;-5),"BUY",IF(AND(G1071="IN",Data!E1072&gt;0),"SELL","HOLD")))</f>
        <v>HOLD</v>
      </c>
      <c r="D1072" s="14" t="str">
        <f aca="false">IF(C1072="BUY",B1072,IF(G1071="IN",D1071,""))</f>
        <v/>
      </c>
      <c r="E1072" s="14" t="str">
        <f aca="false">IF(C1072="SELL",B1072,"")</f>
        <v/>
      </c>
      <c r="F1072" s="14" t="str">
        <f aca="false">IF(E1072="","",(E1072-D1072)/D1072*100)</f>
        <v/>
      </c>
      <c r="G1072" s="0" t="str">
        <f aca="false">IF(C1072="BUY","IN",IF(C1072="SELL","OUT",IF(G1071="IN","IN","OUT")))</f>
        <v>OUT</v>
      </c>
      <c r="H1072" s="14" t="n">
        <f aca="false">H1071+IF(F1072="",0,F1072)</f>
        <v>14.6083117311361</v>
      </c>
      <c r="I1072" s="14" t="n">
        <f aca="false">MAX(I1071,H1072)</f>
        <v>43.9309628600509</v>
      </c>
      <c r="J1072" s="14" t="n">
        <f aca="false">I1072-H1072</f>
        <v>29.3226511289148</v>
      </c>
    </row>
    <row r="1073" customFormat="false" ht="15" hidden="false" customHeight="false" outlineLevel="0" collapsed="false">
      <c r="A1073" s="12" t="n">
        <f aca="false">Data!A1073</f>
        <v>43564</v>
      </c>
      <c r="B1073" s="14" t="n">
        <f aca="false">Data!B1073</f>
        <v>63.98</v>
      </c>
      <c r="C1073" s="0" t="str">
        <f aca="false">IF(Data!D1073="","HOLD",IF(AND(G1072&lt;&gt;"IN",Data!E1073&lt;-5),"BUY",IF(AND(G1072="IN",Data!E1073&gt;0),"SELL","HOLD")))</f>
        <v>HOLD</v>
      </c>
      <c r="D1073" s="14" t="str">
        <f aca="false">IF(C1073="BUY",B1073,IF(G1072="IN",D1072,""))</f>
        <v/>
      </c>
      <c r="E1073" s="14" t="str">
        <f aca="false">IF(C1073="SELL",B1073,"")</f>
        <v/>
      </c>
      <c r="F1073" s="14" t="str">
        <f aca="false">IF(E1073="","",(E1073-D1073)/D1073*100)</f>
        <v/>
      </c>
      <c r="G1073" s="0" t="str">
        <f aca="false">IF(C1073="BUY","IN",IF(C1073="SELL","OUT",IF(G1072="IN","IN","OUT")))</f>
        <v>OUT</v>
      </c>
      <c r="H1073" s="14" t="n">
        <f aca="false">H1072+IF(F1073="",0,F1073)</f>
        <v>14.6083117311361</v>
      </c>
      <c r="I1073" s="14" t="n">
        <f aca="false">MAX(I1072,H1073)</f>
        <v>43.9309628600509</v>
      </c>
      <c r="J1073" s="14" t="n">
        <f aca="false">I1073-H1073</f>
        <v>29.3226511289148</v>
      </c>
    </row>
    <row r="1074" customFormat="false" ht="15" hidden="false" customHeight="false" outlineLevel="0" collapsed="false">
      <c r="A1074" s="12" t="n">
        <f aca="false">Data!A1074</f>
        <v>43565</v>
      </c>
      <c r="B1074" s="14" t="n">
        <f aca="false">Data!B1074</f>
        <v>64.61</v>
      </c>
      <c r="C1074" s="0" t="str">
        <f aca="false">IF(Data!D1074="","HOLD",IF(AND(G1073&lt;&gt;"IN",Data!E1074&lt;-5),"BUY",IF(AND(G1073="IN",Data!E1074&gt;0),"SELL","HOLD")))</f>
        <v>HOLD</v>
      </c>
      <c r="D1074" s="14" t="str">
        <f aca="false">IF(C1074="BUY",B1074,IF(G1073="IN",D1073,""))</f>
        <v/>
      </c>
      <c r="E1074" s="14" t="str">
        <f aca="false">IF(C1074="SELL",B1074,"")</f>
        <v/>
      </c>
      <c r="F1074" s="14" t="str">
        <f aca="false">IF(E1074="","",(E1074-D1074)/D1074*100)</f>
        <v/>
      </c>
      <c r="G1074" s="0" t="str">
        <f aca="false">IF(C1074="BUY","IN",IF(C1074="SELL","OUT",IF(G1073="IN","IN","OUT")))</f>
        <v>OUT</v>
      </c>
      <c r="H1074" s="14" t="n">
        <f aca="false">H1073+IF(F1074="",0,F1074)</f>
        <v>14.6083117311361</v>
      </c>
      <c r="I1074" s="14" t="n">
        <f aca="false">MAX(I1073,H1074)</f>
        <v>43.9309628600509</v>
      </c>
      <c r="J1074" s="14" t="n">
        <f aca="false">I1074-H1074</f>
        <v>29.3226511289148</v>
      </c>
    </row>
    <row r="1075" customFormat="false" ht="15" hidden="false" customHeight="false" outlineLevel="0" collapsed="false">
      <c r="A1075" s="12" t="n">
        <f aca="false">Data!A1075</f>
        <v>43566</v>
      </c>
      <c r="B1075" s="14" t="n">
        <f aca="false">Data!B1075</f>
        <v>63.58</v>
      </c>
      <c r="C1075" s="0" t="str">
        <f aca="false">IF(Data!D1075="","HOLD",IF(AND(G1074&lt;&gt;"IN",Data!E1075&lt;-5),"BUY",IF(AND(G1074="IN",Data!E1075&gt;0),"SELL","HOLD")))</f>
        <v>HOLD</v>
      </c>
      <c r="D1075" s="14" t="str">
        <f aca="false">IF(C1075="BUY",B1075,IF(G1074="IN",D1074,""))</f>
        <v/>
      </c>
      <c r="E1075" s="14" t="str">
        <f aca="false">IF(C1075="SELL",B1075,"")</f>
        <v/>
      </c>
      <c r="F1075" s="14" t="str">
        <f aca="false">IF(E1075="","",(E1075-D1075)/D1075*100)</f>
        <v/>
      </c>
      <c r="G1075" s="0" t="str">
        <f aca="false">IF(C1075="BUY","IN",IF(C1075="SELL","OUT",IF(G1074="IN","IN","OUT")))</f>
        <v>OUT</v>
      </c>
      <c r="H1075" s="14" t="n">
        <f aca="false">H1074+IF(F1075="",0,F1075)</f>
        <v>14.6083117311361</v>
      </c>
      <c r="I1075" s="14" t="n">
        <f aca="false">MAX(I1074,H1075)</f>
        <v>43.9309628600509</v>
      </c>
      <c r="J1075" s="14" t="n">
        <f aca="false">I1075-H1075</f>
        <v>29.3226511289148</v>
      </c>
    </row>
    <row r="1076" customFormat="false" ht="15" hidden="false" customHeight="false" outlineLevel="0" collapsed="false">
      <c r="A1076" s="12" t="n">
        <f aca="false">Data!A1076</f>
        <v>43567</v>
      </c>
      <c r="B1076" s="14" t="n">
        <f aca="false">Data!B1076</f>
        <v>63.89</v>
      </c>
      <c r="C1076" s="0" t="str">
        <f aca="false">IF(Data!D1076="","HOLD",IF(AND(G1075&lt;&gt;"IN",Data!E1076&lt;-5),"BUY",IF(AND(G1075="IN",Data!E1076&gt;0),"SELL","HOLD")))</f>
        <v>HOLD</v>
      </c>
      <c r="D1076" s="14" t="str">
        <f aca="false">IF(C1076="BUY",B1076,IF(G1075="IN",D1075,""))</f>
        <v/>
      </c>
      <c r="E1076" s="14" t="str">
        <f aca="false">IF(C1076="SELL",B1076,"")</f>
        <v/>
      </c>
      <c r="F1076" s="14" t="str">
        <f aca="false">IF(E1076="","",(E1076-D1076)/D1076*100)</f>
        <v/>
      </c>
      <c r="G1076" s="0" t="str">
        <f aca="false">IF(C1076="BUY","IN",IF(C1076="SELL","OUT",IF(G1075="IN","IN","OUT")))</f>
        <v>OUT</v>
      </c>
      <c r="H1076" s="14" t="n">
        <f aca="false">H1075+IF(F1076="",0,F1076)</f>
        <v>14.6083117311361</v>
      </c>
      <c r="I1076" s="14" t="n">
        <f aca="false">MAX(I1075,H1076)</f>
        <v>43.9309628600509</v>
      </c>
      <c r="J1076" s="14" t="n">
        <f aca="false">I1076-H1076</f>
        <v>29.3226511289148</v>
      </c>
    </row>
    <row r="1077" customFormat="false" ht="15" hidden="false" customHeight="false" outlineLevel="0" collapsed="false">
      <c r="A1077" s="12" t="n">
        <f aca="false">Data!A1077</f>
        <v>43570</v>
      </c>
      <c r="B1077" s="14" t="n">
        <f aca="false">Data!B1077</f>
        <v>63.4</v>
      </c>
      <c r="C1077" s="0" t="str">
        <f aca="false">IF(Data!D1077="","HOLD",IF(AND(G1076&lt;&gt;"IN",Data!E1077&lt;-5),"BUY",IF(AND(G1076="IN",Data!E1077&gt;0),"SELL","HOLD")))</f>
        <v>HOLD</v>
      </c>
      <c r="D1077" s="14" t="str">
        <f aca="false">IF(C1077="BUY",B1077,IF(G1076="IN",D1076,""))</f>
        <v/>
      </c>
      <c r="E1077" s="14" t="str">
        <f aca="false">IF(C1077="SELL",B1077,"")</f>
        <v/>
      </c>
      <c r="F1077" s="14" t="str">
        <f aca="false">IF(E1077="","",(E1077-D1077)/D1077*100)</f>
        <v/>
      </c>
      <c r="G1077" s="0" t="str">
        <f aca="false">IF(C1077="BUY","IN",IF(C1077="SELL","OUT",IF(G1076="IN","IN","OUT")))</f>
        <v>OUT</v>
      </c>
      <c r="H1077" s="14" t="n">
        <f aca="false">H1076+IF(F1077="",0,F1077)</f>
        <v>14.6083117311361</v>
      </c>
      <c r="I1077" s="14" t="n">
        <f aca="false">MAX(I1076,H1077)</f>
        <v>43.9309628600509</v>
      </c>
      <c r="J1077" s="14" t="n">
        <f aca="false">I1077-H1077</f>
        <v>29.3226511289148</v>
      </c>
    </row>
    <row r="1078" customFormat="false" ht="15" hidden="false" customHeight="false" outlineLevel="0" collapsed="false">
      <c r="A1078" s="12" t="n">
        <f aca="false">Data!A1078</f>
        <v>43571</v>
      </c>
      <c r="B1078" s="14" t="n">
        <f aca="false">Data!B1078</f>
        <v>64.05</v>
      </c>
      <c r="C1078" s="0" t="str">
        <f aca="false">IF(Data!D1078="","HOLD",IF(AND(G1077&lt;&gt;"IN",Data!E1078&lt;-5),"BUY",IF(AND(G1077="IN",Data!E1078&gt;0),"SELL","HOLD")))</f>
        <v>HOLD</v>
      </c>
      <c r="D1078" s="14" t="str">
        <f aca="false">IF(C1078="BUY",B1078,IF(G1077="IN",D1077,""))</f>
        <v/>
      </c>
      <c r="E1078" s="14" t="str">
        <f aca="false">IF(C1078="SELL",B1078,"")</f>
        <v/>
      </c>
      <c r="F1078" s="14" t="str">
        <f aca="false">IF(E1078="","",(E1078-D1078)/D1078*100)</f>
        <v/>
      </c>
      <c r="G1078" s="0" t="str">
        <f aca="false">IF(C1078="BUY","IN",IF(C1078="SELL","OUT",IF(G1077="IN","IN","OUT")))</f>
        <v>OUT</v>
      </c>
      <c r="H1078" s="14" t="n">
        <f aca="false">H1077+IF(F1078="",0,F1078)</f>
        <v>14.6083117311361</v>
      </c>
      <c r="I1078" s="14" t="n">
        <f aca="false">MAX(I1077,H1078)</f>
        <v>43.9309628600509</v>
      </c>
      <c r="J1078" s="14" t="n">
        <f aca="false">I1078-H1078</f>
        <v>29.3226511289148</v>
      </c>
    </row>
    <row r="1079" customFormat="false" ht="15" hidden="false" customHeight="false" outlineLevel="0" collapsed="false">
      <c r="A1079" s="12" t="n">
        <f aca="false">Data!A1079</f>
        <v>43572</v>
      </c>
      <c r="B1079" s="14" t="n">
        <f aca="false">Data!B1079</f>
        <v>63.76</v>
      </c>
      <c r="C1079" s="0" t="str">
        <f aca="false">IF(Data!D1079="","HOLD",IF(AND(G1078&lt;&gt;"IN",Data!E1079&lt;-5),"BUY",IF(AND(G1078="IN",Data!E1079&gt;0),"SELL","HOLD")))</f>
        <v>HOLD</v>
      </c>
      <c r="D1079" s="14" t="str">
        <f aca="false">IF(C1079="BUY",B1079,IF(G1078="IN",D1078,""))</f>
        <v/>
      </c>
      <c r="E1079" s="14" t="str">
        <f aca="false">IF(C1079="SELL",B1079,"")</f>
        <v/>
      </c>
      <c r="F1079" s="14" t="str">
        <f aca="false">IF(E1079="","",(E1079-D1079)/D1079*100)</f>
        <v/>
      </c>
      <c r="G1079" s="0" t="str">
        <f aca="false">IF(C1079="BUY","IN",IF(C1079="SELL","OUT",IF(G1078="IN","IN","OUT")))</f>
        <v>OUT</v>
      </c>
      <c r="H1079" s="14" t="n">
        <f aca="false">H1078+IF(F1079="",0,F1079)</f>
        <v>14.6083117311361</v>
      </c>
      <c r="I1079" s="14" t="n">
        <f aca="false">MAX(I1078,H1079)</f>
        <v>43.9309628600509</v>
      </c>
      <c r="J1079" s="14" t="n">
        <f aca="false">I1079-H1079</f>
        <v>29.3226511289148</v>
      </c>
    </row>
    <row r="1080" customFormat="false" ht="15" hidden="false" customHeight="false" outlineLevel="0" collapsed="false">
      <c r="A1080" s="12" t="n">
        <f aca="false">Data!A1080</f>
        <v>43573</v>
      </c>
      <c r="B1080" s="14" t="n">
        <f aca="false">Data!B1080</f>
        <v>64</v>
      </c>
      <c r="C1080" s="0" t="str">
        <f aca="false">IF(Data!D1080="","HOLD",IF(AND(G1079&lt;&gt;"IN",Data!E1080&lt;-5),"BUY",IF(AND(G1079="IN",Data!E1080&gt;0),"SELL","HOLD")))</f>
        <v>HOLD</v>
      </c>
      <c r="D1080" s="14" t="str">
        <f aca="false">IF(C1080="BUY",B1080,IF(G1079="IN",D1079,""))</f>
        <v/>
      </c>
      <c r="E1080" s="14" t="str">
        <f aca="false">IF(C1080="SELL",B1080,"")</f>
        <v/>
      </c>
      <c r="F1080" s="14" t="str">
        <f aca="false">IF(E1080="","",(E1080-D1080)/D1080*100)</f>
        <v/>
      </c>
      <c r="G1080" s="0" t="str">
        <f aca="false">IF(C1080="BUY","IN",IF(C1080="SELL","OUT",IF(G1079="IN","IN","OUT")))</f>
        <v>OUT</v>
      </c>
      <c r="H1080" s="14" t="n">
        <f aca="false">H1079+IF(F1080="",0,F1080)</f>
        <v>14.6083117311361</v>
      </c>
      <c r="I1080" s="14" t="n">
        <f aca="false">MAX(I1079,H1080)</f>
        <v>43.9309628600509</v>
      </c>
      <c r="J1080" s="14" t="n">
        <f aca="false">I1080-H1080</f>
        <v>29.3226511289148</v>
      </c>
    </row>
    <row r="1081" customFormat="false" ht="15" hidden="false" customHeight="false" outlineLevel="0" collapsed="false">
      <c r="A1081" s="12" t="n">
        <f aca="false">Data!A1081</f>
        <v>43577</v>
      </c>
      <c r="B1081" s="14" t="n">
        <f aca="false">Data!B1081</f>
        <v>65.7</v>
      </c>
      <c r="C1081" s="0" t="str">
        <f aca="false">IF(Data!D1081="","HOLD",IF(AND(G1080&lt;&gt;"IN",Data!E1081&lt;-5),"BUY",IF(AND(G1080="IN",Data!E1081&gt;0),"SELL","HOLD")))</f>
        <v>HOLD</v>
      </c>
      <c r="D1081" s="14" t="str">
        <f aca="false">IF(C1081="BUY",B1081,IF(G1080="IN",D1080,""))</f>
        <v/>
      </c>
      <c r="E1081" s="14" t="str">
        <f aca="false">IF(C1081="SELL",B1081,"")</f>
        <v/>
      </c>
      <c r="F1081" s="14" t="str">
        <f aca="false">IF(E1081="","",(E1081-D1081)/D1081*100)</f>
        <v/>
      </c>
      <c r="G1081" s="0" t="str">
        <f aca="false">IF(C1081="BUY","IN",IF(C1081="SELL","OUT",IF(G1080="IN","IN","OUT")))</f>
        <v>OUT</v>
      </c>
      <c r="H1081" s="14" t="n">
        <f aca="false">H1080+IF(F1081="",0,F1081)</f>
        <v>14.6083117311361</v>
      </c>
      <c r="I1081" s="14" t="n">
        <f aca="false">MAX(I1080,H1081)</f>
        <v>43.9309628600509</v>
      </c>
      <c r="J1081" s="14" t="n">
        <f aca="false">I1081-H1081</f>
        <v>29.3226511289148</v>
      </c>
    </row>
    <row r="1082" customFormat="false" ht="15" hidden="false" customHeight="false" outlineLevel="0" collapsed="false">
      <c r="A1082" s="12" t="n">
        <f aca="false">Data!A1082</f>
        <v>43578</v>
      </c>
      <c r="B1082" s="14" t="n">
        <f aca="false">Data!B1082</f>
        <v>66.3</v>
      </c>
      <c r="C1082" s="0" t="str">
        <f aca="false">IF(Data!D1082="","HOLD",IF(AND(G1081&lt;&gt;"IN",Data!E1082&lt;-5),"BUY",IF(AND(G1081="IN",Data!E1082&gt;0),"SELL","HOLD")))</f>
        <v>HOLD</v>
      </c>
      <c r="D1082" s="14" t="str">
        <f aca="false">IF(C1082="BUY",B1082,IF(G1081="IN",D1081,""))</f>
        <v/>
      </c>
      <c r="E1082" s="14" t="str">
        <f aca="false">IF(C1082="SELL",B1082,"")</f>
        <v/>
      </c>
      <c r="F1082" s="14" t="str">
        <f aca="false">IF(E1082="","",(E1082-D1082)/D1082*100)</f>
        <v/>
      </c>
      <c r="G1082" s="0" t="str">
        <f aca="false">IF(C1082="BUY","IN",IF(C1082="SELL","OUT",IF(G1081="IN","IN","OUT")))</f>
        <v>OUT</v>
      </c>
      <c r="H1082" s="14" t="n">
        <f aca="false">H1081+IF(F1082="",0,F1082)</f>
        <v>14.6083117311361</v>
      </c>
      <c r="I1082" s="14" t="n">
        <f aca="false">MAX(I1081,H1082)</f>
        <v>43.9309628600509</v>
      </c>
      <c r="J1082" s="14" t="n">
        <f aca="false">I1082-H1082</f>
        <v>29.3226511289148</v>
      </c>
    </row>
    <row r="1083" customFormat="false" ht="15" hidden="false" customHeight="false" outlineLevel="0" collapsed="false">
      <c r="A1083" s="12" t="n">
        <f aca="false">Data!A1083</f>
        <v>43579</v>
      </c>
      <c r="B1083" s="14" t="n">
        <f aca="false">Data!B1083</f>
        <v>65.89</v>
      </c>
      <c r="C1083" s="0" t="str">
        <f aca="false">IF(Data!D1083="","HOLD",IF(AND(G1082&lt;&gt;"IN",Data!E1083&lt;-5),"BUY",IF(AND(G1082="IN",Data!E1083&gt;0),"SELL","HOLD")))</f>
        <v>HOLD</v>
      </c>
      <c r="D1083" s="14" t="str">
        <f aca="false">IF(C1083="BUY",B1083,IF(G1082="IN",D1082,""))</f>
        <v/>
      </c>
      <c r="E1083" s="14" t="str">
        <f aca="false">IF(C1083="SELL",B1083,"")</f>
        <v/>
      </c>
      <c r="F1083" s="14" t="str">
        <f aca="false">IF(E1083="","",(E1083-D1083)/D1083*100)</f>
        <v/>
      </c>
      <c r="G1083" s="0" t="str">
        <f aca="false">IF(C1083="BUY","IN",IF(C1083="SELL","OUT",IF(G1082="IN","IN","OUT")))</f>
        <v>OUT</v>
      </c>
      <c r="H1083" s="14" t="n">
        <f aca="false">H1082+IF(F1083="",0,F1083)</f>
        <v>14.6083117311361</v>
      </c>
      <c r="I1083" s="14" t="n">
        <f aca="false">MAX(I1082,H1083)</f>
        <v>43.9309628600509</v>
      </c>
      <c r="J1083" s="14" t="n">
        <f aca="false">I1083-H1083</f>
        <v>29.3226511289148</v>
      </c>
    </row>
    <row r="1084" customFormat="false" ht="15" hidden="false" customHeight="false" outlineLevel="0" collapsed="false">
      <c r="A1084" s="12" t="n">
        <f aca="false">Data!A1084</f>
        <v>43580</v>
      </c>
      <c r="B1084" s="14" t="n">
        <f aca="false">Data!B1084</f>
        <v>65.21</v>
      </c>
      <c r="C1084" s="0" t="str">
        <f aca="false">IF(Data!D1084="","HOLD",IF(AND(G1083&lt;&gt;"IN",Data!E1084&lt;-5),"BUY",IF(AND(G1083="IN",Data!E1084&gt;0),"SELL","HOLD")))</f>
        <v>HOLD</v>
      </c>
      <c r="D1084" s="14" t="str">
        <f aca="false">IF(C1084="BUY",B1084,IF(G1083="IN",D1083,""))</f>
        <v/>
      </c>
      <c r="E1084" s="14" t="str">
        <f aca="false">IF(C1084="SELL",B1084,"")</f>
        <v/>
      </c>
      <c r="F1084" s="14" t="str">
        <f aca="false">IF(E1084="","",(E1084-D1084)/D1084*100)</f>
        <v/>
      </c>
      <c r="G1084" s="0" t="str">
        <f aca="false">IF(C1084="BUY","IN",IF(C1084="SELL","OUT",IF(G1083="IN","IN","OUT")))</f>
        <v>OUT</v>
      </c>
      <c r="H1084" s="14" t="n">
        <f aca="false">H1083+IF(F1084="",0,F1084)</f>
        <v>14.6083117311361</v>
      </c>
      <c r="I1084" s="14" t="n">
        <f aca="false">MAX(I1083,H1084)</f>
        <v>43.9309628600509</v>
      </c>
      <c r="J1084" s="14" t="n">
        <f aca="false">I1084-H1084</f>
        <v>29.3226511289148</v>
      </c>
    </row>
    <row r="1085" customFormat="false" ht="15" hidden="false" customHeight="false" outlineLevel="0" collapsed="false">
      <c r="A1085" s="12" t="n">
        <f aca="false">Data!A1085</f>
        <v>43581</v>
      </c>
      <c r="B1085" s="14" t="n">
        <f aca="false">Data!B1085</f>
        <v>63.3</v>
      </c>
      <c r="C1085" s="0" t="str">
        <f aca="false">IF(Data!D1085="","HOLD",IF(AND(G1084&lt;&gt;"IN",Data!E1085&lt;-5),"BUY",IF(AND(G1084="IN",Data!E1085&gt;0),"SELL","HOLD")))</f>
        <v>HOLD</v>
      </c>
      <c r="D1085" s="14" t="str">
        <f aca="false">IF(C1085="BUY",B1085,IF(G1084="IN",D1084,""))</f>
        <v/>
      </c>
      <c r="E1085" s="14" t="str">
        <f aca="false">IF(C1085="SELL",B1085,"")</f>
        <v/>
      </c>
      <c r="F1085" s="14" t="str">
        <f aca="false">IF(E1085="","",(E1085-D1085)/D1085*100)</f>
        <v/>
      </c>
      <c r="G1085" s="0" t="str">
        <f aca="false">IF(C1085="BUY","IN",IF(C1085="SELL","OUT",IF(G1084="IN","IN","OUT")))</f>
        <v>OUT</v>
      </c>
      <c r="H1085" s="14" t="n">
        <f aca="false">H1084+IF(F1085="",0,F1085)</f>
        <v>14.6083117311361</v>
      </c>
      <c r="I1085" s="14" t="n">
        <f aca="false">MAX(I1084,H1085)</f>
        <v>43.9309628600509</v>
      </c>
      <c r="J1085" s="14" t="n">
        <f aca="false">I1085-H1085</f>
        <v>29.3226511289148</v>
      </c>
    </row>
    <row r="1086" customFormat="false" ht="15" hidden="false" customHeight="false" outlineLevel="0" collapsed="false">
      <c r="A1086" s="12" t="n">
        <f aca="false">Data!A1086</f>
        <v>43584</v>
      </c>
      <c r="B1086" s="14" t="n">
        <f aca="false">Data!B1086</f>
        <v>63.5</v>
      </c>
      <c r="C1086" s="0" t="str">
        <f aca="false">IF(Data!D1086="","HOLD",IF(AND(G1085&lt;&gt;"IN",Data!E1086&lt;-5),"BUY",IF(AND(G1085="IN",Data!E1086&gt;0),"SELL","HOLD")))</f>
        <v>HOLD</v>
      </c>
      <c r="D1086" s="14" t="str">
        <f aca="false">IF(C1086="BUY",B1086,IF(G1085="IN",D1085,""))</f>
        <v/>
      </c>
      <c r="E1086" s="14" t="str">
        <f aca="false">IF(C1086="SELL",B1086,"")</f>
        <v/>
      </c>
      <c r="F1086" s="14" t="str">
        <f aca="false">IF(E1086="","",(E1086-D1086)/D1086*100)</f>
        <v/>
      </c>
      <c r="G1086" s="0" t="str">
        <f aca="false">IF(C1086="BUY","IN",IF(C1086="SELL","OUT",IF(G1085="IN","IN","OUT")))</f>
        <v>OUT</v>
      </c>
      <c r="H1086" s="14" t="n">
        <f aca="false">H1085+IF(F1086="",0,F1086)</f>
        <v>14.6083117311361</v>
      </c>
      <c r="I1086" s="14" t="n">
        <f aca="false">MAX(I1085,H1086)</f>
        <v>43.9309628600509</v>
      </c>
      <c r="J1086" s="14" t="n">
        <f aca="false">I1086-H1086</f>
        <v>29.3226511289148</v>
      </c>
    </row>
    <row r="1087" customFormat="false" ht="15" hidden="false" customHeight="false" outlineLevel="0" collapsed="false">
      <c r="A1087" s="12" t="n">
        <f aca="false">Data!A1087</f>
        <v>43585</v>
      </c>
      <c r="B1087" s="14" t="n">
        <f aca="false">Data!B1087</f>
        <v>63.91</v>
      </c>
      <c r="C1087" s="0" t="str">
        <f aca="false">IF(Data!D1087="","HOLD",IF(AND(G1086&lt;&gt;"IN",Data!E1087&lt;-5),"BUY",IF(AND(G1086="IN",Data!E1087&gt;0),"SELL","HOLD")))</f>
        <v>HOLD</v>
      </c>
      <c r="D1087" s="14" t="str">
        <f aca="false">IF(C1087="BUY",B1087,IF(G1086="IN",D1086,""))</f>
        <v/>
      </c>
      <c r="E1087" s="14" t="str">
        <f aca="false">IF(C1087="SELL",B1087,"")</f>
        <v/>
      </c>
      <c r="F1087" s="14" t="str">
        <f aca="false">IF(E1087="","",(E1087-D1087)/D1087*100)</f>
        <v/>
      </c>
      <c r="G1087" s="0" t="str">
        <f aca="false">IF(C1087="BUY","IN",IF(C1087="SELL","OUT",IF(G1086="IN","IN","OUT")))</f>
        <v>OUT</v>
      </c>
      <c r="H1087" s="14" t="n">
        <f aca="false">H1086+IF(F1087="",0,F1087)</f>
        <v>14.6083117311361</v>
      </c>
      <c r="I1087" s="14" t="n">
        <f aca="false">MAX(I1086,H1087)</f>
        <v>43.9309628600509</v>
      </c>
      <c r="J1087" s="14" t="n">
        <f aca="false">I1087-H1087</f>
        <v>29.3226511289148</v>
      </c>
    </row>
    <row r="1088" customFormat="false" ht="15" hidden="false" customHeight="false" outlineLevel="0" collapsed="false">
      <c r="A1088" s="12" t="n">
        <f aca="false">Data!A1088</f>
        <v>43586</v>
      </c>
      <c r="B1088" s="14" t="n">
        <f aca="false">Data!B1088</f>
        <v>63.6</v>
      </c>
      <c r="C1088" s="0" t="str">
        <f aca="false">IF(Data!D1088="","HOLD",IF(AND(G1087&lt;&gt;"IN",Data!E1088&lt;-5),"BUY",IF(AND(G1087="IN",Data!E1088&gt;0),"SELL","HOLD")))</f>
        <v>HOLD</v>
      </c>
      <c r="D1088" s="14" t="str">
        <f aca="false">IF(C1088="BUY",B1088,IF(G1087="IN",D1087,""))</f>
        <v/>
      </c>
      <c r="E1088" s="14" t="str">
        <f aca="false">IF(C1088="SELL",B1088,"")</f>
        <v/>
      </c>
      <c r="F1088" s="14" t="str">
        <f aca="false">IF(E1088="","",(E1088-D1088)/D1088*100)</f>
        <v/>
      </c>
      <c r="G1088" s="0" t="str">
        <f aca="false">IF(C1088="BUY","IN",IF(C1088="SELL","OUT",IF(G1087="IN","IN","OUT")))</f>
        <v>OUT</v>
      </c>
      <c r="H1088" s="14" t="n">
        <f aca="false">H1087+IF(F1088="",0,F1088)</f>
        <v>14.6083117311361</v>
      </c>
      <c r="I1088" s="14" t="n">
        <f aca="false">MAX(I1087,H1088)</f>
        <v>43.9309628600509</v>
      </c>
      <c r="J1088" s="14" t="n">
        <f aca="false">I1088-H1088</f>
        <v>29.3226511289148</v>
      </c>
    </row>
    <row r="1089" customFormat="false" ht="15" hidden="false" customHeight="false" outlineLevel="0" collapsed="false">
      <c r="A1089" s="12" t="n">
        <f aca="false">Data!A1089</f>
        <v>43587</v>
      </c>
      <c r="B1089" s="14" t="n">
        <f aca="false">Data!B1089</f>
        <v>61.81</v>
      </c>
      <c r="C1089" s="0" t="str">
        <f aca="false">IF(Data!D1089="","HOLD",IF(AND(G1088&lt;&gt;"IN",Data!E1089&lt;-5),"BUY",IF(AND(G1088="IN",Data!E1089&gt;0),"SELL","HOLD")))</f>
        <v>HOLD</v>
      </c>
      <c r="D1089" s="14" t="str">
        <f aca="false">IF(C1089="BUY",B1089,IF(G1088="IN",D1088,""))</f>
        <v/>
      </c>
      <c r="E1089" s="14" t="str">
        <f aca="false">IF(C1089="SELL",B1089,"")</f>
        <v/>
      </c>
      <c r="F1089" s="14" t="str">
        <f aca="false">IF(E1089="","",(E1089-D1089)/D1089*100)</f>
        <v/>
      </c>
      <c r="G1089" s="0" t="str">
        <f aca="false">IF(C1089="BUY","IN",IF(C1089="SELL","OUT",IF(G1088="IN","IN","OUT")))</f>
        <v>OUT</v>
      </c>
      <c r="H1089" s="14" t="n">
        <f aca="false">H1088+IF(F1089="",0,F1089)</f>
        <v>14.6083117311361</v>
      </c>
      <c r="I1089" s="14" t="n">
        <f aca="false">MAX(I1088,H1089)</f>
        <v>43.9309628600509</v>
      </c>
      <c r="J1089" s="14" t="n">
        <f aca="false">I1089-H1089</f>
        <v>29.3226511289148</v>
      </c>
    </row>
    <row r="1090" customFormat="false" ht="15" hidden="false" customHeight="false" outlineLevel="0" collapsed="false">
      <c r="A1090" s="12" t="n">
        <f aca="false">Data!A1090</f>
        <v>43588</v>
      </c>
      <c r="B1090" s="14" t="n">
        <f aca="false">Data!B1090</f>
        <v>61.94</v>
      </c>
      <c r="C1090" s="0" t="str">
        <f aca="false">IF(Data!D1090="","HOLD",IF(AND(G1089&lt;&gt;"IN",Data!E1090&lt;-5),"BUY",IF(AND(G1089="IN",Data!E1090&gt;0),"SELL","HOLD")))</f>
        <v>HOLD</v>
      </c>
      <c r="D1090" s="14" t="str">
        <f aca="false">IF(C1090="BUY",B1090,IF(G1089="IN",D1089,""))</f>
        <v/>
      </c>
      <c r="E1090" s="14" t="str">
        <f aca="false">IF(C1090="SELL",B1090,"")</f>
        <v/>
      </c>
      <c r="F1090" s="14" t="str">
        <f aca="false">IF(E1090="","",(E1090-D1090)/D1090*100)</f>
        <v/>
      </c>
      <c r="G1090" s="0" t="str">
        <f aca="false">IF(C1090="BUY","IN",IF(C1090="SELL","OUT",IF(G1089="IN","IN","OUT")))</f>
        <v>OUT</v>
      </c>
      <c r="H1090" s="14" t="n">
        <f aca="false">H1089+IF(F1090="",0,F1090)</f>
        <v>14.6083117311361</v>
      </c>
      <c r="I1090" s="14" t="n">
        <f aca="false">MAX(I1089,H1090)</f>
        <v>43.9309628600509</v>
      </c>
      <c r="J1090" s="14" t="n">
        <f aca="false">I1090-H1090</f>
        <v>29.3226511289148</v>
      </c>
    </row>
    <row r="1091" customFormat="false" ht="15" hidden="false" customHeight="false" outlineLevel="0" collapsed="false">
      <c r="A1091" s="12" t="n">
        <f aca="false">Data!A1091</f>
        <v>43591</v>
      </c>
      <c r="B1091" s="14" t="n">
        <f aca="false">Data!B1091</f>
        <v>62.25</v>
      </c>
      <c r="C1091" s="0" t="str">
        <f aca="false">IF(Data!D1091="","HOLD",IF(AND(G1090&lt;&gt;"IN",Data!E1091&lt;-5),"BUY",IF(AND(G1090="IN",Data!E1091&gt;0),"SELL","HOLD")))</f>
        <v>HOLD</v>
      </c>
      <c r="D1091" s="14" t="str">
        <f aca="false">IF(C1091="BUY",B1091,IF(G1090="IN",D1090,""))</f>
        <v/>
      </c>
      <c r="E1091" s="14" t="str">
        <f aca="false">IF(C1091="SELL",B1091,"")</f>
        <v/>
      </c>
      <c r="F1091" s="14" t="str">
        <f aca="false">IF(E1091="","",(E1091-D1091)/D1091*100)</f>
        <v/>
      </c>
      <c r="G1091" s="0" t="str">
        <f aca="false">IF(C1091="BUY","IN",IF(C1091="SELL","OUT",IF(G1090="IN","IN","OUT")))</f>
        <v>OUT</v>
      </c>
      <c r="H1091" s="14" t="n">
        <f aca="false">H1090+IF(F1091="",0,F1091)</f>
        <v>14.6083117311361</v>
      </c>
      <c r="I1091" s="14" t="n">
        <f aca="false">MAX(I1090,H1091)</f>
        <v>43.9309628600509</v>
      </c>
      <c r="J1091" s="14" t="n">
        <f aca="false">I1091-H1091</f>
        <v>29.3226511289148</v>
      </c>
    </row>
    <row r="1092" customFormat="false" ht="15" hidden="false" customHeight="false" outlineLevel="0" collapsed="false">
      <c r="A1092" s="12" t="n">
        <f aca="false">Data!A1092</f>
        <v>43592</v>
      </c>
      <c r="B1092" s="14" t="n">
        <f aca="false">Data!B1092</f>
        <v>61.4</v>
      </c>
      <c r="C1092" s="0" t="str">
        <f aca="false">IF(Data!D1092="","HOLD",IF(AND(G1091&lt;&gt;"IN",Data!E1092&lt;-5),"BUY",IF(AND(G1091="IN",Data!E1092&gt;0),"SELL","HOLD")))</f>
        <v>HOLD</v>
      </c>
      <c r="D1092" s="14" t="str">
        <f aca="false">IF(C1092="BUY",B1092,IF(G1091="IN",D1091,""))</f>
        <v/>
      </c>
      <c r="E1092" s="14" t="str">
        <f aca="false">IF(C1092="SELL",B1092,"")</f>
        <v/>
      </c>
      <c r="F1092" s="14" t="str">
        <f aca="false">IF(E1092="","",(E1092-D1092)/D1092*100)</f>
        <v/>
      </c>
      <c r="G1092" s="0" t="str">
        <f aca="false">IF(C1092="BUY","IN",IF(C1092="SELL","OUT",IF(G1091="IN","IN","OUT")))</f>
        <v>OUT</v>
      </c>
      <c r="H1092" s="14" t="n">
        <f aca="false">H1091+IF(F1092="",0,F1092)</f>
        <v>14.6083117311361</v>
      </c>
      <c r="I1092" s="14" t="n">
        <f aca="false">MAX(I1091,H1092)</f>
        <v>43.9309628600509</v>
      </c>
      <c r="J1092" s="14" t="n">
        <f aca="false">I1092-H1092</f>
        <v>29.3226511289148</v>
      </c>
    </row>
    <row r="1093" customFormat="false" ht="15" hidden="false" customHeight="false" outlineLevel="0" collapsed="false">
      <c r="A1093" s="12" t="n">
        <f aca="false">Data!A1093</f>
        <v>43593</v>
      </c>
      <c r="B1093" s="14" t="n">
        <f aca="false">Data!B1093</f>
        <v>62.12</v>
      </c>
      <c r="C1093" s="0" t="str">
        <f aca="false">IF(Data!D1093="","HOLD",IF(AND(G1092&lt;&gt;"IN",Data!E1093&lt;-5),"BUY",IF(AND(G1092="IN",Data!E1093&gt;0),"SELL","HOLD")))</f>
        <v>HOLD</v>
      </c>
      <c r="D1093" s="14" t="str">
        <f aca="false">IF(C1093="BUY",B1093,IF(G1092="IN",D1092,""))</f>
        <v/>
      </c>
      <c r="E1093" s="14" t="str">
        <f aca="false">IF(C1093="SELL",B1093,"")</f>
        <v/>
      </c>
      <c r="F1093" s="14" t="str">
        <f aca="false">IF(E1093="","",(E1093-D1093)/D1093*100)</f>
        <v/>
      </c>
      <c r="G1093" s="0" t="str">
        <f aca="false">IF(C1093="BUY","IN",IF(C1093="SELL","OUT",IF(G1092="IN","IN","OUT")))</f>
        <v>OUT</v>
      </c>
      <c r="H1093" s="14" t="n">
        <f aca="false">H1092+IF(F1093="",0,F1093)</f>
        <v>14.6083117311361</v>
      </c>
      <c r="I1093" s="14" t="n">
        <f aca="false">MAX(I1092,H1093)</f>
        <v>43.9309628600509</v>
      </c>
      <c r="J1093" s="14" t="n">
        <f aca="false">I1093-H1093</f>
        <v>29.3226511289148</v>
      </c>
    </row>
    <row r="1094" customFormat="false" ht="15" hidden="false" customHeight="false" outlineLevel="0" collapsed="false">
      <c r="A1094" s="12" t="n">
        <f aca="false">Data!A1094</f>
        <v>43594</v>
      </c>
      <c r="B1094" s="14" t="n">
        <f aca="false">Data!B1094</f>
        <v>61.7</v>
      </c>
      <c r="C1094" s="0" t="str">
        <f aca="false">IF(Data!D1094="","HOLD",IF(AND(G1093&lt;&gt;"IN",Data!E1094&lt;-5),"BUY",IF(AND(G1093="IN",Data!E1094&gt;0),"SELL","HOLD")))</f>
        <v>HOLD</v>
      </c>
      <c r="D1094" s="14" t="str">
        <f aca="false">IF(C1094="BUY",B1094,IF(G1093="IN",D1093,""))</f>
        <v/>
      </c>
      <c r="E1094" s="14" t="str">
        <f aca="false">IF(C1094="SELL",B1094,"")</f>
        <v/>
      </c>
      <c r="F1094" s="14" t="str">
        <f aca="false">IF(E1094="","",(E1094-D1094)/D1094*100)</f>
        <v/>
      </c>
      <c r="G1094" s="0" t="str">
        <f aca="false">IF(C1094="BUY","IN",IF(C1094="SELL","OUT",IF(G1093="IN","IN","OUT")))</f>
        <v>OUT</v>
      </c>
      <c r="H1094" s="14" t="n">
        <f aca="false">H1093+IF(F1094="",0,F1094)</f>
        <v>14.6083117311361</v>
      </c>
      <c r="I1094" s="14" t="n">
        <f aca="false">MAX(I1093,H1094)</f>
        <v>43.9309628600509</v>
      </c>
      <c r="J1094" s="14" t="n">
        <f aca="false">I1094-H1094</f>
        <v>29.3226511289148</v>
      </c>
    </row>
    <row r="1095" customFormat="false" ht="15" hidden="false" customHeight="false" outlineLevel="0" collapsed="false">
      <c r="A1095" s="12" t="n">
        <f aca="false">Data!A1095</f>
        <v>43595</v>
      </c>
      <c r="B1095" s="14" t="n">
        <f aca="false">Data!B1095</f>
        <v>61.66</v>
      </c>
      <c r="C1095" s="0" t="str">
        <f aca="false">IF(Data!D1095="","HOLD",IF(AND(G1094&lt;&gt;"IN",Data!E1095&lt;-5),"BUY",IF(AND(G1094="IN",Data!E1095&gt;0),"SELL","HOLD")))</f>
        <v>HOLD</v>
      </c>
      <c r="D1095" s="14" t="str">
        <f aca="false">IF(C1095="BUY",B1095,IF(G1094="IN",D1094,""))</f>
        <v/>
      </c>
      <c r="E1095" s="14" t="str">
        <f aca="false">IF(C1095="SELL",B1095,"")</f>
        <v/>
      </c>
      <c r="F1095" s="14" t="str">
        <f aca="false">IF(E1095="","",(E1095-D1095)/D1095*100)</f>
        <v/>
      </c>
      <c r="G1095" s="0" t="str">
        <f aca="false">IF(C1095="BUY","IN",IF(C1095="SELL","OUT",IF(G1094="IN","IN","OUT")))</f>
        <v>OUT</v>
      </c>
      <c r="H1095" s="14" t="n">
        <f aca="false">H1094+IF(F1095="",0,F1095)</f>
        <v>14.6083117311361</v>
      </c>
      <c r="I1095" s="14" t="n">
        <f aca="false">MAX(I1094,H1095)</f>
        <v>43.9309628600509</v>
      </c>
      <c r="J1095" s="14" t="n">
        <f aca="false">I1095-H1095</f>
        <v>29.3226511289148</v>
      </c>
    </row>
    <row r="1096" customFormat="false" ht="15" hidden="false" customHeight="false" outlineLevel="0" collapsed="false">
      <c r="A1096" s="12" t="n">
        <f aca="false">Data!A1096</f>
        <v>43598</v>
      </c>
      <c r="B1096" s="14" t="n">
        <f aca="false">Data!B1096</f>
        <v>61.04</v>
      </c>
      <c r="C1096" s="0" t="str">
        <f aca="false">IF(Data!D1096="","HOLD",IF(AND(G1095&lt;&gt;"IN",Data!E1096&lt;-5),"BUY",IF(AND(G1095="IN",Data!E1096&gt;0),"SELL","HOLD")))</f>
        <v>HOLD</v>
      </c>
      <c r="D1096" s="14" t="str">
        <f aca="false">IF(C1096="BUY",B1096,IF(G1095="IN",D1095,""))</f>
        <v/>
      </c>
      <c r="E1096" s="14" t="str">
        <f aca="false">IF(C1096="SELL",B1096,"")</f>
        <v/>
      </c>
      <c r="F1096" s="14" t="str">
        <f aca="false">IF(E1096="","",(E1096-D1096)/D1096*100)</f>
        <v/>
      </c>
      <c r="G1096" s="0" t="str">
        <f aca="false">IF(C1096="BUY","IN",IF(C1096="SELL","OUT",IF(G1095="IN","IN","OUT")))</f>
        <v>OUT</v>
      </c>
      <c r="H1096" s="14" t="n">
        <f aca="false">H1095+IF(F1096="",0,F1096)</f>
        <v>14.6083117311361</v>
      </c>
      <c r="I1096" s="14" t="n">
        <f aca="false">MAX(I1095,H1096)</f>
        <v>43.9309628600509</v>
      </c>
      <c r="J1096" s="14" t="n">
        <f aca="false">I1096-H1096</f>
        <v>29.3226511289148</v>
      </c>
    </row>
    <row r="1097" customFormat="false" ht="15" hidden="false" customHeight="false" outlineLevel="0" collapsed="false">
      <c r="A1097" s="12" t="n">
        <f aca="false">Data!A1097</f>
        <v>43599</v>
      </c>
      <c r="B1097" s="14" t="n">
        <f aca="false">Data!B1097</f>
        <v>61.78</v>
      </c>
      <c r="C1097" s="0" t="str">
        <f aca="false">IF(Data!D1097="","HOLD",IF(AND(G1096&lt;&gt;"IN",Data!E1097&lt;-5),"BUY",IF(AND(G1096="IN",Data!E1097&gt;0),"SELL","HOLD")))</f>
        <v>HOLD</v>
      </c>
      <c r="D1097" s="14" t="str">
        <f aca="false">IF(C1097="BUY",B1097,IF(G1096="IN",D1096,""))</f>
        <v/>
      </c>
      <c r="E1097" s="14" t="str">
        <f aca="false">IF(C1097="SELL",B1097,"")</f>
        <v/>
      </c>
      <c r="F1097" s="14" t="str">
        <f aca="false">IF(E1097="","",(E1097-D1097)/D1097*100)</f>
        <v/>
      </c>
      <c r="G1097" s="0" t="str">
        <f aca="false">IF(C1097="BUY","IN",IF(C1097="SELL","OUT",IF(G1096="IN","IN","OUT")))</f>
        <v>OUT</v>
      </c>
      <c r="H1097" s="14" t="n">
        <f aca="false">H1096+IF(F1097="",0,F1097)</f>
        <v>14.6083117311361</v>
      </c>
      <c r="I1097" s="14" t="n">
        <f aca="false">MAX(I1096,H1097)</f>
        <v>43.9309628600509</v>
      </c>
      <c r="J1097" s="14" t="n">
        <f aca="false">I1097-H1097</f>
        <v>29.3226511289148</v>
      </c>
    </row>
    <row r="1098" customFormat="false" ht="15" hidden="false" customHeight="false" outlineLevel="0" collapsed="false">
      <c r="A1098" s="12" t="n">
        <f aca="false">Data!A1098</f>
        <v>43600</v>
      </c>
      <c r="B1098" s="14" t="n">
        <f aca="false">Data!B1098</f>
        <v>62.02</v>
      </c>
      <c r="C1098" s="0" t="str">
        <f aca="false">IF(Data!D1098="","HOLD",IF(AND(G1097&lt;&gt;"IN",Data!E1098&lt;-5),"BUY",IF(AND(G1097="IN",Data!E1098&gt;0),"SELL","HOLD")))</f>
        <v>HOLD</v>
      </c>
      <c r="D1098" s="14" t="str">
        <f aca="false">IF(C1098="BUY",B1098,IF(G1097="IN",D1097,""))</f>
        <v/>
      </c>
      <c r="E1098" s="14" t="str">
        <f aca="false">IF(C1098="SELL",B1098,"")</f>
        <v/>
      </c>
      <c r="F1098" s="14" t="str">
        <f aca="false">IF(E1098="","",(E1098-D1098)/D1098*100)</f>
        <v/>
      </c>
      <c r="G1098" s="0" t="str">
        <f aca="false">IF(C1098="BUY","IN",IF(C1098="SELL","OUT",IF(G1097="IN","IN","OUT")))</f>
        <v>OUT</v>
      </c>
      <c r="H1098" s="14" t="n">
        <f aca="false">H1097+IF(F1098="",0,F1098)</f>
        <v>14.6083117311361</v>
      </c>
      <c r="I1098" s="14" t="n">
        <f aca="false">MAX(I1097,H1098)</f>
        <v>43.9309628600509</v>
      </c>
      <c r="J1098" s="14" t="n">
        <f aca="false">I1098-H1098</f>
        <v>29.3226511289148</v>
      </c>
    </row>
    <row r="1099" customFormat="false" ht="15" hidden="false" customHeight="false" outlineLevel="0" collapsed="false">
      <c r="A1099" s="12" t="n">
        <f aca="false">Data!A1099</f>
        <v>43601</v>
      </c>
      <c r="B1099" s="14" t="n">
        <f aca="false">Data!B1099</f>
        <v>62.87</v>
      </c>
      <c r="C1099" s="0" t="str">
        <f aca="false">IF(Data!D1099="","HOLD",IF(AND(G1098&lt;&gt;"IN",Data!E1099&lt;-5),"BUY",IF(AND(G1098="IN",Data!E1099&gt;0),"SELL","HOLD")))</f>
        <v>HOLD</v>
      </c>
      <c r="D1099" s="14" t="str">
        <f aca="false">IF(C1099="BUY",B1099,IF(G1098="IN",D1098,""))</f>
        <v/>
      </c>
      <c r="E1099" s="14" t="str">
        <f aca="false">IF(C1099="SELL",B1099,"")</f>
        <v/>
      </c>
      <c r="F1099" s="14" t="str">
        <f aca="false">IF(E1099="","",(E1099-D1099)/D1099*100)</f>
        <v/>
      </c>
      <c r="G1099" s="0" t="str">
        <f aca="false">IF(C1099="BUY","IN",IF(C1099="SELL","OUT",IF(G1098="IN","IN","OUT")))</f>
        <v>OUT</v>
      </c>
      <c r="H1099" s="14" t="n">
        <f aca="false">H1098+IF(F1099="",0,F1099)</f>
        <v>14.6083117311361</v>
      </c>
      <c r="I1099" s="14" t="n">
        <f aca="false">MAX(I1098,H1099)</f>
        <v>43.9309628600509</v>
      </c>
      <c r="J1099" s="14" t="n">
        <f aca="false">I1099-H1099</f>
        <v>29.3226511289148</v>
      </c>
    </row>
    <row r="1100" customFormat="false" ht="15" hidden="false" customHeight="false" outlineLevel="0" collapsed="false">
      <c r="A1100" s="12" t="n">
        <f aca="false">Data!A1100</f>
        <v>43602</v>
      </c>
      <c r="B1100" s="14" t="n">
        <f aca="false">Data!B1100</f>
        <v>62.76</v>
      </c>
      <c r="C1100" s="0" t="str">
        <f aca="false">IF(Data!D1100="","HOLD",IF(AND(G1099&lt;&gt;"IN",Data!E1100&lt;-5),"BUY",IF(AND(G1099="IN",Data!E1100&gt;0),"SELL","HOLD")))</f>
        <v>HOLD</v>
      </c>
      <c r="D1100" s="14" t="str">
        <f aca="false">IF(C1100="BUY",B1100,IF(G1099="IN",D1099,""))</f>
        <v/>
      </c>
      <c r="E1100" s="14" t="str">
        <f aca="false">IF(C1100="SELL",B1100,"")</f>
        <v/>
      </c>
      <c r="F1100" s="14" t="str">
        <f aca="false">IF(E1100="","",(E1100-D1100)/D1100*100)</f>
        <v/>
      </c>
      <c r="G1100" s="0" t="str">
        <f aca="false">IF(C1100="BUY","IN",IF(C1100="SELL","OUT",IF(G1099="IN","IN","OUT")))</f>
        <v>OUT</v>
      </c>
      <c r="H1100" s="14" t="n">
        <f aca="false">H1099+IF(F1100="",0,F1100)</f>
        <v>14.6083117311361</v>
      </c>
      <c r="I1100" s="14" t="n">
        <f aca="false">MAX(I1099,H1100)</f>
        <v>43.9309628600509</v>
      </c>
      <c r="J1100" s="14" t="n">
        <f aca="false">I1100-H1100</f>
        <v>29.3226511289148</v>
      </c>
    </row>
    <row r="1101" customFormat="false" ht="15" hidden="false" customHeight="false" outlineLevel="0" collapsed="false">
      <c r="A1101" s="12" t="n">
        <f aca="false">Data!A1101</f>
        <v>43605</v>
      </c>
      <c r="B1101" s="14" t="n">
        <f aca="false">Data!B1101</f>
        <v>63.1</v>
      </c>
      <c r="C1101" s="0" t="str">
        <f aca="false">IF(Data!D1101="","HOLD",IF(AND(G1100&lt;&gt;"IN",Data!E1101&lt;-5),"BUY",IF(AND(G1100="IN",Data!E1101&gt;0),"SELL","HOLD")))</f>
        <v>HOLD</v>
      </c>
      <c r="D1101" s="14" t="str">
        <f aca="false">IF(C1101="BUY",B1101,IF(G1100="IN",D1100,""))</f>
        <v/>
      </c>
      <c r="E1101" s="14" t="str">
        <f aca="false">IF(C1101="SELL",B1101,"")</f>
        <v/>
      </c>
      <c r="F1101" s="14" t="str">
        <f aca="false">IF(E1101="","",(E1101-D1101)/D1101*100)</f>
        <v/>
      </c>
      <c r="G1101" s="0" t="str">
        <f aca="false">IF(C1101="BUY","IN",IF(C1101="SELL","OUT",IF(G1100="IN","IN","OUT")))</f>
        <v>OUT</v>
      </c>
      <c r="H1101" s="14" t="n">
        <f aca="false">H1100+IF(F1101="",0,F1101)</f>
        <v>14.6083117311361</v>
      </c>
      <c r="I1101" s="14" t="n">
        <f aca="false">MAX(I1100,H1101)</f>
        <v>43.9309628600509</v>
      </c>
      <c r="J1101" s="14" t="n">
        <f aca="false">I1101-H1101</f>
        <v>29.3226511289148</v>
      </c>
    </row>
    <row r="1102" customFormat="false" ht="15" hidden="false" customHeight="false" outlineLevel="0" collapsed="false">
      <c r="A1102" s="12" t="n">
        <f aca="false">Data!A1102</f>
        <v>43606</v>
      </c>
      <c r="B1102" s="14" t="n">
        <f aca="false">Data!B1102</f>
        <v>62.99</v>
      </c>
      <c r="C1102" s="0" t="str">
        <f aca="false">IF(Data!D1102="","HOLD",IF(AND(G1101&lt;&gt;"IN",Data!E1102&lt;-5),"BUY",IF(AND(G1101="IN",Data!E1102&gt;0),"SELL","HOLD")))</f>
        <v>HOLD</v>
      </c>
      <c r="D1102" s="14" t="str">
        <f aca="false">IF(C1102="BUY",B1102,IF(G1101="IN",D1101,""))</f>
        <v/>
      </c>
      <c r="E1102" s="14" t="str">
        <f aca="false">IF(C1102="SELL",B1102,"")</f>
        <v/>
      </c>
      <c r="F1102" s="14" t="str">
        <f aca="false">IF(E1102="","",(E1102-D1102)/D1102*100)</f>
        <v/>
      </c>
      <c r="G1102" s="0" t="str">
        <f aca="false">IF(C1102="BUY","IN",IF(C1102="SELL","OUT",IF(G1101="IN","IN","OUT")))</f>
        <v>OUT</v>
      </c>
      <c r="H1102" s="14" t="n">
        <f aca="false">H1101+IF(F1102="",0,F1102)</f>
        <v>14.6083117311361</v>
      </c>
      <c r="I1102" s="14" t="n">
        <f aca="false">MAX(I1101,H1102)</f>
        <v>43.9309628600509</v>
      </c>
      <c r="J1102" s="14" t="n">
        <f aca="false">I1102-H1102</f>
        <v>29.3226511289148</v>
      </c>
    </row>
    <row r="1103" customFormat="false" ht="15" hidden="false" customHeight="false" outlineLevel="0" collapsed="false">
      <c r="A1103" s="12" t="n">
        <f aca="false">Data!A1103</f>
        <v>43607</v>
      </c>
      <c r="B1103" s="14" t="n">
        <f aca="false">Data!B1103</f>
        <v>61.42</v>
      </c>
      <c r="C1103" s="0" t="str">
        <f aca="false">IF(Data!D1103="","HOLD",IF(AND(G1102&lt;&gt;"IN",Data!E1103&lt;-5),"BUY",IF(AND(G1102="IN",Data!E1103&gt;0),"SELL","HOLD")))</f>
        <v>HOLD</v>
      </c>
      <c r="D1103" s="14" t="str">
        <f aca="false">IF(C1103="BUY",B1103,IF(G1102="IN",D1102,""))</f>
        <v/>
      </c>
      <c r="E1103" s="14" t="str">
        <f aca="false">IF(C1103="SELL",B1103,"")</f>
        <v/>
      </c>
      <c r="F1103" s="14" t="str">
        <f aca="false">IF(E1103="","",(E1103-D1103)/D1103*100)</f>
        <v/>
      </c>
      <c r="G1103" s="0" t="str">
        <f aca="false">IF(C1103="BUY","IN",IF(C1103="SELL","OUT",IF(G1102="IN","IN","OUT")))</f>
        <v>OUT</v>
      </c>
      <c r="H1103" s="14" t="n">
        <f aca="false">H1102+IF(F1103="",0,F1103)</f>
        <v>14.6083117311361</v>
      </c>
      <c r="I1103" s="14" t="n">
        <f aca="false">MAX(I1102,H1103)</f>
        <v>43.9309628600509</v>
      </c>
      <c r="J1103" s="14" t="n">
        <f aca="false">I1103-H1103</f>
        <v>29.3226511289148</v>
      </c>
    </row>
    <row r="1104" customFormat="false" ht="15" hidden="false" customHeight="false" outlineLevel="0" collapsed="false">
      <c r="A1104" s="12" t="n">
        <f aca="false">Data!A1104</f>
        <v>43608</v>
      </c>
      <c r="B1104" s="14" t="n">
        <f aca="false">Data!B1104</f>
        <v>57.91</v>
      </c>
      <c r="C1104" s="0" t="str">
        <f aca="false">IF(Data!D1104="","HOLD",IF(AND(G1103&lt;&gt;"IN",Data!E1104&lt;-5),"BUY",IF(AND(G1103="IN",Data!E1104&gt;0),"SELL","HOLD")))</f>
        <v>BUY</v>
      </c>
      <c r="D1104" s="14" t="n">
        <f aca="false">IF(C1104="BUY",B1104,IF(G1103="IN",D1103,""))</f>
        <v>57.91</v>
      </c>
      <c r="E1104" s="14" t="str">
        <f aca="false">IF(C1104="SELL",B1104,"")</f>
        <v/>
      </c>
      <c r="F1104" s="14" t="str">
        <f aca="false">IF(E1104="","",(E1104-D1104)/D1104*100)</f>
        <v/>
      </c>
      <c r="G1104" s="0" t="str">
        <f aca="false">IF(C1104="BUY","IN",IF(C1104="SELL","OUT",IF(G1103="IN","IN","OUT")))</f>
        <v>IN</v>
      </c>
      <c r="H1104" s="14" t="n">
        <f aca="false">H1103+IF(F1104="",0,F1104)</f>
        <v>14.6083117311361</v>
      </c>
      <c r="I1104" s="14" t="n">
        <f aca="false">MAX(I1103,H1104)</f>
        <v>43.9309628600509</v>
      </c>
      <c r="J1104" s="14" t="n">
        <f aca="false">I1104-H1104</f>
        <v>29.3226511289148</v>
      </c>
    </row>
    <row r="1105" customFormat="false" ht="15" hidden="false" customHeight="false" outlineLevel="0" collapsed="false">
      <c r="A1105" s="12" t="n">
        <f aca="false">Data!A1105</f>
        <v>43609</v>
      </c>
      <c r="B1105" s="14" t="n">
        <f aca="false">Data!B1105</f>
        <v>58.63</v>
      </c>
      <c r="C1105" s="0" t="str">
        <f aca="false">IF(Data!D1105="","HOLD",IF(AND(G1104&lt;&gt;"IN",Data!E1105&lt;-5),"BUY",IF(AND(G1104="IN",Data!E1105&gt;0),"SELL","HOLD")))</f>
        <v>HOLD</v>
      </c>
      <c r="D1105" s="14" t="n">
        <f aca="false">IF(C1105="BUY",B1105,IF(G1104="IN",D1104,""))</f>
        <v>57.91</v>
      </c>
      <c r="E1105" s="14" t="str">
        <f aca="false">IF(C1105="SELL",B1105,"")</f>
        <v/>
      </c>
      <c r="F1105" s="14" t="str">
        <f aca="false">IF(E1105="","",(E1105-D1105)/D1105*100)</f>
        <v/>
      </c>
      <c r="G1105" s="0" t="str">
        <f aca="false">IF(C1105="BUY","IN",IF(C1105="SELL","OUT",IF(G1104="IN","IN","OUT")))</f>
        <v>IN</v>
      </c>
      <c r="H1105" s="14" t="n">
        <f aca="false">H1104+IF(F1105="",0,F1105)</f>
        <v>14.6083117311361</v>
      </c>
      <c r="I1105" s="14" t="n">
        <f aca="false">MAX(I1104,H1105)</f>
        <v>43.9309628600509</v>
      </c>
      <c r="J1105" s="14" t="n">
        <f aca="false">I1105-H1105</f>
        <v>29.3226511289148</v>
      </c>
    </row>
    <row r="1106" customFormat="false" ht="15" hidden="false" customHeight="false" outlineLevel="0" collapsed="false">
      <c r="A1106" s="12" t="n">
        <f aca="false">Data!A1106</f>
        <v>43613</v>
      </c>
      <c r="B1106" s="14" t="n">
        <f aca="false">Data!B1106</f>
        <v>59.14</v>
      </c>
      <c r="C1106" s="0" t="str">
        <f aca="false">IF(Data!D1106="","HOLD",IF(AND(G1105&lt;&gt;"IN",Data!E1106&lt;-5),"BUY",IF(AND(G1105="IN",Data!E1106&gt;0),"SELL","HOLD")))</f>
        <v>HOLD</v>
      </c>
      <c r="D1106" s="14" t="n">
        <f aca="false">IF(C1106="BUY",B1106,IF(G1105="IN",D1105,""))</f>
        <v>57.91</v>
      </c>
      <c r="E1106" s="14" t="str">
        <f aca="false">IF(C1106="SELL",B1106,"")</f>
        <v/>
      </c>
      <c r="F1106" s="14" t="str">
        <f aca="false">IF(E1106="","",(E1106-D1106)/D1106*100)</f>
        <v/>
      </c>
      <c r="G1106" s="0" t="str">
        <f aca="false">IF(C1106="BUY","IN",IF(C1106="SELL","OUT",IF(G1105="IN","IN","OUT")))</f>
        <v>IN</v>
      </c>
      <c r="H1106" s="14" t="n">
        <f aca="false">H1105+IF(F1106="",0,F1106)</f>
        <v>14.6083117311361</v>
      </c>
      <c r="I1106" s="14" t="n">
        <f aca="false">MAX(I1105,H1106)</f>
        <v>43.9309628600509</v>
      </c>
      <c r="J1106" s="14" t="n">
        <f aca="false">I1106-H1106</f>
        <v>29.3226511289148</v>
      </c>
    </row>
    <row r="1107" customFormat="false" ht="15" hidden="false" customHeight="false" outlineLevel="0" collapsed="false">
      <c r="A1107" s="12" t="n">
        <f aca="false">Data!A1107</f>
        <v>43614</v>
      </c>
      <c r="B1107" s="14" t="n">
        <f aca="false">Data!B1107</f>
        <v>58.81</v>
      </c>
      <c r="C1107" s="0" t="str">
        <f aca="false">IF(Data!D1107="","HOLD",IF(AND(G1106&lt;&gt;"IN",Data!E1107&lt;-5),"BUY",IF(AND(G1106="IN",Data!E1107&gt;0),"SELL","HOLD")))</f>
        <v>HOLD</v>
      </c>
      <c r="D1107" s="14" t="n">
        <f aca="false">IF(C1107="BUY",B1107,IF(G1106="IN",D1106,""))</f>
        <v>57.91</v>
      </c>
      <c r="E1107" s="14" t="str">
        <f aca="false">IF(C1107="SELL",B1107,"")</f>
        <v/>
      </c>
      <c r="F1107" s="14" t="str">
        <f aca="false">IF(E1107="","",(E1107-D1107)/D1107*100)</f>
        <v/>
      </c>
      <c r="G1107" s="0" t="str">
        <f aca="false">IF(C1107="BUY","IN",IF(C1107="SELL","OUT",IF(G1106="IN","IN","OUT")))</f>
        <v>IN</v>
      </c>
      <c r="H1107" s="14" t="n">
        <f aca="false">H1106+IF(F1107="",0,F1107)</f>
        <v>14.6083117311361</v>
      </c>
      <c r="I1107" s="14" t="n">
        <f aca="false">MAX(I1106,H1107)</f>
        <v>43.9309628600509</v>
      </c>
      <c r="J1107" s="14" t="n">
        <f aca="false">I1107-H1107</f>
        <v>29.3226511289148</v>
      </c>
    </row>
    <row r="1108" customFormat="false" ht="15" hidden="false" customHeight="false" outlineLevel="0" collapsed="false">
      <c r="A1108" s="12" t="n">
        <f aca="false">Data!A1108</f>
        <v>43615</v>
      </c>
      <c r="B1108" s="14" t="n">
        <f aca="false">Data!B1108</f>
        <v>56.59</v>
      </c>
      <c r="C1108" s="0" t="str">
        <f aca="false">IF(Data!D1108="","HOLD",IF(AND(G1107&lt;&gt;"IN",Data!E1108&lt;-5),"BUY",IF(AND(G1107="IN",Data!E1108&gt;0),"SELL","HOLD")))</f>
        <v>HOLD</v>
      </c>
      <c r="D1108" s="14" t="n">
        <f aca="false">IF(C1108="BUY",B1108,IF(G1107="IN",D1107,""))</f>
        <v>57.91</v>
      </c>
      <c r="E1108" s="14" t="str">
        <f aca="false">IF(C1108="SELL",B1108,"")</f>
        <v/>
      </c>
      <c r="F1108" s="14" t="str">
        <f aca="false">IF(E1108="","",(E1108-D1108)/D1108*100)</f>
        <v/>
      </c>
      <c r="G1108" s="0" t="str">
        <f aca="false">IF(C1108="BUY","IN",IF(C1108="SELL","OUT",IF(G1107="IN","IN","OUT")))</f>
        <v>IN</v>
      </c>
      <c r="H1108" s="14" t="n">
        <f aca="false">H1107+IF(F1108="",0,F1108)</f>
        <v>14.6083117311361</v>
      </c>
      <c r="I1108" s="14" t="n">
        <f aca="false">MAX(I1107,H1108)</f>
        <v>43.9309628600509</v>
      </c>
      <c r="J1108" s="14" t="n">
        <f aca="false">I1108-H1108</f>
        <v>29.3226511289148</v>
      </c>
    </row>
    <row r="1109" customFormat="false" ht="15" hidden="false" customHeight="false" outlineLevel="0" collapsed="false">
      <c r="A1109" s="12" t="n">
        <f aca="false">Data!A1109</f>
        <v>43616</v>
      </c>
      <c r="B1109" s="14" t="n">
        <f aca="false">Data!B1109</f>
        <v>53.5</v>
      </c>
      <c r="C1109" s="0" t="str">
        <f aca="false">IF(Data!D1109="","HOLD",IF(AND(G1108&lt;&gt;"IN",Data!E1109&lt;-5),"BUY",IF(AND(G1108="IN",Data!E1109&gt;0),"SELL","HOLD")))</f>
        <v>HOLD</v>
      </c>
      <c r="D1109" s="14" t="n">
        <f aca="false">IF(C1109="BUY",B1109,IF(G1108="IN",D1108,""))</f>
        <v>57.91</v>
      </c>
      <c r="E1109" s="14" t="str">
        <f aca="false">IF(C1109="SELL",B1109,"")</f>
        <v/>
      </c>
      <c r="F1109" s="14" t="str">
        <f aca="false">IF(E1109="","",(E1109-D1109)/D1109*100)</f>
        <v/>
      </c>
      <c r="G1109" s="0" t="str">
        <f aca="false">IF(C1109="BUY","IN",IF(C1109="SELL","OUT",IF(G1108="IN","IN","OUT")))</f>
        <v>IN</v>
      </c>
      <c r="H1109" s="14" t="n">
        <f aca="false">H1108+IF(F1109="",0,F1109)</f>
        <v>14.6083117311361</v>
      </c>
      <c r="I1109" s="14" t="n">
        <f aca="false">MAX(I1108,H1109)</f>
        <v>43.9309628600509</v>
      </c>
      <c r="J1109" s="14" t="n">
        <f aca="false">I1109-H1109</f>
        <v>29.3226511289148</v>
      </c>
    </row>
    <row r="1110" customFormat="false" ht="15" hidden="false" customHeight="false" outlineLevel="0" collapsed="false">
      <c r="A1110" s="12" t="n">
        <f aca="false">Data!A1110</f>
        <v>43619</v>
      </c>
      <c r="B1110" s="14" t="n">
        <f aca="false">Data!B1110</f>
        <v>53.25</v>
      </c>
      <c r="C1110" s="0" t="str">
        <f aca="false">IF(Data!D1110="","HOLD",IF(AND(G1109&lt;&gt;"IN",Data!E1110&lt;-5),"BUY",IF(AND(G1109="IN",Data!E1110&gt;0),"SELL","HOLD")))</f>
        <v>HOLD</v>
      </c>
      <c r="D1110" s="14" t="n">
        <f aca="false">IF(C1110="BUY",B1110,IF(G1109="IN",D1109,""))</f>
        <v>57.91</v>
      </c>
      <c r="E1110" s="14" t="str">
        <f aca="false">IF(C1110="SELL",B1110,"")</f>
        <v/>
      </c>
      <c r="F1110" s="14" t="str">
        <f aca="false">IF(E1110="","",(E1110-D1110)/D1110*100)</f>
        <v/>
      </c>
      <c r="G1110" s="0" t="str">
        <f aca="false">IF(C1110="BUY","IN",IF(C1110="SELL","OUT",IF(G1109="IN","IN","OUT")))</f>
        <v>IN</v>
      </c>
      <c r="H1110" s="14" t="n">
        <f aca="false">H1109+IF(F1110="",0,F1110)</f>
        <v>14.6083117311361</v>
      </c>
      <c r="I1110" s="14" t="n">
        <f aca="false">MAX(I1109,H1110)</f>
        <v>43.9309628600509</v>
      </c>
      <c r="J1110" s="14" t="n">
        <f aca="false">I1110-H1110</f>
        <v>29.3226511289148</v>
      </c>
    </row>
    <row r="1111" customFormat="false" ht="15" hidden="false" customHeight="false" outlineLevel="0" collapsed="false">
      <c r="A1111" s="12" t="n">
        <f aca="false">Data!A1111</f>
        <v>43620</v>
      </c>
      <c r="B1111" s="14" t="n">
        <f aca="false">Data!B1111</f>
        <v>53.48</v>
      </c>
      <c r="C1111" s="0" t="str">
        <f aca="false">IF(Data!D1111="","HOLD",IF(AND(G1110&lt;&gt;"IN",Data!E1111&lt;-5),"BUY",IF(AND(G1110="IN",Data!E1111&gt;0),"SELL","HOLD")))</f>
        <v>HOLD</v>
      </c>
      <c r="D1111" s="14" t="n">
        <f aca="false">IF(C1111="BUY",B1111,IF(G1110="IN",D1110,""))</f>
        <v>57.91</v>
      </c>
      <c r="E1111" s="14" t="str">
        <f aca="false">IF(C1111="SELL",B1111,"")</f>
        <v/>
      </c>
      <c r="F1111" s="14" t="str">
        <f aca="false">IF(E1111="","",(E1111-D1111)/D1111*100)</f>
        <v/>
      </c>
      <c r="G1111" s="0" t="str">
        <f aca="false">IF(C1111="BUY","IN",IF(C1111="SELL","OUT",IF(G1110="IN","IN","OUT")))</f>
        <v>IN</v>
      </c>
      <c r="H1111" s="14" t="n">
        <f aca="false">H1110+IF(F1111="",0,F1111)</f>
        <v>14.6083117311361</v>
      </c>
      <c r="I1111" s="14" t="n">
        <f aca="false">MAX(I1110,H1111)</f>
        <v>43.9309628600509</v>
      </c>
      <c r="J1111" s="14" t="n">
        <f aca="false">I1111-H1111</f>
        <v>29.3226511289148</v>
      </c>
    </row>
    <row r="1112" customFormat="false" ht="15" hidden="false" customHeight="false" outlineLevel="0" collapsed="false">
      <c r="A1112" s="12" t="n">
        <f aca="false">Data!A1112</f>
        <v>43621</v>
      </c>
      <c r="B1112" s="14" t="n">
        <f aca="false">Data!B1112</f>
        <v>51.68</v>
      </c>
      <c r="C1112" s="0" t="str">
        <f aca="false">IF(Data!D1112="","HOLD",IF(AND(G1111&lt;&gt;"IN",Data!E1112&lt;-5),"BUY",IF(AND(G1111="IN",Data!E1112&gt;0),"SELL","HOLD")))</f>
        <v>HOLD</v>
      </c>
      <c r="D1112" s="14" t="n">
        <f aca="false">IF(C1112="BUY",B1112,IF(G1111="IN",D1111,""))</f>
        <v>57.91</v>
      </c>
      <c r="E1112" s="14" t="str">
        <f aca="false">IF(C1112="SELL",B1112,"")</f>
        <v/>
      </c>
      <c r="F1112" s="14" t="str">
        <f aca="false">IF(E1112="","",(E1112-D1112)/D1112*100)</f>
        <v/>
      </c>
      <c r="G1112" s="0" t="str">
        <f aca="false">IF(C1112="BUY","IN",IF(C1112="SELL","OUT",IF(G1111="IN","IN","OUT")))</f>
        <v>IN</v>
      </c>
      <c r="H1112" s="14" t="n">
        <f aca="false">H1111+IF(F1112="",0,F1112)</f>
        <v>14.6083117311361</v>
      </c>
      <c r="I1112" s="14" t="n">
        <f aca="false">MAX(I1111,H1112)</f>
        <v>43.9309628600509</v>
      </c>
      <c r="J1112" s="14" t="n">
        <f aca="false">I1112-H1112</f>
        <v>29.3226511289148</v>
      </c>
    </row>
    <row r="1113" customFormat="false" ht="15" hidden="false" customHeight="false" outlineLevel="0" collapsed="false">
      <c r="A1113" s="12" t="n">
        <f aca="false">Data!A1113</f>
        <v>43622</v>
      </c>
      <c r="B1113" s="14" t="n">
        <f aca="false">Data!B1113</f>
        <v>52.59</v>
      </c>
      <c r="C1113" s="0" t="str">
        <f aca="false">IF(Data!D1113="","HOLD",IF(AND(G1112&lt;&gt;"IN",Data!E1113&lt;-5),"BUY",IF(AND(G1112="IN",Data!E1113&gt;0),"SELL","HOLD")))</f>
        <v>HOLD</v>
      </c>
      <c r="D1113" s="14" t="n">
        <f aca="false">IF(C1113="BUY",B1113,IF(G1112="IN",D1112,""))</f>
        <v>57.91</v>
      </c>
      <c r="E1113" s="14" t="str">
        <f aca="false">IF(C1113="SELL",B1113,"")</f>
        <v/>
      </c>
      <c r="F1113" s="14" t="str">
        <f aca="false">IF(E1113="","",(E1113-D1113)/D1113*100)</f>
        <v/>
      </c>
      <c r="G1113" s="0" t="str">
        <f aca="false">IF(C1113="BUY","IN",IF(C1113="SELL","OUT",IF(G1112="IN","IN","OUT")))</f>
        <v>IN</v>
      </c>
      <c r="H1113" s="14" t="n">
        <f aca="false">H1112+IF(F1113="",0,F1113)</f>
        <v>14.6083117311361</v>
      </c>
      <c r="I1113" s="14" t="n">
        <f aca="false">MAX(I1112,H1113)</f>
        <v>43.9309628600509</v>
      </c>
      <c r="J1113" s="14" t="n">
        <f aca="false">I1113-H1113</f>
        <v>29.3226511289148</v>
      </c>
    </row>
    <row r="1114" customFormat="false" ht="15" hidden="false" customHeight="false" outlineLevel="0" collapsed="false">
      <c r="A1114" s="12" t="n">
        <f aca="false">Data!A1114</f>
        <v>43623</v>
      </c>
      <c r="B1114" s="14" t="n">
        <f aca="false">Data!B1114</f>
        <v>53.99</v>
      </c>
      <c r="C1114" s="0" t="str">
        <f aca="false">IF(Data!D1114="","HOLD",IF(AND(G1113&lt;&gt;"IN",Data!E1114&lt;-5),"BUY",IF(AND(G1113="IN",Data!E1114&gt;0),"SELL","HOLD")))</f>
        <v>HOLD</v>
      </c>
      <c r="D1114" s="14" t="n">
        <f aca="false">IF(C1114="BUY",B1114,IF(G1113="IN",D1113,""))</f>
        <v>57.91</v>
      </c>
      <c r="E1114" s="14" t="str">
        <f aca="false">IF(C1114="SELL",B1114,"")</f>
        <v/>
      </c>
      <c r="F1114" s="14" t="str">
        <f aca="false">IF(E1114="","",(E1114-D1114)/D1114*100)</f>
        <v/>
      </c>
      <c r="G1114" s="0" t="str">
        <f aca="false">IF(C1114="BUY","IN",IF(C1114="SELL","OUT",IF(G1113="IN","IN","OUT")))</f>
        <v>IN</v>
      </c>
      <c r="H1114" s="14" t="n">
        <f aca="false">H1113+IF(F1114="",0,F1114)</f>
        <v>14.6083117311361</v>
      </c>
      <c r="I1114" s="14" t="n">
        <f aca="false">MAX(I1113,H1114)</f>
        <v>43.9309628600509</v>
      </c>
      <c r="J1114" s="14" t="n">
        <f aca="false">I1114-H1114</f>
        <v>29.3226511289148</v>
      </c>
    </row>
    <row r="1115" customFormat="false" ht="15" hidden="false" customHeight="false" outlineLevel="0" collapsed="false">
      <c r="A1115" s="12" t="n">
        <f aca="false">Data!A1115</f>
        <v>43626</v>
      </c>
      <c r="B1115" s="14" t="n">
        <f aca="false">Data!B1115</f>
        <v>53.26</v>
      </c>
      <c r="C1115" s="0" t="str">
        <f aca="false">IF(Data!D1115="","HOLD",IF(AND(G1114&lt;&gt;"IN",Data!E1115&lt;-5),"BUY",IF(AND(G1114="IN",Data!E1115&gt;0),"SELL","HOLD")))</f>
        <v>HOLD</v>
      </c>
      <c r="D1115" s="14" t="n">
        <f aca="false">IF(C1115="BUY",B1115,IF(G1114="IN",D1114,""))</f>
        <v>57.91</v>
      </c>
      <c r="E1115" s="14" t="str">
        <f aca="false">IF(C1115="SELL",B1115,"")</f>
        <v/>
      </c>
      <c r="F1115" s="14" t="str">
        <f aca="false">IF(E1115="","",(E1115-D1115)/D1115*100)</f>
        <v/>
      </c>
      <c r="G1115" s="0" t="str">
        <f aca="false">IF(C1115="BUY","IN",IF(C1115="SELL","OUT",IF(G1114="IN","IN","OUT")))</f>
        <v>IN</v>
      </c>
      <c r="H1115" s="14" t="n">
        <f aca="false">H1114+IF(F1115="",0,F1115)</f>
        <v>14.6083117311361</v>
      </c>
      <c r="I1115" s="14" t="n">
        <f aca="false">MAX(I1114,H1115)</f>
        <v>43.9309628600509</v>
      </c>
      <c r="J1115" s="14" t="n">
        <f aca="false">I1115-H1115</f>
        <v>29.3226511289148</v>
      </c>
    </row>
    <row r="1116" customFormat="false" ht="15" hidden="false" customHeight="false" outlineLevel="0" collapsed="false">
      <c r="A1116" s="12" t="n">
        <f aca="false">Data!A1116</f>
        <v>43627</v>
      </c>
      <c r="B1116" s="14" t="n">
        <f aca="false">Data!B1116</f>
        <v>53.27</v>
      </c>
      <c r="C1116" s="0" t="str">
        <f aca="false">IF(Data!D1116="","HOLD",IF(AND(G1115&lt;&gt;"IN",Data!E1116&lt;-5),"BUY",IF(AND(G1115="IN",Data!E1116&gt;0),"SELL","HOLD")))</f>
        <v>HOLD</v>
      </c>
      <c r="D1116" s="14" t="n">
        <f aca="false">IF(C1116="BUY",B1116,IF(G1115="IN",D1115,""))</f>
        <v>57.91</v>
      </c>
      <c r="E1116" s="14" t="str">
        <f aca="false">IF(C1116="SELL",B1116,"")</f>
        <v/>
      </c>
      <c r="F1116" s="14" t="str">
        <f aca="false">IF(E1116="","",(E1116-D1116)/D1116*100)</f>
        <v/>
      </c>
      <c r="G1116" s="0" t="str">
        <f aca="false">IF(C1116="BUY","IN",IF(C1116="SELL","OUT",IF(G1115="IN","IN","OUT")))</f>
        <v>IN</v>
      </c>
      <c r="H1116" s="14" t="n">
        <f aca="false">H1115+IF(F1116="",0,F1116)</f>
        <v>14.6083117311361</v>
      </c>
      <c r="I1116" s="14" t="n">
        <f aca="false">MAX(I1115,H1116)</f>
        <v>43.9309628600509</v>
      </c>
      <c r="J1116" s="14" t="n">
        <f aca="false">I1116-H1116</f>
        <v>29.3226511289148</v>
      </c>
    </row>
    <row r="1117" customFormat="false" ht="15" hidden="false" customHeight="false" outlineLevel="0" collapsed="false">
      <c r="A1117" s="12" t="n">
        <f aca="false">Data!A1117</f>
        <v>43628</v>
      </c>
      <c r="B1117" s="14" t="n">
        <f aca="false">Data!B1117</f>
        <v>51.14</v>
      </c>
      <c r="C1117" s="0" t="str">
        <f aca="false">IF(Data!D1117="","HOLD",IF(AND(G1116&lt;&gt;"IN",Data!E1117&lt;-5),"BUY",IF(AND(G1116="IN",Data!E1117&gt;0),"SELL","HOLD")))</f>
        <v>HOLD</v>
      </c>
      <c r="D1117" s="14" t="n">
        <f aca="false">IF(C1117="BUY",B1117,IF(G1116="IN",D1116,""))</f>
        <v>57.91</v>
      </c>
      <c r="E1117" s="14" t="str">
        <f aca="false">IF(C1117="SELL",B1117,"")</f>
        <v/>
      </c>
      <c r="F1117" s="14" t="str">
        <f aca="false">IF(E1117="","",(E1117-D1117)/D1117*100)</f>
        <v/>
      </c>
      <c r="G1117" s="0" t="str">
        <f aca="false">IF(C1117="BUY","IN",IF(C1117="SELL","OUT",IF(G1116="IN","IN","OUT")))</f>
        <v>IN</v>
      </c>
      <c r="H1117" s="14" t="n">
        <f aca="false">H1116+IF(F1117="",0,F1117)</f>
        <v>14.6083117311361</v>
      </c>
      <c r="I1117" s="14" t="n">
        <f aca="false">MAX(I1116,H1117)</f>
        <v>43.9309628600509</v>
      </c>
      <c r="J1117" s="14" t="n">
        <f aca="false">I1117-H1117</f>
        <v>29.3226511289148</v>
      </c>
    </row>
    <row r="1118" customFormat="false" ht="15" hidden="false" customHeight="false" outlineLevel="0" collapsed="false">
      <c r="A1118" s="12" t="n">
        <f aca="false">Data!A1118</f>
        <v>43629</v>
      </c>
      <c r="B1118" s="14" t="n">
        <f aca="false">Data!B1118</f>
        <v>52.28</v>
      </c>
      <c r="C1118" s="0" t="str">
        <f aca="false">IF(Data!D1118="","HOLD",IF(AND(G1117&lt;&gt;"IN",Data!E1118&lt;-5),"BUY",IF(AND(G1117="IN",Data!E1118&gt;0),"SELL","HOLD")))</f>
        <v>HOLD</v>
      </c>
      <c r="D1118" s="14" t="n">
        <f aca="false">IF(C1118="BUY",B1118,IF(G1117="IN",D1117,""))</f>
        <v>57.91</v>
      </c>
      <c r="E1118" s="14" t="str">
        <f aca="false">IF(C1118="SELL",B1118,"")</f>
        <v/>
      </c>
      <c r="F1118" s="14" t="str">
        <f aca="false">IF(E1118="","",(E1118-D1118)/D1118*100)</f>
        <v/>
      </c>
      <c r="G1118" s="0" t="str">
        <f aca="false">IF(C1118="BUY","IN",IF(C1118="SELL","OUT",IF(G1117="IN","IN","OUT")))</f>
        <v>IN</v>
      </c>
      <c r="H1118" s="14" t="n">
        <f aca="false">H1117+IF(F1118="",0,F1118)</f>
        <v>14.6083117311361</v>
      </c>
      <c r="I1118" s="14" t="n">
        <f aca="false">MAX(I1117,H1118)</f>
        <v>43.9309628600509</v>
      </c>
      <c r="J1118" s="14" t="n">
        <f aca="false">I1118-H1118</f>
        <v>29.3226511289148</v>
      </c>
    </row>
    <row r="1119" customFormat="false" ht="15" hidden="false" customHeight="false" outlineLevel="0" collapsed="false">
      <c r="A1119" s="12" t="n">
        <f aca="false">Data!A1119</f>
        <v>43630</v>
      </c>
      <c r="B1119" s="14" t="n">
        <f aca="false">Data!B1119</f>
        <v>52.51</v>
      </c>
      <c r="C1119" s="0" t="str">
        <f aca="false">IF(Data!D1119="","HOLD",IF(AND(G1118&lt;&gt;"IN",Data!E1119&lt;-5),"BUY",IF(AND(G1118="IN",Data!E1119&gt;0),"SELL","HOLD")))</f>
        <v>HOLD</v>
      </c>
      <c r="D1119" s="14" t="n">
        <f aca="false">IF(C1119="BUY",B1119,IF(G1118="IN",D1118,""))</f>
        <v>57.91</v>
      </c>
      <c r="E1119" s="14" t="str">
        <f aca="false">IF(C1119="SELL",B1119,"")</f>
        <v/>
      </c>
      <c r="F1119" s="14" t="str">
        <f aca="false">IF(E1119="","",(E1119-D1119)/D1119*100)</f>
        <v/>
      </c>
      <c r="G1119" s="0" t="str">
        <f aca="false">IF(C1119="BUY","IN",IF(C1119="SELL","OUT",IF(G1118="IN","IN","OUT")))</f>
        <v>IN</v>
      </c>
      <c r="H1119" s="14" t="n">
        <f aca="false">H1118+IF(F1119="",0,F1119)</f>
        <v>14.6083117311361</v>
      </c>
      <c r="I1119" s="14" t="n">
        <f aca="false">MAX(I1118,H1119)</f>
        <v>43.9309628600509</v>
      </c>
      <c r="J1119" s="14" t="n">
        <f aca="false">I1119-H1119</f>
        <v>29.3226511289148</v>
      </c>
    </row>
    <row r="1120" customFormat="false" ht="15" hidden="false" customHeight="false" outlineLevel="0" collapsed="false">
      <c r="A1120" s="12" t="n">
        <f aca="false">Data!A1120</f>
        <v>43633</v>
      </c>
      <c r="B1120" s="14" t="n">
        <f aca="false">Data!B1120</f>
        <v>51.93</v>
      </c>
      <c r="C1120" s="0" t="str">
        <f aca="false">IF(Data!D1120="","HOLD",IF(AND(G1119&lt;&gt;"IN",Data!E1120&lt;-5),"BUY",IF(AND(G1119="IN",Data!E1120&gt;0),"SELL","HOLD")))</f>
        <v>HOLD</v>
      </c>
      <c r="D1120" s="14" t="n">
        <f aca="false">IF(C1120="BUY",B1120,IF(G1119="IN",D1119,""))</f>
        <v>57.91</v>
      </c>
      <c r="E1120" s="14" t="str">
        <f aca="false">IF(C1120="SELL",B1120,"")</f>
        <v/>
      </c>
      <c r="F1120" s="14" t="str">
        <f aca="false">IF(E1120="","",(E1120-D1120)/D1120*100)</f>
        <v/>
      </c>
      <c r="G1120" s="0" t="str">
        <f aca="false">IF(C1120="BUY","IN",IF(C1120="SELL","OUT",IF(G1119="IN","IN","OUT")))</f>
        <v>IN</v>
      </c>
      <c r="H1120" s="14" t="n">
        <f aca="false">H1119+IF(F1120="",0,F1120)</f>
        <v>14.6083117311361</v>
      </c>
      <c r="I1120" s="14" t="n">
        <f aca="false">MAX(I1119,H1120)</f>
        <v>43.9309628600509</v>
      </c>
      <c r="J1120" s="14" t="n">
        <f aca="false">I1120-H1120</f>
        <v>29.3226511289148</v>
      </c>
    </row>
    <row r="1121" customFormat="false" ht="15" hidden="false" customHeight="false" outlineLevel="0" collapsed="false">
      <c r="A1121" s="12" t="n">
        <f aca="false">Data!A1121</f>
        <v>43634</v>
      </c>
      <c r="B1121" s="14" t="n">
        <f aca="false">Data!B1121</f>
        <v>53.9</v>
      </c>
      <c r="C1121" s="0" t="str">
        <f aca="false">IF(Data!D1121="","HOLD",IF(AND(G1120&lt;&gt;"IN",Data!E1121&lt;-5),"BUY",IF(AND(G1120="IN",Data!E1121&gt;0),"SELL","HOLD")))</f>
        <v>HOLD</v>
      </c>
      <c r="D1121" s="14" t="n">
        <f aca="false">IF(C1121="BUY",B1121,IF(G1120="IN",D1120,""))</f>
        <v>57.91</v>
      </c>
      <c r="E1121" s="14" t="str">
        <f aca="false">IF(C1121="SELL",B1121,"")</f>
        <v/>
      </c>
      <c r="F1121" s="14" t="str">
        <f aca="false">IF(E1121="","",(E1121-D1121)/D1121*100)</f>
        <v/>
      </c>
      <c r="G1121" s="0" t="str">
        <f aca="false">IF(C1121="BUY","IN",IF(C1121="SELL","OUT",IF(G1120="IN","IN","OUT")))</f>
        <v>IN</v>
      </c>
      <c r="H1121" s="14" t="n">
        <f aca="false">H1120+IF(F1121="",0,F1121)</f>
        <v>14.6083117311361</v>
      </c>
      <c r="I1121" s="14" t="n">
        <f aca="false">MAX(I1120,H1121)</f>
        <v>43.9309628600509</v>
      </c>
      <c r="J1121" s="14" t="n">
        <f aca="false">I1121-H1121</f>
        <v>29.3226511289148</v>
      </c>
    </row>
    <row r="1122" customFormat="false" ht="15" hidden="false" customHeight="false" outlineLevel="0" collapsed="false">
      <c r="A1122" s="12" t="n">
        <f aca="false">Data!A1122</f>
        <v>43635</v>
      </c>
      <c r="B1122" s="14" t="n">
        <f aca="false">Data!B1122</f>
        <v>53.76</v>
      </c>
      <c r="C1122" s="0" t="str">
        <f aca="false">IF(Data!D1122="","HOLD",IF(AND(G1121&lt;&gt;"IN",Data!E1122&lt;-5),"BUY",IF(AND(G1121="IN",Data!E1122&gt;0),"SELL","HOLD")))</f>
        <v>HOLD</v>
      </c>
      <c r="D1122" s="14" t="n">
        <f aca="false">IF(C1122="BUY",B1122,IF(G1121="IN",D1121,""))</f>
        <v>57.91</v>
      </c>
      <c r="E1122" s="14" t="str">
        <f aca="false">IF(C1122="SELL",B1122,"")</f>
        <v/>
      </c>
      <c r="F1122" s="14" t="str">
        <f aca="false">IF(E1122="","",(E1122-D1122)/D1122*100)</f>
        <v/>
      </c>
      <c r="G1122" s="0" t="str">
        <f aca="false">IF(C1122="BUY","IN",IF(C1122="SELL","OUT",IF(G1121="IN","IN","OUT")))</f>
        <v>IN</v>
      </c>
      <c r="H1122" s="14" t="n">
        <f aca="false">H1121+IF(F1122="",0,F1122)</f>
        <v>14.6083117311361</v>
      </c>
      <c r="I1122" s="14" t="n">
        <f aca="false">MAX(I1121,H1122)</f>
        <v>43.9309628600509</v>
      </c>
      <c r="J1122" s="14" t="n">
        <f aca="false">I1122-H1122</f>
        <v>29.3226511289148</v>
      </c>
    </row>
    <row r="1123" customFormat="false" ht="15" hidden="false" customHeight="false" outlineLevel="0" collapsed="false">
      <c r="A1123" s="12" t="n">
        <f aca="false">Data!A1123</f>
        <v>43636</v>
      </c>
      <c r="B1123" s="14" t="n">
        <f aca="false">Data!B1123</f>
        <v>56.65</v>
      </c>
      <c r="C1123" s="0" t="str">
        <f aca="false">IF(Data!D1123="","HOLD",IF(AND(G1122&lt;&gt;"IN",Data!E1123&lt;-5),"BUY",IF(AND(G1122="IN",Data!E1123&gt;0),"SELL","HOLD")))</f>
        <v>SELL</v>
      </c>
      <c r="D1123" s="14" t="n">
        <f aca="false">IF(C1123="BUY",B1123,IF(G1122="IN",D1122,""))</f>
        <v>57.91</v>
      </c>
      <c r="E1123" s="14" t="n">
        <f aca="false">IF(C1123="SELL",B1123,"")</f>
        <v>56.65</v>
      </c>
      <c r="F1123" s="14" t="n">
        <f aca="false">IF(E1123="","",(E1123-D1123)/D1123*100)</f>
        <v>-2.17579001899499</v>
      </c>
      <c r="G1123" s="0" t="str">
        <f aca="false">IF(C1123="BUY","IN",IF(C1123="SELL","OUT",IF(G1122="IN","IN","OUT")))</f>
        <v>OUT</v>
      </c>
      <c r="H1123" s="14" t="n">
        <f aca="false">H1122+IF(F1123="",0,F1123)</f>
        <v>12.4325217121411</v>
      </c>
      <c r="I1123" s="14" t="n">
        <f aca="false">MAX(I1122,H1123)</f>
        <v>43.9309628600509</v>
      </c>
      <c r="J1123" s="14" t="n">
        <f aca="false">I1123-H1123</f>
        <v>31.4984411479098</v>
      </c>
    </row>
    <row r="1124" customFormat="false" ht="15" hidden="false" customHeight="false" outlineLevel="0" collapsed="false">
      <c r="A1124" s="12" t="n">
        <f aca="false">Data!A1124</f>
        <v>43637</v>
      </c>
      <c r="B1124" s="14" t="n">
        <f aca="false">Data!B1124</f>
        <v>57.43</v>
      </c>
      <c r="C1124" s="0" t="str">
        <f aca="false">IF(Data!D1124="","HOLD",IF(AND(G1123&lt;&gt;"IN",Data!E1124&lt;-5),"BUY",IF(AND(G1123="IN",Data!E1124&gt;0),"SELL","HOLD")))</f>
        <v>HOLD</v>
      </c>
      <c r="D1124" s="14" t="str">
        <f aca="false">IF(C1124="BUY",B1124,IF(G1123="IN",D1123,""))</f>
        <v/>
      </c>
      <c r="E1124" s="14" t="str">
        <f aca="false">IF(C1124="SELL",B1124,"")</f>
        <v/>
      </c>
      <c r="F1124" s="14" t="str">
        <f aca="false">IF(E1124="","",(E1124-D1124)/D1124*100)</f>
        <v/>
      </c>
      <c r="G1124" s="0" t="str">
        <f aca="false">IF(C1124="BUY","IN",IF(C1124="SELL","OUT",IF(G1123="IN","IN","OUT")))</f>
        <v>OUT</v>
      </c>
      <c r="H1124" s="14" t="n">
        <f aca="false">H1123+IF(F1124="",0,F1124)</f>
        <v>12.4325217121411</v>
      </c>
      <c r="I1124" s="14" t="n">
        <f aca="false">MAX(I1123,H1124)</f>
        <v>43.9309628600509</v>
      </c>
      <c r="J1124" s="14" t="n">
        <f aca="false">I1124-H1124</f>
        <v>31.4984411479098</v>
      </c>
    </row>
    <row r="1125" customFormat="false" ht="15" hidden="false" customHeight="false" outlineLevel="0" collapsed="false">
      <c r="A1125" s="12" t="n">
        <f aca="false">Data!A1125</f>
        <v>43640</v>
      </c>
      <c r="B1125" s="14" t="n">
        <f aca="false">Data!B1125</f>
        <v>57.9</v>
      </c>
      <c r="C1125" s="0" t="str">
        <f aca="false">IF(Data!D1125="","HOLD",IF(AND(G1124&lt;&gt;"IN",Data!E1125&lt;-5),"BUY",IF(AND(G1124="IN",Data!E1125&gt;0),"SELL","HOLD")))</f>
        <v>HOLD</v>
      </c>
      <c r="D1125" s="14" t="str">
        <f aca="false">IF(C1125="BUY",B1125,IF(G1124="IN",D1124,""))</f>
        <v/>
      </c>
      <c r="E1125" s="14" t="str">
        <f aca="false">IF(C1125="SELL",B1125,"")</f>
        <v/>
      </c>
      <c r="F1125" s="14" t="str">
        <f aca="false">IF(E1125="","",(E1125-D1125)/D1125*100)</f>
        <v/>
      </c>
      <c r="G1125" s="0" t="str">
        <f aca="false">IF(C1125="BUY","IN",IF(C1125="SELL","OUT",IF(G1124="IN","IN","OUT")))</f>
        <v>OUT</v>
      </c>
      <c r="H1125" s="14" t="n">
        <f aca="false">H1124+IF(F1125="",0,F1125)</f>
        <v>12.4325217121411</v>
      </c>
      <c r="I1125" s="14" t="n">
        <f aca="false">MAX(I1124,H1125)</f>
        <v>43.9309628600509</v>
      </c>
      <c r="J1125" s="14" t="n">
        <f aca="false">I1125-H1125</f>
        <v>31.4984411479098</v>
      </c>
    </row>
    <row r="1126" customFormat="false" ht="15" hidden="false" customHeight="false" outlineLevel="0" collapsed="false">
      <c r="A1126" s="12" t="n">
        <f aca="false">Data!A1126</f>
        <v>43641</v>
      </c>
      <c r="B1126" s="14" t="n">
        <f aca="false">Data!B1126</f>
        <v>57.83</v>
      </c>
      <c r="C1126" s="0" t="str">
        <f aca="false">IF(Data!D1126="","HOLD",IF(AND(G1125&lt;&gt;"IN",Data!E1126&lt;-5),"BUY",IF(AND(G1125="IN",Data!E1126&gt;0),"SELL","HOLD")))</f>
        <v>HOLD</v>
      </c>
      <c r="D1126" s="14" t="str">
        <f aca="false">IF(C1126="BUY",B1126,IF(G1125="IN",D1125,""))</f>
        <v/>
      </c>
      <c r="E1126" s="14" t="str">
        <f aca="false">IF(C1126="SELL",B1126,"")</f>
        <v/>
      </c>
      <c r="F1126" s="14" t="str">
        <f aca="false">IF(E1126="","",(E1126-D1126)/D1126*100)</f>
        <v/>
      </c>
      <c r="G1126" s="0" t="str">
        <f aca="false">IF(C1126="BUY","IN",IF(C1126="SELL","OUT",IF(G1125="IN","IN","OUT")))</f>
        <v>OUT</v>
      </c>
      <c r="H1126" s="14" t="n">
        <f aca="false">H1125+IF(F1126="",0,F1126)</f>
        <v>12.4325217121411</v>
      </c>
      <c r="I1126" s="14" t="n">
        <f aca="false">MAX(I1125,H1126)</f>
        <v>43.9309628600509</v>
      </c>
      <c r="J1126" s="14" t="n">
        <f aca="false">I1126-H1126</f>
        <v>31.4984411479098</v>
      </c>
    </row>
    <row r="1127" customFormat="false" ht="15" hidden="false" customHeight="false" outlineLevel="0" collapsed="false">
      <c r="A1127" s="12" t="n">
        <f aca="false">Data!A1127</f>
        <v>43642</v>
      </c>
      <c r="B1127" s="14" t="n">
        <f aca="false">Data!B1127</f>
        <v>59.38</v>
      </c>
      <c r="C1127" s="0" t="str">
        <f aca="false">IF(Data!D1127="","HOLD",IF(AND(G1126&lt;&gt;"IN",Data!E1127&lt;-5),"BUY",IF(AND(G1126="IN",Data!E1127&gt;0),"SELL","HOLD")))</f>
        <v>HOLD</v>
      </c>
      <c r="D1127" s="14" t="str">
        <f aca="false">IF(C1127="BUY",B1127,IF(G1126="IN",D1126,""))</f>
        <v/>
      </c>
      <c r="E1127" s="14" t="str">
        <f aca="false">IF(C1127="SELL",B1127,"")</f>
        <v/>
      </c>
      <c r="F1127" s="14" t="str">
        <f aca="false">IF(E1127="","",(E1127-D1127)/D1127*100)</f>
        <v/>
      </c>
      <c r="G1127" s="0" t="str">
        <f aca="false">IF(C1127="BUY","IN",IF(C1127="SELL","OUT",IF(G1126="IN","IN","OUT")))</f>
        <v>OUT</v>
      </c>
      <c r="H1127" s="14" t="n">
        <f aca="false">H1126+IF(F1127="",0,F1127)</f>
        <v>12.4325217121411</v>
      </c>
      <c r="I1127" s="14" t="n">
        <f aca="false">MAX(I1126,H1127)</f>
        <v>43.9309628600509</v>
      </c>
      <c r="J1127" s="14" t="n">
        <f aca="false">I1127-H1127</f>
        <v>31.4984411479098</v>
      </c>
    </row>
    <row r="1128" customFormat="false" ht="15" hidden="false" customHeight="false" outlineLevel="0" collapsed="false">
      <c r="A1128" s="12" t="n">
        <f aca="false">Data!A1128</f>
        <v>43643</v>
      </c>
      <c r="B1128" s="14" t="n">
        <f aca="false">Data!B1128</f>
        <v>59.43</v>
      </c>
      <c r="C1128" s="0" t="str">
        <f aca="false">IF(Data!D1128="","HOLD",IF(AND(G1127&lt;&gt;"IN",Data!E1128&lt;-5),"BUY",IF(AND(G1127="IN",Data!E1128&gt;0),"SELL","HOLD")))</f>
        <v>HOLD</v>
      </c>
      <c r="D1128" s="14" t="str">
        <f aca="false">IF(C1128="BUY",B1128,IF(G1127="IN",D1127,""))</f>
        <v/>
      </c>
      <c r="E1128" s="14" t="str">
        <f aca="false">IF(C1128="SELL",B1128,"")</f>
        <v/>
      </c>
      <c r="F1128" s="14" t="str">
        <f aca="false">IF(E1128="","",(E1128-D1128)/D1128*100)</f>
        <v/>
      </c>
      <c r="G1128" s="0" t="str">
        <f aca="false">IF(C1128="BUY","IN",IF(C1128="SELL","OUT",IF(G1127="IN","IN","OUT")))</f>
        <v>OUT</v>
      </c>
      <c r="H1128" s="14" t="n">
        <f aca="false">H1127+IF(F1128="",0,F1128)</f>
        <v>12.4325217121411</v>
      </c>
      <c r="I1128" s="14" t="n">
        <f aca="false">MAX(I1127,H1128)</f>
        <v>43.9309628600509</v>
      </c>
      <c r="J1128" s="14" t="n">
        <f aca="false">I1128-H1128</f>
        <v>31.4984411479098</v>
      </c>
    </row>
    <row r="1129" customFormat="false" ht="15" hidden="false" customHeight="false" outlineLevel="0" collapsed="false">
      <c r="A1129" s="12" t="n">
        <f aca="false">Data!A1129</f>
        <v>43644</v>
      </c>
      <c r="B1129" s="14" t="n">
        <f aca="false">Data!B1129</f>
        <v>58.47</v>
      </c>
      <c r="C1129" s="0" t="str">
        <f aca="false">IF(Data!D1129="","HOLD",IF(AND(G1128&lt;&gt;"IN",Data!E1129&lt;-5),"BUY",IF(AND(G1128="IN",Data!E1129&gt;0),"SELL","HOLD")))</f>
        <v>HOLD</v>
      </c>
      <c r="D1129" s="14" t="str">
        <f aca="false">IF(C1129="BUY",B1129,IF(G1128="IN",D1128,""))</f>
        <v/>
      </c>
      <c r="E1129" s="14" t="str">
        <f aca="false">IF(C1129="SELL",B1129,"")</f>
        <v/>
      </c>
      <c r="F1129" s="14" t="str">
        <f aca="false">IF(E1129="","",(E1129-D1129)/D1129*100)</f>
        <v/>
      </c>
      <c r="G1129" s="0" t="str">
        <f aca="false">IF(C1129="BUY","IN",IF(C1129="SELL","OUT",IF(G1128="IN","IN","OUT")))</f>
        <v>OUT</v>
      </c>
      <c r="H1129" s="14" t="n">
        <f aca="false">H1128+IF(F1129="",0,F1129)</f>
        <v>12.4325217121411</v>
      </c>
      <c r="I1129" s="14" t="n">
        <f aca="false">MAX(I1128,H1129)</f>
        <v>43.9309628600509</v>
      </c>
      <c r="J1129" s="14" t="n">
        <f aca="false">I1129-H1129</f>
        <v>31.4984411479098</v>
      </c>
    </row>
    <row r="1130" customFormat="false" ht="15" hidden="false" customHeight="false" outlineLevel="0" collapsed="false">
      <c r="A1130" s="12" t="n">
        <f aca="false">Data!A1130</f>
        <v>43647</v>
      </c>
      <c r="B1130" s="14" t="n">
        <f aca="false">Data!B1130</f>
        <v>59.09</v>
      </c>
      <c r="C1130" s="0" t="str">
        <f aca="false">IF(Data!D1130="","HOLD",IF(AND(G1129&lt;&gt;"IN",Data!E1130&lt;-5),"BUY",IF(AND(G1129="IN",Data!E1130&gt;0),"SELL","HOLD")))</f>
        <v>HOLD</v>
      </c>
      <c r="D1130" s="14" t="str">
        <f aca="false">IF(C1130="BUY",B1130,IF(G1129="IN",D1129,""))</f>
        <v/>
      </c>
      <c r="E1130" s="14" t="str">
        <f aca="false">IF(C1130="SELL",B1130,"")</f>
        <v/>
      </c>
      <c r="F1130" s="14" t="str">
        <f aca="false">IF(E1130="","",(E1130-D1130)/D1130*100)</f>
        <v/>
      </c>
      <c r="G1130" s="0" t="str">
        <f aca="false">IF(C1130="BUY","IN",IF(C1130="SELL","OUT",IF(G1129="IN","IN","OUT")))</f>
        <v>OUT</v>
      </c>
      <c r="H1130" s="14" t="n">
        <f aca="false">H1129+IF(F1130="",0,F1130)</f>
        <v>12.4325217121411</v>
      </c>
      <c r="I1130" s="14" t="n">
        <f aca="false">MAX(I1129,H1130)</f>
        <v>43.9309628600509</v>
      </c>
      <c r="J1130" s="14" t="n">
        <f aca="false">I1130-H1130</f>
        <v>31.4984411479098</v>
      </c>
    </row>
    <row r="1131" customFormat="false" ht="15" hidden="false" customHeight="false" outlineLevel="0" collapsed="false">
      <c r="A1131" s="12" t="n">
        <f aca="false">Data!A1131</f>
        <v>43648</v>
      </c>
      <c r="B1131" s="14" t="n">
        <f aca="false">Data!B1131</f>
        <v>56.25</v>
      </c>
      <c r="C1131" s="0" t="str">
        <f aca="false">IF(Data!D1131="","HOLD",IF(AND(G1130&lt;&gt;"IN",Data!E1131&lt;-5),"BUY",IF(AND(G1130="IN",Data!E1131&gt;0),"SELL","HOLD")))</f>
        <v>HOLD</v>
      </c>
      <c r="D1131" s="14" t="str">
        <f aca="false">IF(C1131="BUY",B1131,IF(G1130="IN",D1130,""))</f>
        <v/>
      </c>
      <c r="E1131" s="14" t="str">
        <f aca="false">IF(C1131="SELL",B1131,"")</f>
        <v/>
      </c>
      <c r="F1131" s="14" t="str">
        <f aca="false">IF(E1131="","",(E1131-D1131)/D1131*100)</f>
        <v/>
      </c>
      <c r="G1131" s="0" t="str">
        <f aca="false">IF(C1131="BUY","IN",IF(C1131="SELL","OUT",IF(G1130="IN","IN","OUT")))</f>
        <v>OUT</v>
      </c>
      <c r="H1131" s="14" t="n">
        <f aca="false">H1130+IF(F1131="",0,F1131)</f>
        <v>12.4325217121411</v>
      </c>
      <c r="I1131" s="14" t="n">
        <f aca="false">MAX(I1130,H1131)</f>
        <v>43.9309628600509</v>
      </c>
      <c r="J1131" s="14" t="n">
        <f aca="false">I1131-H1131</f>
        <v>31.4984411479098</v>
      </c>
    </row>
    <row r="1132" customFormat="false" ht="15" hidden="false" customHeight="false" outlineLevel="0" collapsed="false">
      <c r="A1132" s="12" t="n">
        <f aca="false">Data!A1132</f>
        <v>43649</v>
      </c>
      <c r="B1132" s="14" t="n">
        <f aca="false">Data!B1132</f>
        <v>57.34</v>
      </c>
      <c r="C1132" s="0" t="str">
        <f aca="false">IF(Data!D1132="","HOLD",IF(AND(G1131&lt;&gt;"IN",Data!E1132&lt;-5),"BUY",IF(AND(G1131="IN",Data!E1132&gt;0),"SELL","HOLD")))</f>
        <v>HOLD</v>
      </c>
      <c r="D1132" s="14" t="str">
        <f aca="false">IF(C1132="BUY",B1132,IF(G1131="IN",D1131,""))</f>
        <v/>
      </c>
      <c r="E1132" s="14" t="str">
        <f aca="false">IF(C1132="SELL",B1132,"")</f>
        <v/>
      </c>
      <c r="F1132" s="14" t="str">
        <f aca="false">IF(E1132="","",(E1132-D1132)/D1132*100)</f>
        <v/>
      </c>
      <c r="G1132" s="0" t="str">
        <f aca="false">IF(C1132="BUY","IN",IF(C1132="SELL","OUT",IF(G1131="IN","IN","OUT")))</f>
        <v>OUT</v>
      </c>
      <c r="H1132" s="14" t="n">
        <f aca="false">H1131+IF(F1132="",0,F1132)</f>
        <v>12.4325217121411</v>
      </c>
      <c r="I1132" s="14" t="n">
        <f aca="false">MAX(I1131,H1132)</f>
        <v>43.9309628600509</v>
      </c>
      <c r="J1132" s="14" t="n">
        <f aca="false">I1132-H1132</f>
        <v>31.4984411479098</v>
      </c>
    </row>
    <row r="1133" customFormat="false" ht="15" hidden="false" customHeight="false" outlineLevel="0" collapsed="false">
      <c r="A1133" s="12" t="n">
        <f aca="false">Data!A1133</f>
        <v>43651</v>
      </c>
      <c r="B1133" s="14" t="n">
        <f aca="false">Data!B1133</f>
        <v>57.51</v>
      </c>
      <c r="C1133" s="0" t="str">
        <f aca="false">IF(Data!D1133="","HOLD",IF(AND(G1132&lt;&gt;"IN",Data!E1133&lt;-5),"BUY",IF(AND(G1132="IN",Data!E1133&gt;0),"SELL","HOLD")))</f>
        <v>HOLD</v>
      </c>
      <c r="D1133" s="14" t="str">
        <f aca="false">IF(C1133="BUY",B1133,IF(G1132="IN",D1132,""))</f>
        <v/>
      </c>
      <c r="E1133" s="14" t="str">
        <f aca="false">IF(C1133="SELL",B1133,"")</f>
        <v/>
      </c>
      <c r="F1133" s="14" t="str">
        <f aca="false">IF(E1133="","",(E1133-D1133)/D1133*100)</f>
        <v/>
      </c>
      <c r="G1133" s="0" t="str">
        <f aca="false">IF(C1133="BUY","IN",IF(C1133="SELL","OUT",IF(G1132="IN","IN","OUT")))</f>
        <v>OUT</v>
      </c>
      <c r="H1133" s="14" t="n">
        <f aca="false">H1132+IF(F1133="",0,F1133)</f>
        <v>12.4325217121411</v>
      </c>
      <c r="I1133" s="14" t="n">
        <f aca="false">MAX(I1132,H1133)</f>
        <v>43.9309628600509</v>
      </c>
      <c r="J1133" s="14" t="n">
        <f aca="false">I1133-H1133</f>
        <v>31.4984411479098</v>
      </c>
    </row>
    <row r="1134" customFormat="false" ht="15" hidden="false" customHeight="false" outlineLevel="0" collapsed="false">
      <c r="A1134" s="12" t="n">
        <f aca="false">Data!A1134</f>
        <v>43654</v>
      </c>
      <c r="B1134" s="14" t="n">
        <f aca="false">Data!B1134</f>
        <v>57.66</v>
      </c>
      <c r="C1134" s="0" t="str">
        <f aca="false">IF(Data!D1134="","HOLD",IF(AND(G1133&lt;&gt;"IN",Data!E1134&lt;-5),"BUY",IF(AND(G1133="IN",Data!E1134&gt;0),"SELL","HOLD")))</f>
        <v>HOLD</v>
      </c>
      <c r="D1134" s="14" t="str">
        <f aca="false">IF(C1134="BUY",B1134,IF(G1133="IN",D1133,""))</f>
        <v/>
      </c>
      <c r="E1134" s="14" t="str">
        <f aca="false">IF(C1134="SELL",B1134,"")</f>
        <v/>
      </c>
      <c r="F1134" s="14" t="str">
        <f aca="false">IF(E1134="","",(E1134-D1134)/D1134*100)</f>
        <v/>
      </c>
      <c r="G1134" s="0" t="str">
        <f aca="false">IF(C1134="BUY","IN",IF(C1134="SELL","OUT",IF(G1133="IN","IN","OUT")))</f>
        <v>OUT</v>
      </c>
      <c r="H1134" s="14" t="n">
        <f aca="false">H1133+IF(F1134="",0,F1134)</f>
        <v>12.4325217121411</v>
      </c>
      <c r="I1134" s="14" t="n">
        <f aca="false">MAX(I1133,H1134)</f>
        <v>43.9309628600509</v>
      </c>
      <c r="J1134" s="14" t="n">
        <f aca="false">I1134-H1134</f>
        <v>31.4984411479098</v>
      </c>
    </row>
    <row r="1135" customFormat="false" ht="15" hidden="false" customHeight="false" outlineLevel="0" collapsed="false">
      <c r="A1135" s="12" t="n">
        <f aca="false">Data!A1135</f>
        <v>43655</v>
      </c>
      <c r="B1135" s="14" t="n">
        <f aca="false">Data!B1135</f>
        <v>57.83</v>
      </c>
      <c r="C1135" s="0" t="str">
        <f aca="false">IF(Data!D1135="","HOLD",IF(AND(G1134&lt;&gt;"IN",Data!E1135&lt;-5),"BUY",IF(AND(G1134="IN",Data!E1135&gt;0),"SELL","HOLD")))</f>
        <v>HOLD</v>
      </c>
      <c r="D1135" s="14" t="str">
        <f aca="false">IF(C1135="BUY",B1135,IF(G1134="IN",D1134,""))</f>
        <v/>
      </c>
      <c r="E1135" s="14" t="str">
        <f aca="false">IF(C1135="SELL",B1135,"")</f>
        <v/>
      </c>
      <c r="F1135" s="14" t="str">
        <f aca="false">IF(E1135="","",(E1135-D1135)/D1135*100)</f>
        <v/>
      </c>
      <c r="G1135" s="0" t="str">
        <f aca="false">IF(C1135="BUY","IN",IF(C1135="SELL","OUT",IF(G1134="IN","IN","OUT")))</f>
        <v>OUT</v>
      </c>
      <c r="H1135" s="14" t="n">
        <f aca="false">H1134+IF(F1135="",0,F1135)</f>
        <v>12.4325217121411</v>
      </c>
      <c r="I1135" s="14" t="n">
        <f aca="false">MAX(I1134,H1135)</f>
        <v>43.9309628600509</v>
      </c>
      <c r="J1135" s="14" t="n">
        <f aca="false">I1135-H1135</f>
        <v>31.4984411479098</v>
      </c>
    </row>
    <row r="1136" customFormat="false" ht="15" hidden="false" customHeight="false" outlineLevel="0" collapsed="false">
      <c r="A1136" s="12" t="n">
        <f aca="false">Data!A1136</f>
        <v>43656</v>
      </c>
      <c r="B1136" s="14" t="n">
        <f aca="false">Data!B1136</f>
        <v>60.43</v>
      </c>
      <c r="C1136" s="0" t="str">
        <f aca="false">IF(Data!D1136="","HOLD",IF(AND(G1135&lt;&gt;"IN",Data!E1136&lt;-5),"BUY",IF(AND(G1135="IN",Data!E1136&gt;0),"SELL","HOLD")))</f>
        <v>HOLD</v>
      </c>
      <c r="D1136" s="14" t="str">
        <f aca="false">IF(C1136="BUY",B1136,IF(G1135="IN",D1135,""))</f>
        <v/>
      </c>
      <c r="E1136" s="14" t="str">
        <f aca="false">IF(C1136="SELL",B1136,"")</f>
        <v/>
      </c>
      <c r="F1136" s="14" t="str">
        <f aca="false">IF(E1136="","",(E1136-D1136)/D1136*100)</f>
        <v/>
      </c>
      <c r="G1136" s="0" t="str">
        <f aca="false">IF(C1136="BUY","IN",IF(C1136="SELL","OUT",IF(G1135="IN","IN","OUT")))</f>
        <v>OUT</v>
      </c>
      <c r="H1136" s="14" t="n">
        <f aca="false">H1135+IF(F1136="",0,F1136)</f>
        <v>12.4325217121411</v>
      </c>
      <c r="I1136" s="14" t="n">
        <f aca="false">MAX(I1135,H1136)</f>
        <v>43.9309628600509</v>
      </c>
      <c r="J1136" s="14" t="n">
        <f aca="false">I1136-H1136</f>
        <v>31.4984411479098</v>
      </c>
    </row>
    <row r="1137" customFormat="false" ht="15" hidden="false" customHeight="false" outlineLevel="0" collapsed="false">
      <c r="A1137" s="12" t="n">
        <f aca="false">Data!A1137</f>
        <v>43657</v>
      </c>
      <c r="B1137" s="14" t="n">
        <f aca="false">Data!B1137</f>
        <v>60.2</v>
      </c>
      <c r="C1137" s="0" t="str">
        <f aca="false">IF(Data!D1137="","HOLD",IF(AND(G1136&lt;&gt;"IN",Data!E1137&lt;-5),"BUY",IF(AND(G1136="IN",Data!E1137&gt;0),"SELL","HOLD")))</f>
        <v>HOLD</v>
      </c>
      <c r="D1137" s="14" t="str">
        <f aca="false">IF(C1137="BUY",B1137,IF(G1136="IN",D1136,""))</f>
        <v/>
      </c>
      <c r="E1137" s="14" t="str">
        <f aca="false">IF(C1137="SELL",B1137,"")</f>
        <v/>
      </c>
      <c r="F1137" s="14" t="str">
        <f aca="false">IF(E1137="","",(E1137-D1137)/D1137*100)</f>
        <v/>
      </c>
      <c r="G1137" s="0" t="str">
        <f aca="false">IF(C1137="BUY","IN",IF(C1137="SELL","OUT",IF(G1136="IN","IN","OUT")))</f>
        <v>OUT</v>
      </c>
      <c r="H1137" s="14" t="n">
        <f aca="false">H1136+IF(F1137="",0,F1137)</f>
        <v>12.4325217121411</v>
      </c>
      <c r="I1137" s="14" t="n">
        <f aca="false">MAX(I1136,H1137)</f>
        <v>43.9309628600509</v>
      </c>
      <c r="J1137" s="14" t="n">
        <f aca="false">I1137-H1137</f>
        <v>31.4984411479098</v>
      </c>
    </row>
    <row r="1138" customFormat="false" ht="15" hidden="false" customHeight="false" outlineLevel="0" collapsed="false">
      <c r="A1138" s="12" t="n">
        <f aca="false">Data!A1138</f>
        <v>43658</v>
      </c>
      <c r="B1138" s="14" t="n">
        <f aca="false">Data!B1138</f>
        <v>60.21</v>
      </c>
      <c r="C1138" s="0" t="str">
        <f aca="false">IF(Data!D1138="","HOLD",IF(AND(G1137&lt;&gt;"IN",Data!E1138&lt;-5),"BUY",IF(AND(G1137="IN",Data!E1138&gt;0),"SELL","HOLD")))</f>
        <v>HOLD</v>
      </c>
      <c r="D1138" s="14" t="str">
        <f aca="false">IF(C1138="BUY",B1138,IF(G1137="IN",D1137,""))</f>
        <v/>
      </c>
      <c r="E1138" s="14" t="str">
        <f aca="false">IF(C1138="SELL",B1138,"")</f>
        <v/>
      </c>
      <c r="F1138" s="14" t="str">
        <f aca="false">IF(E1138="","",(E1138-D1138)/D1138*100)</f>
        <v/>
      </c>
      <c r="G1138" s="0" t="str">
        <f aca="false">IF(C1138="BUY","IN",IF(C1138="SELL","OUT",IF(G1137="IN","IN","OUT")))</f>
        <v>OUT</v>
      </c>
      <c r="H1138" s="14" t="n">
        <f aca="false">H1137+IF(F1138="",0,F1138)</f>
        <v>12.4325217121411</v>
      </c>
      <c r="I1138" s="14" t="n">
        <f aca="false">MAX(I1137,H1138)</f>
        <v>43.9309628600509</v>
      </c>
      <c r="J1138" s="14" t="n">
        <f aca="false">I1138-H1138</f>
        <v>31.4984411479098</v>
      </c>
    </row>
    <row r="1139" customFormat="false" ht="15" hidden="false" customHeight="false" outlineLevel="0" collapsed="false">
      <c r="A1139" s="12" t="n">
        <f aca="false">Data!A1139</f>
        <v>43661</v>
      </c>
      <c r="B1139" s="14" t="n">
        <f aca="false">Data!B1139</f>
        <v>59.58</v>
      </c>
      <c r="C1139" s="0" t="str">
        <f aca="false">IF(Data!D1139="","HOLD",IF(AND(G1138&lt;&gt;"IN",Data!E1139&lt;-5),"BUY",IF(AND(G1138="IN",Data!E1139&gt;0),"SELL","HOLD")))</f>
        <v>HOLD</v>
      </c>
      <c r="D1139" s="14" t="str">
        <f aca="false">IF(C1139="BUY",B1139,IF(G1138="IN",D1138,""))</f>
        <v/>
      </c>
      <c r="E1139" s="14" t="str">
        <f aca="false">IF(C1139="SELL",B1139,"")</f>
        <v/>
      </c>
      <c r="F1139" s="14" t="str">
        <f aca="false">IF(E1139="","",(E1139-D1139)/D1139*100)</f>
        <v/>
      </c>
      <c r="G1139" s="0" t="str">
        <f aca="false">IF(C1139="BUY","IN",IF(C1139="SELL","OUT",IF(G1138="IN","IN","OUT")))</f>
        <v>OUT</v>
      </c>
      <c r="H1139" s="14" t="n">
        <f aca="false">H1138+IF(F1139="",0,F1139)</f>
        <v>12.4325217121411</v>
      </c>
      <c r="I1139" s="14" t="n">
        <f aca="false">MAX(I1138,H1139)</f>
        <v>43.9309628600509</v>
      </c>
      <c r="J1139" s="14" t="n">
        <f aca="false">I1139-H1139</f>
        <v>31.4984411479098</v>
      </c>
    </row>
    <row r="1140" customFormat="false" ht="15" hidden="false" customHeight="false" outlineLevel="0" collapsed="false">
      <c r="A1140" s="12" t="n">
        <f aca="false">Data!A1140</f>
        <v>43662</v>
      </c>
      <c r="B1140" s="14" t="n">
        <f aca="false">Data!B1140</f>
        <v>57.62</v>
      </c>
      <c r="C1140" s="0" t="str">
        <f aca="false">IF(Data!D1140="","HOLD",IF(AND(G1139&lt;&gt;"IN",Data!E1140&lt;-5),"BUY",IF(AND(G1139="IN",Data!E1140&gt;0),"SELL","HOLD")))</f>
        <v>HOLD</v>
      </c>
      <c r="D1140" s="14" t="str">
        <f aca="false">IF(C1140="BUY",B1140,IF(G1139="IN",D1139,""))</f>
        <v/>
      </c>
      <c r="E1140" s="14" t="str">
        <f aca="false">IF(C1140="SELL",B1140,"")</f>
        <v/>
      </c>
      <c r="F1140" s="14" t="str">
        <f aca="false">IF(E1140="","",(E1140-D1140)/D1140*100)</f>
        <v/>
      </c>
      <c r="G1140" s="0" t="str">
        <f aca="false">IF(C1140="BUY","IN",IF(C1140="SELL","OUT",IF(G1139="IN","IN","OUT")))</f>
        <v>OUT</v>
      </c>
      <c r="H1140" s="14" t="n">
        <f aca="false">H1139+IF(F1140="",0,F1140)</f>
        <v>12.4325217121411</v>
      </c>
      <c r="I1140" s="14" t="n">
        <f aca="false">MAX(I1139,H1140)</f>
        <v>43.9309628600509</v>
      </c>
      <c r="J1140" s="14" t="n">
        <f aca="false">I1140-H1140</f>
        <v>31.4984411479098</v>
      </c>
    </row>
    <row r="1141" customFormat="false" ht="15" hidden="false" customHeight="false" outlineLevel="0" collapsed="false">
      <c r="A1141" s="12" t="n">
        <f aca="false">Data!A1141</f>
        <v>43663</v>
      </c>
      <c r="B1141" s="14" t="n">
        <f aca="false">Data!B1141</f>
        <v>56.78</v>
      </c>
      <c r="C1141" s="0" t="str">
        <f aca="false">IF(Data!D1141="","HOLD",IF(AND(G1140&lt;&gt;"IN",Data!E1141&lt;-5),"BUY",IF(AND(G1140="IN",Data!E1141&gt;0),"SELL","HOLD")))</f>
        <v>HOLD</v>
      </c>
      <c r="D1141" s="14" t="str">
        <f aca="false">IF(C1141="BUY",B1141,IF(G1140="IN",D1140,""))</f>
        <v/>
      </c>
      <c r="E1141" s="14" t="str">
        <f aca="false">IF(C1141="SELL",B1141,"")</f>
        <v/>
      </c>
      <c r="F1141" s="14" t="str">
        <f aca="false">IF(E1141="","",(E1141-D1141)/D1141*100)</f>
        <v/>
      </c>
      <c r="G1141" s="0" t="str">
        <f aca="false">IF(C1141="BUY","IN",IF(C1141="SELL","OUT",IF(G1140="IN","IN","OUT")))</f>
        <v>OUT</v>
      </c>
      <c r="H1141" s="14" t="n">
        <f aca="false">H1140+IF(F1141="",0,F1141)</f>
        <v>12.4325217121411</v>
      </c>
      <c r="I1141" s="14" t="n">
        <f aca="false">MAX(I1140,H1141)</f>
        <v>43.9309628600509</v>
      </c>
      <c r="J1141" s="14" t="n">
        <f aca="false">I1141-H1141</f>
        <v>31.4984411479098</v>
      </c>
    </row>
    <row r="1142" customFormat="false" ht="15" hidden="false" customHeight="false" outlineLevel="0" collapsed="false">
      <c r="A1142" s="12" t="n">
        <f aca="false">Data!A1142</f>
        <v>43664</v>
      </c>
      <c r="B1142" s="14" t="n">
        <f aca="false">Data!B1142</f>
        <v>55.3</v>
      </c>
      <c r="C1142" s="0" t="str">
        <f aca="false">IF(Data!D1142="","HOLD",IF(AND(G1141&lt;&gt;"IN",Data!E1142&lt;-5),"BUY",IF(AND(G1141="IN",Data!E1142&gt;0),"SELL","HOLD")))</f>
        <v>HOLD</v>
      </c>
      <c r="D1142" s="14" t="str">
        <f aca="false">IF(C1142="BUY",B1142,IF(G1141="IN",D1141,""))</f>
        <v/>
      </c>
      <c r="E1142" s="14" t="str">
        <f aca="false">IF(C1142="SELL",B1142,"")</f>
        <v/>
      </c>
      <c r="F1142" s="14" t="str">
        <f aca="false">IF(E1142="","",(E1142-D1142)/D1142*100)</f>
        <v/>
      </c>
      <c r="G1142" s="0" t="str">
        <f aca="false">IF(C1142="BUY","IN",IF(C1142="SELL","OUT",IF(G1141="IN","IN","OUT")))</f>
        <v>OUT</v>
      </c>
      <c r="H1142" s="14" t="n">
        <f aca="false">H1141+IF(F1142="",0,F1142)</f>
        <v>12.4325217121411</v>
      </c>
      <c r="I1142" s="14" t="n">
        <f aca="false">MAX(I1141,H1142)</f>
        <v>43.9309628600509</v>
      </c>
      <c r="J1142" s="14" t="n">
        <f aca="false">I1142-H1142</f>
        <v>31.4984411479098</v>
      </c>
    </row>
    <row r="1143" customFormat="false" ht="15" hidden="false" customHeight="false" outlineLevel="0" collapsed="false">
      <c r="A1143" s="12" t="n">
        <f aca="false">Data!A1143</f>
        <v>43665</v>
      </c>
      <c r="B1143" s="14" t="n">
        <f aca="false">Data!B1143</f>
        <v>55.63</v>
      </c>
      <c r="C1143" s="0" t="str">
        <f aca="false">IF(Data!D1143="","HOLD",IF(AND(G1142&lt;&gt;"IN",Data!E1143&lt;-5),"BUY",IF(AND(G1142="IN",Data!E1143&gt;0),"SELL","HOLD")))</f>
        <v>HOLD</v>
      </c>
      <c r="D1143" s="14" t="str">
        <f aca="false">IF(C1143="BUY",B1143,IF(G1142="IN",D1142,""))</f>
        <v/>
      </c>
      <c r="E1143" s="14" t="str">
        <f aca="false">IF(C1143="SELL",B1143,"")</f>
        <v/>
      </c>
      <c r="F1143" s="14" t="str">
        <f aca="false">IF(E1143="","",(E1143-D1143)/D1143*100)</f>
        <v/>
      </c>
      <c r="G1143" s="0" t="str">
        <f aca="false">IF(C1143="BUY","IN",IF(C1143="SELL","OUT",IF(G1142="IN","IN","OUT")))</f>
        <v>OUT</v>
      </c>
      <c r="H1143" s="14" t="n">
        <f aca="false">H1142+IF(F1143="",0,F1143)</f>
        <v>12.4325217121411</v>
      </c>
      <c r="I1143" s="14" t="n">
        <f aca="false">MAX(I1142,H1143)</f>
        <v>43.9309628600509</v>
      </c>
      <c r="J1143" s="14" t="n">
        <f aca="false">I1143-H1143</f>
        <v>31.4984411479098</v>
      </c>
    </row>
    <row r="1144" customFormat="false" ht="15" hidden="false" customHeight="false" outlineLevel="0" collapsed="false">
      <c r="A1144" s="12" t="n">
        <f aca="false">Data!A1144</f>
        <v>43668</v>
      </c>
      <c r="B1144" s="14" t="n">
        <f aca="false">Data!B1144</f>
        <v>56.22</v>
      </c>
      <c r="C1144" s="0" t="str">
        <f aca="false">IF(Data!D1144="","HOLD",IF(AND(G1143&lt;&gt;"IN",Data!E1144&lt;-5),"BUY",IF(AND(G1143="IN",Data!E1144&gt;0),"SELL","HOLD")))</f>
        <v>HOLD</v>
      </c>
      <c r="D1144" s="14" t="str">
        <f aca="false">IF(C1144="BUY",B1144,IF(G1143="IN",D1143,""))</f>
        <v/>
      </c>
      <c r="E1144" s="14" t="str">
        <f aca="false">IF(C1144="SELL",B1144,"")</f>
        <v/>
      </c>
      <c r="F1144" s="14" t="str">
        <f aca="false">IF(E1144="","",(E1144-D1144)/D1144*100)</f>
        <v/>
      </c>
      <c r="G1144" s="0" t="str">
        <f aca="false">IF(C1144="BUY","IN",IF(C1144="SELL","OUT",IF(G1143="IN","IN","OUT")))</f>
        <v>OUT</v>
      </c>
      <c r="H1144" s="14" t="n">
        <f aca="false">H1143+IF(F1144="",0,F1144)</f>
        <v>12.4325217121411</v>
      </c>
      <c r="I1144" s="14" t="n">
        <f aca="false">MAX(I1143,H1144)</f>
        <v>43.9309628600509</v>
      </c>
      <c r="J1144" s="14" t="n">
        <f aca="false">I1144-H1144</f>
        <v>31.4984411479098</v>
      </c>
    </row>
    <row r="1145" customFormat="false" ht="15" hidden="false" customHeight="false" outlineLevel="0" collapsed="false">
      <c r="A1145" s="12" t="n">
        <f aca="false">Data!A1145</f>
        <v>43669</v>
      </c>
      <c r="B1145" s="14" t="n">
        <f aca="false">Data!B1145</f>
        <v>56.77</v>
      </c>
      <c r="C1145" s="0" t="str">
        <f aca="false">IF(Data!D1145="","HOLD",IF(AND(G1144&lt;&gt;"IN",Data!E1145&lt;-5),"BUY",IF(AND(G1144="IN",Data!E1145&gt;0),"SELL","HOLD")))</f>
        <v>HOLD</v>
      </c>
      <c r="D1145" s="14" t="str">
        <f aca="false">IF(C1145="BUY",B1145,IF(G1144="IN",D1144,""))</f>
        <v/>
      </c>
      <c r="E1145" s="14" t="str">
        <f aca="false">IF(C1145="SELL",B1145,"")</f>
        <v/>
      </c>
      <c r="F1145" s="14" t="str">
        <f aca="false">IF(E1145="","",(E1145-D1145)/D1145*100)</f>
        <v/>
      </c>
      <c r="G1145" s="0" t="str">
        <f aca="false">IF(C1145="BUY","IN",IF(C1145="SELL","OUT",IF(G1144="IN","IN","OUT")))</f>
        <v>OUT</v>
      </c>
      <c r="H1145" s="14" t="n">
        <f aca="false">H1144+IF(F1145="",0,F1145)</f>
        <v>12.4325217121411</v>
      </c>
      <c r="I1145" s="14" t="n">
        <f aca="false">MAX(I1144,H1145)</f>
        <v>43.9309628600509</v>
      </c>
      <c r="J1145" s="14" t="n">
        <f aca="false">I1145-H1145</f>
        <v>31.4984411479098</v>
      </c>
    </row>
    <row r="1146" customFormat="false" ht="15" hidden="false" customHeight="false" outlineLevel="0" collapsed="false">
      <c r="A1146" s="12" t="n">
        <f aca="false">Data!A1146</f>
        <v>43670</v>
      </c>
      <c r="B1146" s="14" t="n">
        <f aca="false">Data!B1146</f>
        <v>55.88</v>
      </c>
      <c r="C1146" s="0" t="str">
        <f aca="false">IF(Data!D1146="","HOLD",IF(AND(G1145&lt;&gt;"IN",Data!E1146&lt;-5),"BUY",IF(AND(G1145="IN",Data!E1146&gt;0),"SELL","HOLD")))</f>
        <v>HOLD</v>
      </c>
      <c r="D1146" s="14" t="str">
        <f aca="false">IF(C1146="BUY",B1146,IF(G1145="IN",D1145,""))</f>
        <v/>
      </c>
      <c r="E1146" s="14" t="str">
        <f aca="false">IF(C1146="SELL",B1146,"")</f>
        <v/>
      </c>
      <c r="F1146" s="14" t="str">
        <f aca="false">IF(E1146="","",(E1146-D1146)/D1146*100)</f>
        <v/>
      </c>
      <c r="G1146" s="0" t="str">
        <f aca="false">IF(C1146="BUY","IN",IF(C1146="SELL","OUT",IF(G1145="IN","IN","OUT")))</f>
        <v>OUT</v>
      </c>
      <c r="H1146" s="14" t="n">
        <f aca="false">H1145+IF(F1146="",0,F1146)</f>
        <v>12.4325217121411</v>
      </c>
      <c r="I1146" s="14" t="n">
        <f aca="false">MAX(I1145,H1146)</f>
        <v>43.9309628600509</v>
      </c>
      <c r="J1146" s="14" t="n">
        <f aca="false">I1146-H1146</f>
        <v>31.4984411479098</v>
      </c>
    </row>
    <row r="1147" customFormat="false" ht="15" hidden="false" customHeight="false" outlineLevel="0" collapsed="false">
      <c r="A1147" s="12" t="n">
        <f aca="false">Data!A1147</f>
        <v>43671</v>
      </c>
      <c r="B1147" s="14" t="n">
        <f aca="false">Data!B1147</f>
        <v>56.02</v>
      </c>
      <c r="C1147" s="0" t="str">
        <f aca="false">IF(Data!D1147="","HOLD",IF(AND(G1146&lt;&gt;"IN",Data!E1147&lt;-5),"BUY",IF(AND(G1146="IN",Data!E1147&gt;0),"SELL","HOLD")))</f>
        <v>HOLD</v>
      </c>
      <c r="D1147" s="14" t="str">
        <f aca="false">IF(C1147="BUY",B1147,IF(G1146="IN",D1146,""))</f>
        <v/>
      </c>
      <c r="E1147" s="14" t="str">
        <f aca="false">IF(C1147="SELL",B1147,"")</f>
        <v/>
      </c>
      <c r="F1147" s="14" t="str">
        <f aca="false">IF(E1147="","",(E1147-D1147)/D1147*100)</f>
        <v/>
      </c>
      <c r="G1147" s="0" t="str">
        <f aca="false">IF(C1147="BUY","IN",IF(C1147="SELL","OUT",IF(G1146="IN","IN","OUT")))</f>
        <v>OUT</v>
      </c>
      <c r="H1147" s="14" t="n">
        <f aca="false">H1146+IF(F1147="",0,F1147)</f>
        <v>12.4325217121411</v>
      </c>
      <c r="I1147" s="14" t="n">
        <f aca="false">MAX(I1146,H1147)</f>
        <v>43.9309628600509</v>
      </c>
      <c r="J1147" s="14" t="n">
        <f aca="false">I1147-H1147</f>
        <v>31.4984411479098</v>
      </c>
    </row>
    <row r="1148" customFormat="false" ht="15" hidden="false" customHeight="false" outlineLevel="0" collapsed="false">
      <c r="A1148" s="12" t="n">
        <f aca="false">Data!A1148</f>
        <v>43672</v>
      </c>
      <c r="B1148" s="14" t="n">
        <f aca="false">Data!B1148</f>
        <v>56.2</v>
      </c>
      <c r="C1148" s="0" t="str">
        <f aca="false">IF(Data!D1148="","HOLD",IF(AND(G1147&lt;&gt;"IN",Data!E1148&lt;-5),"BUY",IF(AND(G1147="IN",Data!E1148&gt;0),"SELL","HOLD")))</f>
        <v>HOLD</v>
      </c>
      <c r="D1148" s="14" t="str">
        <f aca="false">IF(C1148="BUY",B1148,IF(G1147="IN",D1147,""))</f>
        <v/>
      </c>
      <c r="E1148" s="14" t="str">
        <f aca="false">IF(C1148="SELL",B1148,"")</f>
        <v/>
      </c>
      <c r="F1148" s="14" t="str">
        <f aca="false">IF(E1148="","",(E1148-D1148)/D1148*100)</f>
        <v/>
      </c>
      <c r="G1148" s="0" t="str">
        <f aca="false">IF(C1148="BUY","IN",IF(C1148="SELL","OUT",IF(G1147="IN","IN","OUT")))</f>
        <v>OUT</v>
      </c>
      <c r="H1148" s="14" t="n">
        <f aca="false">H1147+IF(F1148="",0,F1148)</f>
        <v>12.4325217121411</v>
      </c>
      <c r="I1148" s="14" t="n">
        <f aca="false">MAX(I1147,H1148)</f>
        <v>43.9309628600509</v>
      </c>
      <c r="J1148" s="14" t="n">
        <f aca="false">I1148-H1148</f>
        <v>31.4984411479098</v>
      </c>
    </row>
    <row r="1149" customFormat="false" ht="15" hidden="false" customHeight="false" outlineLevel="0" collapsed="false">
      <c r="A1149" s="12" t="n">
        <f aca="false">Data!A1149</f>
        <v>43675</v>
      </c>
      <c r="B1149" s="14" t="n">
        <f aca="false">Data!B1149</f>
        <v>56.87</v>
      </c>
      <c r="C1149" s="0" t="str">
        <f aca="false">IF(Data!D1149="","HOLD",IF(AND(G1148&lt;&gt;"IN",Data!E1149&lt;-5),"BUY",IF(AND(G1148="IN",Data!E1149&gt;0),"SELL","HOLD")))</f>
        <v>HOLD</v>
      </c>
      <c r="D1149" s="14" t="str">
        <f aca="false">IF(C1149="BUY",B1149,IF(G1148="IN",D1148,""))</f>
        <v/>
      </c>
      <c r="E1149" s="14" t="str">
        <f aca="false">IF(C1149="SELL",B1149,"")</f>
        <v/>
      </c>
      <c r="F1149" s="14" t="str">
        <f aca="false">IF(E1149="","",(E1149-D1149)/D1149*100)</f>
        <v/>
      </c>
      <c r="G1149" s="0" t="str">
        <f aca="false">IF(C1149="BUY","IN",IF(C1149="SELL","OUT",IF(G1148="IN","IN","OUT")))</f>
        <v>OUT</v>
      </c>
      <c r="H1149" s="14" t="n">
        <f aca="false">H1148+IF(F1149="",0,F1149)</f>
        <v>12.4325217121411</v>
      </c>
      <c r="I1149" s="14" t="n">
        <f aca="false">MAX(I1148,H1149)</f>
        <v>43.9309628600509</v>
      </c>
      <c r="J1149" s="14" t="n">
        <f aca="false">I1149-H1149</f>
        <v>31.4984411479098</v>
      </c>
    </row>
    <row r="1150" customFormat="false" ht="15" hidden="false" customHeight="false" outlineLevel="0" collapsed="false">
      <c r="A1150" s="12" t="n">
        <f aca="false">Data!A1150</f>
        <v>43676</v>
      </c>
      <c r="B1150" s="14" t="n">
        <f aca="false">Data!B1150</f>
        <v>58.05</v>
      </c>
      <c r="C1150" s="0" t="str">
        <f aca="false">IF(Data!D1150="","HOLD",IF(AND(G1149&lt;&gt;"IN",Data!E1150&lt;-5),"BUY",IF(AND(G1149="IN",Data!E1150&gt;0),"SELL","HOLD")))</f>
        <v>HOLD</v>
      </c>
      <c r="D1150" s="14" t="str">
        <f aca="false">IF(C1150="BUY",B1150,IF(G1149="IN",D1149,""))</f>
        <v/>
      </c>
      <c r="E1150" s="14" t="str">
        <f aca="false">IF(C1150="SELL",B1150,"")</f>
        <v/>
      </c>
      <c r="F1150" s="14" t="str">
        <f aca="false">IF(E1150="","",(E1150-D1150)/D1150*100)</f>
        <v/>
      </c>
      <c r="G1150" s="0" t="str">
        <f aca="false">IF(C1150="BUY","IN",IF(C1150="SELL","OUT",IF(G1149="IN","IN","OUT")))</f>
        <v>OUT</v>
      </c>
      <c r="H1150" s="14" t="n">
        <f aca="false">H1149+IF(F1150="",0,F1150)</f>
        <v>12.4325217121411</v>
      </c>
      <c r="I1150" s="14" t="n">
        <f aca="false">MAX(I1149,H1150)</f>
        <v>43.9309628600509</v>
      </c>
      <c r="J1150" s="14" t="n">
        <f aca="false">I1150-H1150</f>
        <v>31.4984411479098</v>
      </c>
    </row>
    <row r="1151" customFormat="false" ht="15" hidden="false" customHeight="false" outlineLevel="0" collapsed="false">
      <c r="A1151" s="12" t="n">
        <f aca="false">Data!A1151</f>
        <v>43677</v>
      </c>
      <c r="B1151" s="14" t="n">
        <f aca="false">Data!B1151</f>
        <v>58.58</v>
      </c>
      <c r="C1151" s="0" t="str">
        <f aca="false">IF(Data!D1151="","HOLD",IF(AND(G1150&lt;&gt;"IN",Data!E1151&lt;-5),"BUY",IF(AND(G1150="IN",Data!E1151&gt;0),"SELL","HOLD")))</f>
        <v>HOLD</v>
      </c>
      <c r="D1151" s="14" t="str">
        <f aca="false">IF(C1151="BUY",B1151,IF(G1150="IN",D1150,""))</f>
        <v/>
      </c>
      <c r="E1151" s="14" t="str">
        <f aca="false">IF(C1151="SELL",B1151,"")</f>
        <v/>
      </c>
      <c r="F1151" s="14" t="str">
        <f aca="false">IF(E1151="","",(E1151-D1151)/D1151*100)</f>
        <v/>
      </c>
      <c r="G1151" s="0" t="str">
        <f aca="false">IF(C1151="BUY","IN",IF(C1151="SELL","OUT",IF(G1150="IN","IN","OUT")))</f>
        <v>OUT</v>
      </c>
      <c r="H1151" s="14" t="n">
        <f aca="false">H1150+IF(F1151="",0,F1151)</f>
        <v>12.4325217121411</v>
      </c>
      <c r="I1151" s="14" t="n">
        <f aca="false">MAX(I1150,H1151)</f>
        <v>43.9309628600509</v>
      </c>
      <c r="J1151" s="14" t="n">
        <f aca="false">I1151-H1151</f>
        <v>31.4984411479098</v>
      </c>
    </row>
    <row r="1152" customFormat="false" ht="15" hidden="false" customHeight="false" outlineLevel="0" collapsed="false">
      <c r="A1152" s="12" t="n">
        <f aca="false">Data!A1152</f>
        <v>43678</v>
      </c>
      <c r="B1152" s="14" t="n">
        <f aca="false">Data!B1152</f>
        <v>53.95</v>
      </c>
      <c r="C1152" s="0" t="str">
        <f aca="false">IF(Data!D1152="","HOLD",IF(AND(G1151&lt;&gt;"IN",Data!E1152&lt;-5),"BUY",IF(AND(G1151="IN",Data!E1152&gt;0),"SELL","HOLD")))</f>
        <v>BUY</v>
      </c>
      <c r="D1152" s="14" t="n">
        <f aca="false">IF(C1152="BUY",B1152,IF(G1151="IN",D1151,""))</f>
        <v>53.95</v>
      </c>
      <c r="E1152" s="14" t="str">
        <f aca="false">IF(C1152="SELL",B1152,"")</f>
        <v/>
      </c>
      <c r="F1152" s="14" t="str">
        <f aca="false">IF(E1152="","",(E1152-D1152)/D1152*100)</f>
        <v/>
      </c>
      <c r="G1152" s="0" t="str">
        <f aca="false">IF(C1152="BUY","IN",IF(C1152="SELL","OUT",IF(G1151="IN","IN","OUT")))</f>
        <v>IN</v>
      </c>
      <c r="H1152" s="14" t="n">
        <f aca="false">H1151+IF(F1152="",0,F1152)</f>
        <v>12.4325217121411</v>
      </c>
      <c r="I1152" s="14" t="n">
        <f aca="false">MAX(I1151,H1152)</f>
        <v>43.9309628600509</v>
      </c>
      <c r="J1152" s="14" t="n">
        <f aca="false">I1152-H1152</f>
        <v>31.4984411479098</v>
      </c>
    </row>
    <row r="1153" customFormat="false" ht="15" hidden="false" customHeight="false" outlineLevel="0" collapsed="false">
      <c r="A1153" s="12" t="n">
        <f aca="false">Data!A1153</f>
        <v>43679</v>
      </c>
      <c r="B1153" s="14" t="n">
        <f aca="false">Data!B1153</f>
        <v>55.66</v>
      </c>
      <c r="C1153" s="0" t="str">
        <f aca="false">IF(Data!D1153="","HOLD",IF(AND(G1152&lt;&gt;"IN",Data!E1153&lt;-5),"BUY",IF(AND(G1152="IN",Data!E1153&gt;0),"SELL","HOLD")))</f>
        <v>HOLD</v>
      </c>
      <c r="D1153" s="14" t="n">
        <f aca="false">IF(C1153="BUY",B1153,IF(G1152="IN",D1152,""))</f>
        <v>53.95</v>
      </c>
      <c r="E1153" s="14" t="str">
        <f aca="false">IF(C1153="SELL",B1153,"")</f>
        <v/>
      </c>
      <c r="F1153" s="14" t="str">
        <f aca="false">IF(E1153="","",(E1153-D1153)/D1153*100)</f>
        <v/>
      </c>
      <c r="G1153" s="0" t="str">
        <f aca="false">IF(C1153="BUY","IN",IF(C1153="SELL","OUT",IF(G1152="IN","IN","OUT")))</f>
        <v>IN</v>
      </c>
      <c r="H1153" s="14" t="n">
        <f aca="false">H1152+IF(F1153="",0,F1153)</f>
        <v>12.4325217121411</v>
      </c>
      <c r="I1153" s="14" t="n">
        <f aca="false">MAX(I1152,H1153)</f>
        <v>43.9309628600509</v>
      </c>
      <c r="J1153" s="14" t="n">
        <f aca="false">I1153-H1153</f>
        <v>31.4984411479098</v>
      </c>
    </row>
    <row r="1154" customFormat="false" ht="15" hidden="false" customHeight="false" outlineLevel="0" collapsed="false">
      <c r="A1154" s="12" t="n">
        <f aca="false">Data!A1154</f>
        <v>43682</v>
      </c>
      <c r="B1154" s="14" t="n">
        <f aca="false">Data!B1154</f>
        <v>54.69</v>
      </c>
      <c r="C1154" s="0" t="str">
        <f aca="false">IF(Data!D1154="","HOLD",IF(AND(G1153&lt;&gt;"IN",Data!E1154&lt;-5),"BUY",IF(AND(G1153="IN",Data!E1154&gt;0),"SELL","HOLD")))</f>
        <v>HOLD</v>
      </c>
      <c r="D1154" s="14" t="n">
        <f aca="false">IF(C1154="BUY",B1154,IF(G1153="IN",D1153,""))</f>
        <v>53.95</v>
      </c>
      <c r="E1154" s="14" t="str">
        <f aca="false">IF(C1154="SELL",B1154,"")</f>
        <v/>
      </c>
      <c r="F1154" s="14" t="str">
        <f aca="false">IF(E1154="","",(E1154-D1154)/D1154*100)</f>
        <v/>
      </c>
      <c r="G1154" s="0" t="str">
        <f aca="false">IF(C1154="BUY","IN",IF(C1154="SELL","OUT",IF(G1153="IN","IN","OUT")))</f>
        <v>IN</v>
      </c>
      <c r="H1154" s="14" t="n">
        <f aca="false">H1153+IF(F1154="",0,F1154)</f>
        <v>12.4325217121411</v>
      </c>
      <c r="I1154" s="14" t="n">
        <f aca="false">MAX(I1153,H1154)</f>
        <v>43.9309628600509</v>
      </c>
      <c r="J1154" s="14" t="n">
        <f aca="false">I1154-H1154</f>
        <v>31.4984411479098</v>
      </c>
    </row>
    <row r="1155" customFormat="false" ht="15" hidden="false" customHeight="false" outlineLevel="0" collapsed="false">
      <c r="A1155" s="12" t="n">
        <f aca="false">Data!A1155</f>
        <v>43683</v>
      </c>
      <c r="B1155" s="14" t="n">
        <f aca="false">Data!B1155</f>
        <v>53.63</v>
      </c>
      <c r="C1155" s="0" t="str">
        <f aca="false">IF(Data!D1155="","HOLD",IF(AND(G1154&lt;&gt;"IN",Data!E1155&lt;-5),"BUY",IF(AND(G1154="IN",Data!E1155&gt;0),"SELL","HOLD")))</f>
        <v>HOLD</v>
      </c>
      <c r="D1155" s="14" t="n">
        <f aca="false">IF(C1155="BUY",B1155,IF(G1154="IN",D1154,""))</f>
        <v>53.95</v>
      </c>
      <c r="E1155" s="14" t="str">
        <f aca="false">IF(C1155="SELL",B1155,"")</f>
        <v/>
      </c>
      <c r="F1155" s="14" t="str">
        <f aca="false">IF(E1155="","",(E1155-D1155)/D1155*100)</f>
        <v/>
      </c>
      <c r="G1155" s="0" t="str">
        <f aca="false">IF(C1155="BUY","IN",IF(C1155="SELL","OUT",IF(G1154="IN","IN","OUT")))</f>
        <v>IN</v>
      </c>
      <c r="H1155" s="14" t="n">
        <f aca="false">H1154+IF(F1155="",0,F1155)</f>
        <v>12.4325217121411</v>
      </c>
      <c r="I1155" s="14" t="n">
        <f aca="false">MAX(I1154,H1155)</f>
        <v>43.9309628600509</v>
      </c>
      <c r="J1155" s="14" t="n">
        <f aca="false">I1155-H1155</f>
        <v>31.4984411479098</v>
      </c>
    </row>
    <row r="1156" customFormat="false" ht="15" hidden="false" customHeight="false" outlineLevel="0" collapsed="false">
      <c r="A1156" s="12" t="n">
        <f aca="false">Data!A1156</f>
        <v>43684</v>
      </c>
      <c r="B1156" s="14" t="n">
        <f aca="false">Data!B1156</f>
        <v>51.09</v>
      </c>
      <c r="C1156" s="0" t="str">
        <f aca="false">IF(Data!D1156="","HOLD",IF(AND(G1155&lt;&gt;"IN",Data!E1156&lt;-5),"BUY",IF(AND(G1155="IN",Data!E1156&gt;0),"SELL","HOLD")))</f>
        <v>HOLD</v>
      </c>
      <c r="D1156" s="14" t="n">
        <f aca="false">IF(C1156="BUY",B1156,IF(G1155="IN",D1155,""))</f>
        <v>53.95</v>
      </c>
      <c r="E1156" s="14" t="str">
        <f aca="false">IF(C1156="SELL",B1156,"")</f>
        <v/>
      </c>
      <c r="F1156" s="14" t="str">
        <f aca="false">IF(E1156="","",(E1156-D1156)/D1156*100)</f>
        <v/>
      </c>
      <c r="G1156" s="0" t="str">
        <f aca="false">IF(C1156="BUY","IN",IF(C1156="SELL","OUT",IF(G1155="IN","IN","OUT")))</f>
        <v>IN</v>
      </c>
      <c r="H1156" s="14" t="n">
        <f aca="false">H1155+IF(F1156="",0,F1156)</f>
        <v>12.4325217121411</v>
      </c>
      <c r="I1156" s="14" t="n">
        <f aca="false">MAX(I1155,H1156)</f>
        <v>43.9309628600509</v>
      </c>
      <c r="J1156" s="14" t="n">
        <f aca="false">I1156-H1156</f>
        <v>31.4984411479098</v>
      </c>
    </row>
    <row r="1157" customFormat="false" ht="15" hidden="false" customHeight="false" outlineLevel="0" collapsed="false">
      <c r="A1157" s="12" t="n">
        <f aca="false">Data!A1157</f>
        <v>43685</v>
      </c>
      <c r="B1157" s="14" t="n">
        <f aca="false">Data!B1157</f>
        <v>52.54</v>
      </c>
      <c r="C1157" s="0" t="str">
        <f aca="false">IF(Data!D1157="","HOLD",IF(AND(G1156&lt;&gt;"IN",Data!E1157&lt;-5),"BUY",IF(AND(G1156="IN",Data!E1157&gt;0),"SELL","HOLD")))</f>
        <v>HOLD</v>
      </c>
      <c r="D1157" s="14" t="n">
        <f aca="false">IF(C1157="BUY",B1157,IF(G1156="IN",D1156,""))</f>
        <v>53.95</v>
      </c>
      <c r="E1157" s="14" t="str">
        <f aca="false">IF(C1157="SELL",B1157,"")</f>
        <v/>
      </c>
      <c r="F1157" s="14" t="str">
        <f aca="false">IF(E1157="","",(E1157-D1157)/D1157*100)</f>
        <v/>
      </c>
      <c r="G1157" s="0" t="str">
        <f aca="false">IF(C1157="BUY","IN",IF(C1157="SELL","OUT",IF(G1156="IN","IN","OUT")))</f>
        <v>IN</v>
      </c>
      <c r="H1157" s="14" t="n">
        <f aca="false">H1156+IF(F1157="",0,F1157)</f>
        <v>12.4325217121411</v>
      </c>
      <c r="I1157" s="14" t="n">
        <f aca="false">MAX(I1156,H1157)</f>
        <v>43.9309628600509</v>
      </c>
      <c r="J1157" s="14" t="n">
        <f aca="false">I1157-H1157</f>
        <v>31.4984411479098</v>
      </c>
    </row>
    <row r="1158" customFormat="false" ht="15" hidden="false" customHeight="false" outlineLevel="0" collapsed="false">
      <c r="A1158" s="12" t="n">
        <f aca="false">Data!A1158</f>
        <v>43686</v>
      </c>
      <c r="B1158" s="14" t="n">
        <f aca="false">Data!B1158</f>
        <v>54.5</v>
      </c>
      <c r="C1158" s="0" t="str">
        <f aca="false">IF(Data!D1158="","HOLD",IF(AND(G1157&lt;&gt;"IN",Data!E1158&lt;-5),"BUY",IF(AND(G1157="IN",Data!E1158&gt;0),"SELL","HOLD")))</f>
        <v>HOLD</v>
      </c>
      <c r="D1158" s="14" t="n">
        <f aca="false">IF(C1158="BUY",B1158,IF(G1157="IN",D1157,""))</f>
        <v>53.95</v>
      </c>
      <c r="E1158" s="14" t="str">
        <f aca="false">IF(C1158="SELL",B1158,"")</f>
        <v/>
      </c>
      <c r="F1158" s="14" t="str">
        <f aca="false">IF(E1158="","",(E1158-D1158)/D1158*100)</f>
        <v/>
      </c>
      <c r="G1158" s="0" t="str">
        <f aca="false">IF(C1158="BUY","IN",IF(C1158="SELL","OUT",IF(G1157="IN","IN","OUT")))</f>
        <v>IN</v>
      </c>
      <c r="H1158" s="14" t="n">
        <f aca="false">H1157+IF(F1158="",0,F1158)</f>
        <v>12.4325217121411</v>
      </c>
      <c r="I1158" s="14" t="n">
        <f aca="false">MAX(I1157,H1158)</f>
        <v>43.9309628600509</v>
      </c>
      <c r="J1158" s="14" t="n">
        <f aca="false">I1158-H1158</f>
        <v>31.4984411479098</v>
      </c>
    </row>
    <row r="1159" customFormat="false" ht="15" hidden="false" customHeight="false" outlineLevel="0" collapsed="false">
      <c r="A1159" s="12" t="n">
        <f aca="false">Data!A1159</f>
        <v>43689</v>
      </c>
      <c r="B1159" s="14" t="n">
        <f aca="false">Data!B1159</f>
        <v>54.93</v>
      </c>
      <c r="C1159" s="0" t="str">
        <f aca="false">IF(Data!D1159="","HOLD",IF(AND(G1158&lt;&gt;"IN",Data!E1159&lt;-5),"BUY",IF(AND(G1158="IN",Data!E1159&gt;0),"SELL","HOLD")))</f>
        <v>HOLD</v>
      </c>
      <c r="D1159" s="14" t="n">
        <f aca="false">IF(C1159="BUY",B1159,IF(G1158="IN",D1158,""))</f>
        <v>53.95</v>
      </c>
      <c r="E1159" s="14" t="str">
        <f aca="false">IF(C1159="SELL",B1159,"")</f>
        <v/>
      </c>
      <c r="F1159" s="14" t="str">
        <f aca="false">IF(E1159="","",(E1159-D1159)/D1159*100)</f>
        <v/>
      </c>
      <c r="G1159" s="0" t="str">
        <f aca="false">IF(C1159="BUY","IN",IF(C1159="SELL","OUT",IF(G1158="IN","IN","OUT")))</f>
        <v>IN</v>
      </c>
      <c r="H1159" s="14" t="n">
        <f aca="false">H1158+IF(F1159="",0,F1159)</f>
        <v>12.4325217121411</v>
      </c>
      <c r="I1159" s="14" t="n">
        <f aca="false">MAX(I1158,H1159)</f>
        <v>43.9309628600509</v>
      </c>
      <c r="J1159" s="14" t="n">
        <f aca="false">I1159-H1159</f>
        <v>31.4984411479098</v>
      </c>
    </row>
    <row r="1160" customFormat="false" ht="15" hidden="false" customHeight="false" outlineLevel="0" collapsed="false">
      <c r="A1160" s="12" t="n">
        <f aca="false">Data!A1160</f>
        <v>43690</v>
      </c>
      <c r="B1160" s="14" t="n">
        <f aca="false">Data!B1160</f>
        <v>57.1</v>
      </c>
      <c r="C1160" s="0" t="str">
        <f aca="false">IF(Data!D1160="","HOLD",IF(AND(G1159&lt;&gt;"IN",Data!E1160&lt;-5),"BUY",IF(AND(G1159="IN",Data!E1160&gt;0),"SELL","HOLD")))</f>
        <v>SELL</v>
      </c>
      <c r="D1160" s="14" t="n">
        <f aca="false">IF(C1160="BUY",B1160,IF(G1159="IN",D1159,""))</f>
        <v>53.95</v>
      </c>
      <c r="E1160" s="14" t="n">
        <f aca="false">IF(C1160="SELL",B1160,"")</f>
        <v>57.1</v>
      </c>
      <c r="F1160" s="14" t="n">
        <f aca="false">IF(E1160="","",(E1160-D1160)/D1160*100)</f>
        <v>5.83873957367933</v>
      </c>
      <c r="G1160" s="0" t="str">
        <f aca="false">IF(C1160="BUY","IN",IF(C1160="SELL","OUT",IF(G1159="IN","IN","OUT")))</f>
        <v>OUT</v>
      </c>
      <c r="H1160" s="14" t="n">
        <f aca="false">H1159+IF(F1160="",0,F1160)</f>
        <v>18.2712612858204</v>
      </c>
      <c r="I1160" s="14" t="n">
        <f aca="false">MAX(I1159,H1160)</f>
        <v>43.9309628600509</v>
      </c>
      <c r="J1160" s="14" t="n">
        <f aca="false">I1160-H1160</f>
        <v>25.6597015742304</v>
      </c>
    </row>
    <row r="1161" customFormat="false" ht="15" hidden="false" customHeight="false" outlineLevel="0" collapsed="false">
      <c r="A1161" s="12" t="n">
        <f aca="false">Data!A1161</f>
        <v>43691</v>
      </c>
      <c r="B1161" s="14" t="n">
        <f aca="false">Data!B1161</f>
        <v>55.23</v>
      </c>
      <c r="C1161" s="0" t="str">
        <f aca="false">IF(Data!D1161="","HOLD",IF(AND(G1160&lt;&gt;"IN",Data!E1161&lt;-5),"BUY",IF(AND(G1160="IN",Data!E1161&gt;0),"SELL","HOLD")))</f>
        <v>HOLD</v>
      </c>
      <c r="D1161" s="14" t="str">
        <f aca="false">IF(C1161="BUY",B1161,IF(G1160="IN",D1160,""))</f>
        <v/>
      </c>
      <c r="E1161" s="14" t="str">
        <f aca="false">IF(C1161="SELL",B1161,"")</f>
        <v/>
      </c>
      <c r="F1161" s="14" t="str">
        <f aca="false">IF(E1161="","",(E1161-D1161)/D1161*100)</f>
        <v/>
      </c>
      <c r="G1161" s="0" t="str">
        <f aca="false">IF(C1161="BUY","IN",IF(C1161="SELL","OUT",IF(G1160="IN","IN","OUT")))</f>
        <v>OUT</v>
      </c>
      <c r="H1161" s="14" t="n">
        <f aca="false">H1160+IF(F1161="",0,F1161)</f>
        <v>18.2712612858204</v>
      </c>
      <c r="I1161" s="14" t="n">
        <f aca="false">MAX(I1160,H1161)</f>
        <v>43.9309628600509</v>
      </c>
      <c r="J1161" s="14" t="n">
        <f aca="false">I1161-H1161</f>
        <v>25.6597015742304</v>
      </c>
    </row>
    <row r="1162" customFormat="false" ht="15" hidden="false" customHeight="false" outlineLevel="0" collapsed="false">
      <c r="A1162" s="12" t="n">
        <f aca="false">Data!A1162</f>
        <v>43692</v>
      </c>
      <c r="B1162" s="14" t="n">
        <f aca="false">Data!B1162</f>
        <v>54.47</v>
      </c>
      <c r="C1162" s="0" t="str">
        <f aca="false">IF(Data!D1162="","HOLD",IF(AND(G1161&lt;&gt;"IN",Data!E1162&lt;-5),"BUY",IF(AND(G1161="IN",Data!E1162&gt;0),"SELL","HOLD")))</f>
        <v>HOLD</v>
      </c>
      <c r="D1162" s="14" t="str">
        <f aca="false">IF(C1162="BUY",B1162,IF(G1161="IN",D1161,""))</f>
        <v/>
      </c>
      <c r="E1162" s="14" t="str">
        <f aca="false">IF(C1162="SELL",B1162,"")</f>
        <v/>
      </c>
      <c r="F1162" s="14" t="str">
        <f aca="false">IF(E1162="","",(E1162-D1162)/D1162*100)</f>
        <v/>
      </c>
      <c r="G1162" s="0" t="str">
        <f aca="false">IF(C1162="BUY","IN",IF(C1162="SELL","OUT",IF(G1161="IN","IN","OUT")))</f>
        <v>OUT</v>
      </c>
      <c r="H1162" s="14" t="n">
        <f aca="false">H1161+IF(F1162="",0,F1162)</f>
        <v>18.2712612858204</v>
      </c>
      <c r="I1162" s="14" t="n">
        <f aca="false">MAX(I1161,H1162)</f>
        <v>43.9309628600509</v>
      </c>
      <c r="J1162" s="14" t="n">
        <f aca="false">I1162-H1162</f>
        <v>25.6597015742304</v>
      </c>
    </row>
    <row r="1163" customFormat="false" ht="15" hidden="false" customHeight="false" outlineLevel="0" collapsed="false">
      <c r="A1163" s="12" t="n">
        <f aca="false">Data!A1163</f>
        <v>43693</v>
      </c>
      <c r="B1163" s="14" t="n">
        <f aca="false">Data!B1163</f>
        <v>54.87</v>
      </c>
      <c r="C1163" s="0" t="str">
        <f aca="false">IF(Data!D1163="","HOLD",IF(AND(G1162&lt;&gt;"IN",Data!E1163&lt;-5),"BUY",IF(AND(G1162="IN",Data!E1163&gt;0),"SELL","HOLD")))</f>
        <v>HOLD</v>
      </c>
      <c r="D1163" s="14" t="str">
        <f aca="false">IF(C1163="BUY",B1163,IF(G1162="IN",D1162,""))</f>
        <v/>
      </c>
      <c r="E1163" s="14" t="str">
        <f aca="false">IF(C1163="SELL",B1163,"")</f>
        <v/>
      </c>
      <c r="F1163" s="14" t="str">
        <f aca="false">IF(E1163="","",(E1163-D1163)/D1163*100)</f>
        <v/>
      </c>
      <c r="G1163" s="0" t="str">
        <f aca="false">IF(C1163="BUY","IN",IF(C1163="SELL","OUT",IF(G1162="IN","IN","OUT")))</f>
        <v>OUT</v>
      </c>
      <c r="H1163" s="14" t="n">
        <f aca="false">H1162+IF(F1163="",0,F1163)</f>
        <v>18.2712612858204</v>
      </c>
      <c r="I1163" s="14" t="n">
        <f aca="false">MAX(I1162,H1163)</f>
        <v>43.9309628600509</v>
      </c>
      <c r="J1163" s="14" t="n">
        <f aca="false">I1163-H1163</f>
        <v>25.6597015742304</v>
      </c>
    </row>
    <row r="1164" customFormat="false" ht="15" hidden="false" customHeight="false" outlineLevel="0" collapsed="false">
      <c r="A1164" s="12" t="n">
        <f aca="false">Data!A1164</f>
        <v>43696</v>
      </c>
      <c r="B1164" s="14" t="n">
        <f aca="false">Data!B1164</f>
        <v>56.21</v>
      </c>
      <c r="C1164" s="0" t="str">
        <f aca="false">IF(Data!D1164="","HOLD",IF(AND(G1163&lt;&gt;"IN",Data!E1164&lt;-5),"BUY",IF(AND(G1163="IN",Data!E1164&gt;0),"SELL","HOLD")))</f>
        <v>HOLD</v>
      </c>
      <c r="D1164" s="14" t="str">
        <f aca="false">IF(C1164="BUY",B1164,IF(G1163="IN",D1163,""))</f>
        <v/>
      </c>
      <c r="E1164" s="14" t="str">
        <f aca="false">IF(C1164="SELL",B1164,"")</f>
        <v/>
      </c>
      <c r="F1164" s="14" t="str">
        <f aca="false">IF(E1164="","",(E1164-D1164)/D1164*100)</f>
        <v/>
      </c>
      <c r="G1164" s="0" t="str">
        <f aca="false">IF(C1164="BUY","IN",IF(C1164="SELL","OUT",IF(G1163="IN","IN","OUT")))</f>
        <v>OUT</v>
      </c>
      <c r="H1164" s="14" t="n">
        <f aca="false">H1163+IF(F1164="",0,F1164)</f>
        <v>18.2712612858204</v>
      </c>
      <c r="I1164" s="14" t="n">
        <f aca="false">MAX(I1163,H1164)</f>
        <v>43.9309628600509</v>
      </c>
      <c r="J1164" s="14" t="n">
        <f aca="false">I1164-H1164</f>
        <v>25.6597015742304</v>
      </c>
    </row>
    <row r="1165" customFormat="false" ht="15" hidden="false" customHeight="false" outlineLevel="0" collapsed="false">
      <c r="A1165" s="12" t="n">
        <f aca="false">Data!A1165</f>
        <v>43697</v>
      </c>
      <c r="B1165" s="14" t="n">
        <f aca="false">Data!B1165</f>
        <v>56.34</v>
      </c>
      <c r="C1165" s="0" t="str">
        <f aca="false">IF(Data!D1165="","HOLD",IF(AND(G1164&lt;&gt;"IN",Data!E1165&lt;-5),"BUY",IF(AND(G1164="IN",Data!E1165&gt;0),"SELL","HOLD")))</f>
        <v>HOLD</v>
      </c>
      <c r="D1165" s="14" t="str">
        <f aca="false">IF(C1165="BUY",B1165,IF(G1164="IN",D1164,""))</f>
        <v/>
      </c>
      <c r="E1165" s="14" t="str">
        <f aca="false">IF(C1165="SELL",B1165,"")</f>
        <v/>
      </c>
      <c r="F1165" s="14" t="str">
        <f aca="false">IF(E1165="","",(E1165-D1165)/D1165*100)</f>
        <v/>
      </c>
      <c r="G1165" s="0" t="str">
        <f aca="false">IF(C1165="BUY","IN",IF(C1165="SELL","OUT",IF(G1164="IN","IN","OUT")))</f>
        <v>OUT</v>
      </c>
      <c r="H1165" s="14" t="n">
        <f aca="false">H1164+IF(F1165="",0,F1165)</f>
        <v>18.2712612858204</v>
      </c>
      <c r="I1165" s="14" t="n">
        <f aca="false">MAX(I1164,H1165)</f>
        <v>43.9309628600509</v>
      </c>
      <c r="J1165" s="14" t="n">
        <f aca="false">I1165-H1165</f>
        <v>25.6597015742304</v>
      </c>
    </row>
    <row r="1166" customFormat="false" ht="15" hidden="false" customHeight="false" outlineLevel="0" collapsed="false">
      <c r="A1166" s="12" t="n">
        <f aca="false">Data!A1166</f>
        <v>43698</v>
      </c>
      <c r="B1166" s="14" t="n">
        <f aca="false">Data!B1166</f>
        <v>55.68</v>
      </c>
      <c r="C1166" s="0" t="str">
        <f aca="false">IF(Data!D1166="","HOLD",IF(AND(G1165&lt;&gt;"IN",Data!E1166&lt;-5),"BUY",IF(AND(G1165="IN",Data!E1166&gt;0),"SELL","HOLD")))</f>
        <v>HOLD</v>
      </c>
      <c r="D1166" s="14" t="str">
        <f aca="false">IF(C1166="BUY",B1166,IF(G1165="IN",D1165,""))</f>
        <v/>
      </c>
      <c r="E1166" s="14" t="str">
        <f aca="false">IF(C1166="SELL",B1166,"")</f>
        <v/>
      </c>
      <c r="F1166" s="14" t="str">
        <f aca="false">IF(E1166="","",(E1166-D1166)/D1166*100)</f>
        <v/>
      </c>
      <c r="G1166" s="0" t="str">
        <f aca="false">IF(C1166="BUY","IN",IF(C1166="SELL","OUT",IF(G1165="IN","IN","OUT")))</f>
        <v>OUT</v>
      </c>
      <c r="H1166" s="14" t="n">
        <f aca="false">H1165+IF(F1166="",0,F1166)</f>
        <v>18.2712612858204</v>
      </c>
      <c r="I1166" s="14" t="n">
        <f aca="false">MAX(I1165,H1166)</f>
        <v>43.9309628600509</v>
      </c>
      <c r="J1166" s="14" t="n">
        <f aca="false">I1166-H1166</f>
        <v>25.6597015742304</v>
      </c>
    </row>
    <row r="1167" customFormat="false" ht="15" hidden="false" customHeight="false" outlineLevel="0" collapsed="false">
      <c r="A1167" s="12" t="n">
        <f aca="false">Data!A1167</f>
        <v>43699</v>
      </c>
      <c r="B1167" s="14" t="n">
        <f aca="false">Data!B1167</f>
        <v>55.35</v>
      </c>
      <c r="C1167" s="0" t="str">
        <f aca="false">IF(Data!D1167="","HOLD",IF(AND(G1166&lt;&gt;"IN",Data!E1167&lt;-5),"BUY",IF(AND(G1166="IN",Data!E1167&gt;0),"SELL","HOLD")))</f>
        <v>HOLD</v>
      </c>
      <c r="D1167" s="14" t="str">
        <f aca="false">IF(C1167="BUY",B1167,IF(G1166="IN",D1166,""))</f>
        <v/>
      </c>
      <c r="E1167" s="14" t="str">
        <f aca="false">IF(C1167="SELL",B1167,"")</f>
        <v/>
      </c>
      <c r="F1167" s="14" t="str">
        <f aca="false">IF(E1167="","",(E1167-D1167)/D1167*100)</f>
        <v/>
      </c>
      <c r="G1167" s="0" t="str">
        <f aca="false">IF(C1167="BUY","IN",IF(C1167="SELL","OUT",IF(G1166="IN","IN","OUT")))</f>
        <v>OUT</v>
      </c>
      <c r="H1167" s="14" t="n">
        <f aca="false">H1166+IF(F1167="",0,F1167)</f>
        <v>18.2712612858204</v>
      </c>
      <c r="I1167" s="14" t="n">
        <f aca="false">MAX(I1166,H1167)</f>
        <v>43.9309628600509</v>
      </c>
      <c r="J1167" s="14" t="n">
        <f aca="false">I1167-H1167</f>
        <v>25.6597015742304</v>
      </c>
    </row>
    <row r="1168" customFormat="false" ht="15" hidden="false" customHeight="false" outlineLevel="0" collapsed="false">
      <c r="A1168" s="12" t="n">
        <f aca="false">Data!A1168</f>
        <v>43700</v>
      </c>
      <c r="B1168" s="14" t="n">
        <f aca="false">Data!B1168</f>
        <v>54.17</v>
      </c>
      <c r="C1168" s="0" t="str">
        <f aca="false">IF(Data!D1168="","HOLD",IF(AND(G1167&lt;&gt;"IN",Data!E1168&lt;-5),"BUY",IF(AND(G1167="IN",Data!E1168&gt;0),"SELL","HOLD")))</f>
        <v>HOLD</v>
      </c>
      <c r="D1168" s="14" t="str">
        <f aca="false">IF(C1168="BUY",B1168,IF(G1167="IN",D1167,""))</f>
        <v/>
      </c>
      <c r="E1168" s="14" t="str">
        <f aca="false">IF(C1168="SELL",B1168,"")</f>
        <v/>
      </c>
      <c r="F1168" s="14" t="str">
        <f aca="false">IF(E1168="","",(E1168-D1168)/D1168*100)</f>
        <v/>
      </c>
      <c r="G1168" s="0" t="str">
        <f aca="false">IF(C1168="BUY","IN",IF(C1168="SELL","OUT",IF(G1167="IN","IN","OUT")))</f>
        <v>OUT</v>
      </c>
      <c r="H1168" s="14" t="n">
        <f aca="false">H1167+IF(F1168="",0,F1168)</f>
        <v>18.2712612858204</v>
      </c>
      <c r="I1168" s="14" t="n">
        <f aca="false">MAX(I1167,H1168)</f>
        <v>43.9309628600509</v>
      </c>
      <c r="J1168" s="14" t="n">
        <f aca="false">I1168-H1168</f>
        <v>25.6597015742304</v>
      </c>
    </row>
    <row r="1169" customFormat="false" ht="15" hidden="false" customHeight="false" outlineLevel="0" collapsed="false">
      <c r="A1169" s="12" t="n">
        <f aca="false">Data!A1169</f>
        <v>43703</v>
      </c>
      <c r="B1169" s="14" t="n">
        <f aca="false">Data!B1169</f>
        <v>53.64</v>
      </c>
      <c r="C1169" s="0" t="str">
        <f aca="false">IF(Data!D1169="","HOLD",IF(AND(G1168&lt;&gt;"IN",Data!E1169&lt;-5),"BUY",IF(AND(G1168="IN",Data!E1169&gt;0),"SELL","HOLD")))</f>
        <v>HOLD</v>
      </c>
      <c r="D1169" s="14" t="str">
        <f aca="false">IF(C1169="BUY",B1169,IF(G1168="IN",D1168,""))</f>
        <v/>
      </c>
      <c r="E1169" s="14" t="str">
        <f aca="false">IF(C1169="SELL",B1169,"")</f>
        <v/>
      </c>
      <c r="F1169" s="14" t="str">
        <f aca="false">IF(E1169="","",(E1169-D1169)/D1169*100)</f>
        <v/>
      </c>
      <c r="G1169" s="0" t="str">
        <f aca="false">IF(C1169="BUY","IN",IF(C1169="SELL","OUT",IF(G1168="IN","IN","OUT")))</f>
        <v>OUT</v>
      </c>
      <c r="H1169" s="14" t="n">
        <f aca="false">H1168+IF(F1169="",0,F1169)</f>
        <v>18.2712612858204</v>
      </c>
      <c r="I1169" s="14" t="n">
        <f aca="false">MAX(I1168,H1169)</f>
        <v>43.9309628600509</v>
      </c>
      <c r="J1169" s="14" t="n">
        <f aca="false">I1169-H1169</f>
        <v>25.6597015742304</v>
      </c>
    </row>
    <row r="1170" customFormat="false" ht="15" hidden="false" customHeight="false" outlineLevel="0" collapsed="false">
      <c r="A1170" s="12" t="n">
        <f aca="false">Data!A1170</f>
        <v>43704</v>
      </c>
      <c r="B1170" s="14" t="n">
        <f aca="false">Data!B1170</f>
        <v>54.93</v>
      </c>
      <c r="C1170" s="0" t="str">
        <f aca="false">IF(Data!D1170="","HOLD",IF(AND(G1169&lt;&gt;"IN",Data!E1170&lt;-5),"BUY",IF(AND(G1169="IN",Data!E1170&gt;0),"SELL","HOLD")))</f>
        <v>HOLD</v>
      </c>
      <c r="D1170" s="14" t="str">
        <f aca="false">IF(C1170="BUY",B1170,IF(G1169="IN",D1169,""))</f>
        <v/>
      </c>
      <c r="E1170" s="14" t="str">
        <f aca="false">IF(C1170="SELL",B1170,"")</f>
        <v/>
      </c>
      <c r="F1170" s="14" t="str">
        <f aca="false">IF(E1170="","",(E1170-D1170)/D1170*100)</f>
        <v/>
      </c>
      <c r="G1170" s="0" t="str">
        <f aca="false">IF(C1170="BUY","IN",IF(C1170="SELL","OUT",IF(G1169="IN","IN","OUT")))</f>
        <v>OUT</v>
      </c>
      <c r="H1170" s="14" t="n">
        <f aca="false">H1169+IF(F1170="",0,F1170)</f>
        <v>18.2712612858204</v>
      </c>
      <c r="I1170" s="14" t="n">
        <f aca="false">MAX(I1169,H1170)</f>
        <v>43.9309628600509</v>
      </c>
      <c r="J1170" s="14" t="n">
        <f aca="false">I1170-H1170</f>
        <v>25.6597015742304</v>
      </c>
    </row>
    <row r="1171" customFormat="false" ht="15" hidden="false" customHeight="false" outlineLevel="0" collapsed="false">
      <c r="A1171" s="12" t="n">
        <f aca="false">Data!A1171</f>
        <v>43705</v>
      </c>
      <c r="B1171" s="14" t="n">
        <f aca="false">Data!B1171</f>
        <v>55.78</v>
      </c>
      <c r="C1171" s="0" t="str">
        <f aca="false">IF(Data!D1171="","HOLD",IF(AND(G1170&lt;&gt;"IN",Data!E1171&lt;-5),"BUY",IF(AND(G1170="IN",Data!E1171&gt;0),"SELL","HOLD")))</f>
        <v>HOLD</v>
      </c>
      <c r="D1171" s="14" t="str">
        <f aca="false">IF(C1171="BUY",B1171,IF(G1170="IN",D1170,""))</f>
        <v/>
      </c>
      <c r="E1171" s="14" t="str">
        <f aca="false">IF(C1171="SELL",B1171,"")</f>
        <v/>
      </c>
      <c r="F1171" s="14" t="str">
        <f aca="false">IF(E1171="","",(E1171-D1171)/D1171*100)</f>
        <v/>
      </c>
      <c r="G1171" s="0" t="str">
        <f aca="false">IF(C1171="BUY","IN",IF(C1171="SELL","OUT",IF(G1170="IN","IN","OUT")))</f>
        <v>OUT</v>
      </c>
      <c r="H1171" s="14" t="n">
        <f aca="false">H1170+IF(F1171="",0,F1171)</f>
        <v>18.2712612858204</v>
      </c>
      <c r="I1171" s="14" t="n">
        <f aca="false">MAX(I1170,H1171)</f>
        <v>43.9309628600509</v>
      </c>
      <c r="J1171" s="14" t="n">
        <f aca="false">I1171-H1171</f>
        <v>25.6597015742304</v>
      </c>
    </row>
    <row r="1172" customFormat="false" ht="15" hidden="false" customHeight="false" outlineLevel="0" collapsed="false">
      <c r="A1172" s="12" t="n">
        <f aca="false">Data!A1172</f>
        <v>43706</v>
      </c>
      <c r="B1172" s="14" t="n">
        <f aca="false">Data!B1172</f>
        <v>56.71</v>
      </c>
      <c r="C1172" s="0" t="str">
        <f aca="false">IF(Data!D1172="","HOLD",IF(AND(G1171&lt;&gt;"IN",Data!E1172&lt;-5),"BUY",IF(AND(G1171="IN",Data!E1172&gt;0),"SELL","HOLD")))</f>
        <v>HOLD</v>
      </c>
      <c r="D1172" s="14" t="str">
        <f aca="false">IF(C1172="BUY",B1172,IF(G1171="IN",D1171,""))</f>
        <v/>
      </c>
      <c r="E1172" s="14" t="str">
        <f aca="false">IF(C1172="SELL",B1172,"")</f>
        <v/>
      </c>
      <c r="F1172" s="14" t="str">
        <f aca="false">IF(E1172="","",(E1172-D1172)/D1172*100)</f>
        <v/>
      </c>
      <c r="G1172" s="0" t="str">
        <f aca="false">IF(C1172="BUY","IN",IF(C1172="SELL","OUT",IF(G1171="IN","IN","OUT")))</f>
        <v>OUT</v>
      </c>
      <c r="H1172" s="14" t="n">
        <f aca="false">H1171+IF(F1172="",0,F1172)</f>
        <v>18.2712612858204</v>
      </c>
      <c r="I1172" s="14" t="n">
        <f aca="false">MAX(I1171,H1172)</f>
        <v>43.9309628600509</v>
      </c>
      <c r="J1172" s="14" t="n">
        <f aca="false">I1172-H1172</f>
        <v>25.6597015742304</v>
      </c>
    </row>
    <row r="1173" customFormat="false" ht="15" hidden="false" customHeight="false" outlineLevel="0" collapsed="false">
      <c r="A1173" s="12" t="n">
        <f aca="false">Data!A1173</f>
        <v>43707</v>
      </c>
      <c r="B1173" s="14" t="n">
        <f aca="false">Data!B1173</f>
        <v>55.1</v>
      </c>
      <c r="C1173" s="0" t="str">
        <f aca="false">IF(Data!D1173="","HOLD",IF(AND(G1172&lt;&gt;"IN",Data!E1173&lt;-5),"BUY",IF(AND(G1172="IN",Data!E1173&gt;0),"SELL","HOLD")))</f>
        <v>HOLD</v>
      </c>
      <c r="D1173" s="14" t="str">
        <f aca="false">IF(C1173="BUY",B1173,IF(G1172="IN",D1172,""))</f>
        <v/>
      </c>
      <c r="E1173" s="14" t="str">
        <f aca="false">IF(C1173="SELL",B1173,"")</f>
        <v/>
      </c>
      <c r="F1173" s="14" t="str">
        <f aca="false">IF(E1173="","",(E1173-D1173)/D1173*100)</f>
        <v/>
      </c>
      <c r="G1173" s="0" t="str">
        <f aca="false">IF(C1173="BUY","IN",IF(C1173="SELL","OUT",IF(G1172="IN","IN","OUT")))</f>
        <v>OUT</v>
      </c>
      <c r="H1173" s="14" t="n">
        <f aca="false">H1172+IF(F1173="",0,F1173)</f>
        <v>18.2712612858204</v>
      </c>
      <c r="I1173" s="14" t="n">
        <f aca="false">MAX(I1172,H1173)</f>
        <v>43.9309628600509</v>
      </c>
      <c r="J1173" s="14" t="n">
        <f aca="false">I1173-H1173</f>
        <v>25.6597015742304</v>
      </c>
    </row>
    <row r="1174" customFormat="false" ht="15" hidden="false" customHeight="false" outlineLevel="0" collapsed="false">
      <c r="A1174" s="12" t="n">
        <f aca="false">Data!A1174</f>
        <v>43711</v>
      </c>
      <c r="B1174" s="14" t="n">
        <f aca="false">Data!B1174</f>
        <v>53.94</v>
      </c>
      <c r="C1174" s="0" t="str">
        <f aca="false">IF(Data!D1174="","HOLD",IF(AND(G1173&lt;&gt;"IN",Data!E1174&lt;-5),"BUY",IF(AND(G1173="IN",Data!E1174&gt;0),"SELL","HOLD")))</f>
        <v>HOLD</v>
      </c>
      <c r="D1174" s="14" t="str">
        <f aca="false">IF(C1174="BUY",B1174,IF(G1173="IN",D1173,""))</f>
        <v/>
      </c>
      <c r="E1174" s="14" t="str">
        <f aca="false">IF(C1174="SELL",B1174,"")</f>
        <v/>
      </c>
      <c r="F1174" s="14" t="str">
        <f aca="false">IF(E1174="","",(E1174-D1174)/D1174*100)</f>
        <v/>
      </c>
      <c r="G1174" s="0" t="str">
        <f aca="false">IF(C1174="BUY","IN",IF(C1174="SELL","OUT",IF(G1173="IN","IN","OUT")))</f>
        <v>OUT</v>
      </c>
      <c r="H1174" s="14" t="n">
        <f aca="false">H1173+IF(F1174="",0,F1174)</f>
        <v>18.2712612858204</v>
      </c>
      <c r="I1174" s="14" t="n">
        <f aca="false">MAX(I1173,H1174)</f>
        <v>43.9309628600509</v>
      </c>
      <c r="J1174" s="14" t="n">
        <f aca="false">I1174-H1174</f>
        <v>25.6597015742304</v>
      </c>
    </row>
    <row r="1175" customFormat="false" ht="15" hidden="false" customHeight="false" outlineLevel="0" collapsed="false">
      <c r="A1175" s="12" t="n">
        <f aca="false">Data!A1175</f>
        <v>43712</v>
      </c>
      <c r="B1175" s="14" t="n">
        <f aca="false">Data!B1175</f>
        <v>56.26</v>
      </c>
      <c r="C1175" s="0" t="str">
        <f aca="false">IF(Data!D1175="","HOLD",IF(AND(G1174&lt;&gt;"IN",Data!E1175&lt;-5),"BUY",IF(AND(G1174="IN",Data!E1175&gt;0),"SELL","HOLD")))</f>
        <v>HOLD</v>
      </c>
      <c r="D1175" s="14" t="str">
        <f aca="false">IF(C1175="BUY",B1175,IF(G1174="IN",D1174,""))</f>
        <v/>
      </c>
      <c r="E1175" s="14" t="str">
        <f aca="false">IF(C1175="SELL",B1175,"")</f>
        <v/>
      </c>
      <c r="F1175" s="14" t="str">
        <f aca="false">IF(E1175="","",(E1175-D1175)/D1175*100)</f>
        <v/>
      </c>
      <c r="G1175" s="0" t="str">
        <f aca="false">IF(C1175="BUY","IN",IF(C1175="SELL","OUT",IF(G1174="IN","IN","OUT")))</f>
        <v>OUT</v>
      </c>
      <c r="H1175" s="14" t="n">
        <f aca="false">H1174+IF(F1175="",0,F1175)</f>
        <v>18.2712612858204</v>
      </c>
      <c r="I1175" s="14" t="n">
        <f aca="false">MAX(I1174,H1175)</f>
        <v>43.9309628600509</v>
      </c>
      <c r="J1175" s="14" t="n">
        <f aca="false">I1175-H1175</f>
        <v>25.6597015742304</v>
      </c>
    </row>
    <row r="1176" customFormat="false" ht="15" hidden="false" customHeight="false" outlineLevel="0" collapsed="false">
      <c r="A1176" s="12" t="n">
        <f aca="false">Data!A1176</f>
        <v>43713</v>
      </c>
      <c r="B1176" s="14" t="n">
        <f aca="false">Data!B1176</f>
        <v>56.3</v>
      </c>
      <c r="C1176" s="0" t="str">
        <f aca="false">IF(Data!D1176="","HOLD",IF(AND(G1175&lt;&gt;"IN",Data!E1176&lt;-5),"BUY",IF(AND(G1175="IN",Data!E1176&gt;0),"SELL","HOLD")))</f>
        <v>HOLD</v>
      </c>
      <c r="D1176" s="14" t="str">
        <f aca="false">IF(C1176="BUY",B1176,IF(G1175="IN",D1175,""))</f>
        <v/>
      </c>
      <c r="E1176" s="14" t="str">
        <f aca="false">IF(C1176="SELL",B1176,"")</f>
        <v/>
      </c>
      <c r="F1176" s="14" t="str">
        <f aca="false">IF(E1176="","",(E1176-D1176)/D1176*100)</f>
        <v/>
      </c>
      <c r="G1176" s="0" t="str">
        <f aca="false">IF(C1176="BUY","IN",IF(C1176="SELL","OUT",IF(G1175="IN","IN","OUT")))</f>
        <v>OUT</v>
      </c>
      <c r="H1176" s="14" t="n">
        <f aca="false">H1175+IF(F1176="",0,F1176)</f>
        <v>18.2712612858204</v>
      </c>
      <c r="I1176" s="14" t="n">
        <f aca="false">MAX(I1175,H1176)</f>
        <v>43.9309628600509</v>
      </c>
      <c r="J1176" s="14" t="n">
        <f aca="false">I1176-H1176</f>
        <v>25.6597015742304</v>
      </c>
    </row>
    <row r="1177" customFormat="false" ht="15" hidden="false" customHeight="false" outlineLevel="0" collapsed="false">
      <c r="A1177" s="12" t="n">
        <f aca="false">Data!A1177</f>
        <v>43714</v>
      </c>
      <c r="B1177" s="14" t="n">
        <f aca="false">Data!B1177</f>
        <v>56.52</v>
      </c>
      <c r="C1177" s="0" t="str">
        <f aca="false">IF(Data!D1177="","HOLD",IF(AND(G1176&lt;&gt;"IN",Data!E1177&lt;-5),"BUY",IF(AND(G1176="IN",Data!E1177&gt;0),"SELL","HOLD")))</f>
        <v>HOLD</v>
      </c>
      <c r="D1177" s="14" t="str">
        <f aca="false">IF(C1177="BUY",B1177,IF(G1176="IN",D1176,""))</f>
        <v/>
      </c>
      <c r="E1177" s="14" t="str">
        <f aca="false">IF(C1177="SELL",B1177,"")</f>
        <v/>
      </c>
      <c r="F1177" s="14" t="str">
        <f aca="false">IF(E1177="","",(E1177-D1177)/D1177*100)</f>
        <v/>
      </c>
      <c r="G1177" s="0" t="str">
        <f aca="false">IF(C1177="BUY","IN",IF(C1177="SELL","OUT",IF(G1176="IN","IN","OUT")))</f>
        <v>OUT</v>
      </c>
      <c r="H1177" s="14" t="n">
        <f aca="false">H1176+IF(F1177="",0,F1177)</f>
        <v>18.2712612858204</v>
      </c>
      <c r="I1177" s="14" t="n">
        <f aca="false">MAX(I1176,H1177)</f>
        <v>43.9309628600509</v>
      </c>
      <c r="J1177" s="14" t="n">
        <f aca="false">I1177-H1177</f>
        <v>25.6597015742304</v>
      </c>
    </row>
    <row r="1178" customFormat="false" ht="15" hidden="false" customHeight="false" outlineLevel="0" collapsed="false">
      <c r="A1178" s="12" t="n">
        <f aca="false">Data!A1178</f>
        <v>43717</v>
      </c>
      <c r="B1178" s="14" t="n">
        <f aca="false">Data!B1178</f>
        <v>57.85</v>
      </c>
      <c r="C1178" s="0" t="str">
        <f aca="false">IF(Data!D1178="","HOLD",IF(AND(G1177&lt;&gt;"IN",Data!E1178&lt;-5),"BUY",IF(AND(G1177="IN",Data!E1178&gt;0),"SELL","HOLD")))</f>
        <v>HOLD</v>
      </c>
      <c r="D1178" s="14" t="str">
        <f aca="false">IF(C1178="BUY",B1178,IF(G1177="IN",D1177,""))</f>
        <v/>
      </c>
      <c r="E1178" s="14" t="str">
        <f aca="false">IF(C1178="SELL",B1178,"")</f>
        <v/>
      </c>
      <c r="F1178" s="14" t="str">
        <f aca="false">IF(E1178="","",(E1178-D1178)/D1178*100)</f>
        <v/>
      </c>
      <c r="G1178" s="0" t="str">
        <f aca="false">IF(C1178="BUY","IN",IF(C1178="SELL","OUT",IF(G1177="IN","IN","OUT")))</f>
        <v>OUT</v>
      </c>
      <c r="H1178" s="14" t="n">
        <f aca="false">H1177+IF(F1178="",0,F1178)</f>
        <v>18.2712612858204</v>
      </c>
      <c r="I1178" s="14" t="n">
        <f aca="false">MAX(I1177,H1178)</f>
        <v>43.9309628600509</v>
      </c>
      <c r="J1178" s="14" t="n">
        <f aca="false">I1178-H1178</f>
        <v>25.6597015742304</v>
      </c>
    </row>
    <row r="1179" customFormat="false" ht="15" hidden="false" customHeight="false" outlineLevel="0" collapsed="false">
      <c r="A1179" s="12" t="n">
        <f aca="false">Data!A1179</f>
        <v>43718</v>
      </c>
      <c r="B1179" s="14" t="n">
        <f aca="false">Data!B1179</f>
        <v>57.4</v>
      </c>
      <c r="C1179" s="0" t="str">
        <f aca="false">IF(Data!D1179="","HOLD",IF(AND(G1178&lt;&gt;"IN",Data!E1179&lt;-5),"BUY",IF(AND(G1178="IN",Data!E1179&gt;0),"SELL","HOLD")))</f>
        <v>HOLD</v>
      </c>
      <c r="D1179" s="14" t="str">
        <f aca="false">IF(C1179="BUY",B1179,IF(G1178="IN",D1178,""))</f>
        <v/>
      </c>
      <c r="E1179" s="14" t="str">
        <f aca="false">IF(C1179="SELL",B1179,"")</f>
        <v/>
      </c>
      <c r="F1179" s="14" t="str">
        <f aca="false">IF(E1179="","",(E1179-D1179)/D1179*100)</f>
        <v/>
      </c>
      <c r="G1179" s="0" t="str">
        <f aca="false">IF(C1179="BUY","IN",IF(C1179="SELL","OUT",IF(G1178="IN","IN","OUT")))</f>
        <v>OUT</v>
      </c>
      <c r="H1179" s="14" t="n">
        <f aca="false">H1178+IF(F1179="",0,F1179)</f>
        <v>18.2712612858204</v>
      </c>
      <c r="I1179" s="14" t="n">
        <f aca="false">MAX(I1178,H1179)</f>
        <v>43.9309628600509</v>
      </c>
      <c r="J1179" s="14" t="n">
        <f aca="false">I1179-H1179</f>
        <v>25.6597015742304</v>
      </c>
    </row>
    <row r="1180" customFormat="false" ht="15" hidden="false" customHeight="false" outlineLevel="0" collapsed="false">
      <c r="A1180" s="12" t="n">
        <f aca="false">Data!A1180</f>
        <v>43719</v>
      </c>
      <c r="B1180" s="14" t="n">
        <f aca="false">Data!B1180</f>
        <v>55.75</v>
      </c>
      <c r="C1180" s="0" t="str">
        <f aca="false">IF(Data!D1180="","HOLD",IF(AND(G1179&lt;&gt;"IN",Data!E1180&lt;-5),"BUY",IF(AND(G1179="IN",Data!E1180&gt;0),"SELL","HOLD")))</f>
        <v>HOLD</v>
      </c>
      <c r="D1180" s="14" t="str">
        <f aca="false">IF(C1180="BUY",B1180,IF(G1179="IN",D1179,""))</f>
        <v/>
      </c>
      <c r="E1180" s="14" t="str">
        <f aca="false">IF(C1180="SELL",B1180,"")</f>
        <v/>
      </c>
      <c r="F1180" s="14" t="str">
        <f aca="false">IF(E1180="","",(E1180-D1180)/D1180*100)</f>
        <v/>
      </c>
      <c r="G1180" s="0" t="str">
        <f aca="false">IF(C1180="BUY","IN",IF(C1180="SELL","OUT",IF(G1179="IN","IN","OUT")))</f>
        <v>OUT</v>
      </c>
      <c r="H1180" s="14" t="n">
        <f aca="false">H1179+IF(F1180="",0,F1180)</f>
        <v>18.2712612858204</v>
      </c>
      <c r="I1180" s="14" t="n">
        <f aca="false">MAX(I1179,H1180)</f>
        <v>43.9309628600509</v>
      </c>
      <c r="J1180" s="14" t="n">
        <f aca="false">I1180-H1180</f>
        <v>25.6597015742304</v>
      </c>
    </row>
    <row r="1181" customFormat="false" ht="15" hidden="false" customHeight="false" outlineLevel="0" collapsed="false">
      <c r="A1181" s="12" t="n">
        <f aca="false">Data!A1181</f>
        <v>43720</v>
      </c>
      <c r="B1181" s="14" t="n">
        <f aca="false">Data!B1181</f>
        <v>55.09</v>
      </c>
      <c r="C1181" s="0" t="str">
        <f aca="false">IF(Data!D1181="","HOLD",IF(AND(G1180&lt;&gt;"IN",Data!E1181&lt;-5),"BUY",IF(AND(G1180="IN",Data!E1181&gt;0),"SELL","HOLD")))</f>
        <v>HOLD</v>
      </c>
      <c r="D1181" s="14" t="str">
        <f aca="false">IF(C1181="BUY",B1181,IF(G1180="IN",D1180,""))</f>
        <v/>
      </c>
      <c r="E1181" s="14" t="str">
        <f aca="false">IF(C1181="SELL",B1181,"")</f>
        <v/>
      </c>
      <c r="F1181" s="14" t="str">
        <f aca="false">IF(E1181="","",(E1181-D1181)/D1181*100)</f>
        <v/>
      </c>
      <c r="G1181" s="0" t="str">
        <f aca="false">IF(C1181="BUY","IN",IF(C1181="SELL","OUT",IF(G1180="IN","IN","OUT")))</f>
        <v>OUT</v>
      </c>
      <c r="H1181" s="14" t="n">
        <f aca="false">H1180+IF(F1181="",0,F1181)</f>
        <v>18.2712612858204</v>
      </c>
      <c r="I1181" s="14" t="n">
        <f aca="false">MAX(I1180,H1181)</f>
        <v>43.9309628600509</v>
      </c>
      <c r="J1181" s="14" t="n">
        <f aca="false">I1181-H1181</f>
        <v>25.6597015742304</v>
      </c>
    </row>
    <row r="1182" customFormat="false" ht="15" hidden="false" customHeight="false" outlineLevel="0" collapsed="false">
      <c r="A1182" s="12" t="n">
        <f aca="false">Data!A1182</f>
        <v>43721</v>
      </c>
      <c r="B1182" s="14" t="n">
        <f aca="false">Data!B1182</f>
        <v>54.85</v>
      </c>
      <c r="C1182" s="0" t="str">
        <f aca="false">IF(Data!D1182="","HOLD",IF(AND(G1181&lt;&gt;"IN",Data!E1182&lt;-5),"BUY",IF(AND(G1181="IN",Data!E1182&gt;0),"SELL","HOLD")))</f>
        <v>HOLD</v>
      </c>
      <c r="D1182" s="14" t="str">
        <f aca="false">IF(C1182="BUY",B1182,IF(G1181="IN",D1181,""))</f>
        <v/>
      </c>
      <c r="E1182" s="14" t="str">
        <f aca="false">IF(C1182="SELL",B1182,"")</f>
        <v/>
      </c>
      <c r="F1182" s="14" t="str">
        <f aca="false">IF(E1182="","",(E1182-D1182)/D1182*100)</f>
        <v/>
      </c>
      <c r="G1182" s="0" t="str">
        <f aca="false">IF(C1182="BUY","IN",IF(C1182="SELL","OUT",IF(G1181="IN","IN","OUT")))</f>
        <v>OUT</v>
      </c>
      <c r="H1182" s="14" t="n">
        <f aca="false">H1181+IF(F1182="",0,F1182)</f>
        <v>18.2712612858204</v>
      </c>
      <c r="I1182" s="14" t="n">
        <f aca="false">MAX(I1181,H1182)</f>
        <v>43.9309628600509</v>
      </c>
      <c r="J1182" s="14" t="n">
        <f aca="false">I1182-H1182</f>
        <v>25.6597015742304</v>
      </c>
    </row>
    <row r="1183" customFormat="false" ht="15" hidden="false" customHeight="false" outlineLevel="0" collapsed="false">
      <c r="A1183" s="12" t="n">
        <f aca="false">Data!A1183</f>
        <v>43724</v>
      </c>
      <c r="B1183" s="14" t="n">
        <f aca="false">Data!B1183</f>
        <v>62.9</v>
      </c>
      <c r="C1183" s="0" t="str">
        <f aca="false">IF(Data!D1183="","HOLD",IF(AND(G1182&lt;&gt;"IN",Data!E1183&lt;-5),"BUY",IF(AND(G1182="IN",Data!E1183&gt;0),"SELL","HOLD")))</f>
        <v>HOLD</v>
      </c>
      <c r="D1183" s="14" t="str">
        <f aca="false">IF(C1183="BUY",B1183,IF(G1182="IN",D1182,""))</f>
        <v/>
      </c>
      <c r="E1183" s="14" t="str">
        <f aca="false">IF(C1183="SELL",B1183,"")</f>
        <v/>
      </c>
      <c r="F1183" s="14" t="str">
        <f aca="false">IF(E1183="","",(E1183-D1183)/D1183*100)</f>
        <v/>
      </c>
      <c r="G1183" s="0" t="str">
        <f aca="false">IF(C1183="BUY","IN",IF(C1183="SELL","OUT",IF(G1182="IN","IN","OUT")))</f>
        <v>OUT</v>
      </c>
      <c r="H1183" s="14" t="n">
        <f aca="false">H1182+IF(F1183="",0,F1183)</f>
        <v>18.2712612858204</v>
      </c>
      <c r="I1183" s="14" t="n">
        <f aca="false">MAX(I1182,H1183)</f>
        <v>43.9309628600509</v>
      </c>
      <c r="J1183" s="14" t="n">
        <f aca="false">I1183-H1183</f>
        <v>25.6597015742304</v>
      </c>
    </row>
    <row r="1184" customFormat="false" ht="15" hidden="false" customHeight="false" outlineLevel="0" collapsed="false">
      <c r="A1184" s="12" t="n">
        <f aca="false">Data!A1184</f>
        <v>43725</v>
      </c>
      <c r="B1184" s="14" t="n">
        <f aca="false">Data!B1184</f>
        <v>59.34</v>
      </c>
      <c r="C1184" s="0" t="str">
        <f aca="false">IF(Data!D1184="","HOLD",IF(AND(G1183&lt;&gt;"IN",Data!E1184&lt;-5),"BUY",IF(AND(G1183="IN",Data!E1184&gt;0),"SELL","HOLD")))</f>
        <v>HOLD</v>
      </c>
      <c r="D1184" s="14" t="str">
        <f aca="false">IF(C1184="BUY",B1184,IF(G1183="IN",D1183,""))</f>
        <v/>
      </c>
      <c r="E1184" s="14" t="str">
        <f aca="false">IF(C1184="SELL",B1184,"")</f>
        <v/>
      </c>
      <c r="F1184" s="14" t="str">
        <f aca="false">IF(E1184="","",(E1184-D1184)/D1184*100)</f>
        <v/>
      </c>
      <c r="G1184" s="0" t="str">
        <f aca="false">IF(C1184="BUY","IN",IF(C1184="SELL","OUT",IF(G1183="IN","IN","OUT")))</f>
        <v>OUT</v>
      </c>
      <c r="H1184" s="14" t="n">
        <f aca="false">H1183+IF(F1184="",0,F1184)</f>
        <v>18.2712612858204</v>
      </c>
      <c r="I1184" s="14" t="n">
        <f aca="false">MAX(I1183,H1184)</f>
        <v>43.9309628600509</v>
      </c>
      <c r="J1184" s="14" t="n">
        <f aca="false">I1184-H1184</f>
        <v>25.6597015742304</v>
      </c>
    </row>
    <row r="1185" customFormat="false" ht="15" hidden="false" customHeight="false" outlineLevel="0" collapsed="false">
      <c r="A1185" s="12" t="n">
        <f aca="false">Data!A1185</f>
        <v>43726</v>
      </c>
      <c r="B1185" s="14" t="n">
        <f aca="false">Data!B1185</f>
        <v>58.11</v>
      </c>
      <c r="C1185" s="0" t="str">
        <f aca="false">IF(Data!D1185="","HOLD",IF(AND(G1184&lt;&gt;"IN",Data!E1185&lt;-5),"BUY",IF(AND(G1184="IN",Data!E1185&gt;0),"SELL","HOLD")))</f>
        <v>HOLD</v>
      </c>
      <c r="D1185" s="14" t="str">
        <f aca="false">IF(C1185="BUY",B1185,IF(G1184="IN",D1184,""))</f>
        <v/>
      </c>
      <c r="E1185" s="14" t="str">
        <f aca="false">IF(C1185="SELL",B1185,"")</f>
        <v/>
      </c>
      <c r="F1185" s="14" t="str">
        <f aca="false">IF(E1185="","",(E1185-D1185)/D1185*100)</f>
        <v/>
      </c>
      <c r="G1185" s="0" t="str">
        <f aca="false">IF(C1185="BUY","IN",IF(C1185="SELL","OUT",IF(G1184="IN","IN","OUT")))</f>
        <v>OUT</v>
      </c>
      <c r="H1185" s="14" t="n">
        <f aca="false">H1184+IF(F1185="",0,F1185)</f>
        <v>18.2712612858204</v>
      </c>
      <c r="I1185" s="14" t="n">
        <f aca="false">MAX(I1184,H1185)</f>
        <v>43.9309628600509</v>
      </c>
      <c r="J1185" s="14" t="n">
        <f aca="false">I1185-H1185</f>
        <v>25.6597015742304</v>
      </c>
    </row>
    <row r="1186" customFormat="false" ht="15" hidden="false" customHeight="false" outlineLevel="0" collapsed="false">
      <c r="A1186" s="12" t="n">
        <f aca="false">Data!A1186</f>
        <v>43727</v>
      </c>
      <c r="B1186" s="14" t="n">
        <f aca="false">Data!B1186</f>
        <v>58.13</v>
      </c>
      <c r="C1186" s="0" t="str">
        <f aca="false">IF(Data!D1186="","HOLD",IF(AND(G1185&lt;&gt;"IN",Data!E1186&lt;-5),"BUY",IF(AND(G1185="IN",Data!E1186&gt;0),"SELL","HOLD")))</f>
        <v>HOLD</v>
      </c>
      <c r="D1186" s="14" t="str">
        <f aca="false">IF(C1186="BUY",B1186,IF(G1185="IN",D1185,""))</f>
        <v/>
      </c>
      <c r="E1186" s="14" t="str">
        <f aca="false">IF(C1186="SELL",B1186,"")</f>
        <v/>
      </c>
      <c r="F1186" s="14" t="str">
        <f aca="false">IF(E1186="","",(E1186-D1186)/D1186*100)</f>
        <v/>
      </c>
      <c r="G1186" s="0" t="str">
        <f aca="false">IF(C1186="BUY","IN",IF(C1186="SELL","OUT",IF(G1185="IN","IN","OUT")))</f>
        <v>OUT</v>
      </c>
      <c r="H1186" s="14" t="n">
        <f aca="false">H1185+IF(F1186="",0,F1186)</f>
        <v>18.2712612858204</v>
      </c>
      <c r="I1186" s="14" t="n">
        <f aca="false">MAX(I1185,H1186)</f>
        <v>43.9309628600509</v>
      </c>
      <c r="J1186" s="14" t="n">
        <f aca="false">I1186-H1186</f>
        <v>25.6597015742304</v>
      </c>
    </row>
    <row r="1187" customFormat="false" ht="15" hidden="false" customHeight="false" outlineLevel="0" collapsed="false">
      <c r="A1187" s="12" t="n">
        <f aca="false">Data!A1187</f>
        <v>43728</v>
      </c>
      <c r="B1187" s="14" t="n">
        <f aca="false">Data!B1187</f>
        <v>58.09</v>
      </c>
      <c r="C1187" s="0" t="str">
        <f aca="false">IF(Data!D1187="","HOLD",IF(AND(G1186&lt;&gt;"IN",Data!E1187&lt;-5),"BUY",IF(AND(G1186="IN",Data!E1187&gt;0),"SELL","HOLD")))</f>
        <v>HOLD</v>
      </c>
      <c r="D1187" s="14" t="str">
        <f aca="false">IF(C1187="BUY",B1187,IF(G1186="IN",D1186,""))</f>
        <v/>
      </c>
      <c r="E1187" s="14" t="str">
        <f aca="false">IF(C1187="SELL",B1187,"")</f>
        <v/>
      </c>
      <c r="F1187" s="14" t="str">
        <f aca="false">IF(E1187="","",(E1187-D1187)/D1187*100)</f>
        <v/>
      </c>
      <c r="G1187" s="0" t="str">
        <f aca="false">IF(C1187="BUY","IN",IF(C1187="SELL","OUT",IF(G1186="IN","IN","OUT")))</f>
        <v>OUT</v>
      </c>
      <c r="H1187" s="14" t="n">
        <f aca="false">H1186+IF(F1187="",0,F1187)</f>
        <v>18.2712612858204</v>
      </c>
      <c r="I1187" s="14" t="n">
        <f aca="false">MAX(I1186,H1187)</f>
        <v>43.9309628600509</v>
      </c>
      <c r="J1187" s="14" t="n">
        <f aca="false">I1187-H1187</f>
        <v>25.6597015742304</v>
      </c>
    </row>
    <row r="1188" customFormat="false" ht="15" hidden="false" customHeight="false" outlineLevel="0" collapsed="false">
      <c r="A1188" s="12" t="n">
        <f aca="false">Data!A1188</f>
        <v>43731</v>
      </c>
      <c r="B1188" s="14" t="n">
        <f aca="false">Data!B1188</f>
        <v>58.64</v>
      </c>
      <c r="C1188" s="0" t="str">
        <f aca="false">IF(Data!D1188="","HOLD",IF(AND(G1187&lt;&gt;"IN",Data!E1188&lt;-5),"BUY",IF(AND(G1187="IN",Data!E1188&gt;0),"SELL","HOLD")))</f>
        <v>HOLD</v>
      </c>
      <c r="D1188" s="14" t="str">
        <f aca="false">IF(C1188="BUY",B1188,IF(G1187="IN",D1187,""))</f>
        <v/>
      </c>
      <c r="E1188" s="14" t="str">
        <f aca="false">IF(C1188="SELL",B1188,"")</f>
        <v/>
      </c>
      <c r="F1188" s="14" t="str">
        <f aca="false">IF(E1188="","",(E1188-D1188)/D1188*100)</f>
        <v/>
      </c>
      <c r="G1188" s="0" t="str">
        <f aca="false">IF(C1188="BUY","IN",IF(C1188="SELL","OUT",IF(G1187="IN","IN","OUT")))</f>
        <v>OUT</v>
      </c>
      <c r="H1188" s="14" t="n">
        <f aca="false">H1187+IF(F1188="",0,F1188)</f>
        <v>18.2712612858204</v>
      </c>
      <c r="I1188" s="14" t="n">
        <f aca="false">MAX(I1187,H1188)</f>
        <v>43.9309628600509</v>
      </c>
      <c r="J1188" s="14" t="n">
        <f aca="false">I1188-H1188</f>
        <v>25.6597015742304</v>
      </c>
    </row>
    <row r="1189" customFormat="false" ht="15" hidden="false" customHeight="false" outlineLevel="0" collapsed="false">
      <c r="A1189" s="12" t="n">
        <f aca="false">Data!A1189</f>
        <v>43732</v>
      </c>
      <c r="B1189" s="14" t="n">
        <f aca="false">Data!B1189</f>
        <v>57.29</v>
      </c>
      <c r="C1189" s="0" t="str">
        <f aca="false">IF(Data!D1189="","HOLD",IF(AND(G1188&lt;&gt;"IN",Data!E1189&lt;-5),"BUY",IF(AND(G1188="IN",Data!E1189&gt;0),"SELL","HOLD")))</f>
        <v>HOLD</v>
      </c>
      <c r="D1189" s="14" t="str">
        <f aca="false">IF(C1189="BUY",B1189,IF(G1188="IN",D1188,""))</f>
        <v/>
      </c>
      <c r="E1189" s="14" t="str">
        <f aca="false">IF(C1189="SELL",B1189,"")</f>
        <v/>
      </c>
      <c r="F1189" s="14" t="str">
        <f aca="false">IF(E1189="","",(E1189-D1189)/D1189*100)</f>
        <v/>
      </c>
      <c r="G1189" s="0" t="str">
        <f aca="false">IF(C1189="BUY","IN",IF(C1189="SELL","OUT",IF(G1188="IN","IN","OUT")))</f>
        <v>OUT</v>
      </c>
      <c r="H1189" s="14" t="n">
        <f aca="false">H1188+IF(F1189="",0,F1189)</f>
        <v>18.2712612858204</v>
      </c>
      <c r="I1189" s="14" t="n">
        <f aca="false">MAX(I1188,H1189)</f>
        <v>43.9309628600509</v>
      </c>
      <c r="J1189" s="14" t="n">
        <f aca="false">I1189-H1189</f>
        <v>25.6597015742304</v>
      </c>
    </row>
    <row r="1190" customFormat="false" ht="15" hidden="false" customHeight="false" outlineLevel="0" collapsed="false">
      <c r="A1190" s="12" t="n">
        <f aca="false">Data!A1190</f>
        <v>43733</v>
      </c>
      <c r="B1190" s="14" t="n">
        <f aca="false">Data!B1190</f>
        <v>56.49</v>
      </c>
      <c r="C1190" s="0" t="str">
        <f aca="false">IF(Data!D1190="","HOLD",IF(AND(G1189&lt;&gt;"IN",Data!E1190&lt;-5),"BUY",IF(AND(G1189="IN",Data!E1190&gt;0),"SELL","HOLD")))</f>
        <v>HOLD</v>
      </c>
      <c r="D1190" s="14" t="str">
        <f aca="false">IF(C1190="BUY",B1190,IF(G1189="IN",D1189,""))</f>
        <v/>
      </c>
      <c r="E1190" s="14" t="str">
        <f aca="false">IF(C1190="SELL",B1190,"")</f>
        <v/>
      </c>
      <c r="F1190" s="14" t="str">
        <f aca="false">IF(E1190="","",(E1190-D1190)/D1190*100)</f>
        <v/>
      </c>
      <c r="G1190" s="0" t="str">
        <f aca="false">IF(C1190="BUY","IN",IF(C1190="SELL","OUT",IF(G1189="IN","IN","OUT")))</f>
        <v>OUT</v>
      </c>
      <c r="H1190" s="14" t="n">
        <f aca="false">H1189+IF(F1190="",0,F1190)</f>
        <v>18.2712612858204</v>
      </c>
      <c r="I1190" s="14" t="n">
        <f aca="false">MAX(I1189,H1190)</f>
        <v>43.9309628600509</v>
      </c>
      <c r="J1190" s="14" t="n">
        <f aca="false">I1190-H1190</f>
        <v>25.6597015742304</v>
      </c>
    </row>
    <row r="1191" customFormat="false" ht="15" hidden="false" customHeight="false" outlineLevel="0" collapsed="false">
      <c r="A1191" s="12" t="n">
        <f aca="false">Data!A1191</f>
        <v>43734</v>
      </c>
      <c r="B1191" s="14" t="n">
        <f aca="false">Data!B1191</f>
        <v>56.41</v>
      </c>
      <c r="C1191" s="0" t="str">
        <f aca="false">IF(Data!D1191="","HOLD",IF(AND(G1190&lt;&gt;"IN",Data!E1191&lt;-5),"BUY",IF(AND(G1190="IN",Data!E1191&gt;0),"SELL","HOLD")))</f>
        <v>HOLD</v>
      </c>
      <c r="D1191" s="14" t="str">
        <f aca="false">IF(C1191="BUY",B1191,IF(G1190="IN",D1190,""))</f>
        <v/>
      </c>
      <c r="E1191" s="14" t="str">
        <f aca="false">IF(C1191="SELL",B1191,"")</f>
        <v/>
      </c>
      <c r="F1191" s="14" t="str">
        <f aca="false">IF(E1191="","",(E1191-D1191)/D1191*100)</f>
        <v/>
      </c>
      <c r="G1191" s="0" t="str">
        <f aca="false">IF(C1191="BUY","IN",IF(C1191="SELL","OUT",IF(G1190="IN","IN","OUT")))</f>
        <v>OUT</v>
      </c>
      <c r="H1191" s="14" t="n">
        <f aca="false">H1190+IF(F1191="",0,F1191)</f>
        <v>18.2712612858204</v>
      </c>
      <c r="I1191" s="14" t="n">
        <f aca="false">MAX(I1190,H1191)</f>
        <v>43.9309628600509</v>
      </c>
      <c r="J1191" s="14" t="n">
        <f aca="false">I1191-H1191</f>
        <v>25.6597015742304</v>
      </c>
    </row>
    <row r="1192" customFormat="false" ht="15" hidden="false" customHeight="false" outlineLevel="0" collapsed="false">
      <c r="A1192" s="12" t="n">
        <f aca="false">Data!A1192</f>
        <v>43735</v>
      </c>
      <c r="B1192" s="14" t="n">
        <f aca="false">Data!B1192</f>
        <v>55.91</v>
      </c>
      <c r="C1192" s="0" t="str">
        <f aca="false">IF(Data!D1192="","HOLD",IF(AND(G1191&lt;&gt;"IN",Data!E1192&lt;-5),"BUY",IF(AND(G1191="IN",Data!E1192&gt;0),"SELL","HOLD")))</f>
        <v>HOLD</v>
      </c>
      <c r="D1192" s="14" t="str">
        <f aca="false">IF(C1192="BUY",B1192,IF(G1191="IN",D1191,""))</f>
        <v/>
      </c>
      <c r="E1192" s="14" t="str">
        <f aca="false">IF(C1192="SELL",B1192,"")</f>
        <v/>
      </c>
      <c r="F1192" s="14" t="str">
        <f aca="false">IF(E1192="","",(E1192-D1192)/D1192*100)</f>
        <v/>
      </c>
      <c r="G1192" s="0" t="str">
        <f aca="false">IF(C1192="BUY","IN",IF(C1192="SELL","OUT",IF(G1191="IN","IN","OUT")))</f>
        <v>OUT</v>
      </c>
      <c r="H1192" s="14" t="n">
        <f aca="false">H1191+IF(F1192="",0,F1192)</f>
        <v>18.2712612858204</v>
      </c>
      <c r="I1192" s="14" t="n">
        <f aca="false">MAX(I1191,H1192)</f>
        <v>43.9309628600509</v>
      </c>
      <c r="J1192" s="14" t="n">
        <f aca="false">I1192-H1192</f>
        <v>25.6597015742304</v>
      </c>
    </row>
    <row r="1193" customFormat="false" ht="15" hidden="false" customHeight="false" outlineLevel="0" collapsed="false">
      <c r="A1193" s="12" t="n">
        <f aca="false">Data!A1193</f>
        <v>43738</v>
      </c>
      <c r="B1193" s="14" t="n">
        <f aca="false">Data!B1193</f>
        <v>54.07</v>
      </c>
      <c r="C1193" s="0" t="str">
        <f aca="false">IF(Data!D1193="","HOLD",IF(AND(G1192&lt;&gt;"IN",Data!E1193&lt;-5),"BUY",IF(AND(G1192="IN",Data!E1193&gt;0),"SELL","HOLD")))</f>
        <v>BUY</v>
      </c>
      <c r="D1193" s="14" t="n">
        <f aca="false">IF(C1193="BUY",B1193,IF(G1192="IN",D1192,""))</f>
        <v>54.07</v>
      </c>
      <c r="E1193" s="14" t="str">
        <f aca="false">IF(C1193="SELL",B1193,"")</f>
        <v/>
      </c>
      <c r="F1193" s="14" t="str">
        <f aca="false">IF(E1193="","",(E1193-D1193)/D1193*100)</f>
        <v/>
      </c>
      <c r="G1193" s="0" t="str">
        <f aca="false">IF(C1193="BUY","IN",IF(C1193="SELL","OUT",IF(G1192="IN","IN","OUT")))</f>
        <v>IN</v>
      </c>
      <c r="H1193" s="14" t="n">
        <f aca="false">H1192+IF(F1193="",0,F1193)</f>
        <v>18.2712612858204</v>
      </c>
      <c r="I1193" s="14" t="n">
        <f aca="false">MAX(I1192,H1193)</f>
        <v>43.9309628600509</v>
      </c>
      <c r="J1193" s="14" t="n">
        <f aca="false">I1193-H1193</f>
        <v>25.6597015742304</v>
      </c>
    </row>
    <row r="1194" customFormat="false" ht="15" hidden="false" customHeight="false" outlineLevel="0" collapsed="false">
      <c r="A1194" s="12" t="n">
        <f aca="false">Data!A1194</f>
        <v>43739</v>
      </c>
      <c r="B1194" s="14" t="n">
        <f aca="false">Data!B1194</f>
        <v>53.62</v>
      </c>
      <c r="C1194" s="0" t="str">
        <f aca="false">IF(Data!D1194="","HOLD",IF(AND(G1193&lt;&gt;"IN",Data!E1194&lt;-5),"BUY",IF(AND(G1193="IN",Data!E1194&gt;0),"SELL","HOLD")))</f>
        <v>HOLD</v>
      </c>
      <c r="D1194" s="14" t="n">
        <f aca="false">IF(C1194="BUY",B1194,IF(G1193="IN",D1193,""))</f>
        <v>54.07</v>
      </c>
      <c r="E1194" s="14" t="str">
        <f aca="false">IF(C1194="SELL",B1194,"")</f>
        <v/>
      </c>
      <c r="F1194" s="14" t="str">
        <f aca="false">IF(E1194="","",(E1194-D1194)/D1194*100)</f>
        <v/>
      </c>
      <c r="G1194" s="0" t="str">
        <f aca="false">IF(C1194="BUY","IN",IF(C1194="SELL","OUT",IF(G1193="IN","IN","OUT")))</f>
        <v>IN</v>
      </c>
      <c r="H1194" s="14" t="n">
        <f aca="false">H1193+IF(F1194="",0,F1194)</f>
        <v>18.2712612858204</v>
      </c>
      <c r="I1194" s="14" t="n">
        <f aca="false">MAX(I1193,H1194)</f>
        <v>43.9309628600509</v>
      </c>
      <c r="J1194" s="14" t="n">
        <f aca="false">I1194-H1194</f>
        <v>25.6597015742304</v>
      </c>
    </row>
    <row r="1195" customFormat="false" ht="15" hidden="false" customHeight="false" outlineLevel="0" collapsed="false">
      <c r="A1195" s="12" t="n">
        <f aca="false">Data!A1195</f>
        <v>43740</v>
      </c>
      <c r="B1195" s="14" t="n">
        <f aca="false">Data!B1195</f>
        <v>52.64</v>
      </c>
      <c r="C1195" s="0" t="str">
        <f aca="false">IF(Data!D1195="","HOLD",IF(AND(G1194&lt;&gt;"IN",Data!E1195&lt;-5),"BUY",IF(AND(G1194="IN",Data!E1195&gt;0),"SELL","HOLD")))</f>
        <v>HOLD</v>
      </c>
      <c r="D1195" s="14" t="n">
        <f aca="false">IF(C1195="BUY",B1195,IF(G1194="IN",D1194,""))</f>
        <v>54.07</v>
      </c>
      <c r="E1195" s="14" t="str">
        <f aca="false">IF(C1195="SELL",B1195,"")</f>
        <v/>
      </c>
      <c r="F1195" s="14" t="str">
        <f aca="false">IF(E1195="","",(E1195-D1195)/D1195*100)</f>
        <v/>
      </c>
      <c r="G1195" s="0" t="str">
        <f aca="false">IF(C1195="BUY","IN",IF(C1195="SELL","OUT",IF(G1194="IN","IN","OUT")))</f>
        <v>IN</v>
      </c>
      <c r="H1195" s="14" t="n">
        <f aca="false">H1194+IF(F1195="",0,F1195)</f>
        <v>18.2712612858204</v>
      </c>
      <c r="I1195" s="14" t="n">
        <f aca="false">MAX(I1194,H1195)</f>
        <v>43.9309628600509</v>
      </c>
      <c r="J1195" s="14" t="n">
        <f aca="false">I1195-H1195</f>
        <v>25.6597015742304</v>
      </c>
    </row>
    <row r="1196" customFormat="false" ht="15" hidden="false" customHeight="false" outlineLevel="0" collapsed="false">
      <c r="A1196" s="12" t="n">
        <f aca="false">Data!A1196</f>
        <v>43741</v>
      </c>
      <c r="B1196" s="14" t="n">
        <f aca="false">Data!B1196</f>
        <v>52.45</v>
      </c>
      <c r="C1196" s="0" t="str">
        <f aca="false">IF(Data!D1196="","HOLD",IF(AND(G1195&lt;&gt;"IN",Data!E1196&lt;-5),"BUY",IF(AND(G1195="IN",Data!E1196&gt;0),"SELL","HOLD")))</f>
        <v>HOLD</v>
      </c>
      <c r="D1196" s="14" t="n">
        <f aca="false">IF(C1196="BUY",B1196,IF(G1195="IN",D1195,""))</f>
        <v>54.07</v>
      </c>
      <c r="E1196" s="14" t="str">
        <f aca="false">IF(C1196="SELL",B1196,"")</f>
        <v/>
      </c>
      <c r="F1196" s="14" t="str">
        <f aca="false">IF(E1196="","",(E1196-D1196)/D1196*100)</f>
        <v/>
      </c>
      <c r="G1196" s="0" t="str">
        <f aca="false">IF(C1196="BUY","IN",IF(C1196="SELL","OUT",IF(G1195="IN","IN","OUT")))</f>
        <v>IN</v>
      </c>
      <c r="H1196" s="14" t="n">
        <f aca="false">H1195+IF(F1196="",0,F1196)</f>
        <v>18.2712612858204</v>
      </c>
      <c r="I1196" s="14" t="n">
        <f aca="false">MAX(I1195,H1196)</f>
        <v>43.9309628600509</v>
      </c>
      <c r="J1196" s="14" t="n">
        <f aca="false">I1196-H1196</f>
        <v>25.6597015742304</v>
      </c>
    </row>
    <row r="1197" customFormat="false" ht="15" hidden="false" customHeight="false" outlineLevel="0" collapsed="false">
      <c r="A1197" s="12" t="n">
        <f aca="false">Data!A1197</f>
        <v>43742</v>
      </c>
      <c r="B1197" s="14" t="n">
        <f aca="false">Data!B1197</f>
        <v>52.81</v>
      </c>
      <c r="C1197" s="0" t="str">
        <f aca="false">IF(Data!D1197="","HOLD",IF(AND(G1196&lt;&gt;"IN",Data!E1197&lt;-5),"BUY",IF(AND(G1196="IN",Data!E1197&gt;0),"SELL","HOLD")))</f>
        <v>HOLD</v>
      </c>
      <c r="D1197" s="14" t="n">
        <f aca="false">IF(C1197="BUY",B1197,IF(G1196="IN",D1196,""))</f>
        <v>54.07</v>
      </c>
      <c r="E1197" s="14" t="str">
        <f aca="false">IF(C1197="SELL",B1197,"")</f>
        <v/>
      </c>
      <c r="F1197" s="14" t="str">
        <f aca="false">IF(E1197="","",(E1197-D1197)/D1197*100)</f>
        <v/>
      </c>
      <c r="G1197" s="0" t="str">
        <f aca="false">IF(C1197="BUY","IN",IF(C1197="SELL","OUT",IF(G1196="IN","IN","OUT")))</f>
        <v>IN</v>
      </c>
      <c r="H1197" s="14" t="n">
        <f aca="false">H1196+IF(F1197="",0,F1197)</f>
        <v>18.2712612858204</v>
      </c>
      <c r="I1197" s="14" t="n">
        <f aca="false">MAX(I1196,H1197)</f>
        <v>43.9309628600509</v>
      </c>
      <c r="J1197" s="14" t="n">
        <f aca="false">I1197-H1197</f>
        <v>25.6597015742304</v>
      </c>
    </row>
    <row r="1198" customFormat="false" ht="15" hidden="false" customHeight="false" outlineLevel="0" collapsed="false">
      <c r="A1198" s="12" t="n">
        <f aca="false">Data!A1198</f>
        <v>43745</v>
      </c>
      <c r="B1198" s="14" t="n">
        <f aca="false">Data!B1198</f>
        <v>52.75</v>
      </c>
      <c r="C1198" s="0" t="str">
        <f aca="false">IF(Data!D1198="","HOLD",IF(AND(G1197&lt;&gt;"IN",Data!E1198&lt;-5),"BUY",IF(AND(G1197="IN",Data!E1198&gt;0),"SELL","HOLD")))</f>
        <v>HOLD</v>
      </c>
      <c r="D1198" s="14" t="n">
        <f aca="false">IF(C1198="BUY",B1198,IF(G1197="IN",D1197,""))</f>
        <v>54.07</v>
      </c>
      <c r="E1198" s="14" t="str">
        <f aca="false">IF(C1198="SELL",B1198,"")</f>
        <v/>
      </c>
      <c r="F1198" s="14" t="str">
        <f aca="false">IF(E1198="","",(E1198-D1198)/D1198*100)</f>
        <v/>
      </c>
      <c r="G1198" s="0" t="str">
        <f aca="false">IF(C1198="BUY","IN",IF(C1198="SELL","OUT",IF(G1197="IN","IN","OUT")))</f>
        <v>IN</v>
      </c>
      <c r="H1198" s="14" t="n">
        <f aca="false">H1197+IF(F1198="",0,F1198)</f>
        <v>18.2712612858204</v>
      </c>
      <c r="I1198" s="14" t="n">
        <f aca="false">MAX(I1197,H1198)</f>
        <v>43.9309628600509</v>
      </c>
      <c r="J1198" s="14" t="n">
        <f aca="false">I1198-H1198</f>
        <v>25.6597015742304</v>
      </c>
    </row>
    <row r="1199" customFormat="false" ht="15" hidden="false" customHeight="false" outlineLevel="0" collapsed="false">
      <c r="A1199" s="12" t="n">
        <f aca="false">Data!A1199</f>
        <v>43746</v>
      </c>
      <c r="B1199" s="14" t="n">
        <f aca="false">Data!B1199</f>
        <v>52.63</v>
      </c>
      <c r="C1199" s="0" t="str">
        <f aca="false">IF(Data!D1199="","HOLD",IF(AND(G1198&lt;&gt;"IN",Data!E1199&lt;-5),"BUY",IF(AND(G1198="IN",Data!E1199&gt;0),"SELL","HOLD")))</f>
        <v>HOLD</v>
      </c>
      <c r="D1199" s="14" t="n">
        <f aca="false">IF(C1199="BUY",B1199,IF(G1198="IN",D1198,""))</f>
        <v>54.07</v>
      </c>
      <c r="E1199" s="14" t="str">
        <f aca="false">IF(C1199="SELL",B1199,"")</f>
        <v/>
      </c>
      <c r="F1199" s="14" t="str">
        <f aca="false">IF(E1199="","",(E1199-D1199)/D1199*100)</f>
        <v/>
      </c>
      <c r="G1199" s="0" t="str">
        <f aca="false">IF(C1199="BUY","IN",IF(C1199="SELL","OUT",IF(G1198="IN","IN","OUT")))</f>
        <v>IN</v>
      </c>
      <c r="H1199" s="14" t="n">
        <f aca="false">H1198+IF(F1199="",0,F1199)</f>
        <v>18.2712612858204</v>
      </c>
      <c r="I1199" s="14" t="n">
        <f aca="false">MAX(I1198,H1199)</f>
        <v>43.9309628600509</v>
      </c>
      <c r="J1199" s="14" t="n">
        <f aca="false">I1199-H1199</f>
        <v>25.6597015742304</v>
      </c>
    </row>
    <row r="1200" customFormat="false" ht="15" hidden="false" customHeight="false" outlineLevel="0" collapsed="false">
      <c r="A1200" s="12" t="n">
        <f aca="false">Data!A1200</f>
        <v>43747</v>
      </c>
      <c r="B1200" s="14" t="n">
        <f aca="false">Data!B1200</f>
        <v>52.59</v>
      </c>
      <c r="C1200" s="0" t="str">
        <f aca="false">IF(Data!D1200="","HOLD",IF(AND(G1199&lt;&gt;"IN",Data!E1200&lt;-5),"BUY",IF(AND(G1199="IN",Data!E1200&gt;0),"SELL","HOLD")))</f>
        <v>HOLD</v>
      </c>
      <c r="D1200" s="14" t="n">
        <f aca="false">IF(C1200="BUY",B1200,IF(G1199="IN",D1199,""))</f>
        <v>54.07</v>
      </c>
      <c r="E1200" s="14" t="str">
        <f aca="false">IF(C1200="SELL",B1200,"")</f>
        <v/>
      </c>
      <c r="F1200" s="14" t="str">
        <f aca="false">IF(E1200="","",(E1200-D1200)/D1200*100)</f>
        <v/>
      </c>
      <c r="G1200" s="0" t="str">
        <f aca="false">IF(C1200="BUY","IN",IF(C1200="SELL","OUT",IF(G1199="IN","IN","OUT")))</f>
        <v>IN</v>
      </c>
      <c r="H1200" s="14" t="n">
        <f aca="false">H1199+IF(F1200="",0,F1200)</f>
        <v>18.2712612858204</v>
      </c>
      <c r="I1200" s="14" t="n">
        <f aca="false">MAX(I1199,H1200)</f>
        <v>43.9309628600509</v>
      </c>
      <c r="J1200" s="14" t="n">
        <f aca="false">I1200-H1200</f>
        <v>25.6597015742304</v>
      </c>
    </row>
    <row r="1201" customFormat="false" ht="15" hidden="false" customHeight="false" outlineLevel="0" collapsed="false">
      <c r="A1201" s="12" t="n">
        <f aca="false">Data!A1201</f>
        <v>43748</v>
      </c>
      <c r="B1201" s="14" t="n">
        <f aca="false">Data!B1201</f>
        <v>53.55</v>
      </c>
      <c r="C1201" s="0" t="str">
        <f aca="false">IF(Data!D1201="","HOLD",IF(AND(G1200&lt;&gt;"IN",Data!E1201&lt;-5),"BUY",IF(AND(G1200="IN",Data!E1201&gt;0),"SELL","HOLD")))</f>
        <v>HOLD</v>
      </c>
      <c r="D1201" s="14" t="n">
        <f aca="false">IF(C1201="BUY",B1201,IF(G1200="IN",D1200,""))</f>
        <v>54.07</v>
      </c>
      <c r="E1201" s="14" t="str">
        <f aca="false">IF(C1201="SELL",B1201,"")</f>
        <v/>
      </c>
      <c r="F1201" s="14" t="str">
        <f aca="false">IF(E1201="","",(E1201-D1201)/D1201*100)</f>
        <v/>
      </c>
      <c r="G1201" s="0" t="str">
        <f aca="false">IF(C1201="BUY","IN",IF(C1201="SELL","OUT",IF(G1200="IN","IN","OUT")))</f>
        <v>IN</v>
      </c>
      <c r="H1201" s="14" t="n">
        <f aca="false">H1200+IF(F1201="",0,F1201)</f>
        <v>18.2712612858204</v>
      </c>
      <c r="I1201" s="14" t="n">
        <f aca="false">MAX(I1200,H1201)</f>
        <v>43.9309628600509</v>
      </c>
      <c r="J1201" s="14" t="n">
        <f aca="false">I1201-H1201</f>
        <v>25.6597015742304</v>
      </c>
    </row>
    <row r="1202" customFormat="false" ht="15" hidden="false" customHeight="false" outlineLevel="0" collapsed="false">
      <c r="A1202" s="12" t="n">
        <f aca="false">Data!A1202</f>
        <v>43749</v>
      </c>
      <c r="B1202" s="14" t="n">
        <f aca="false">Data!B1202</f>
        <v>54.7</v>
      </c>
      <c r="C1202" s="0" t="str">
        <f aca="false">IF(Data!D1202="","HOLD",IF(AND(G1201&lt;&gt;"IN",Data!E1202&lt;-5),"BUY",IF(AND(G1201="IN",Data!E1202&gt;0),"SELL","HOLD")))</f>
        <v>HOLD</v>
      </c>
      <c r="D1202" s="14" t="n">
        <f aca="false">IF(C1202="BUY",B1202,IF(G1201="IN",D1201,""))</f>
        <v>54.07</v>
      </c>
      <c r="E1202" s="14" t="str">
        <f aca="false">IF(C1202="SELL",B1202,"")</f>
        <v/>
      </c>
      <c r="F1202" s="14" t="str">
        <f aca="false">IF(E1202="","",(E1202-D1202)/D1202*100)</f>
        <v/>
      </c>
      <c r="G1202" s="0" t="str">
        <f aca="false">IF(C1202="BUY","IN",IF(C1202="SELL","OUT",IF(G1201="IN","IN","OUT")))</f>
        <v>IN</v>
      </c>
      <c r="H1202" s="14" t="n">
        <f aca="false">H1201+IF(F1202="",0,F1202)</f>
        <v>18.2712612858204</v>
      </c>
      <c r="I1202" s="14" t="n">
        <f aca="false">MAX(I1201,H1202)</f>
        <v>43.9309628600509</v>
      </c>
      <c r="J1202" s="14" t="n">
        <f aca="false">I1202-H1202</f>
        <v>25.6597015742304</v>
      </c>
    </row>
    <row r="1203" customFormat="false" ht="15" hidden="false" customHeight="false" outlineLevel="0" collapsed="false">
      <c r="A1203" s="12" t="n">
        <f aca="false">Data!A1203</f>
        <v>43752</v>
      </c>
      <c r="B1203" s="14" t="n">
        <f aca="false">Data!B1203</f>
        <v>53.59</v>
      </c>
      <c r="C1203" s="0" t="str">
        <f aca="false">IF(Data!D1203="","HOLD",IF(AND(G1202&lt;&gt;"IN",Data!E1203&lt;-5),"BUY",IF(AND(G1202="IN",Data!E1203&gt;0),"SELL","HOLD")))</f>
        <v>HOLD</v>
      </c>
      <c r="D1203" s="14" t="n">
        <f aca="false">IF(C1203="BUY",B1203,IF(G1202="IN",D1202,""))</f>
        <v>54.07</v>
      </c>
      <c r="E1203" s="14" t="str">
        <f aca="false">IF(C1203="SELL",B1203,"")</f>
        <v/>
      </c>
      <c r="F1203" s="14" t="str">
        <f aca="false">IF(E1203="","",(E1203-D1203)/D1203*100)</f>
        <v/>
      </c>
      <c r="G1203" s="0" t="str">
        <f aca="false">IF(C1203="BUY","IN",IF(C1203="SELL","OUT",IF(G1202="IN","IN","OUT")))</f>
        <v>IN</v>
      </c>
      <c r="H1203" s="14" t="n">
        <f aca="false">H1202+IF(F1203="",0,F1203)</f>
        <v>18.2712612858204</v>
      </c>
      <c r="I1203" s="14" t="n">
        <f aca="false">MAX(I1202,H1203)</f>
        <v>43.9309628600509</v>
      </c>
      <c r="J1203" s="14" t="n">
        <f aca="false">I1203-H1203</f>
        <v>25.6597015742304</v>
      </c>
    </row>
    <row r="1204" customFormat="false" ht="15" hidden="false" customHeight="false" outlineLevel="0" collapsed="false">
      <c r="A1204" s="12" t="n">
        <f aca="false">Data!A1204</f>
        <v>43753</v>
      </c>
      <c r="B1204" s="14" t="n">
        <f aca="false">Data!B1204</f>
        <v>52.81</v>
      </c>
      <c r="C1204" s="0" t="str">
        <f aca="false">IF(Data!D1204="","HOLD",IF(AND(G1203&lt;&gt;"IN",Data!E1204&lt;-5),"BUY",IF(AND(G1203="IN",Data!E1204&gt;0),"SELL","HOLD")))</f>
        <v>HOLD</v>
      </c>
      <c r="D1204" s="14" t="n">
        <f aca="false">IF(C1204="BUY",B1204,IF(G1203="IN",D1203,""))</f>
        <v>54.07</v>
      </c>
      <c r="E1204" s="14" t="str">
        <f aca="false">IF(C1204="SELL",B1204,"")</f>
        <v/>
      </c>
      <c r="F1204" s="14" t="str">
        <f aca="false">IF(E1204="","",(E1204-D1204)/D1204*100)</f>
        <v/>
      </c>
      <c r="G1204" s="0" t="str">
        <f aca="false">IF(C1204="BUY","IN",IF(C1204="SELL","OUT",IF(G1203="IN","IN","OUT")))</f>
        <v>IN</v>
      </c>
      <c r="H1204" s="14" t="n">
        <f aca="false">H1203+IF(F1204="",0,F1204)</f>
        <v>18.2712612858204</v>
      </c>
      <c r="I1204" s="14" t="n">
        <f aca="false">MAX(I1203,H1204)</f>
        <v>43.9309628600509</v>
      </c>
      <c r="J1204" s="14" t="n">
        <f aca="false">I1204-H1204</f>
        <v>25.6597015742304</v>
      </c>
    </row>
    <row r="1205" customFormat="false" ht="15" hidden="false" customHeight="false" outlineLevel="0" collapsed="false">
      <c r="A1205" s="12" t="n">
        <f aca="false">Data!A1205</f>
        <v>43754</v>
      </c>
      <c r="B1205" s="14" t="n">
        <f aca="false">Data!B1205</f>
        <v>53.36</v>
      </c>
      <c r="C1205" s="0" t="str">
        <f aca="false">IF(Data!D1205="","HOLD",IF(AND(G1204&lt;&gt;"IN",Data!E1205&lt;-5),"BUY",IF(AND(G1204="IN",Data!E1205&gt;0),"SELL","HOLD")))</f>
        <v>HOLD</v>
      </c>
      <c r="D1205" s="14" t="n">
        <f aca="false">IF(C1205="BUY",B1205,IF(G1204="IN",D1204,""))</f>
        <v>54.07</v>
      </c>
      <c r="E1205" s="14" t="str">
        <f aca="false">IF(C1205="SELL",B1205,"")</f>
        <v/>
      </c>
      <c r="F1205" s="14" t="str">
        <f aca="false">IF(E1205="","",(E1205-D1205)/D1205*100)</f>
        <v/>
      </c>
      <c r="G1205" s="0" t="str">
        <f aca="false">IF(C1205="BUY","IN",IF(C1205="SELL","OUT",IF(G1204="IN","IN","OUT")))</f>
        <v>IN</v>
      </c>
      <c r="H1205" s="14" t="n">
        <f aca="false">H1204+IF(F1205="",0,F1205)</f>
        <v>18.2712612858204</v>
      </c>
      <c r="I1205" s="14" t="n">
        <f aca="false">MAX(I1204,H1205)</f>
        <v>43.9309628600509</v>
      </c>
      <c r="J1205" s="14" t="n">
        <f aca="false">I1205-H1205</f>
        <v>25.6597015742304</v>
      </c>
    </row>
    <row r="1206" customFormat="false" ht="15" hidden="false" customHeight="false" outlineLevel="0" collapsed="false">
      <c r="A1206" s="12" t="n">
        <f aca="false">Data!A1206</f>
        <v>43755</v>
      </c>
      <c r="B1206" s="14" t="n">
        <f aca="false">Data!B1206</f>
        <v>53.93</v>
      </c>
      <c r="C1206" s="0" t="str">
        <f aca="false">IF(Data!D1206="","HOLD",IF(AND(G1205&lt;&gt;"IN",Data!E1206&lt;-5),"BUY",IF(AND(G1205="IN",Data!E1206&gt;0),"SELL","HOLD")))</f>
        <v>HOLD</v>
      </c>
      <c r="D1206" s="14" t="n">
        <f aca="false">IF(C1206="BUY",B1206,IF(G1205="IN",D1205,""))</f>
        <v>54.07</v>
      </c>
      <c r="E1206" s="14" t="str">
        <f aca="false">IF(C1206="SELL",B1206,"")</f>
        <v/>
      </c>
      <c r="F1206" s="14" t="str">
        <f aca="false">IF(E1206="","",(E1206-D1206)/D1206*100)</f>
        <v/>
      </c>
      <c r="G1206" s="0" t="str">
        <f aca="false">IF(C1206="BUY","IN",IF(C1206="SELL","OUT",IF(G1205="IN","IN","OUT")))</f>
        <v>IN</v>
      </c>
      <c r="H1206" s="14" t="n">
        <f aca="false">H1205+IF(F1206="",0,F1206)</f>
        <v>18.2712612858204</v>
      </c>
      <c r="I1206" s="14" t="n">
        <f aca="false">MAX(I1205,H1206)</f>
        <v>43.9309628600509</v>
      </c>
      <c r="J1206" s="14" t="n">
        <f aca="false">I1206-H1206</f>
        <v>25.6597015742304</v>
      </c>
    </row>
    <row r="1207" customFormat="false" ht="15" hidden="false" customHeight="false" outlineLevel="0" collapsed="false">
      <c r="A1207" s="12" t="n">
        <f aca="false">Data!A1207</f>
        <v>43756</v>
      </c>
      <c r="B1207" s="14" t="n">
        <f aca="false">Data!B1207</f>
        <v>53.78</v>
      </c>
      <c r="C1207" s="0" t="str">
        <f aca="false">IF(Data!D1207="","HOLD",IF(AND(G1206&lt;&gt;"IN",Data!E1207&lt;-5),"BUY",IF(AND(G1206="IN",Data!E1207&gt;0),"SELL","HOLD")))</f>
        <v>HOLD</v>
      </c>
      <c r="D1207" s="14" t="n">
        <f aca="false">IF(C1207="BUY",B1207,IF(G1206="IN",D1206,""))</f>
        <v>54.07</v>
      </c>
      <c r="E1207" s="14" t="str">
        <f aca="false">IF(C1207="SELL",B1207,"")</f>
        <v/>
      </c>
      <c r="F1207" s="14" t="str">
        <f aca="false">IF(E1207="","",(E1207-D1207)/D1207*100)</f>
        <v/>
      </c>
      <c r="G1207" s="0" t="str">
        <f aca="false">IF(C1207="BUY","IN",IF(C1207="SELL","OUT",IF(G1206="IN","IN","OUT")))</f>
        <v>IN</v>
      </c>
      <c r="H1207" s="14" t="n">
        <f aca="false">H1206+IF(F1207="",0,F1207)</f>
        <v>18.2712612858204</v>
      </c>
      <c r="I1207" s="14" t="n">
        <f aca="false">MAX(I1206,H1207)</f>
        <v>43.9309628600509</v>
      </c>
      <c r="J1207" s="14" t="n">
        <f aca="false">I1207-H1207</f>
        <v>25.6597015742304</v>
      </c>
    </row>
    <row r="1208" customFormat="false" ht="15" hidden="false" customHeight="false" outlineLevel="0" collapsed="false">
      <c r="A1208" s="12" t="n">
        <f aca="false">Data!A1208</f>
        <v>43759</v>
      </c>
      <c r="B1208" s="14" t="n">
        <f aca="false">Data!B1208</f>
        <v>53.31</v>
      </c>
      <c r="C1208" s="0" t="str">
        <f aca="false">IF(Data!D1208="","HOLD",IF(AND(G1207&lt;&gt;"IN",Data!E1208&lt;-5),"BUY",IF(AND(G1207="IN",Data!E1208&gt;0),"SELL","HOLD")))</f>
        <v>HOLD</v>
      </c>
      <c r="D1208" s="14" t="n">
        <f aca="false">IF(C1208="BUY",B1208,IF(G1207="IN",D1207,""))</f>
        <v>54.07</v>
      </c>
      <c r="E1208" s="14" t="str">
        <f aca="false">IF(C1208="SELL",B1208,"")</f>
        <v/>
      </c>
      <c r="F1208" s="14" t="str">
        <f aca="false">IF(E1208="","",(E1208-D1208)/D1208*100)</f>
        <v/>
      </c>
      <c r="G1208" s="0" t="str">
        <f aca="false">IF(C1208="BUY","IN",IF(C1208="SELL","OUT",IF(G1207="IN","IN","OUT")))</f>
        <v>IN</v>
      </c>
      <c r="H1208" s="14" t="n">
        <f aca="false">H1207+IF(F1208="",0,F1208)</f>
        <v>18.2712612858204</v>
      </c>
      <c r="I1208" s="14" t="n">
        <f aca="false">MAX(I1207,H1208)</f>
        <v>43.9309628600509</v>
      </c>
      <c r="J1208" s="14" t="n">
        <f aca="false">I1208-H1208</f>
        <v>25.6597015742304</v>
      </c>
    </row>
    <row r="1209" customFormat="false" ht="15" hidden="false" customHeight="false" outlineLevel="0" collapsed="false">
      <c r="A1209" s="12" t="n">
        <f aca="false">Data!A1209</f>
        <v>43760</v>
      </c>
      <c r="B1209" s="14" t="n">
        <f aca="false">Data!B1209</f>
        <v>54.16</v>
      </c>
      <c r="C1209" s="0" t="str">
        <f aca="false">IF(Data!D1209="","HOLD",IF(AND(G1208&lt;&gt;"IN",Data!E1209&lt;-5),"BUY",IF(AND(G1208="IN",Data!E1209&gt;0),"SELL","HOLD")))</f>
        <v>SELL</v>
      </c>
      <c r="D1209" s="14" t="n">
        <f aca="false">IF(C1209="BUY",B1209,IF(G1208="IN",D1208,""))</f>
        <v>54.07</v>
      </c>
      <c r="E1209" s="14" t="n">
        <f aca="false">IF(C1209="SELL",B1209,"")</f>
        <v>54.16</v>
      </c>
      <c r="F1209" s="14" t="n">
        <f aca="false">IF(E1209="","",(E1209-D1209)/D1209*100)</f>
        <v>0.166450896985382</v>
      </c>
      <c r="G1209" s="0" t="str">
        <f aca="false">IF(C1209="BUY","IN",IF(C1209="SELL","OUT",IF(G1208="IN","IN","OUT")))</f>
        <v>OUT</v>
      </c>
      <c r="H1209" s="14" t="n">
        <f aca="false">H1208+IF(F1209="",0,F1209)</f>
        <v>18.4377121828058</v>
      </c>
      <c r="I1209" s="14" t="n">
        <f aca="false">MAX(I1208,H1209)</f>
        <v>43.9309628600509</v>
      </c>
      <c r="J1209" s="14" t="n">
        <f aca="false">I1209-H1209</f>
        <v>25.4932506772451</v>
      </c>
    </row>
    <row r="1210" customFormat="false" ht="15" hidden="false" customHeight="false" outlineLevel="0" collapsed="false">
      <c r="A1210" s="12" t="n">
        <f aca="false">Data!A1210</f>
        <v>43761</v>
      </c>
      <c r="B1210" s="14" t="n">
        <f aca="false">Data!B1210</f>
        <v>55.97</v>
      </c>
      <c r="C1210" s="0" t="str">
        <f aca="false">IF(Data!D1210="","HOLD",IF(AND(G1209&lt;&gt;"IN",Data!E1210&lt;-5),"BUY",IF(AND(G1209="IN",Data!E1210&gt;0),"SELL","HOLD")))</f>
        <v>HOLD</v>
      </c>
      <c r="D1210" s="14" t="str">
        <f aca="false">IF(C1210="BUY",B1210,IF(G1209="IN",D1209,""))</f>
        <v/>
      </c>
      <c r="E1210" s="14" t="str">
        <f aca="false">IF(C1210="SELL",B1210,"")</f>
        <v/>
      </c>
      <c r="F1210" s="14" t="str">
        <f aca="false">IF(E1210="","",(E1210-D1210)/D1210*100)</f>
        <v/>
      </c>
      <c r="G1210" s="0" t="str">
        <f aca="false">IF(C1210="BUY","IN",IF(C1210="SELL","OUT",IF(G1209="IN","IN","OUT")))</f>
        <v>OUT</v>
      </c>
      <c r="H1210" s="14" t="n">
        <f aca="false">H1209+IF(F1210="",0,F1210)</f>
        <v>18.4377121828058</v>
      </c>
      <c r="I1210" s="14" t="n">
        <f aca="false">MAX(I1209,H1210)</f>
        <v>43.9309628600509</v>
      </c>
      <c r="J1210" s="14" t="n">
        <f aca="false">I1210-H1210</f>
        <v>25.4932506772451</v>
      </c>
    </row>
    <row r="1211" customFormat="false" ht="15" hidden="false" customHeight="false" outlineLevel="0" collapsed="false">
      <c r="A1211" s="12" t="n">
        <f aca="false">Data!A1211</f>
        <v>43762</v>
      </c>
      <c r="B1211" s="14" t="n">
        <f aca="false">Data!B1211</f>
        <v>56.23</v>
      </c>
      <c r="C1211" s="0" t="str">
        <f aca="false">IF(Data!D1211="","HOLD",IF(AND(G1210&lt;&gt;"IN",Data!E1211&lt;-5),"BUY",IF(AND(G1210="IN",Data!E1211&gt;0),"SELL","HOLD")))</f>
        <v>HOLD</v>
      </c>
      <c r="D1211" s="14" t="str">
        <f aca="false">IF(C1211="BUY",B1211,IF(G1210="IN",D1210,""))</f>
        <v/>
      </c>
      <c r="E1211" s="14" t="str">
        <f aca="false">IF(C1211="SELL",B1211,"")</f>
        <v/>
      </c>
      <c r="F1211" s="14" t="str">
        <f aca="false">IF(E1211="","",(E1211-D1211)/D1211*100)</f>
        <v/>
      </c>
      <c r="G1211" s="0" t="str">
        <f aca="false">IF(C1211="BUY","IN",IF(C1211="SELL","OUT",IF(G1210="IN","IN","OUT")))</f>
        <v>OUT</v>
      </c>
      <c r="H1211" s="14" t="n">
        <f aca="false">H1210+IF(F1211="",0,F1211)</f>
        <v>18.4377121828058</v>
      </c>
      <c r="I1211" s="14" t="n">
        <f aca="false">MAX(I1210,H1211)</f>
        <v>43.9309628600509</v>
      </c>
      <c r="J1211" s="14" t="n">
        <f aca="false">I1211-H1211</f>
        <v>25.4932506772451</v>
      </c>
    </row>
    <row r="1212" customFormat="false" ht="15" hidden="false" customHeight="false" outlineLevel="0" collapsed="false">
      <c r="A1212" s="12" t="n">
        <f aca="false">Data!A1212</f>
        <v>43763</v>
      </c>
      <c r="B1212" s="14" t="n">
        <f aca="false">Data!B1212</f>
        <v>56.66</v>
      </c>
      <c r="C1212" s="0" t="str">
        <f aca="false">IF(Data!D1212="","HOLD",IF(AND(G1211&lt;&gt;"IN",Data!E1212&lt;-5),"BUY",IF(AND(G1211="IN",Data!E1212&gt;0),"SELL","HOLD")))</f>
        <v>HOLD</v>
      </c>
      <c r="D1212" s="14" t="str">
        <f aca="false">IF(C1212="BUY",B1212,IF(G1211="IN",D1211,""))</f>
        <v/>
      </c>
      <c r="E1212" s="14" t="str">
        <f aca="false">IF(C1212="SELL",B1212,"")</f>
        <v/>
      </c>
      <c r="F1212" s="14" t="str">
        <f aca="false">IF(E1212="","",(E1212-D1212)/D1212*100)</f>
        <v/>
      </c>
      <c r="G1212" s="0" t="str">
        <f aca="false">IF(C1212="BUY","IN",IF(C1212="SELL","OUT",IF(G1211="IN","IN","OUT")))</f>
        <v>OUT</v>
      </c>
      <c r="H1212" s="14" t="n">
        <f aca="false">H1211+IF(F1212="",0,F1212)</f>
        <v>18.4377121828058</v>
      </c>
      <c r="I1212" s="14" t="n">
        <f aca="false">MAX(I1211,H1212)</f>
        <v>43.9309628600509</v>
      </c>
      <c r="J1212" s="14" t="n">
        <f aca="false">I1212-H1212</f>
        <v>25.4932506772451</v>
      </c>
    </row>
    <row r="1213" customFormat="false" ht="15" hidden="false" customHeight="false" outlineLevel="0" collapsed="false">
      <c r="A1213" s="12" t="n">
        <f aca="false">Data!A1213</f>
        <v>43766</v>
      </c>
      <c r="B1213" s="14" t="n">
        <f aca="false">Data!B1213</f>
        <v>55.81</v>
      </c>
      <c r="C1213" s="0" t="str">
        <f aca="false">IF(Data!D1213="","HOLD",IF(AND(G1212&lt;&gt;"IN",Data!E1213&lt;-5),"BUY",IF(AND(G1212="IN",Data!E1213&gt;0),"SELL","HOLD")))</f>
        <v>HOLD</v>
      </c>
      <c r="D1213" s="14" t="str">
        <f aca="false">IF(C1213="BUY",B1213,IF(G1212="IN",D1212,""))</f>
        <v/>
      </c>
      <c r="E1213" s="14" t="str">
        <f aca="false">IF(C1213="SELL",B1213,"")</f>
        <v/>
      </c>
      <c r="F1213" s="14" t="str">
        <f aca="false">IF(E1213="","",(E1213-D1213)/D1213*100)</f>
        <v/>
      </c>
      <c r="G1213" s="0" t="str">
        <f aca="false">IF(C1213="BUY","IN",IF(C1213="SELL","OUT",IF(G1212="IN","IN","OUT")))</f>
        <v>OUT</v>
      </c>
      <c r="H1213" s="14" t="n">
        <f aca="false">H1212+IF(F1213="",0,F1213)</f>
        <v>18.4377121828058</v>
      </c>
      <c r="I1213" s="14" t="n">
        <f aca="false">MAX(I1212,H1213)</f>
        <v>43.9309628600509</v>
      </c>
      <c r="J1213" s="14" t="n">
        <f aca="false">I1213-H1213</f>
        <v>25.4932506772451</v>
      </c>
    </row>
    <row r="1214" customFormat="false" ht="15" hidden="false" customHeight="false" outlineLevel="0" collapsed="false">
      <c r="A1214" s="12" t="n">
        <f aca="false">Data!A1214</f>
        <v>43767</v>
      </c>
      <c r="B1214" s="14" t="n">
        <f aca="false">Data!B1214</f>
        <v>55.54</v>
      </c>
      <c r="C1214" s="0" t="str">
        <f aca="false">IF(Data!D1214="","HOLD",IF(AND(G1213&lt;&gt;"IN",Data!E1214&lt;-5),"BUY",IF(AND(G1213="IN",Data!E1214&gt;0),"SELL","HOLD")))</f>
        <v>HOLD</v>
      </c>
      <c r="D1214" s="14" t="str">
        <f aca="false">IF(C1214="BUY",B1214,IF(G1213="IN",D1213,""))</f>
        <v/>
      </c>
      <c r="E1214" s="14" t="str">
        <f aca="false">IF(C1214="SELL",B1214,"")</f>
        <v/>
      </c>
      <c r="F1214" s="14" t="str">
        <f aca="false">IF(E1214="","",(E1214-D1214)/D1214*100)</f>
        <v/>
      </c>
      <c r="G1214" s="0" t="str">
        <f aca="false">IF(C1214="BUY","IN",IF(C1214="SELL","OUT",IF(G1213="IN","IN","OUT")))</f>
        <v>OUT</v>
      </c>
      <c r="H1214" s="14" t="n">
        <f aca="false">H1213+IF(F1214="",0,F1214)</f>
        <v>18.4377121828058</v>
      </c>
      <c r="I1214" s="14" t="n">
        <f aca="false">MAX(I1213,H1214)</f>
        <v>43.9309628600509</v>
      </c>
      <c r="J1214" s="14" t="n">
        <f aca="false">I1214-H1214</f>
        <v>25.4932506772451</v>
      </c>
    </row>
    <row r="1215" customFormat="false" ht="15" hidden="false" customHeight="false" outlineLevel="0" collapsed="false">
      <c r="A1215" s="12" t="n">
        <f aca="false">Data!A1215</f>
        <v>43768</v>
      </c>
      <c r="B1215" s="14" t="n">
        <f aca="false">Data!B1215</f>
        <v>55.06</v>
      </c>
      <c r="C1215" s="0" t="str">
        <f aca="false">IF(Data!D1215="","HOLD",IF(AND(G1214&lt;&gt;"IN",Data!E1215&lt;-5),"BUY",IF(AND(G1214="IN",Data!E1215&gt;0),"SELL","HOLD")))</f>
        <v>HOLD</v>
      </c>
      <c r="D1215" s="14" t="str">
        <f aca="false">IF(C1215="BUY",B1215,IF(G1214="IN",D1214,""))</f>
        <v/>
      </c>
      <c r="E1215" s="14" t="str">
        <f aca="false">IF(C1215="SELL",B1215,"")</f>
        <v/>
      </c>
      <c r="F1215" s="14" t="str">
        <f aca="false">IF(E1215="","",(E1215-D1215)/D1215*100)</f>
        <v/>
      </c>
      <c r="G1215" s="0" t="str">
        <f aca="false">IF(C1215="BUY","IN",IF(C1215="SELL","OUT",IF(G1214="IN","IN","OUT")))</f>
        <v>OUT</v>
      </c>
      <c r="H1215" s="14" t="n">
        <f aca="false">H1214+IF(F1215="",0,F1215)</f>
        <v>18.4377121828058</v>
      </c>
      <c r="I1215" s="14" t="n">
        <f aca="false">MAX(I1214,H1215)</f>
        <v>43.9309628600509</v>
      </c>
      <c r="J1215" s="14" t="n">
        <f aca="false">I1215-H1215</f>
        <v>25.4932506772451</v>
      </c>
    </row>
    <row r="1216" customFormat="false" ht="15" hidden="false" customHeight="false" outlineLevel="0" collapsed="false">
      <c r="A1216" s="12" t="n">
        <f aca="false">Data!A1216</f>
        <v>43769</v>
      </c>
      <c r="B1216" s="14" t="n">
        <f aca="false">Data!B1216</f>
        <v>54.18</v>
      </c>
      <c r="C1216" s="0" t="str">
        <f aca="false">IF(Data!D1216="","HOLD",IF(AND(G1215&lt;&gt;"IN",Data!E1216&lt;-5),"BUY",IF(AND(G1215="IN",Data!E1216&gt;0),"SELL","HOLD")))</f>
        <v>HOLD</v>
      </c>
      <c r="D1216" s="14" t="str">
        <f aca="false">IF(C1216="BUY",B1216,IF(G1215="IN",D1215,""))</f>
        <v/>
      </c>
      <c r="E1216" s="14" t="str">
        <f aca="false">IF(C1216="SELL",B1216,"")</f>
        <v/>
      </c>
      <c r="F1216" s="14" t="str">
        <f aca="false">IF(E1216="","",(E1216-D1216)/D1216*100)</f>
        <v/>
      </c>
      <c r="G1216" s="0" t="str">
        <f aca="false">IF(C1216="BUY","IN",IF(C1216="SELL","OUT",IF(G1215="IN","IN","OUT")))</f>
        <v>OUT</v>
      </c>
      <c r="H1216" s="14" t="n">
        <f aca="false">H1215+IF(F1216="",0,F1216)</f>
        <v>18.4377121828058</v>
      </c>
      <c r="I1216" s="14" t="n">
        <f aca="false">MAX(I1215,H1216)</f>
        <v>43.9309628600509</v>
      </c>
      <c r="J1216" s="14" t="n">
        <f aca="false">I1216-H1216</f>
        <v>25.4932506772451</v>
      </c>
    </row>
    <row r="1217" customFormat="false" ht="15" hidden="false" customHeight="false" outlineLevel="0" collapsed="false">
      <c r="A1217" s="12" t="n">
        <f aca="false">Data!A1217</f>
        <v>43770</v>
      </c>
      <c r="B1217" s="14" t="n">
        <f aca="false">Data!B1217</f>
        <v>56.2</v>
      </c>
      <c r="C1217" s="0" t="str">
        <f aca="false">IF(Data!D1217="","HOLD",IF(AND(G1216&lt;&gt;"IN",Data!E1217&lt;-5),"BUY",IF(AND(G1216="IN",Data!E1217&gt;0),"SELL","HOLD")))</f>
        <v>HOLD</v>
      </c>
      <c r="D1217" s="14" t="str">
        <f aca="false">IF(C1217="BUY",B1217,IF(G1216="IN",D1216,""))</f>
        <v/>
      </c>
      <c r="E1217" s="14" t="str">
        <f aca="false">IF(C1217="SELL",B1217,"")</f>
        <v/>
      </c>
      <c r="F1217" s="14" t="str">
        <f aca="false">IF(E1217="","",(E1217-D1217)/D1217*100)</f>
        <v/>
      </c>
      <c r="G1217" s="0" t="str">
        <f aca="false">IF(C1217="BUY","IN",IF(C1217="SELL","OUT",IF(G1216="IN","IN","OUT")))</f>
        <v>OUT</v>
      </c>
      <c r="H1217" s="14" t="n">
        <f aca="false">H1216+IF(F1217="",0,F1217)</f>
        <v>18.4377121828058</v>
      </c>
      <c r="I1217" s="14" t="n">
        <f aca="false">MAX(I1216,H1217)</f>
        <v>43.9309628600509</v>
      </c>
      <c r="J1217" s="14" t="n">
        <f aca="false">I1217-H1217</f>
        <v>25.4932506772451</v>
      </c>
    </row>
    <row r="1218" customFormat="false" ht="15" hidden="false" customHeight="false" outlineLevel="0" collapsed="false">
      <c r="A1218" s="12" t="n">
        <f aca="false">Data!A1218</f>
        <v>43773</v>
      </c>
      <c r="B1218" s="14" t="n">
        <f aca="false">Data!B1218</f>
        <v>56.54</v>
      </c>
      <c r="C1218" s="0" t="str">
        <f aca="false">IF(Data!D1218="","HOLD",IF(AND(G1217&lt;&gt;"IN",Data!E1218&lt;-5),"BUY",IF(AND(G1217="IN",Data!E1218&gt;0),"SELL","HOLD")))</f>
        <v>HOLD</v>
      </c>
      <c r="D1218" s="14" t="str">
        <f aca="false">IF(C1218="BUY",B1218,IF(G1217="IN",D1217,""))</f>
        <v/>
      </c>
      <c r="E1218" s="14" t="str">
        <f aca="false">IF(C1218="SELL",B1218,"")</f>
        <v/>
      </c>
      <c r="F1218" s="14" t="str">
        <f aca="false">IF(E1218="","",(E1218-D1218)/D1218*100)</f>
        <v/>
      </c>
      <c r="G1218" s="0" t="str">
        <f aca="false">IF(C1218="BUY","IN",IF(C1218="SELL","OUT",IF(G1217="IN","IN","OUT")))</f>
        <v>OUT</v>
      </c>
      <c r="H1218" s="14" t="n">
        <f aca="false">H1217+IF(F1218="",0,F1218)</f>
        <v>18.4377121828058</v>
      </c>
      <c r="I1218" s="14" t="n">
        <f aca="false">MAX(I1217,H1218)</f>
        <v>43.9309628600509</v>
      </c>
      <c r="J1218" s="14" t="n">
        <f aca="false">I1218-H1218</f>
        <v>25.4932506772451</v>
      </c>
    </row>
    <row r="1219" customFormat="false" ht="15" hidden="false" customHeight="false" outlineLevel="0" collapsed="false">
      <c r="A1219" s="12" t="n">
        <f aca="false">Data!A1219</f>
        <v>43774</v>
      </c>
      <c r="B1219" s="14" t="n">
        <f aca="false">Data!B1219</f>
        <v>57.23</v>
      </c>
      <c r="C1219" s="0" t="str">
        <f aca="false">IF(Data!D1219="","HOLD",IF(AND(G1218&lt;&gt;"IN",Data!E1219&lt;-5),"BUY",IF(AND(G1218="IN",Data!E1219&gt;0),"SELL","HOLD")))</f>
        <v>HOLD</v>
      </c>
      <c r="D1219" s="14" t="str">
        <f aca="false">IF(C1219="BUY",B1219,IF(G1218="IN",D1218,""))</f>
        <v/>
      </c>
      <c r="E1219" s="14" t="str">
        <f aca="false">IF(C1219="SELL",B1219,"")</f>
        <v/>
      </c>
      <c r="F1219" s="14" t="str">
        <f aca="false">IF(E1219="","",(E1219-D1219)/D1219*100)</f>
        <v/>
      </c>
      <c r="G1219" s="0" t="str">
        <f aca="false">IF(C1219="BUY","IN",IF(C1219="SELL","OUT",IF(G1218="IN","IN","OUT")))</f>
        <v>OUT</v>
      </c>
      <c r="H1219" s="14" t="n">
        <f aca="false">H1218+IF(F1219="",0,F1219)</f>
        <v>18.4377121828058</v>
      </c>
      <c r="I1219" s="14" t="n">
        <f aca="false">MAX(I1218,H1219)</f>
        <v>43.9309628600509</v>
      </c>
      <c r="J1219" s="14" t="n">
        <f aca="false">I1219-H1219</f>
        <v>25.4932506772451</v>
      </c>
    </row>
    <row r="1220" customFormat="false" ht="15" hidden="false" customHeight="false" outlineLevel="0" collapsed="false">
      <c r="A1220" s="12" t="n">
        <f aca="false">Data!A1220</f>
        <v>43775</v>
      </c>
      <c r="B1220" s="14" t="n">
        <f aca="false">Data!B1220</f>
        <v>56.35</v>
      </c>
      <c r="C1220" s="0" t="str">
        <f aca="false">IF(Data!D1220="","HOLD",IF(AND(G1219&lt;&gt;"IN",Data!E1220&lt;-5),"BUY",IF(AND(G1219="IN",Data!E1220&gt;0),"SELL","HOLD")))</f>
        <v>HOLD</v>
      </c>
      <c r="D1220" s="14" t="str">
        <f aca="false">IF(C1220="BUY",B1220,IF(G1219="IN",D1219,""))</f>
        <v/>
      </c>
      <c r="E1220" s="14" t="str">
        <f aca="false">IF(C1220="SELL",B1220,"")</f>
        <v/>
      </c>
      <c r="F1220" s="14" t="str">
        <f aca="false">IF(E1220="","",(E1220-D1220)/D1220*100)</f>
        <v/>
      </c>
      <c r="G1220" s="0" t="str">
        <f aca="false">IF(C1220="BUY","IN",IF(C1220="SELL","OUT",IF(G1219="IN","IN","OUT")))</f>
        <v>OUT</v>
      </c>
      <c r="H1220" s="14" t="n">
        <f aca="false">H1219+IF(F1220="",0,F1220)</f>
        <v>18.4377121828058</v>
      </c>
      <c r="I1220" s="14" t="n">
        <f aca="false">MAX(I1219,H1220)</f>
        <v>43.9309628600509</v>
      </c>
      <c r="J1220" s="14" t="n">
        <f aca="false">I1220-H1220</f>
        <v>25.4932506772451</v>
      </c>
    </row>
    <row r="1221" customFormat="false" ht="15" hidden="false" customHeight="false" outlineLevel="0" collapsed="false">
      <c r="A1221" s="12" t="n">
        <f aca="false">Data!A1221</f>
        <v>43776</v>
      </c>
      <c r="B1221" s="14" t="n">
        <f aca="false">Data!B1221</f>
        <v>57.15</v>
      </c>
      <c r="C1221" s="0" t="str">
        <f aca="false">IF(Data!D1221="","HOLD",IF(AND(G1220&lt;&gt;"IN",Data!E1221&lt;-5),"BUY",IF(AND(G1220="IN",Data!E1221&gt;0),"SELL","HOLD")))</f>
        <v>HOLD</v>
      </c>
      <c r="D1221" s="14" t="str">
        <f aca="false">IF(C1221="BUY",B1221,IF(G1220="IN",D1220,""))</f>
        <v/>
      </c>
      <c r="E1221" s="14" t="str">
        <f aca="false">IF(C1221="SELL",B1221,"")</f>
        <v/>
      </c>
      <c r="F1221" s="14" t="str">
        <f aca="false">IF(E1221="","",(E1221-D1221)/D1221*100)</f>
        <v/>
      </c>
      <c r="G1221" s="0" t="str">
        <f aca="false">IF(C1221="BUY","IN",IF(C1221="SELL","OUT",IF(G1220="IN","IN","OUT")))</f>
        <v>OUT</v>
      </c>
      <c r="H1221" s="14" t="n">
        <f aca="false">H1220+IF(F1221="",0,F1221)</f>
        <v>18.4377121828058</v>
      </c>
      <c r="I1221" s="14" t="n">
        <f aca="false">MAX(I1220,H1221)</f>
        <v>43.9309628600509</v>
      </c>
      <c r="J1221" s="14" t="n">
        <f aca="false">I1221-H1221</f>
        <v>25.4932506772451</v>
      </c>
    </row>
    <row r="1222" customFormat="false" ht="15" hidden="false" customHeight="false" outlineLevel="0" collapsed="false">
      <c r="A1222" s="12" t="n">
        <f aca="false">Data!A1222</f>
        <v>43777</v>
      </c>
      <c r="B1222" s="14" t="n">
        <f aca="false">Data!B1222</f>
        <v>57.24</v>
      </c>
      <c r="C1222" s="0" t="str">
        <f aca="false">IF(Data!D1222="","HOLD",IF(AND(G1221&lt;&gt;"IN",Data!E1222&lt;-5),"BUY",IF(AND(G1221="IN",Data!E1222&gt;0),"SELL","HOLD")))</f>
        <v>HOLD</v>
      </c>
      <c r="D1222" s="14" t="str">
        <f aca="false">IF(C1222="BUY",B1222,IF(G1221="IN",D1221,""))</f>
        <v/>
      </c>
      <c r="E1222" s="14" t="str">
        <f aca="false">IF(C1222="SELL",B1222,"")</f>
        <v/>
      </c>
      <c r="F1222" s="14" t="str">
        <f aca="false">IF(E1222="","",(E1222-D1222)/D1222*100)</f>
        <v/>
      </c>
      <c r="G1222" s="0" t="str">
        <f aca="false">IF(C1222="BUY","IN",IF(C1222="SELL","OUT",IF(G1221="IN","IN","OUT")))</f>
        <v>OUT</v>
      </c>
      <c r="H1222" s="14" t="n">
        <f aca="false">H1221+IF(F1222="",0,F1222)</f>
        <v>18.4377121828058</v>
      </c>
      <c r="I1222" s="14" t="n">
        <f aca="false">MAX(I1221,H1222)</f>
        <v>43.9309628600509</v>
      </c>
      <c r="J1222" s="14" t="n">
        <f aca="false">I1222-H1222</f>
        <v>25.4932506772451</v>
      </c>
    </row>
    <row r="1223" customFormat="false" ht="15" hidden="false" customHeight="false" outlineLevel="0" collapsed="false">
      <c r="A1223" s="12" t="n">
        <f aca="false">Data!A1223</f>
        <v>43780</v>
      </c>
      <c r="B1223" s="14" t="n">
        <f aca="false">Data!B1223</f>
        <v>56.86</v>
      </c>
      <c r="C1223" s="0" t="str">
        <f aca="false">IF(Data!D1223="","HOLD",IF(AND(G1222&lt;&gt;"IN",Data!E1223&lt;-5),"BUY",IF(AND(G1222="IN",Data!E1223&gt;0),"SELL","HOLD")))</f>
        <v>HOLD</v>
      </c>
      <c r="D1223" s="14" t="str">
        <f aca="false">IF(C1223="BUY",B1223,IF(G1222="IN",D1222,""))</f>
        <v/>
      </c>
      <c r="E1223" s="14" t="str">
        <f aca="false">IF(C1223="SELL",B1223,"")</f>
        <v/>
      </c>
      <c r="F1223" s="14" t="str">
        <f aca="false">IF(E1223="","",(E1223-D1223)/D1223*100)</f>
        <v/>
      </c>
      <c r="G1223" s="0" t="str">
        <f aca="false">IF(C1223="BUY","IN",IF(C1223="SELL","OUT",IF(G1222="IN","IN","OUT")))</f>
        <v>OUT</v>
      </c>
      <c r="H1223" s="14" t="n">
        <f aca="false">H1222+IF(F1223="",0,F1223)</f>
        <v>18.4377121828058</v>
      </c>
      <c r="I1223" s="14" t="n">
        <f aca="false">MAX(I1222,H1223)</f>
        <v>43.9309628600509</v>
      </c>
      <c r="J1223" s="14" t="n">
        <f aca="false">I1223-H1223</f>
        <v>25.4932506772451</v>
      </c>
    </row>
    <row r="1224" customFormat="false" ht="15" hidden="false" customHeight="false" outlineLevel="0" collapsed="false">
      <c r="A1224" s="12" t="n">
        <f aca="false">Data!A1224</f>
        <v>43781</v>
      </c>
      <c r="B1224" s="14" t="n">
        <f aca="false">Data!B1224</f>
        <v>56.8</v>
      </c>
      <c r="C1224" s="0" t="str">
        <f aca="false">IF(Data!D1224="","HOLD",IF(AND(G1223&lt;&gt;"IN",Data!E1224&lt;-5),"BUY",IF(AND(G1223="IN",Data!E1224&gt;0),"SELL","HOLD")))</f>
        <v>HOLD</v>
      </c>
      <c r="D1224" s="14" t="str">
        <f aca="false">IF(C1224="BUY",B1224,IF(G1223="IN",D1223,""))</f>
        <v/>
      </c>
      <c r="E1224" s="14" t="str">
        <f aca="false">IF(C1224="SELL",B1224,"")</f>
        <v/>
      </c>
      <c r="F1224" s="14" t="str">
        <f aca="false">IF(E1224="","",(E1224-D1224)/D1224*100)</f>
        <v/>
      </c>
      <c r="G1224" s="0" t="str">
        <f aca="false">IF(C1224="BUY","IN",IF(C1224="SELL","OUT",IF(G1223="IN","IN","OUT")))</f>
        <v>OUT</v>
      </c>
      <c r="H1224" s="14" t="n">
        <f aca="false">H1223+IF(F1224="",0,F1224)</f>
        <v>18.4377121828058</v>
      </c>
      <c r="I1224" s="14" t="n">
        <f aca="false">MAX(I1223,H1224)</f>
        <v>43.9309628600509</v>
      </c>
      <c r="J1224" s="14" t="n">
        <f aca="false">I1224-H1224</f>
        <v>25.4932506772451</v>
      </c>
    </row>
    <row r="1225" customFormat="false" ht="15" hidden="false" customHeight="false" outlineLevel="0" collapsed="false">
      <c r="A1225" s="12" t="n">
        <f aca="false">Data!A1225</f>
        <v>43782</v>
      </c>
      <c r="B1225" s="14" t="n">
        <f aca="false">Data!B1225</f>
        <v>57.12</v>
      </c>
      <c r="C1225" s="0" t="str">
        <f aca="false">IF(Data!D1225="","HOLD",IF(AND(G1224&lt;&gt;"IN",Data!E1225&lt;-5),"BUY",IF(AND(G1224="IN",Data!E1225&gt;0),"SELL","HOLD")))</f>
        <v>HOLD</v>
      </c>
      <c r="D1225" s="14" t="str">
        <f aca="false">IF(C1225="BUY",B1225,IF(G1224="IN",D1224,""))</f>
        <v/>
      </c>
      <c r="E1225" s="14" t="str">
        <f aca="false">IF(C1225="SELL",B1225,"")</f>
        <v/>
      </c>
      <c r="F1225" s="14" t="str">
        <f aca="false">IF(E1225="","",(E1225-D1225)/D1225*100)</f>
        <v/>
      </c>
      <c r="G1225" s="0" t="str">
        <f aca="false">IF(C1225="BUY","IN",IF(C1225="SELL","OUT",IF(G1224="IN","IN","OUT")))</f>
        <v>OUT</v>
      </c>
      <c r="H1225" s="14" t="n">
        <f aca="false">H1224+IF(F1225="",0,F1225)</f>
        <v>18.4377121828058</v>
      </c>
      <c r="I1225" s="14" t="n">
        <f aca="false">MAX(I1224,H1225)</f>
        <v>43.9309628600509</v>
      </c>
      <c r="J1225" s="14" t="n">
        <f aca="false">I1225-H1225</f>
        <v>25.4932506772451</v>
      </c>
    </row>
    <row r="1226" customFormat="false" ht="15" hidden="false" customHeight="false" outlineLevel="0" collapsed="false">
      <c r="A1226" s="12" t="n">
        <f aca="false">Data!A1226</f>
        <v>43783</v>
      </c>
      <c r="B1226" s="14" t="n">
        <f aca="false">Data!B1226</f>
        <v>56.77</v>
      </c>
      <c r="C1226" s="0" t="str">
        <f aca="false">IF(Data!D1226="","HOLD",IF(AND(G1225&lt;&gt;"IN",Data!E1226&lt;-5),"BUY",IF(AND(G1225="IN",Data!E1226&gt;0),"SELL","HOLD")))</f>
        <v>HOLD</v>
      </c>
      <c r="D1226" s="14" t="str">
        <f aca="false">IF(C1226="BUY",B1226,IF(G1225="IN",D1225,""))</f>
        <v/>
      </c>
      <c r="E1226" s="14" t="str">
        <f aca="false">IF(C1226="SELL",B1226,"")</f>
        <v/>
      </c>
      <c r="F1226" s="14" t="str">
        <f aca="false">IF(E1226="","",(E1226-D1226)/D1226*100)</f>
        <v/>
      </c>
      <c r="G1226" s="0" t="str">
        <f aca="false">IF(C1226="BUY","IN",IF(C1226="SELL","OUT",IF(G1225="IN","IN","OUT")))</f>
        <v>OUT</v>
      </c>
      <c r="H1226" s="14" t="n">
        <f aca="false">H1225+IF(F1226="",0,F1226)</f>
        <v>18.4377121828058</v>
      </c>
      <c r="I1226" s="14" t="n">
        <f aca="false">MAX(I1225,H1226)</f>
        <v>43.9309628600509</v>
      </c>
      <c r="J1226" s="14" t="n">
        <f aca="false">I1226-H1226</f>
        <v>25.4932506772451</v>
      </c>
    </row>
    <row r="1227" customFormat="false" ht="15" hidden="false" customHeight="false" outlineLevel="0" collapsed="false">
      <c r="A1227" s="12" t="n">
        <f aca="false">Data!A1227</f>
        <v>43784</v>
      </c>
      <c r="B1227" s="14" t="n">
        <f aca="false">Data!B1227</f>
        <v>57.72</v>
      </c>
      <c r="C1227" s="0" t="str">
        <f aca="false">IF(Data!D1227="","HOLD",IF(AND(G1226&lt;&gt;"IN",Data!E1227&lt;-5),"BUY",IF(AND(G1226="IN",Data!E1227&gt;0),"SELL","HOLD")))</f>
        <v>HOLD</v>
      </c>
      <c r="D1227" s="14" t="str">
        <f aca="false">IF(C1227="BUY",B1227,IF(G1226="IN",D1226,""))</f>
        <v/>
      </c>
      <c r="E1227" s="14" t="str">
        <f aca="false">IF(C1227="SELL",B1227,"")</f>
        <v/>
      </c>
      <c r="F1227" s="14" t="str">
        <f aca="false">IF(E1227="","",(E1227-D1227)/D1227*100)</f>
        <v/>
      </c>
      <c r="G1227" s="0" t="str">
        <f aca="false">IF(C1227="BUY","IN",IF(C1227="SELL","OUT",IF(G1226="IN","IN","OUT")))</f>
        <v>OUT</v>
      </c>
      <c r="H1227" s="14" t="n">
        <f aca="false">H1226+IF(F1227="",0,F1227)</f>
        <v>18.4377121828058</v>
      </c>
      <c r="I1227" s="14" t="n">
        <f aca="false">MAX(I1226,H1227)</f>
        <v>43.9309628600509</v>
      </c>
      <c r="J1227" s="14" t="n">
        <f aca="false">I1227-H1227</f>
        <v>25.4932506772451</v>
      </c>
    </row>
    <row r="1228" customFormat="false" ht="15" hidden="false" customHeight="false" outlineLevel="0" collapsed="false">
      <c r="A1228" s="12" t="n">
        <f aca="false">Data!A1228</f>
        <v>43787</v>
      </c>
      <c r="B1228" s="14" t="n">
        <f aca="false">Data!B1228</f>
        <v>57.05</v>
      </c>
      <c r="C1228" s="0" t="str">
        <f aca="false">IF(Data!D1228="","HOLD",IF(AND(G1227&lt;&gt;"IN",Data!E1228&lt;-5),"BUY",IF(AND(G1227="IN",Data!E1228&gt;0),"SELL","HOLD")))</f>
        <v>HOLD</v>
      </c>
      <c r="D1228" s="14" t="str">
        <f aca="false">IF(C1228="BUY",B1228,IF(G1227="IN",D1227,""))</f>
        <v/>
      </c>
      <c r="E1228" s="14" t="str">
        <f aca="false">IF(C1228="SELL",B1228,"")</f>
        <v/>
      </c>
      <c r="F1228" s="14" t="str">
        <f aca="false">IF(E1228="","",(E1228-D1228)/D1228*100)</f>
        <v/>
      </c>
      <c r="G1228" s="0" t="str">
        <f aca="false">IF(C1228="BUY","IN",IF(C1228="SELL","OUT",IF(G1227="IN","IN","OUT")))</f>
        <v>OUT</v>
      </c>
      <c r="H1228" s="14" t="n">
        <f aca="false">H1227+IF(F1228="",0,F1228)</f>
        <v>18.4377121828058</v>
      </c>
      <c r="I1228" s="14" t="n">
        <f aca="false">MAX(I1227,H1228)</f>
        <v>43.9309628600509</v>
      </c>
      <c r="J1228" s="14" t="n">
        <f aca="false">I1228-H1228</f>
        <v>25.4932506772451</v>
      </c>
    </row>
    <row r="1229" customFormat="false" ht="15" hidden="false" customHeight="false" outlineLevel="0" collapsed="false">
      <c r="A1229" s="12" t="n">
        <f aca="false">Data!A1229</f>
        <v>43788</v>
      </c>
      <c r="B1229" s="14" t="n">
        <f aca="false">Data!B1229</f>
        <v>55.21</v>
      </c>
      <c r="C1229" s="0" t="str">
        <f aca="false">IF(Data!D1229="","HOLD",IF(AND(G1228&lt;&gt;"IN",Data!E1229&lt;-5),"BUY",IF(AND(G1228="IN",Data!E1229&gt;0),"SELL","HOLD")))</f>
        <v>HOLD</v>
      </c>
      <c r="D1229" s="14" t="str">
        <f aca="false">IF(C1229="BUY",B1229,IF(G1228="IN",D1228,""))</f>
        <v/>
      </c>
      <c r="E1229" s="14" t="str">
        <f aca="false">IF(C1229="SELL",B1229,"")</f>
        <v/>
      </c>
      <c r="F1229" s="14" t="str">
        <f aca="false">IF(E1229="","",(E1229-D1229)/D1229*100)</f>
        <v/>
      </c>
      <c r="G1229" s="0" t="str">
        <f aca="false">IF(C1229="BUY","IN",IF(C1229="SELL","OUT",IF(G1228="IN","IN","OUT")))</f>
        <v>OUT</v>
      </c>
      <c r="H1229" s="14" t="n">
        <f aca="false">H1228+IF(F1229="",0,F1229)</f>
        <v>18.4377121828058</v>
      </c>
      <c r="I1229" s="14" t="n">
        <f aca="false">MAX(I1228,H1229)</f>
        <v>43.9309628600509</v>
      </c>
      <c r="J1229" s="14" t="n">
        <f aca="false">I1229-H1229</f>
        <v>25.4932506772451</v>
      </c>
    </row>
    <row r="1230" customFormat="false" ht="15" hidden="false" customHeight="false" outlineLevel="0" collapsed="false">
      <c r="A1230" s="12" t="n">
        <f aca="false">Data!A1230</f>
        <v>43789</v>
      </c>
      <c r="B1230" s="14" t="n">
        <f aca="false">Data!B1230</f>
        <v>57.11</v>
      </c>
      <c r="C1230" s="0" t="str">
        <f aca="false">IF(Data!D1230="","HOLD",IF(AND(G1229&lt;&gt;"IN",Data!E1230&lt;-5),"BUY",IF(AND(G1229="IN",Data!E1230&gt;0),"SELL","HOLD")))</f>
        <v>HOLD</v>
      </c>
      <c r="D1230" s="14" t="str">
        <f aca="false">IF(C1230="BUY",B1230,IF(G1229="IN",D1229,""))</f>
        <v/>
      </c>
      <c r="E1230" s="14" t="str">
        <f aca="false">IF(C1230="SELL",B1230,"")</f>
        <v/>
      </c>
      <c r="F1230" s="14" t="str">
        <f aca="false">IF(E1230="","",(E1230-D1230)/D1230*100)</f>
        <v/>
      </c>
      <c r="G1230" s="0" t="str">
        <f aca="false">IF(C1230="BUY","IN",IF(C1230="SELL","OUT",IF(G1229="IN","IN","OUT")))</f>
        <v>OUT</v>
      </c>
      <c r="H1230" s="14" t="n">
        <f aca="false">H1229+IF(F1230="",0,F1230)</f>
        <v>18.4377121828058</v>
      </c>
      <c r="I1230" s="14" t="n">
        <f aca="false">MAX(I1229,H1230)</f>
        <v>43.9309628600509</v>
      </c>
      <c r="J1230" s="14" t="n">
        <f aca="false">I1230-H1230</f>
        <v>25.4932506772451</v>
      </c>
    </row>
    <row r="1231" customFormat="false" ht="15" hidden="false" customHeight="false" outlineLevel="0" collapsed="false">
      <c r="A1231" s="12" t="n">
        <f aca="false">Data!A1231</f>
        <v>43790</v>
      </c>
      <c r="B1231" s="14" t="n">
        <f aca="false">Data!B1231</f>
        <v>58.58</v>
      </c>
      <c r="C1231" s="0" t="str">
        <f aca="false">IF(Data!D1231="","HOLD",IF(AND(G1230&lt;&gt;"IN",Data!E1231&lt;-5),"BUY",IF(AND(G1230="IN",Data!E1231&gt;0),"SELL","HOLD")))</f>
        <v>HOLD</v>
      </c>
      <c r="D1231" s="14" t="str">
        <f aca="false">IF(C1231="BUY",B1231,IF(G1230="IN",D1230,""))</f>
        <v/>
      </c>
      <c r="E1231" s="14" t="str">
        <f aca="false">IF(C1231="SELL",B1231,"")</f>
        <v/>
      </c>
      <c r="F1231" s="14" t="str">
        <f aca="false">IF(E1231="","",(E1231-D1231)/D1231*100)</f>
        <v/>
      </c>
      <c r="G1231" s="0" t="str">
        <f aca="false">IF(C1231="BUY","IN",IF(C1231="SELL","OUT",IF(G1230="IN","IN","OUT")))</f>
        <v>OUT</v>
      </c>
      <c r="H1231" s="14" t="n">
        <f aca="false">H1230+IF(F1231="",0,F1231)</f>
        <v>18.4377121828058</v>
      </c>
      <c r="I1231" s="14" t="n">
        <f aca="false">MAX(I1230,H1231)</f>
        <v>43.9309628600509</v>
      </c>
      <c r="J1231" s="14" t="n">
        <f aca="false">I1231-H1231</f>
        <v>25.4932506772451</v>
      </c>
    </row>
    <row r="1232" customFormat="false" ht="15" hidden="false" customHeight="false" outlineLevel="0" collapsed="false">
      <c r="A1232" s="12" t="n">
        <f aca="false">Data!A1232</f>
        <v>43791</v>
      </c>
      <c r="B1232" s="14" t="n">
        <f aca="false">Data!B1232</f>
        <v>57.77</v>
      </c>
      <c r="C1232" s="0" t="str">
        <f aca="false">IF(Data!D1232="","HOLD",IF(AND(G1231&lt;&gt;"IN",Data!E1232&lt;-5),"BUY",IF(AND(G1231="IN",Data!E1232&gt;0),"SELL","HOLD")))</f>
        <v>HOLD</v>
      </c>
      <c r="D1232" s="14" t="str">
        <f aca="false">IF(C1232="BUY",B1232,IF(G1231="IN",D1231,""))</f>
        <v/>
      </c>
      <c r="E1232" s="14" t="str">
        <f aca="false">IF(C1232="SELL",B1232,"")</f>
        <v/>
      </c>
      <c r="F1232" s="14" t="str">
        <f aca="false">IF(E1232="","",(E1232-D1232)/D1232*100)</f>
        <v/>
      </c>
      <c r="G1232" s="0" t="str">
        <f aca="false">IF(C1232="BUY","IN",IF(C1232="SELL","OUT",IF(G1231="IN","IN","OUT")))</f>
        <v>OUT</v>
      </c>
      <c r="H1232" s="14" t="n">
        <f aca="false">H1231+IF(F1232="",0,F1232)</f>
        <v>18.4377121828058</v>
      </c>
      <c r="I1232" s="14" t="n">
        <f aca="false">MAX(I1231,H1232)</f>
        <v>43.9309628600509</v>
      </c>
      <c r="J1232" s="14" t="n">
        <f aca="false">I1232-H1232</f>
        <v>25.4932506772451</v>
      </c>
    </row>
    <row r="1233" customFormat="false" ht="15" hidden="false" customHeight="false" outlineLevel="0" collapsed="false">
      <c r="A1233" s="12" t="n">
        <f aca="false">Data!A1233</f>
        <v>43794</v>
      </c>
      <c r="B1233" s="14" t="n">
        <f aca="false">Data!B1233</f>
        <v>58.01</v>
      </c>
      <c r="C1233" s="0" t="str">
        <f aca="false">IF(Data!D1233="","HOLD",IF(AND(G1232&lt;&gt;"IN",Data!E1233&lt;-5),"BUY",IF(AND(G1232="IN",Data!E1233&gt;0),"SELL","HOLD")))</f>
        <v>HOLD</v>
      </c>
      <c r="D1233" s="14" t="str">
        <f aca="false">IF(C1233="BUY",B1233,IF(G1232="IN",D1232,""))</f>
        <v/>
      </c>
      <c r="E1233" s="14" t="str">
        <f aca="false">IF(C1233="SELL",B1233,"")</f>
        <v/>
      </c>
      <c r="F1233" s="14" t="str">
        <f aca="false">IF(E1233="","",(E1233-D1233)/D1233*100)</f>
        <v/>
      </c>
      <c r="G1233" s="0" t="str">
        <f aca="false">IF(C1233="BUY","IN",IF(C1233="SELL","OUT",IF(G1232="IN","IN","OUT")))</f>
        <v>OUT</v>
      </c>
      <c r="H1233" s="14" t="n">
        <f aca="false">H1232+IF(F1233="",0,F1233)</f>
        <v>18.4377121828058</v>
      </c>
      <c r="I1233" s="14" t="n">
        <f aca="false">MAX(I1232,H1233)</f>
        <v>43.9309628600509</v>
      </c>
      <c r="J1233" s="14" t="n">
        <f aca="false">I1233-H1233</f>
        <v>25.4932506772451</v>
      </c>
    </row>
    <row r="1234" customFormat="false" ht="15" hidden="false" customHeight="false" outlineLevel="0" collapsed="false">
      <c r="A1234" s="12" t="n">
        <f aca="false">Data!A1234</f>
        <v>43795</v>
      </c>
      <c r="B1234" s="14" t="n">
        <f aca="false">Data!B1234</f>
        <v>58.41</v>
      </c>
      <c r="C1234" s="0" t="str">
        <f aca="false">IF(Data!D1234="","HOLD",IF(AND(G1233&lt;&gt;"IN",Data!E1234&lt;-5),"BUY",IF(AND(G1233="IN",Data!E1234&gt;0),"SELL","HOLD")))</f>
        <v>HOLD</v>
      </c>
      <c r="D1234" s="14" t="str">
        <f aca="false">IF(C1234="BUY",B1234,IF(G1233="IN",D1233,""))</f>
        <v/>
      </c>
      <c r="E1234" s="14" t="str">
        <f aca="false">IF(C1234="SELL",B1234,"")</f>
        <v/>
      </c>
      <c r="F1234" s="14" t="str">
        <f aca="false">IF(E1234="","",(E1234-D1234)/D1234*100)</f>
        <v/>
      </c>
      <c r="G1234" s="0" t="str">
        <f aca="false">IF(C1234="BUY","IN",IF(C1234="SELL","OUT",IF(G1233="IN","IN","OUT")))</f>
        <v>OUT</v>
      </c>
      <c r="H1234" s="14" t="n">
        <f aca="false">H1233+IF(F1234="",0,F1234)</f>
        <v>18.4377121828058</v>
      </c>
      <c r="I1234" s="14" t="n">
        <f aca="false">MAX(I1233,H1234)</f>
        <v>43.9309628600509</v>
      </c>
      <c r="J1234" s="14" t="n">
        <f aca="false">I1234-H1234</f>
        <v>25.4932506772451</v>
      </c>
    </row>
    <row r="1235" customFormat="false" ht="15" hidden="false" customHeight="false" outlineLevel="0" collapsed="false">
      <c r="A1235" s="12" t="n">
        <f aca="false">Data!A1235</f>
        <v>43796</v>
      </c>
      <c r="B1235" s="14" t="n">
        <f aca="false">Data!B1235</f>
        <v>58.11</v>
      </c>
      <c r="C1235" s="0" t="str">
        <f aca="false">IF(Data!D1235="","HOLD",IF(AND(G1234&lt;&gt;"IN",Data!E1235&lt;-5),"BUY",IF(AND(G1234="IN",Data!E1235&gt;0),"SELL","HOLD")))</f>
        <v>HOLD</v>
      </c>
      <c r="D1235" s="14" t="str">
        <f aca="false">IF(C1235="BUY",B1235,IF(G1234="IN",D1234,""))</f>
        <v/>
      </c>
      <c r="E1235" s="14" t="str">
        <f aca="false">IF(C1235="SELL",B1235,"")</f>
        <v/>
      </c>
      <c r="F1235" s="14" t="str">
        <f aca="false">IF(E1235="","",(E1235-D1235)/D1235*100)</f>
        <v/>
      </c>
      <c r="G1235" s="0" t="str">
        <f aca="false">IF(C1235="BUY","IN",IF(C1235="SELL","OUT",IF(G1234="IN","IN","OUT")))</f>
        <v>OUT</v>
      </c>
      <c r="H1235" s="14" t="n">
        <f aca="false">H1234+IF(F1235="",0,F1235)</f>
        <v>18.4377121828058</v>
      </c>
      <c r="I1235" s="14" t="n">
        <f aca="false">MAX(I1234,H1235)</f>
        <v>43.9309628600509</v>
      </c>
      <c r="J1235" s="14" t="n">
        <f aca="false">I1235-H1235</f>
        <v>25.4932506772451</v>
      </c>
    </row>
    <row r="1236" customFormat="false" ht="15" hidden="false" customHeight="false" outlineLevel="0" collapsed="false">
      <c r="A1236" s="12" t="n">
        <f aca="false">Data!A1236</f>
        <v>43798</v>
      </c>
      <c r="B1236" s="14" t="n">
        <f aca="false">Data!B1236</f>
        <v>55.17</v>
      </c>
      <c r="C1236" s="0" t="str">
        <f aca="false">IF(Data!D1236="","HOLD",IF(AND(G1235&lt;&gt;"IN",Data!E1236&lt;-5),"BUY",IF(AND(G1235="IN",Data!E1236&gt;0),"SELL","HOLD")))</f>
        <v>HOLD</v>
      </c>
      <c r="D1236" s="14" t="str">
        <f aca="false">IF(C1236="BUY",B1236,IF(G1235="IN",D1235,""))</f>
        <v/>
      </c>
      <c r="E1236" s="14" t="str">
        <f aca="false">IF(C1236="SELL",B1236,"")</f>
        <v/>
      </c>
      <c r="F1236" s="14" t="str">
        <f aca="false">IF(E1236="","",(E1236-D1236)/D1236*100)</f>
        <v/>
      </c>
      <c r="G1236" s="0" t="str">
        <f aca="false">IF(C1236="BUY","IN",IF(C1236="SELL","OUT",IF(G1235="IN","IN","OUT")))</f>
        <v>OUT</v>
      </c>
      <c r="H1236" s="14" t="n">
        <f aca="false">H1235+IF(F1236="",0,F1236)</f>
        <v>18.4377121828058</v>
      </c>
      <c r="I1236" s="14" t="n">
        <f aca="false">MAX(I1235,H1236)</f>
        <v>43.9309628600509</v>
      </c>
      <c r="J1236" s="14" t="n">
        <f aca="false">I1236-H1236</f>
        <v>25.4932506772451</v>
      </c>
    </row>
    <row r="1237" customFormat="false" ht="15" hidden="false" customHeight="false" outlineLevel="0" collapsed="false">
      <c r="A1237" s="12" t="n">
        <f aca="false">Data!A1237</f>
        <v>43801</v>
      </c>
      <c r="B1237" s="14" t="n">
        <f aca="false">Data!B1237</f>
        <v>55.96</v>
      </c>
      <c r="C1237" s="0" t="str">
        <f aca="false">IF(Data!D1237="","HOLD",IF(AND(G1236&lt;&gt;"IN",Data!E1237&lt;-5),"BUY",IF(AND(G1236="IN",Data!E1237&gt;0),"SELL","HOLD")))</f>
        <v>HOLD</v>
      </c>
      <c r="D1237" s="14" t="str">
        <f aca="false">IF(C1237="BUY",B1237,IF(G1236="IN",D1236,""))</f>
        <v/>
      </c>
      <c r="E1237" s="14" t="str">
        <f aca="false">IF(C1237="SELL",B1237,"")</f>
        <v/>
      </c>
      <c r="F1237" s="14" t="str">
        <f aca="false">IF(E1237="","",(E1237-D1237)/D1237*100)</f>
        <v/>
      </c>
      <c r="G1237" s="0" t="str">
        <f aca="false">IF(C1237="BUY","IN",IF(C1237="SELL","OUT",IF(G1236="IN","IN","OUT")))</f>
        <v>OUT</v>
      </c>
      <c r="H1237" s="14" t="n">
        <f aca="false">H1236+IF(F1237="",0,F1237)</f>
        <v>18.4377121828058</v>
      </c>
      <c r="I1237" s="14" t="n">
        <f aca="false">MAX(I1236,H1237)</f>
        <v>43.9309628600509</v>
      </c>
      <c r="J1237" s="14" t="n">
        <f aca="false">I1237-H1237</f>
        <v>25.4932506772451</v>
      </c>
    </row>
    <row r="1238" customFormat="false" ht="15" hidden="false" customHeight="false" outlineLevel="0" collapsed="false">
      <c r="A1238" s="12" t="n">
        <f aca="false">Data!A1238</f>
        <v>43802</v>
      </c>
      <c r="B1238" s="14" t="n">
        <f aca="false">Data!B1238</f>
        <v>56.1</v>
      </c>
      <c r="C1238" s="0" t="str">
        <f aca="false">IF(Data!D1238="","HOLD",IF(AND(G1237&lt;&gt;"IN",Data!E1238&lt;-5),"BUY",IF(AND(G1237="IN",Data!E1238&gt;0),"SELL","HOLD")))</f>
        <v>HOLD</v>
      </c>
      <c r="D1238" s="14" t="str">
        <f aca="false">IF(C1238="BUY",B1238,IF(G1237="IN",D1237,""))</f>
        <v/>
      </c>
      <c r="E1238" s="14" t="str">
        <f aca="false">IF(C1238="SELL",B1238,"")</f>
        <v/>
      </c>
      <c r="F1238" s="14" t="str">
        <f aca="false">IF(E1238="","",(E1238-D1238)/D1238*100)</f>
        <v/>
      </c>
      <c r="G1238" s="0" t="str">
        <f aca="false">IF(C1238="BUY","IN",IF(C1238="SELL","OUT",IF(G1237="IN","IN","OUT")))</f>
        <v>OUT</v>
      </c>
      <c r="H1238" s="14" t="n">
        <f aca="false">H1237+IF(F1238="",0,F1238)</f>
        <v>18.4377121828058</v>
      </c>
      <c r="I1238" s="14" t="n">
        <f aca="false">MAX(I1237,H1238)</f>
        <v>43.9309628600509</v>
      </c>
      <c r="J1238" s="14" t="n">
        <f aca="false">I1238-H1238</f>
        <v>25.4932506772451</v>
      </c>
    </row>
    <row r="1239" customFormat="false" ht="15" hidden="false" customHeight="false" outlineLevel="0" collapsed="false">
      <c r="A1239" s="12" t="n">
        <f aca="false">Data!A1239</f>
        <v>43803</v>
      </c>
      <c r="B1239" s="14" t="n">
        <f aca="false">Data!B1239</f>
        <v>58.43</v>
      </c>
      <c r="C1239" s="0" t="str">
        <f aca="false">IF(Data!D1239="","HOLD",IF(AND(G1238&lt;&gt;"IN",Data!E1239&lt;-5),"BUY",IF(AND(G1238="IN",Data!E1239&gt;0),"SELL","HOLD")))</f>
        <v>HOLD</v>
      </c>
      <c r="D1239" s="14" t="str">
        <f aca="false">IF(C1239="BUY",B1239,IF(G1238="IN",D1238,""))</f>
        <v/>
      </c>
      <c r="E1239" s="14" t="str">
        <f aca="false">IF(C1239="SELL",B1239,"")</f>
        <v/>
      </c>
      <c r="F1239" s="14" t="str">
        <f aca="false">IF(E1239="","",(E1239-D1239)/D1239*100)</f>
        <v/>
      </c>
      <c r="G1239" s="0" t="str">
        <f aca="false">IF(C1239="BUY","IN",IF(C1239="SELL","OUT",IF(G1238="IN","IN","OUT")))</f>
        <v>OUT</v>
      </c>
      <c r="H1239" s="14" t="n">
        <f aca="false">H1238+IF(F1239="",0,F1239)</f>
        <v>18.4377121828058</v>
      </c>
      <c r="I1239" s="14" t="n">
        <f aca="false">MAX(I1238,H1239)</f>
        <v>43.9309628600509</v>
      </c>
      <c r="J1239" s="14" t="n">
        <f aca="false">I1239-H1239</f>
        <v>25.4932506772451</v>
      </c>
    </row>
    <row r="1240" customFormat="false" ht="15" hidden="false" customHeight="false" outlineLevel="0" collapsed="false">
      <c r="A1240" s="12" t="n">
        <f aca="false">Data!A1240</f>
        <v>43804</v>
      </c>
      <c r="B1240" s="14" t="n">
        <f aca="false">Data!B1240</f>
        <v>58.43</v>
      </c>
      <c r="C1240" s="0" t="str">
        <f aca="false">IF(Data!D1240="","HOLD",IF(AND(G1239&lt;&gt;"IN",Data!E1240&lt;-5),"BUY",IF(AND(G1239="IN",Data!E1240&gt;0),"SELL","HOLD")))</f>
        <v>HOLD</v>
      </c>
      <c r="D1240" s="14" t="str">
        <f aca="false">IF(C1240="BUY",B1240,IF(G1239="IN",D1239,""))</f>
        <v/>
      </c>
      <c r="E1240" s="14" t="str">
        <f aca="false">IF(C1240="SELL",B1240,"")</f>
        <v/>
      </c>
      <c r="F1240" s="14" t="str">
        <f aca="false">IF(E1240="","",(E1240-D1240)/D1240*100)</f>
        <v/>
      </c>
      <c r="G1240" s="0" t="str">
        <f aca="false">IF(C1240="BUY","IN",IF(C1240="SELL","OUT",IF(G1239="IN","IN","OUT")))</f>
        <v>OUT</v>
      </c>
      <c r="H1240" s="14" t="n">
        <f aca="false">H1239+IF(F1240="",0,F1240)</f>
        <v>18.4377121828058</v>
      </c>
      <c r="I1240" s="14" t="n">
        <f aca="false">MAX(I1239,H1240)</f>
        <v>43.9309628600509</v>
      </c>
      <c r="J1240" s="14" t="n">
        <f aca="false">I1240-H1240</f>
        <v>25.4932506772451</v>
      </c>
    </row>
    <row r="1241" customFormat="false" ht="15" hidden="false" customHeight="false" outlineLevel="0" collapsed="false">
      <c r="A1241" s="12" t="n">
        <f aca="false">Data!A1241</f>
        <v>43805</v>
      </c>
      <c r="B1241" s="14" t="n">
        <f aca="false">Data!B1241</f>
        <v>59.2</v>
      </c>
      <c r="C1241" s="0" t="str">
        <f aca="false">IF(Data!D1241="","HOLD",IF(AND(G1240&lt;&gt;"IN",Data!E1241&lt;-5),"BUY",IF(AND(G1240="IN",Data!E1241&gt;0),"SELL","HOLD")))</f>
        <v>HOLD</v>
      </c>
      <c r="D1241" s="14" t="str">
        <f aca="false">IF(C1241="BUY",B1241,IF(G1240="IN",D1240,""))</f>
        <v/>
      </c>
      <c r="E1241" s="14" t="str">
        <f aca="false">IF(C1241="SELL",B1241,"")</f>
        <v/>
      </c>
      <c r="F1241" s="14" t="str">
        <f aca="false">IF(E1241="","",(E1241-D1241)/D1241*100)</f>
        <v/>
      </c>
      <c r="G1241" s="0" t="str">
        <f aca="false">IF(C1241="BUY","IN",IF(C1241="SELL","OUT",IF(G1240="IN","IN","OUT")))</f>
        <v>OUT</v>
      </c>
      <c r="H1241" s="14" t="n">
        <f aca="false">H1240+IF(F1241="",0,F1241)</f>
        <v>18.4377121828058</v>
      </c>
      <c r="I1241" s="14" t="n">
        <f aca="false">MAX(I1240,H1241)</f>
        <v>43.9309628600509</v>
      </c>
      <c r="J1241" s="14" t="n">
        <f aca="false">I1241-H1241</f>
        <v>25.4932506772451</v>
      </c>
    </row>
    <row r="1242" customFormat="false" ht="15" hidden="false" customHeight="false" outlineLevel="0" collapsed="false">
      <c r="A1242" s="12" t="n">
        <f aca="false">Data!A1242</f>
        <v>43808</v>
      </c>
      <c r="B1242" s="14" t="n">
        <f aca="false">Data!B1242</f>
        <v>59.02</v>
      </c>
      <c r="C1242" s="0" t="str">
        <f aca="false">IF(Data!D1242="","HOLD",IF(AND(G1241&lt;&gt;"IN",Data!E1242&lt;-5),"BUY",IF(AND(G1241="IN",Data!E1242&gt;0),"SELL","HOLD")))</f>
        <v>HOLD</v>
      </c>
      <c r="D1242" s="14" t="str">
        <f aca="false">IF(C1242="BUY",B1242,IF(G1241="IN",D1241,""))</f>
        <v/>
      </c>
      <c r="E1242" s="14" t="str">
        <f aca="false">IF(C1242="SELL",B1242,"")</f>
        <v/>
      </c>
      <c r="F1242" s="14" t="str">
        <f aca="false">IF(E1242="","",(E1242-D1242)/D1242*100)</f>
        <v/>
      </c>
      <c r="G1242" s="0" t="str">
        <f aca="false">IF(C1242="BUY","IN",IF(C1242="SELL","OUT",IF(G1241="IN","IN","OUT")))</f>
        <v>OUT</v>
      </c>
      <c r="H1242" s="14" t="n">
        <f aca="false">H1241+IF(F1242="",0,F1242)</f>
        <v>18.4377121828058</v>
      </c>
      <c r="I1242" s="14" t="n">
        <f aca="false">MAX(I1241,H1242)</f>
        <v>43.9309628600509</v>
      </c>
      <c r="J1242" s="14" t="n">
        <f aca="false">I1242-H1242</f>
        <v>25.4932506772451</v>
      </c>
    </row>
    <row r="1243" customFormat="false" ht="15" hidden="false" customHeight="false" outlineLevel="0" collapsed="false">
      <c r="A1243" s="12" t="n">
        <f aca="false">Data!A1243</f>
        <v>43809</v>
      </c>
      <c r="B1243" s="14" t="n">
        <f aca="false">Data!B1243</f>
        <v>59.24</v>
      </c>
      <c r="C1243" s="0" t="str">
        <f aca="false">IF(Data!D1243="","HOLD",IF(AND(G1242&lt;&gt;"IN",Data!E1243&lt;-5),"BUY",IF(AND(G1242="IN",Data!E1243&gt;0),"SELL","HOLD")))</f>
        <v>HOLD</v>
      </c>
      <c r="D1243" s="14" t="str">
        <f aca="false">IF(C1243="BUY",B1243,IF(G1242="IN",D1242,""))</f>
        <v/>
      </c>
      <c r="E1243" s="14" t="str">
        <f aca="false">IF(C1243="SELL",B1243,"")</f>
        <v/>
      </c>
      <c r="F1243" s="14" t="str">
        <f aca="false">IF(E1243="","",(E1243-D1243)/D1243*100)</f>
        <v/>
      </c>
      <c r="G1243" s="0" t="str">
        <f aca="false">IF(C1243="BUY","IN",IF(C1243="SELL","OUT",IF(G1242="IN","IN","OUT")))</f>
        <v>OUT</v>
      </c>
      <c r="H1243" s="14" t="n">
        <f aca="false">H1242+IF(F1243="",0,F1243)</f>
        <v>18.4377121828058</v>
      </c>
      <c r="I1243" s="14" t="n">
        <f aca="false">MAX(I1242,H1243)</f>
        <v>43.9309628600509</v>
      </c>
      <c r="J1243" s="14" t="n">
        <f aca="false">I1243-H1243</f>
        <v>25.4932506772451</v>
      </c>
    </row>
    <row r="1244" customFormat="false" ht="15" hidden="false" customHeight="false" outlineLevel="0" collapsed="false">
      <c r="A1244" s="12" t="n">
        <f aca="false">Data!A1244</f>
        <v>43810</v>
      </c>
      <c r="B1244" s="14" t="n">
        <f aca="false">Data!B1244</f>
        <v>58.76</v>
      </c>
      <c r="C1244" s="0" t="str">
        <f aca="false">IF(Data!D1244="","HOLD",IF(AND(G1243&lt;&gt;"IN",Data!E1244&lt;-5),"BUY",IF(AND(G1243="IN",Data!E1244&gt;0),"SELL","HOLD")))</f>
        <v>HOLD</v>
      </c>
      <c r="D1244" s="14" t="str">
        <f aca="false">IF(C1244="BUY",B1244,IF(G1243="IN",D1243,""))</f>
        <v/>
      </c>
      <c r="E1244" s="14" t="str">
        <f aca="false">IF(C1244="SELL",B1244,"")</f>
        <v/>
      </c>
      <c r="F1244" s="14" t="str">
        <f aca="false">IF(E1244="","",(E1244-D1244)/D1244*100)</f>
        <v/>
      </c>
      <c r="G1244" s="0" t="str">
        <f aca="false">IF(C1244="BUY","IN",IF(C1244="SELL","OUT",IF(G1243="IN","IN","OUT")))</f>
        <v>OUT</v>
      </c>
      <c r="H1244" s="14" t="n">
        <f aca="false">H1243+IF(F1244="",0,F1244)</f>
        <v>18.4377121828058</v>
      </c>
      <c r="I1244" s="14" t="n">
        <f aca="false">MAX(I1243,H1244)</f>
        <v>43.9309628600509</v>
      </c>
      <c r="J1244" s="14" t="n">
        <f aca="false">I1244-H1244</f>
        <v>25.4932506772451</v>
      </c>
    </row>
    <row r="1245" customFormat="false" ht="15" hidden="false" customHeight="false" outlineLevel="0" collapsed="false">
      <c r="A1245" s="12" t="n">
        <f aca="false">Data!A1245</f>
        <v>43811</v>
      </c>
      <c r="B1245" s="14" t="n">
        <f aca="false">Data!B1245</f>
        <v>59.18</v>
      </c>
      <c r="C1245" s="0" t="str">
        <f aca="false">IF(Data!D1245="","HOLD",IF(AND(G1244&lt;&gt;"IN",Data!E1245&lt;-5),"BUY",IF(AND(G1244="IN",Data!E1245&gt;0),"SELL","HOLD")))</f>
        <v>HOLD</v>
      </c>
      <c r="D1245" s="14" t="str">
        <f aca="false">IF(C1245="BUY",B1245,IF(G1244="IN",D1244,""))</f>
        <v/>
      </c>
      <c r="E1245" s="14" t="str">
        <f aca="false">IF(C1245="SELL",B1245,"")</f>
        <v/>
      </c>
      <c r="F1245" s="14" t="str">
        <f aca="false">IF(E1245="","",(E1245-D1245)/D1245*100)</f>
        <v/>
      </c>
      <c r="G1245" s="0" t="str">
        <f aca="false">IF(C1245="BUY","IN",IF(C1245="SELL","OUT",IF(G1244="IN","IN","OUT")))</f>
        <v>OUT</v>
      </c>
      <c r="H1245" s="14" t="n">
        <f aca="false">H1244+IF(F1245="",0,F1245)</f>
        <v>18.4377121828058</v>
      </c>
      <c r="I1245" s="14" t="n">
        <f aca="false">MAX(I1244,H1245)</f>
        <v>43.9309628600509</v>
      </c>
      <c r="J1245" s="14" t="n">
        <f aca="false">I1245-H1245</f>
        <v>25.4932506772451</v>
      </c>
    </row>
    <row r="1246" customFormat="false" ht="15" hidden="false" customHeight="false" outlineLevel="0" collapsed="false">
      <c r="A1246" s="12" t="n">
        <f aca="false">Data!A1246</f>
        <v>43812</v>
      </c>
      <c r="B1246" s="14" t="n">
        <f aca="false">Data!B1246</f>
        <v>60.07</v>
      </c>
      <c r="C1246" s="0" t="str">
        <f aca="false">IF(Data!D1246="","HOLD",IF(AND(G1245&lt;&gt;"IN",Data!E1246&lt;-5),"BUY",IF(AND(G1245="IN",Data!E1246&gt;0),"SELL","HOLD")))</f>
        <v>HOLD</v>
      </c>
      <c r="D1246" s="14" t="str">
        <f aca="false">IF(C1246="BUY",B1246,IF(G1245="IN",D1245,""))</f>
        <v/>
      </c>
      <c r="E1246" s="14" t="str">
        <f aca="false">IF(C1246="SELL",B1246,"")</f>
        <v/>
      </c>
      <c r="F1246" s="14" t="str">
        <f aca="false">IF(E1246="","",(E1246-D1246)/D1246*100)</f>
        <v/>
      </c>
      <c r="G1246" s="0" t="str">
        <f aca="false">IF(C1246="BUY","IN",IF(C1246="SELL","OUT",IF(G1245="IN","IN","OUT")))</f>
        <v>OUT</v>
      </c>
      <c r="H1246" s="14" t="n">
        <f aca="false">H1245+IF(F1246="",0,F1246)</f>
        <v>18.4377121828058</v>
      </c>
      <c r="I1246" s="14" t="n">
        <f aca="false">MAX(I1245,H1246)</f>
        <v>43.9309628600509</v>
      </c>
      <c r="J1246" s="14" t="n">
        <f aca="false">I1246-H1246</f>
        <v>25.4932506772451</v>
      </c>
    </row>
    <row r="1247" customFormat="false" ht="15" hidden="false" customHeight="false" outlineLevel="0" collapsed="false">
      <c r="A1247" s="12" t="n">
        <f aca="false">Data!A1247</f>
        <v>43815</v>
      </c>
      <c r="B1247" s="14" t="n">
        <f aca="false">Data!B1247</f>
        <v>60.21</v>
      </c>
      <c r="C1247" s="0" t="str">
        <f aca="false">IF(Data!D1247="","HOLD",IF(AND(G1246&lt;&gt;"IN",Data!E1247&lt;-5),"BUY",IF(AND(G1246="IN",Data!E1247&gt;0),"SELL","HOLD")))</f>
        <v>HOLD</v>
      </c>
      <c r="D1247" s="14" t="str">
        <f aca="false">IF(C1247="BUY",B1247,IF(G1246="IN",D1246,""))</f>
        <v/>
      </c>
      <c r="E1247" s="14" t="str">
        <f aca="false">IF(C1247="SELL",B1247,"")</f>
        <v/>
      </c>
      <c r="F1247" s="14" t="str">
        <f aca="false">IF(E1247="","",(E1247-D1247)/D1247*100)</f>
        <v/>
      </c>
      <c r="G1247" s="0" t="str">
        <f aca="false">IF(C1247="BUY","IN",IF(C1247="SELL","OUT",IF(G1246="IN","IN","OUT")))</f>
        <v>OUT</v>
      </c>
      <c r="H1247" s="14" t="n">
        <f aca="false">H1246+IF(F1247="",0,F1247)</f>
        <v>18.4377121828058</v>
      </c>
      <c r="I1247" s="14" t="n">
        <f aca="false">MAX(I1246,H1247)</f>
        <v>43.9309628600509</v>
      </c>
      <c r="J1247" s="14" t="n">
        <f aca="false">I1247-H1247</f>
        <v>25.4932506772451</v>
      </c>
    </row>
    <row r="1248" customFormat="false" ht="15" hidden="false" customHeight="false" outlineLevel="0" collapsed="false">
      <c r="A1248" s="12" t="n">
        <f aca="false">Data!A1248</f>
        <v>43816</v>
      </c>
      <c r="B1248" s="14" t="n">
        <f aca="false">Data!B1248</f>
        <v>60.94</v>
      </c>
      <c r="C1248" s="0" t="str">
        <f aca="false">IF(Data!D1248="","HOLD",IF(AND(G1247&lt;&gt;"IN",Data!E1248&lt;-5),"BUY",IF(AND(G1247="IN",Data!E1248&gt;0),"SELL","HOLD")))</f>
        <v>HOLD</v>
      </c>
      <c r="D1248" s="14" t="str">
        <f aca="false">IF(C1248="BUY",B1248,IF(G1247="IN",D1247,""))</f>
        <v/>
      </c>
      <c r="E1248" s="14" t="str">
        <f aca="false">IF(C1248="SELL",B1248,"")</f>
        <v/>
      </c>
      <c r="F1248" s="14" t="str">
        <f aca="false">IF(E1248="","",(E1248-D1248)/D1248*100)</f>
        <v/>
      </c>
      <c r="G1248" s="0" t="str">
        <f aca="false">IF(C1248="BUY","IN",IF(C1248="SELL","OUT",IF(G1247="IN","IN","OUT")))</f>
        <v>OUT</v>
      </c>
      <c r="H1248" s="14" t="n">
        <f aca="false">H1247+IF(F1248="",0,F1248)</f>
        <v>18.4377121828058</v>
      </c>
      <c r="I1248" s="14" t="n">
        <f aca="false">MAX(I1247,H1248)</f>
        <v>43.9309628600509</v>
      </c>
      <c r="J1248" s="14" t="n">
        <f aca="false">I1248-H1248</f>
        <v>25.4932506772451</v>
      </c>
    </row>
    <row r="1249" customFormat="false" ht="15" hidden="false" customHeight="false" outlineLevel="0" collapsed="false">
      <c r="A1249" s="12" t="n">
        <f aca="false">Data!A1249</f>
        <v>43817</v>
      </c>
      <c r="B1249" s="14" t="n">
        <f aca="false">Data!B1249</f>
        <v>60.93</v>
      </c>
      <c r="C1249" s="0" t="str">
        <f aca="false">IF(Data!D1249="","HOLD",IF(AND(G1248&lt;&gt;"IN",Data!E1249&lt;-5),"BUY",IF(AND(G1248="IN",Data!E1249&gt;0),"SELL","HOLD")))</f>
        <v>HOLD</v>
      </c>
      <c r="D1249" s="14" t="str">
        <f aca="false">IF(C1249="BUY",B1249,IF(G1248="IN",D1248,""))</f>
        <v/>
      </c>
      <c r="E1249" s="14" t="str">
        <f aca="false">IF(C1249="SELL",B1249,"")</f>
        <v/>
      </c>
      <c r="F1249" s="14" t="str">
        <f aca="false">IF(E1249="","",(E1249-D1249)/D1249*100)</f>
        <v/>
      </c>
      <c r="G1249" s="0" t="str">
        <f aca="false">IF(C1249="BUY","IN",IF(C1249="SELL","OUT",IF(G1248="IN","IN","OUT")))</f>
        <v>OUT</v>
      </c>
      <c r="H1249" s="14" t="n">
        <f aca="false">H1248+IF(F1249="",0,F1249)</f>
        <v>18.4377121828058</v>
      </c>
      <c r="I1249" s="14" t="n">
        <f aca="false">MAX(I1248,H1249)</f>
        <v>43.9309628600509</v>
      </c>
      <c r="J1249" s="14" t="n">
        <f aca="false">I1249-H1249</f>
        <v>25.4932506772451</v>
      </c>
    </row>
    <row r="1250" customFormat="false" ht="15" hidden="false" customHeight="false" outlineLevel="0" collapsed="false">
      <c r="A1250" s="12" t="n">
        <f aca="false">Data!A1250</f>
        <v>43818</v>
      </c>
      <c r="B1250" s="14" t="n">
        <f aca="false">Data!B1250</f>
        <v>61.22</v>
      </c>
      <c r="C1250" s="0" t="str">
        <f aca="false">IF(Data!D1250="","HOLD",IF(AND(G1249&lt;&gt;"IN",Data!E1250&lt;-5),"BUY",IF(AND(G1249="IN",Data!E1250&gt;0),"SELL","HOLD")))</f>
        <v>HOLD</v>
      </c>
      <c r="D1250" s="14" t="str">
        <f aca="false">IF(C1250="BUY",B1250,IF(G1249="IN",D1249,""))</f>
        <v/>
      </c>
      <c r="E1250" s="14" t="str">
        <f aca="false">IF(C1250="SELL",B1250,"")</f>
        <v/>
      </c>
      <c r="F1250" s="14" t="str">
        <f aca="false">IF(E1250="","",(E1250-D1250)/D1250*100)</f>
        <v/>
      </c>
      <c r="G1250" s="0" t="str">
        <f aca="false">IF(C1250="BUY","IN",IF(C1250="SELL","OUT",IF(G1249="IN","IN","OUT")))</f>
        <v>OUT</v>
      </c>
      <c r="H1250" s="14" t="n">
        <f aca="false">H1249+IF(F1250="",0,F1250)</f>
        <v>18.4377121828058</v>
      </c>
      <c r="I1250" s="14" t="n">
        <f aca="false">MAX(I1249,H1250)</f>
        <v>43.9309628600509</v>
      </c>
      <c r="J1250" s="14" t="n">
        <f aca="false">I1250-H1250</f>
        <v>25.4932506772451</v>
      </c>
    </row>
    <row r="1251" customFormat="false" ht="15" hidden="false" customHeight="false" outlineLevel="0" collapsed="false">
      <c r="A1251" s="12" t="n">
        <f aca="false">Data!A1251</f>
        <v>43819</v>
      </c>
      <c r="B1251" s="14" t="n">
        <f aca="false">Data!B1251</f>
        <v>60.44</v>
      </c>
      <c r="C1251" s="0" t="str">
        <f aca="false">IF(Data!D1251="","HOLD",IF(AND(G1250&lt;&gt;"IN",Data!E1251&lt;-5),"BUY",IF(AND(G1250="IN",Data!E1251&gt;0),"SELL","HOLD")))</f>
        <v>HOLD</v>
      </c>
      <c r="D1251" s="14" t="str">
        <f aca="false">IF(C1251="BUY",B1251,IF(G1250="IN",D1250,""))</f>
        <v/>
      </c>
      <c r="E1251" s="14" t="str">
        <f aca="false">IF(C1251="SELL",B1251,"")</f>
        <v/>
      </c>
      <c r="F1251" s="14" t="str">
        <f aca="false">IF(E1251="","",(E1251-D1251)/D1251*100)</f>
        <v/>
      </c>
      <c r="G1251" s="0" t="str">
        <f aca="false">IF(C1251="BUY","IN",IF(C1251="SELL","OUT",IF(G1250="IN","IN","OUT")))</f>
        <v>OUT</v>
      </c>
      <c r="H1251" s="14" t="n">
        <f aca="false">H1250+IF(F1251="",0,F1251)</f>
        <v>18.4377121828058</v>
      </c>
      <c r="I1251" s="14" t="n">
        <f aca="false">MAX(I1250,H1251)</f>
        <v>43.9309628600509</v>
      </c>
      <c r="J1251" s="14" t="n">
        <f aca="false">I1251-H1251</f>
        <v>25.4932506772451</v>
      </c>
    </row>
    <row r="1252" customFormat="false" ht="15" hidden="false" customHeight="false" outlineLevel="0" collapsed="false">
      <c r="A1252" s="12" t="n">
        <f aca="false">Data!A1252</f>
        <v>43822</v>
      </c>
      <c r="B1252" s="14" t="n">
        <f aca="false">Data!B1252</f>
        <v>60.52</v>
      </c>
      <c r="C1252" s="0" t="str">
        <f aca="false">IF(Data!D1252="","HOLD",IF(AND(G1251&lt;&gt;"IN",Data!E1252&lt;-5),"BUY",IF(AND(G1251="IN",Data!E1252&gt;0),"SELL","HOLD")))</f>
        <v>HOLD</v>
      </c>
      <c r="D1252" s="14" t="str">
        <f aca="false">IF(C1252="BUY",B1252,IF(G1251="IN",D1251,""))</f>
        <v/>
      </c>
      <c r="E1252" s="14" t="str">
        <f aca="false">IF(C1252="SELL",B1252,"")</f>
        <v/>
      </c>
      <c r="F1252" s="14" t="str">
        <f aca="false">IF(E1252="","",(E1252-D1252)/D1252*100)</f>
        <v/>
      </c>
      <c r="G1252" s="0" t="str">
        <f aca="false">IF(C1252="BUY","IN",IF(C1252="SELL","OUT",IF(G1251="IN","IN","OUT")))</f>
        <v>OUT</v>
      </c>
      <c r="H1252" s="14" t="n">
        <f aca="false">H1251+IF(F1252="",0,F1252)</f>
        <v>18.4377121828058</v>
      </c>
      <c r="I1252" s="14" t="n">
        <f aca="false">MAX(I1251,H1252)</f>
        <v>43.9309628600509</v>
      </c>
      <c r="J1252" s="14" t="n">
        <f aca="false">I1252-H1252</f>
        <v>25.4932506772451</v>
      </c>
    </row>
    <row r="1253" customFormat="false" ht="15" hidden="false" customHeight="false" outlineLevel="0" collapsed="false">
      <c r="A1253" s="12" t="n">
        <f aca="false">Data!A1253</f>
        <v>43823</v>
      </c>
      <c r="B1253" s="14" t="n">
        <f aca="false">Data!B1253</f>
        <v>61.11</v>
      </c>
      <c r="C1253" s="0" t="str">
        <f aca="false">IF(Data!D1253="","HOLD",IF(AND(G1252&lt;&gt;"IN",Data!E1253&lt;-5),"BUY",IF(AND(G1252="IN",Data!E1253&gt;0),"SELL","HOLD")))</f>
        <v>HOLD</v>
      </c>
      <c r="D1253" s="14" t="str">
        <f aca="false">IF(C1253="BUY",B1253,IF(G1252="IN",D1252,""))</f>
        <v/>
      </c>
      <c r="E1253" s="14" t="str">
        <f aca="false">IF(C1253="SELL",B1253,"")</f>
        <v/>
      </c>
      <c r="F1253" s="14" t="str">
        <f aca="false">IF(E1253="","",(E1253-D1253)/D1253*100)</f>
        <v/>
      </c>
      <c r="G1253" s="0" t="str">
        <f aca="false">IF(C1253="BUY","IN",IF(C1253="SELL","OUT",IF(G1252="IN","IN","OUT")))</f>
        <v>OUT</v>
      </c>
      <c r="H1253" s="14" t="n">
        <f aca="false">H1252+IF(F1253="",0,F1253)</f>
        <v>18.4377121828058</v>
      </c>
      <c r="I1253" s="14" t="n">
        <f aca="false">MAX(I1252,H1253)</f>
        <v>43.9309628600509</v>
      </c>
      <c r="J1253" s="14" t="n">
        <f aca="false">I1253-H1253</f>
        <v>25.4932506772451</v>
      </c>
    </row>
    <row r="1254" customFormat="false" ht="15" hidden="false" customHeight="false" outlineLevel="0" collapsed="false">
      <c r="A1254" s="12" t="n">
        <f aca="false">Data!A1254</f>
        <v>43825</v>
      </c>
      <c r="B1254" s="14" t="n">
        <f aca="false">Data!B1254</f>
        <v>61.68</v>
      </c>
      <c r="C1254" s="0" t="str">
        <f aca="false">IF(Data!D1254="","HOLD",IF(AND(G1253&lt;&gt;"IN",Data!E1254&lt;-5),"BUY",IF(AND(G1253="IN",Data!E1254&gt;0),"SELL","HOLD")))</f>
        <v>HOLD</v>
      </c>
      <c r="D1254" s="14" t="str">
        <f aca="false">IF(C1254="BUY",B1254,IF(G1253="IN",D1253,""))</f>
        <v/>
      </c>
      <c r="E1254" s="14" t="str">
        <f aca="false">IF(C1254="SELL",B1254,"")</f>
        <v/>
      </c>
      <c r="F1254" s="14" t="str">
        <f aca="false">IF(E1254="","",(E1254-D1254)/D1254*100)</f>
        <v/>
      </c>
      <c r="G1254" s="0" t="str">
        <f aca="false">IF(C1254="BUY","IN",IF(C1254="SELL","OUT",IF(G1253="IN","IN","OUT")))</f>
        <v>OUT</v>
      </c>
      <c r="H1254" s="14" t="n">
        <f aca="false">H1253+IF(F1254="",0,F1254)</f>
        <v>18.4377121828058</v>
      </c>
      <c r="I1254" s="14" t="n">
        <f aca="false">MAX(I1253,H1254)</f>
        <v>43.9309628600509</v>
      </c>
      <c r="J1254" s="14" t="n">
        <f aca="false">I1254-H1254</f>
        <v>25.4932506772451</v>
      </c>
    </row>
    <row r="1255" customFormat="false" ht="15" hidden="false" customHeight="false" outlineLevel="0" collapsed="false">
      <c r="A1255" s="12" t="n">
        <f aca="false">Data!A1255</f>
        <v>43826</v>
      </c>
      <c r="B1255" s="14" t="n">
        <f aca="false">Data!B1255</f>
        <v>61.72</v>
      </c>
      <c r="C1255" s="0" t="str">
        <f aca="false">IF(Data!D1255="","HOLD",IF(AND(G1254&lt;&gt;"IN",Data!E1255&lt;-5),"BUY",IF(AND(G1254="IN",Data!E1255&gt;0),"SELL","HOLD")))</f>
        <v>HOLD</v>
      </c>
      <c r="D1255" s="14" t="str">
        <f aca="false">IF(C1255="BUY",B1255,IF(G1254="IN",D1254,""))</f>
        <v/>
      </c>
      <c r="E1255" s="14" t="str">
        <f aca="false">IF(C1255="SELL",B1255,"")</f>
        <v/>
      </c>
      <c r="F1255" s="14" t="str">
        <f aca="false">IF(E1255="","",(E1255-D1255)/D1255*100)</f>
        <v/>
      </c>
      <c r="G1255" s="0" t="str">
        <f aca="false">IF(C1255="BUY","IN",IF(C1255="SELL","OUT",IF(G1254="IN","IN","OUT")))</f>
        <v>OUT</v>
      </c>
      <c r="H1255" s="14" t="n">
        <f aca="false">H1254+IF(F1255="",0,F1255)</f>
        <v>18.4377121828058</v>
      </c>
      <c r="I1255" s="14" t="n">
        <f aca="false">MAX(I1254,H1255)</f>
        <v>43.9309628600509</v>
      </c>
      <c r="J1255" s="14" t="n">
        <f aca="false">I1255-H1255</f>
        <v>25.4932506772451</v>
      </c>
    </row>
    <row r="1256" customFormat="false" ht="15" hidden="false" customHeight="false" outlineLevel="0" collapsed="false">
      <c r="A1256" s="12" t="n">
        <f aca="false">Data!A1256</f>
        <v>43829</v>
      </c>
      <c r="B1256" s="14" t="n">
        <f aca="false">Data!B1256</f>
        <v>61.68</v>
      </c>
      <c r="C1256" s="0" t="str">
        <f aca="false">IF(Data!D1256="","HOLD",IF(AND(G1255&lt;&gt;"IN",Data!E1256&lt;-5),"BUY",IF(AND(G1255="IN",Data!E1256&gt;0),"SELL","HOLD")))</f>
        <v>HOLD</v>
      </c>
      <c r="D1256" s="14" t="str">
        <f aca="false">IF(C1256="BUY",B1256,IF(G1255="IN",D1255,""))</f>
        <v/>
      </c>
      <c r="E1256" s="14" t="str">
        <f aca="false">IF(C1256="SELL",B1256,"")</f>
        <v/>
      </c>
      <c r="F1256" s="14" t="str">
        <f aca="false">IF(E1256="","",(E1256-D1256)/D1256*100)</f>
        <v/>
      </c>
      <c r="G1256" s="0" t="str">
        <f aca="false">IF(C1256="BUY","IN",IF(C1256="SELL","OUT",IF(G1255="IN","IN","OUT")))</f>
        <v>OUT</v>
      </c>
      <c r="H1256" s="14" t="n">
        <f aca="false">H1255+IF(F1256="",0,F1256)</f>
        <v>18.4377121828058</v>
      </c>
      <c r="I1256" s="14" t="n">
        <f aca="false">MAX(I1255,H1256)</f>
        <v>43.9309628600509</v>
      </c>
      <c r="J1256" s="14" t="n">
        <f aca="false">I1256-H1256</f>
        <v>25.4932506772451</v>
      </c>
    </row>
    <row r="1257" customFormat="false" ht="15" hidden="false" customHeight="false" outlineLevel="0" collapsed="false">
      <c r="A1257" s="12" t="n">
        <f aca="false">Data!A1257</f>
        <v>43830</v>
      </c>
      <c r="B1257" s="14" t="n">
        <f aca="false">Data!B1257</f>
        <v>61.06</v>
      </c>
      <c r="C1257" s="0" t="str">
        <f aca="false">IF(Data!D1257="","HOLD",IF(AND(G1256&lt;&gt;"IN",Data!E1257&lt;-5),"BUY",IF(AND(G1256="IN",Data!E1257&gt;0),"SELL","HOLD")))</f>
        <v>HOLD</v>
      </c>
      <c r="D1257" s="14" t="str">
        <f aca="false">IF(C1257="BUY",B1257,IF(G1256="IN",D1256,""))</f>
        <v/>
      </c>
      <c r="E1257" s="14" t="str">
        <f aca="false">IF(C1257="SELL",B1257,"")</f>
        <v/>
      </c>
      <c r="F1257" s="14" t="str">
        <f aca="false">IF(E1257="","",(E1257-D1257)/D1257*100)</f>
        <v/>
      </c>
      <c r="G1257" s="0" t="str">
        <f aca="false">IF(C1257="BUY","IN",IF(C1257="SELL","OUT",IF(G1256="IN","IN","OUT")))</f>
        <v>OUT</v>
      </c>
      <c r="H1257" s="14" t="n">
        <f aca="false">H1256+IF(F1257="",0,F1257)</f>
        <v>18.4377121828058</v>
      </c>
      <c r="I1257" s="14" t="n">
        <f aca="false">MAX(I1256,H1257)</f>
        <v>43.9309628600509</v>
      </c>
      <c r="J1257" s="14" t="n">
        <f aca="false">I1257-H1257</f>
        <v>25.4932506772451</v>
      </c>
    </row>
    <row r="1258" customFormat="false" ht="15" hidden="false" customHeight="false" outlineLevel="0" collapsed="false">
      <c r="A1258" s="12" t="n">
        <f aca="false">Data!A1258</f>
        <v>43832</v>
      </c>
      <c r="B1258" s="14" t="n">
        <f aca="false">Data!B1258</f>
        <v>61.18</v>
      </c>
      <c r="C1258" s="0" t="str">
        <f aca="false">IF(Data!D1258="","HOLD",IF(AND(G1257&lt;&gt;"IN",Data!E1258&lt;-5),"BUY",IF(AND(G1257="IN",Data!E1258&gt;0),"SELL","HOLD")))</f>
        <v>HOLD</v>
      </c>
      <c r="D1258" s="14" t="str">
        <f aca="false">IF(C1258="BUY",B1258,IF(G1257="IN",D1257,""))</f>
        <v/>
      </c>
      <c r="E1258" s="14" t="str">
        <f aca="false">IF(C1258="SELL",B1258,"")</f>
        <v/>
      </c>
      <c r="F1258" s="14" t="str">
        <f aca="false">IF(E1258="","",(E1258-D1258)/D1258*100)</f>
        <v/>
      </c>
      <c r="G1258" s="0" t="str">
        <f aca="false">IF(C1258="BUY","IN",IF(C1258="SELL","OUT",IF(G1257="IN","IN","OUT")))</f>
        <v>OUT</v>
      </c>
      <c r="H1258" s="14" t="n">
        <f aca="false">H1257+IF(F1258="",0,F1258)</f>
        <v>18.4377121828058</v>
      </c>
      <c r="I1258" s="14" t="n">
        <f aca="false">MAX(I1257,H1258)</f>
        <v>43.9309628600509</v>
      </c>
      <c r="J1258" s="14" t="n">
        <f aca="false">I1258-H1258</f>
        <v>25.4932506772451</v>
      </c>
    </row>
    <row r="1259" customFormat="false" ht="15" hidden="false" customHeight="false" outlineLevel="0" collapsed="false">
      <c r="A1259" s="12" t="n">
        <f aca="false">Data!A1259</f>
        <v>43833</v>
      </c>
      <c r="B1259" s="14" t="n">
        <f aca="false">Data!B1259</f>
        <v>63.05</v>
      </c>
      <c r="C1259" s="0" t="str">
        <f aca="false">IF(Data!D1259="","HOLD",IF(AND(G1258&lt;&gt;"IN",Data!E1259&lt;-5),"BUY",IF(AND(G1258="IN",Data!E1259&gt;0),"SELL","HOLD")))</f>
        <v>HOLD</v>
      </c>
      <c r="D1259" s="14" t="str">
        <f aca="false">IF(C1259="BUY",B1259,IF(G1258="IN",D1258,""))</f>
        <v/>
      </c>
      <c r="E1259" s="14" t="str">
        <f aca="false">IF(C1259="SELL",B1259,"")</f>
        <v/>
      </c>
      <c r="F1259" s="14" t="str">
        <f aca="false">IF(E1259="","",(E1259-D1259)/D1259*100)</f>
        <v/>
      </c>
      <c r="G1259" s="0" t="str">
        <f aca="false">IF(C1259="BUY","IN",IF(C1259="SELL","OUT",IF(G1258="IN","IN","OUT")))</f>
        <v>OUT</v>
      </c>
      <c r="H1259" s="14" t="n">
        <f aca="false">H1258+IF(F1259="",0,F1259)</f>
        <v>18.4377121828058</v>
      </c>
      <c r="I1259" s="14" t="n">
        <f aca="false">MAX(I1258,H1259)</f>
        <v>43.9309628600509</v>
      </c>
      <c r="J1259" s="14" t="n">
        <f aca="false">I1259-H1259</f>
        <v>25.4932506772451</v>
      </c>
    </row>
    <row r="1260" customFormat="false" ht="15" hidden="false" customHeight="false" outlineLevel="0" collapsed="false">
      <c r="A1260" s="12" t="n">
        <f aca="false">Data!A1260</f>
        <v>43836</v>
      </c>
      <c r="B1260" s="14" t="n">
        <f aca="false">Data!B1260</f>
        <v>63.27</v>
      </c>
      <c r="C1260" s="0" t="str">
        <f aca="false">IF(Data!D1260="","HOLD",IF(AND(G1259&lt;&gt;"IN",Data!E1260&lt;-5),"BUY",IF(AND(G1259="IN",Data!E1260&gt;0),"SELL","HOLD")))</f>
        <v>HOLD</v>
      </c>
      <c r="D1260" s="14" t="str">
        <f aca="false">IF(C1260="BUY",B1260,IF(G1259="IN",D1259,""))</f>
        <v/>
      </c>
      <c r="E1260" s="14" t="str">
        <f aca="false">IF(C1260="SELL",B1260,"")</f>
        <v/>
      </c>
      <c r="F1260" s="14" t="str">
        <f aca="false">IF(E1260="","",(E1260-D1260)/D1260*100)</f>
        <v/>
      </c>
      <c r="G1260" s="0" t="str">
        <f aca="false">IF(C1260="BUY","IN",IF(C1260="SELL","OUT",IF(G1259="IN","IN","OUT")))</f>
        <v>OUT</v>
      </c>
      <c r="H1260" s="14" t="n">
        <f aca="false">H1259+IF(F1260="",0,F1260)</f>
        <v>18.4377121828058</v>
      </c>
      <c r="I1260" s="14" t="n">
        <f aca="false">MAX(I1259,H1260)</f>
        <v>43.9309628600509</v>
      </c>
      <c r="J1260" s="14" t="n">
        <f aca="false">I1260-H1260</f>
        <v>25.4932506772451</v>
      </c>
    </row>
    <row r="1261" customFormat="false" ht="15" hidden="false" customHeight="false" outlineLevel="0" collapsed="false">
      <c r="A1261" s="12" t="n">
        <f aca="false">Data!A1261</f>
        <v>43837</v>
      </c>
      <c r="B1261" s="14" t="n">
        <f aca="false">Data!B1261</f>
        <v>62.7</v>
      </c>
      <c r="C1261" s="0" t="str">
        <f aca="false">IF(Data!D1261="","HOLD",IF(AND(G1260&lt;&gt;"IN",Data!E1261&lt;-5),"BUY",IF(AND(G1260="IN",Data!E1261&gt;0),"SELL","HOLD")))</f>
        <v>HOLD</v>
      </c>
      <c r="D1261" s="14" t="str">
        <f aca="false">IF(C1261="BUY",B1261,IF(G1260="IN",D1260,""))</f>
        <v/>
      </c>
      <c r="E1261" s="14" t="str">
        <f aca="false">IF(C1261="SELL",B1261,"")</f>
        <v/>
      </c>
      <c r="F1261" s="14" t="str">
        <f aca="false">IF(E1261="","",(E1261-D1261)/D1261*100)</f>
        <v/>
      </c>
      <c r="G1261" s="0" t="str">
        <f aca="false">IF(C1261="BUY","IN",IF(C1261="SELL","OUT",IF(G1260="IN","IN","OUT")))</f>
        <v>OUT</v>
      </c>
      <c r="H1261" s="14" t="n">
        <f aca="false">H1260+IF(F1261="",0,F1261)</f>
        <v>18.4377121828058</v>
      </c>
      <c r="I1261" s="14" t="n">
        <f aca="false">MAX(I1260,H1261)</f>
        <v>43.9309628600509</v>
      </c>
      <c r="J1261" s="14" t="n">
        <f aca="false">I1261-H1261</f>
        <v>25.4932506772451</v>
      </c>
    </row>
    <row r="1262" customFormat="false" ht="15" hidden="false" customHeight="false" outlineLevel="0" collapsed="false">
      <c r="A1262" s="12" t="n">
        <f aca="false">Data!A1262</f>
        <v>43838</v>
      </c>
      <c r="B1262" s="14" t="n">
        <f aca="false">Data!B1262</f>
        <v>59.61</v>
      </c>
      <c r="C1262" s="0" t="str">
        <f aca="false">IF(Data!D1262="","HOLD",IF(AND(G1261&lt;&gt;"IN",Data!E1262&lt;-5),"BUY",IF(AND(G1261="IN",Data!E1262&gt;0),"SELL","HOLD")))</f>
        <v>HOLD</v>
      </c>
      <c r="D1262" s="14" t="str">
        <f aca="false">IF(C1262="BUY",B1262,IF(G1261="IN",D1261,""))</f>
        <v/>
      </c>
      <c r="E1262" s="14" t="str">
        <f aca="false">IF(C1262="SELL",B1262,"")</f>
        <v/>
      </c>
      <c r="F1262" s="14" t="str">
        <f aca="false">IF(E1262="","",(E1262-D1262)/D1262*100)</f>
        <v/>
      </c>
      <c r="G1262" s="0" t="str">
        <f aca="false">IF(C1262="BUY","IN",IF(C1262="SELL","OUT",IF(G1261="IN","IN","OUT")))</f>
        <v>OUT</v>
      </c>
      <c r="H1262" s="14" t="n">
        <f aca="false">H1261+IF(F1262="",0,F1262)</f>
        <v>18.4377121828058</v>
      </c>
      <c r="I1262" s="14" t="n">
        <f aca="false">MAX(I1261,H1262)</f>
        <v>43.9309628600509</v>
      </c>
      <c r="J1262" s="14" t="n">
        <f aca="false">I1262-H1262</f>
        <v>25.4932506772451</v>
      </c>
    </row>
    <row r="1263" customFormat="false" ht="15" hidden="false" customHeight="false" outlineLevel="0" collapsed="false">
      <c r="A1263" s="12" t="n">
        <f aca="false">Data!A1263</f>
        <v>43839</v>
      </c>
      <c r="B1263" s="14" t="n">
        <f aca="false">Data!B1263</f>
        <v>59.56</v>
      </c>
      <c r="C1263" s="0" t="str">
        <f aca="false">IF(Data!D1263="","HOLD",IF(AND(G1262&lt;&gt;"IN",Data!E1263&lt;-5),"BUY",IF(AND(G1262="IN",Data!E1263&gt;0),"SELL","HOLD")))</f>
        <v>HOLD</v>
      </c>
      <c r="D1263" s="14" t="str">
        <f aca="false">IF(C1263="BUY",B1263,IF(G1262="IN",D1262,""))</f>
        <v/>
      </c>
      <c r="E1263" s="14" t="str">
        <f aca="false">IF(C1263="SELL",B1263,"")</f>
        <v/>
      </c>
      <c r="F1263" s="14" t="str">
        <f aca="false">IF(E1263="","",(E1263-D1263)/D1263*100)</f>
        <v/>
      </c>
      <c r="G1263" s="0" t="str">
        <f aca="false">IF(C1263="BUY","IN",IF(C1263="SELL","OUT",IF(G1262="IN","IN","OUT")))</f>
        <v>OUT</v>
      </c>
      <c r="H1263" s="14" t="n">
        <f aca="false">H1262+IF(F1263="",0,F1263)</f>
        <v>18.4377121828058</v>
      </c>
      <c r="I1263" s="14" t="n">
        <f aca="false">MAX(I1262,H1263)</f>
        <v>43.9309628600509</v>
      </c>
      <c r="J1263" s="14" t="n">
        <f aca="false">I1263-H1263</f>
        <v>25.4932506772451</v>
      </c>
    </row>
    <row r="1264" customFormat="false" ht="15" hidden="false" customHeight="false" outlineLevel="0" collapsed="false">
      <c r="A1264" s="12" t="n">
        <f aca="false">Data!A1264</f>
        <v>43840</v>
      </c>
      <c r="B1264" s="14" t="n">
        <f aca="false">Data!B1264</f>
        <v>59.04</v>
      </c>
      <c r="C1264" s="0" t="str">
        <f aca="false">IF(Data!D1264="","HOLD",IF(AND(G1263&lt;&gt;"IN",Data!E1264&lt;-5),"BUY",IF(AND(G1263="IN",Data!E1264&gt;0),"SELL","HOLD")))</f>
        <v>HOLD</v>
      </c>
      <c r="D1264" s="14" t="str">
        <f aca="false">IF(C1264="BUY",B1264,IF(G1263="IN",D1263,""))</f>
        <v/>
      </c>
      <c r="E1264" s="14" t="str">
        <f aca="false">IF(C1264="SELL",B1264,"")</f>
        <v/>
      </c>
      <c r="F1264" s="14" t="str">
        <f aca="false">IF(E1264="","",(E1264-D1264)/D1264*100)</f>
        <v/>
      </c>
      <c r="G1264" s="0" t="str">
        <f aca="false">IF(C1264="BUY","IN",IF(C1264="SELL","OUT",IF(G1263="IN","IN","OUT")))</f>
        <v>OUT</v>
      </c>
      <c r="H1264" s="14" t="n">
        <f aca="false">H1263+IF(F1264="",0,F1264)</f>
        <v>18.4377121828058</v>
      </c>
      <c r="I1264" s="14" t="n">
        <f aca="false">MAX(I1263,H1264)</f>
        <v>43.9309628600509</v>
      </c>
      <c r="J1264" s="14" t="n">
        <f aca="false">I1264-H1264</f>
        <v>25.4932506772451</v>
      </c>
    </row>
    <row r="1265" customFormat="false" ht="15" hidden="false" customHeight="false" outlineLevel="0" collapsed="false">
      <c r="A1265" s="12" t="n">
        <f aca="false">Data!A1265</f>
        <v>43843</v>
      </c>
      <c r="B1265" s="14" t="n">
        <f aca="false">Data!B1265</f>
        <v>58.08</v>
      </c>
      <c r="C1265" s="0" t="str">
        <f aca="false">IF(Data!D1265="","HOLD",IF(AND(G1264&lt;&gt;"IN",Data!E1265&lt;-5),"BUY",IF(AND(G1264="IN",Data!E1265&gt;0),"SELL","HOLD")))</f>
        <v>HOLD</v>
      </c>
      <c r="D1265" s="14" t="str">
        <f aca="false">IF(C1265="BUY",B1265,IF(G1264="IN",D1264,""))</f>
        <v/>
      </c>
      <c r="E1265" s="14" t="str">
        <f aca="false">IF(C1265="SELL",B1265,"")</f>
        <v/>
      </c>
      <c r="F1265" s="14" t="str">
        <f aca="false">IF(E1265="","",(E1265-D1265)/D1265*100)</f>
        <v/>
      </c>
      <c r="G1265" s="0" t="str">
        <f aca="false">IF(C1265="BUY","IN",IF(C1265="SELL","OUT",IF(G1264="IN","IN","OUT")))</f>
        <v>OUT</v>
      </c>
      <c r="H1265" s="14" t="n">
        <f aca="false">H1264+IF(F1265="",0,F1265)</f>
        <v>18.4377121828058</v>
      </c>
      <c r="I1265" s="14" t="n">
        <f aca="false">MAX(I1264,H1265)</f>
        <v>43.9309628600509</v>
      </c>
      <c r="J1265" s="14" t="n">
        <f aca="false">I1265-H1265</f>
        <v>25.4932506772451</v>
      </c>
    </row>
    <row r="1266" customFormat="false" ht="15" hidden="false" customHeight="false" outlineLevel="0" collapsed="false">
      <c r="A1266" s="12" t="n">
        <f aca="false">Data!A1266</f>
        <v>43844</v>
      </c>
      <c r="B1266" s="14" t="n">
        <f aca="false">Data!B1266</f>
        <v>58.23</v>
      </c>
      <c r="C1266" s="0" t="str">
        <f aca="false">IF(Data!D1266="","HOLD",IF(AND(G1265&lt;&gt;"IN",Data!E1266&lt;-5),"BUY",IF(AND(G1265="IN",Data!E1266&gt;0),"SELL","HOLD")))</f>
        <v>HOLD</v>
      </c>
      <c r="D1266" s="14" t="str">
        <f aca="false">IF(C1266="BUY",B1266,IF(G1265="IN",D1265,""))</f>
        <v/>
      </c>
      <c r="E1266" s="14" t="str">
        <f aca="false">IF(C1266="SELL",B1266,"")</f>
        <v/>
      </c>
      <c r="F1266" s="14" t="str">
        <f aca="false">IF(E1266="","",(E1266-D1266)/D1266*100)</f>
        <v/>
      </c>
      <c r="G1266" s="0" t="str">
        <f aca="false">IF(C1266="BUY","IN",IF(C1266="SELL","OUT",IF(G1265="IN","IN","OUT")))</f>
        <v>OUT</v>
      </c>
      <c r="H1266" s="14" t="n">
        <f aca="false">H1265+IF(F1266="",0,F1266)</f>
        <v>18.4377121828058</v>
      </c>
      <c r="I1266" s="14" t="n">
        <f aca="false">MAX(I1265,H1266)</f>
        <v>43.9309628600509</v>
      </c>
      <c r="J1266" s="14" t="n">
        <f aca="false">I1266-H1266</f>
        <v>25.4932506772451</v>
      </c>
    </row>
    <row r="1267" customFormat="false" ht="15" hidden="false" customHeight="false" outlineLevel="0" collapsed="false">
      <c r="A1267" s="12" t="n">
        <f aca="false">Data!A1267</f>
        <v>43845</v>
      </c>
      <c r="B1267" s="14" t="n">
        <f aca="false">Data!B1267</f>
        <v>57.81</v>
      </c>
      <c r="C1267" s="0" t="str">
        <f aca="false">IF(Data!D1267="","HOLD",IF(AND(G1266&lt;&gt;"IN",Data!E1267&lt;-5),"BUY",IF(AND(G1266="IN",Data!E1267&gt;0),"SELL","HOLD")))</f>
        <v>HOLD</v>
      </c>
      <c r="D1267" s="14" t="str">
        <f aca="false">IF(C1267="BUY",B1267,IF(G1266="IN",D1266,""))</f>
        <v/>
      </c>
      <c r="E1267" s="14" t="str">
        <f aca="false">IF(C1267="SELL",B1267,"")</f>
        <v/>
      </c>
      <c r="F1267" s="14" t="str">
        <f aca="false">IF(E1267="","",(E1267-D1267)/D1267*100)</f>
        <v/>
      </c>
      <c r="G1267" s="0" t="str">
        <f aca="false">IF(C1267="BUY","IN",IF(C1267="SELL","OUT",IF(G1266="IN","IN","OUT")))</f>
        <v>OUT</v>
      </c>
      <c r="H1267" s="14" t="n">
        <f aca="false">H1266+IF(F1267="",0,F1267)</f>
        <v>18.4377121828058</v>
      </c>
      <c r="I1267" s="14" t="n">
        <f aca="false">MAX(I1266,H1267)</f>
        <v>43.9309628600509</v>
      </c>
      <c r="J1267" s="14" t="n">
        <f aca="false">I1267-H1267</f>
        <v>25.4932506772451</v>
      </c>
    </row>
    <row r="1268" customFormat="false" ht="15" hidden="false" customHeight="false" outlineLevel="0" collapsed="false">
      <c r="A1268" s="12" t="n">
        <f aca="false">Data!A1268</f>
        <v>43846</v>
      </c>
      <c r="B1268" s="14" t="n">
        <f aca="false">Data!B1268</f>
        <v>58.52</v>
      </c>
      <c r="C1268" s="0" t="str">
        <f aca="false">IF(Data!D1268="","HOLD",IF(AND(G1267&lt;&gt;"IN",Data!E1268&lt;-5),"BUY",IF(AND(G1267="IN",Data!E1268&gt;0),"SELL","HOLD")))</f>
        <v>HOLD</v>
      </c>
      <c r="D1268" s="14" t="str">
        <f aca="false">IF(C1268="BUY",B1268,IF(G1267="IN",D1267,""))</f>
        <v/>
      </c>
      <c r="E1268" s="14" t="str">
        <f aca="false">IF(C1268="SELL",B1268,"")</f>
        <v/>
      </c>
      <c r="F1268" s="14" t="str">
        <f aca="false">IF(E1268="","",(E1268-D1268)/D1268*100)</f>
        <v/>
      </c>
      <c r="G1268" s="0" t="str">
        <f aca="false">IF(C1268="BUY","IN",IF(C1268="SELL","OUT",IF(G1267="IN","IN","OUT")))</f>
        <v>OUT</v>
      </c>
      <c r="H1268" s="14" t="n">
        <f aca="false">H1267+IF(F1268="",0,F1268)</f>
        <v>18.4377121828058</v>
      </c>
      <c r="I1268" s="14" t="n">
        <f aca="false">MAX(I1267,H1268)</f>
        <v>43.9309628600509</v>
      </c>
      <c r="J1268" s="14" t="n">
        <f aca="false">I1268-H1268</f>
        <v>25.4932506772451</v>
      </c>
    </row>
    <row r="1269" customFormat="false" ht="15" hidden="false" customHeight="false" outlineLevel="0" collapsed="false">
      <c r="A1269" s="12" t="n">
        <f aca="false">Data!A1269</f>
        <v>43847</v>
      </c>
      <c r="B1269" s="14" t="n">
        <f aca="false">Data!B1269</f>
        <v>58.54</v>
      </c>
      <c r="C1269" s="0" t="str">
        <f aca="false">IF(Data!D1269="","HOLD",IF(AND(G1268&lt;&gt;"IN",Data!E1269&lt;-5),"BUY",IF(AND(G1268="IN",Data!E1269&gt;0),"SELL","HOLD")))</f>
        <v>HOLD</v>
      </c>
      <c r="D1269" s="14" t="str">
        <f aca="false">IF(C1269="BUY",B1269,IF(G1268="IN",D1268,""))</f>
        <v/>
      </c>
      <c r="E1269" s="14" t="str">
        <f aca="false">IF(C1269="SELL",B1269,"")</f>
        <v/>
      </c>
      <c r="F1269" s="14" t="str">
        <f aca="false">IF(E1269="","",(E1269-D1269)/D1269*100)</f>
        <v/>
      </c>
      <c r="G1269" s="0" t="str">
        <f aca="false">IF(C1269="BUY","IN",IF(C1269="SELL","OUT",IF(G1268="IN","IN","OUT")))</f>
        <v>OUT</v>
      </c>
      <c r="H1269" s="14" t="n">
        <f aca="false">H1268+IF(F1269="",0,F1269)</f>
        <v>18.4377121828058</v>
      </c>
      <c r="I1269" s="14" t="n">
        <f aca="false">MAX(I1268,H1269)</f>
        <v>43.9309628600509</v>
      </c>
      <c r="J1269" s="14" t="n">
        <f aca="false">I1269-H1269</f>
        <v>25.4932506772451</v>
      </c>
    </row>
    <row r="1270" customFormat="false" ht="15" hidden="false" customHeight="false" outlineLevel="0" collapsed="false">
      <c r="A1270" s="12" t="n">
        <f aca="false">Data!A1270</f>
        <v>43851</v>
      </c>
      <c r="B1270" s="14" t="n">
        <f aca="false">Data!B1270</f>
        <v>58.34</v>
      </c>
      <c r="C1270" s="0" t="str">
        <f aca="false">IF(Data!D1270="","HOLD",IF(AND(G1269&lt;&gt;"IN",Data!E1270&lt;-5),"BUY",IF(AND(G1269="IN",Data!E1270&gt;0),"SELL","HOLD")))</f>
        <v>HOLD</v>
      </c>
      <c r="D1270" s="14" t="str">
        <f aca="false">IF(C1270="BUY",B1270,IF(G1269="IN",D1269,""))</f>
        <v/>
      </c>
      <c r="E1270" s="14" t="str">
        <f aca="false">IF(C1270="SELL",B1270,"")</f>
        <v/>
      </c>
      <c r="F1270" s="14" t="str">
        <f aca="false">IF(E1270="","",(E1270-D1270)/D1270*100)</f>
        <v/>
      </c>
      <c r="G1270" s="0" t="str">
        <f aca="false">IF(C1270="BUY","IN",IF(C1270="SELL","OUT",IF(G1269="IN","IN","OUT")))</f>
        <v>OUT</v>
      </c>
      <c r="H1270" s="14" t="n">
        <f aca="false">H1269+IF(F1270="",0,F1270)</f>
        <v>18.4377121828058</v>
      </c>
      <c r="I1270" s="14" t="n">
        <f aca="false">MAX(I1269,H1270)</f>
        <v>43.9309628600509</v>
      </c>
      <c r="J1270" s="14" t="n">
        <f aca="false">I1270-H1270</f>
        <v>25.4932506772451</v>
      </c>
    </row>
    <row r="1271" customFormat="false" ht="15" hidden="false" customHeight="false" outlineLevel="0" collapsed="false">
      <c r="A1271" s="12" t="n">
        <f aca="false">Data!A1271</f>
        <v>43852</v>
      </c>
      <c r="B1271" s="14" t="n">
        <f aca="false">Data!B1271</f>
        <v>56.74</v>
      </c>
      <c r="C1271" s="0" t="str">
        <f aca="false">IF(Data!D1271="","HOLD",IF(AND(G1270&lt;&gt;"IN",Data!E1271&lt;-5),"BUY",IF(AND(G1270="IN",Data!E1271&gt;0),"SELL","HOLD")))</f>
        <v>BUY</v>
      </c>
      <c r="D1271" s="14" t="n">
        <f aca="false">IF(C1271="BUY",B1271,IF(G1270="IN",D1270,""))</f>
        <v>56.74</v>
      </c>
      <c r="E1271" s="14" t="str">
        <f aca="false">IF(C1271="SELL",B1271,"")</f>
        <v/>
      </c>
      <c r="F1271" s="14" t="str">
        <f aca="false">IF(E1271="","",(E1271-D1271)/D1271*100)</f>
        <v/>
      </c>
      <c r="G1271" s="0" t="str">
        <f aca="false">IF(C1271="BUY","IN",IF(C1271="SELL","OUT",IF(G1270="IN","IN","OUT")))</f>
        <v>IN</v>
      </c>
      <c r="H1271" s="14" t="n">
        <f aca="false">H1270+IF(F1271="",0,F1271)</f>
        <v>18.4377121828058</v>
      </c>
      <c r="I1271" s="14" t="n">
        <f aca="false">MAX(I1270,H1271)</f>
        <v>43.9309628600509</v>
      </c>
      <c r="J1271" s="14" t="n">
        <f aca="false">I1271-H1271</f>
        <v>25.4932506772451</v>
      </c>
    </row>
    <row r="1272" customFormat="false" ht="15" hidden="false" customHeight="false" outlineLevel="0" collapsed="false">
      <c r="A1272" s="12" t="n">
        <f aca="false">Data!A1272</f>
        <v>43853</v>
      </c>
      <c r="B1272" s="14" t="n">
        <f aca="false">Data!B1272</f>
        <v>55.59</v>
      </c>
      <c r="C1272" s="0" t="str">
        <f aca="false">IF(Data!D1272="","HOLD",IF(AND(G1271&lt;&gt;"IN",Data!E1272&lt;-5),"BUY",IF(AND(G1271="IN",Data!E1272&gt;0),"SELL","HOLD")))</f>
        <v>HOLD</v>
      </c>
      <c r="D1272" s="14" t="n">
        <f aca="false">IF(C1272="BUY",B1272,IF(G1271="IN",D1271,""))</f>
        <v>56.74</v>
      </c>
      <c r="E1272" s="14" t="str">
        <f aca="false">IF(C1272="SELL",B1272,"")</f>
        <v/>
      </c>
      <c r="F1272" s="14" t="str">
        <f aca="false">IF(E1272="","",(E1272-D1272)/D1272*100)</f>
        <v/>
      </c>
      <c r="G1272" s="0" t="str">
        <f aca="false">IF(C1272="BUY","IN",IF(C1272="SELL","OUT",IF(G1271="IN","IN","OUT")))</f>
        <v>IN</v>
      </c>
      <c r="H1272" s="14" t="n">
        <f aca="false">H1271+IF(F1272="",0,F1272)</f>
        <v>18.4377121828058</v>
      </c>
      <c r="I1272" s="14" t="n">
        <f aca="false">MAX(I1271,H1272)</f>
        <v>43.9309628600509</v>
      </c>
      <c r="J1272" s="14" t="n">
        <f aca="false">I1272-H1272</f>
        <v>25.4932506772451</v>
      </c>
    </row>
    <row r="1273" customFormat="false" ht="15" hidden="false" customHeight="false" outlineLevel="0" collapsed="false">
      <c r="A1273" s="12" t="n">
        <f aca="false">Data!A1273</f>
        <v>43854</v>
      </c>
      <c r="B1273" s="14" t="n">
        <f aca="false">Data!B1273</f>
        <v>54.19</v>
      </c>
      <c r="C1273" s="0" t="str">
        <f aca="false">IF(Data!D1273="","HOLD",IF(AND(G1272&lt;&gt;"IN",Data!E1273&lt;-5),"BUY",IF(AND(G1272="IN",Data!E1273&gt;0),"SELL","HOLD")))</f>
        <v>HOLD</v>
      </c>
      <c r="D1273" s="14" t="n">
        <f aca="false">IF(C1273="BUY",B1273,IF(G1272="IN",D1272,""))</f>
        <v>56.74</v>
      </c>
      <c r="E1273" s="14" t="str">
        <f aca="false">IF(C1273="SELL",B1273,"")</f>
        <v/>
      </c>
      <c r="F1273" s="14" t="str">
        <f aca="false">IF(E1273="","",(E1273-D1273)/D1273*100)</f>
        <v/>
      </c>
      <c r="G1273" s="0" t="str">
        <f aca="false">IF(C1273="BUY","IN",IF(C1273="SELL","OUT",IF(G1272="IN","IN","OUT")))</f>
        <v>IN</v>
      </c>
      <c r="H1273" s="14" t="n">
        <f aca="false">H1272+IF(F1273="",0,F1273)</f>
        <v>18.4377121828058</v>
      </c>
      <c r="I1273" s="14" t="n">
        <f aca="false">MAX(I1272,H1273)</f>
        <v>43.9309628600509</v>
      </c>
      <c r="J1273" s="14" t="n">
        <f aca="false">I1273-H1273</f>
        <v>25.4932506772451</v>
      </c>
    </row>
    <row r="1274" customFormat="false" ht="15" hidden="false" customHeight="false" outlineLevel="0" collapsed="false">
      <c r="A1274" s="12" t="n">
        <f aca="false">Data!A1274</f>
        <v>43857</v>
      </c>
      <c r="B1274" s="14" t="n">
        <f aca="false">Data!B1274</f>
        <v>53.14</v>
      </c>
      <c r="C1274" s="0" t="str">
        <f aca="false">IF(Data!D1274="","HOLD",IF(AND(G1273&lt;&gt;"IN",Data!E1274&lt;-5),"BUY",IF(AND(G1273="IN",Data!E1274&gt;0),"SELL","HOLD")))</f>
        <v>HOLD</v>
      </c>
      <c r="D1274" s="14" t="n">
        <f aca="false">IF(C1274="BUY",B1274,IF(G1273="IN",D1273,""))</f>
        <v>56.74</v>
      </c>
      <c r="E1274" s="14" t="str">
        <f aca="false">IF(C1274="SELL",B1274,"")</f>
        <v/>
      </c>
      <c r="F1274" s="14" t="str">
        <f aca="false">IF(E1274="","",(E1274-D1274)/D1274*100)</f>
        <v/>
      </c>
      <c r="G1274" s="0" t="str">
        <f aca="false">IF(C1274="BUY","IN",IF(C1274="SELL","OUT",IF(G1273="IN","IN","OUT")))</f>
        <v>IN</v>
      </c>
      <c r="H1274" s="14" t="n">
        <f aca="false">H1273+IF(F1274="",0,F1274)</f>
        <v>18.4377121828058</v>
      </c>
      <c r="I1274" s="14" t="n">
        <f aca="false">MAX(I1273,H1274)</f>
        <v>43.9309628600509</v>
      </c>
      <c r="J1274" s="14" t="n">
        <f aca="false">I1274-H1274</f>
        <v>25.4932506772451</v>
      </c>
    </row>
    <row r="1275" customFormat="false" ht="15" hidden="false" customHeight="false" outlineLevel="0" collapsed="false">
      <c r="A1275" s="12" t="n">
        <f aca="false">Data!A1275</f>
        <v>43858</v>
      </c>
      <c r="B1275" s="14" t="n">
        <f aca="false">Data!B1275</f>
        <v>53.48</v>
      </c>
      <c r="C1275" s="0" t="str">
        <f aca="false">IF(Data!D1275="","HOLD",IF(AND(G1274&lt;&gt;"IN",Data!E1275&lt;-5),"BUY",IF(AND(G1274="IN",Data!E1275&gt;0),"SELL","HOLD")))</f>
        <v>HOLD</v>
      </c>
      <c r="D1275" s="14" t="n">
        <f aca="false">IF(C1275="BUY",B1275,IF(G1274="IN",D1274,""))</f>
        <v>56.74</v>
      </c>
      <c r="E1275" s="14" t="str">
        <f aca="false">IF(C1275="SELL",B1275,"")</f>
        <v/>
      </c>
      <c r="F1275" s="14" t="str">
        <f aca="false">IF(E1275="","",(E1275-D1275)/D1275*100)</f>
        <v/>
      </c>
      <c r="G1275" s="0" t="str">
        <f aca="false">IF(C1275="BUY","IN",IF(C1275="SELL","OUT",IF(G1274="IN","IN","OUT")))</f>
        <v>IN</v>
      </c>
      <c r="H1275" s="14" t="n">
        <f aca="false">H1274+IF(F1275="",0,F1275)</f>
        <v>18.4377121828058</v>
      </c>
      <c r="I1275" s="14" t="n">
        <f aca="false">MAX(I1274,H1275)</f>
        <v>43.9309628600509</v>
      </c>
      <c r="J1275" s="14" t="n">
        <f aca="false">I1275-H1275</f>
        <v>25.4932506772451</v>
      </c>
    </row>
    <row r="1276" customFormat="false" ht="15" hidden="false" customHeight="false" outlineLevel="0" collapsed="false">
      <c r="A1276" s="12" t="n">
        <f aca="false">Data!A1276</f>
        <v>43859</v>
      </c>
      <c r="B1276" s="14" t="n">
        <f aca="false">Data!B1276</f>
        <v>53.33</v>
      </c>
      <c r="C1276" s="0" t="str">
        <f aca="false">IF(Data!D1276="","HOLD",IF(AND(G1275&lt;&gt;"IN",Data!E1276&lt;-5),"BUY",IF(AND(G1275="IN",Data!E1276&gt;0),"SELL","HOLD")))</f>
        <v>HOLD</v>
      </c>
      <c r="D1276" s="14" t="n">
        <f aca="false">IF(C1276="BUY",B1276,IF(G1275="IN",D1275,""))</f>
        <v>56.74</v>
      </c>
      <c r="E1276" s="14" t="str">
        <f aca="false">IF(C1276="SELL",B1276,"")</f>
        <v/>
      </c>
      <c r="F1276" s="14" t="str">
        <f aca="false">IF(E1276="","",(E1276-D1276)/D1276*100)</f>
        <v/>
      </c>
      <c r="G1276" s="0" t="str">
        <f aca="false">IF(C1276="BUY","IN",IF(C1276="SELL","OUT",IF(G1275="IN","IN","OUT")))</f>
        <v>IN</v>
      </c>
      <c r="H1276" s="14" t="n">
        <f aca="false">H1275+IF(F1276="",0,F1276)</f>
        <v>18.4377121828058</v>
      </c>
      <c r="I1276" s="14" t="n">
        <f aca="false">MAX(I1275,H1276)</f>
        <v>43.9309628600509</v>
      </c>
      <c r="J1276" s="14" t="n">
        <f aca="false">I1276-H1276</f>
        <v>25.4932506772451</v>
      </c>
    </row>
    <row r="1277" customFormat="false" ht="15" hidden="false" customHeight="false" outlineLevel="0" collapsed="false">
      <c r="A1277" s="12" t="n">
        <f aca="false">Data!A1277</f>
        <v>43860</v>
      </c>
      <c r="B1277" s="14" t="n">
        <f aca="false">Data!B1277</f>
        <v>52.14</v>
      </c>
      <c r="C1277" s="0" t="str">
        <f aca="false">IF(Data!D1277="","HOLD",IF(AND(G1276&lt;&gt;"IN",Data!E1277&lt;-5),"BUY",IF(AND(G1276="IN",Data!E1277&gt;0),"SELL","HOLD")))</f>
        <v>HOLD</v>
      </c>
      <c r="D1277" s="14" t="n">
        <f aca="false">IF(C1277="BUY",B1277,IF(G1276="IN",D1276,""))</f>
        <v>56.74</v>
      </c>
      <c r="E1277" s="14" t="str">
        <f aca="false">IF(C1277="SELL",B1277,"")</f>
        <v/>
      </c>
      <c r="F1277" s="14" t="str">
        <f aca="false">IF(E1277="","",(E1277-D1277)/D1277*100)</f>
        <v/>
      </c>
      <c r="G1277" s="0" t="str">
        <f aca="false">IF(C1277="BUY","IN",IF(C1277="SELL","OUT",IF(G1276="IN","IN","OUT")))</f>
        <v>IN</v>
      </c>
      <c r="H1277" s="14" t="n">
        <f aca="false">H1276+IF(F1277="",0,F1277)</f>
        <v>18.4377121828058</v>
      </c>
      <c r="I1277" s="14" t="n">
        <f aca="false">MAX(I1276,H1277)</f>
        <v>43.9309628600509</v>
      </c>
      <c r="J1277" s="14" t="n">
        <f aca="false">I1277-H1277</f>
        <v>25.4932506772451</v>
      </c>
    </row>
    <row r="1278" customFormat="false" ht="15" hidden="false" customHeight="false" outlineLevel="0" collapsed="false">
      <c r="A1278" s="12" t="n">
        <f aca="false">Data!A1278</f>
        <v>43861</v>
      </c>
      <c r="B1278" s="14" t="n">
        <f aca="false">Data!B1278</f>
        <v>51.56</v>
      </c>
      <c r="C1278" s="0" t="str">
        <f aca="false">IF(Data!D1278="","HOLD",IF(AND(G1277&lt;&gt;"IN",Data!E1278&lt;-5),"BUY",IF(AND(G1277="IN",Data!E1278&gt;0),"SELL","HOLD")))</f>
        <v>HOLD</v>
      </c>
      <c r="D1278" s="14" t="n">
        <f aca="false">IF(C1278="BUY",B1278,IF(G1277="IN",D1277,""))</f>
        <v>56.74</v>
      </c>
      <c r="E1278" s="14" t="str">
        <f aca="false">IF(C1278="SELL",B1278,"")</f>
        <v/>
      </c>
      <c r="F1278" s="14" t="str">
        <f aca="false">IF(E1278="","",(E1278-D1278)/D1278*100)</f>
        <v/>
      </c>
      <c r="G1278" s="0" t="str">
        <f aca="false">IF(C1278="BUY","IN",IF(C1278="SELL","OUT",IF(G1277="IN","IN","OUT")))</f>
        <v>IN</v>
      </c>
      <c r="H1278" s="14" t="n">
        <f aca="false">H1277+IF(F1278="",0,F1278)</f>
        <v>18.4377121828058</v>
      </c>
      <c r="I1278" s="14" t="n">
        <f aca="false">MAX(I1277,H1278)</f>
        <v>43.9309628600509</v>
      </c>
      <c r="J1278" s="14" t="n">
        <f aca="false">I1278-H1278</f>
        <v>25.4932506772451</v>
      </c>
    </row>
    <row r="1279" customFormat="false" ht="15" hidden="false" customHeight="false" outlineLevel="0" collapsed="false">
      <c r="A1279" s="12" t="n">
        <f aca="false">Data!A1279</f>
        <v>43864</v>
      </c>
      <c r="B1279" s="14" t="n">
        <f aca="false">Data!B1279</f>
        <v>50.11</v>
      </c>
      <c r="C1279" s="0" t="str">
        <f aca="false">IF(Data!D1279="","HOLD",IF(AND(G1278&lt;&gt;"IN",Data!E1279&lt;-5),"BUY",IF(AND(G1278="IN",Data!E1279&gt;0),"SELL","HOLD")))</f>
        <v>HOLD</v>
      </c>
      <c r="D1279" s="14" t="n">
        <f aca="false">IF(C1279="BUY",B1279,IF(G1278="IN",D1278,""))</f>
        <v>56.74</v>
      </c>
      <c r="E1279" s="14" t="str">
        <f aca="false">IF(C1279="SELL",B1279,"")</f>
        <v/>
      </c>
      <c r="F1279" s="14" t="str">
        <f aca="false">IF(E1279="","",(E1279-D1279)/D1279*100)</f>
        <v/>
      </c>
      <c r="G1279" s="0" t="str">
        <f aca="false">IF(C1279="BUY","IN",IF(C1279="SELL","OUT",IF(G1278="IN","IN","OUT")))</f>
        <v>IN</v>
      </c>
      <c r="H1279" s="14" t="n">
        <f aca="false">H1278+IF(F1279="",0,F1279)</f>
        <v>18.4377121828058</v>
      </c>
      <c r="I1279" s="14" t="n">
        <f aca="false">MAX(I1278,H1279)</f>
        <v>43.9309628600509</v>
      </c>
      <c r="J1279" s="14" t="n">
        <f aca="false">I1279-H1279</f>
        <v>25.4932506772451</v>
      </c>
    </row>
    <row r="1280" customFormat="false" ht="15" hidden="false" customHeight="false" outlineLevel="0" collapsed="false">
      <c r="A1280" s="12" t="n">
        <f aca="false">Data!A1280</f>
        <v>43865</v>
      </c>
      <c r="B1280" s="14" t="n">
        <f aca="false">Data!B1280</f>
        <v>49.61</v>
      </c>
      <c r="C1280" s="0" t="str">
        <f aca="false">IF(Data!D1280="","HOLD",IF(AND(G1279&lt;&gt;"IN",Data!E1280&lt;-5),"BUY",IF(AND(G1279="IN",Data!E1280&gt;0),"SELL","HOLD")))</f>
        <v>HOLD</v>
      </c>
      <c r="D1280" s="14" t="n">
        <f aca="false">IF(C1280="BUY",B1280,IF(G1279="IN",D1279,""))</f>
        <v>56.74</v>
      </c>
      <c r="E1280" s="14" t="str">
        <f aca="false">IF(C1280="SELL",B1280,"")</f>
        <v/>
      </c>
      <c r="F1280" s="14" t="str">
        <f aca="false">IF(E1280="","",(E1280-D1280)/D1280*100)</f>
        <v/>
      </c>
      <c r="G1280" s="0" t="str">
        <f aca="false">IF(C1280="BUY","IN",IF(C1280="SELL","OUT",IF(G1279="IN","IN","OUT")))</f>
        <v>IN</v>
      </c>
      <c r="H1280" s="14" t="n">
        <f aca="false">H1279+IF(F1280="",0,F1280)</f>
        <v>18.4377121828058</v>
      </c>
      <c r="I1280" s="14" t="n">
        <f aca="false">MAX(I1279,H1280)</f>
        <v>43.9309628600509</v>
      </c>
      <c r="J1280" s="14" t="n">
        <f aca="false">I1280-H1280</f>
        <v>25.4932506772451</v>
      </c>
    </row>
    <row r="1281" customFormat="false" ht="15" hidden="false" customHeight="false" outlineLevel="0" collapsed="false">
      <c r="A1281" s="12" t="n">
        <f aca="false">Data!A1281</f>
        <v>43866</v>
      </c>
      <c r="B1281" s="14" t="n">
        <f aca="false">Data!B1281</f>
        <v>50.75</v>
      </c>
      <c r="C1281" s="0" t="str">
        <f aca="false">IF(Data!D1281="","HOLD",IF(AND(G1280&lt;&gt;"IN",Data!E1281&lt;-5),"BUY",IF(AND(G1280="IN",Data!E1281&gt;0),"SELL","HOLD")))</f>
        <v>HOLD</v>
      </c>
      <c r="D1281" s="14" t="n">
        <f aca="false">IF(C1281="BUY",B1281,IF(G1280="IN",D1280,""))</f>
        <v>56.74</v>
      </c>
      <c r="E1281" s="14" t="str">
        <f aca="false">IF(C1281="SELL",B1281,"")</f>
        <v/>
      </c>
      <c r="F1281" s="14" t="str">
        <f aca="false">IF(E1281="","",(E1281-D1281)/D1281*100)</f>
        <v/>
      </c>
      <c r="G1281" s="0" t="str">
        <f aca="false">IF(C1281="BUY","IN",IF(C1281="SELL","OUT",IF(G1280="IN","IN","OUT")))</f>
        <v>IN</v>
      </c>
      <c r="H1281" s="14" t="n">
        <f aca="false">H1280+IF(F1281="",0,F1281)</f>
        <v>18.4377121828058</v>
      </c>
      <c r="I1281" s="14" t="n">
        <f aca="false">MAX(I1280,H1281)</f>
        <v>43.9309628600509</v>
      </c>
      <c r="J1281" s="14" t="n">
        <f aca="false">I1281-H1281</f>
        <v>25.4932506772451</v>
      </c>
    </row>
    <row r="1282" customFormat="false" ht="15" hidden="false" customHeight="false" outlineLevel="0" collapsed="false">
      <c r="A1282" s="12" t="n">
        <f aca="false">Data!A1282</f>
        <v>43867</v>
      </c>
      <c r="B1282" s="14" t="n">
        <f aca="false">Data!B1282</f>
        <v>50.95</v>
      </c>
      <c r="C1282" s="0" t="str">
        <f aca="false">IF(Data!D1282="","HOLD",IF(AND(G1281&lt;&gt;"IN",Data!E1282&lt;-5),"BUY",IF(AND(G1281="IN",Data!E1282&gt;0),"SELL","HOLD")))</f>
        <v>HOLD</v>
      </c>
      <c r="D1282" s="14" t="n">
        <f aca="false">IF(C1282="BUY",B1282,IF(G1281="IN",D1281,""))</f>
        <v>56.74</v>
      </c>
      <c r="E1282" s="14" t="str">
        <f aca="false">IF(C1282="SELL",B1282,"")</f>
        <v/>
      </c>
      <c r="F1282" s="14" t="str">
        <f aca="false">IF(E1282="","",(E1282-D1282)/D1282*100)</f>
        <v/>
      </c>
      <c r="G1282" s="0" t="str">
        <f aca="false">IF(C1282="BUY","IN",IF(C1282="SELL","OUT",IF(G1281="IN","IN","OUT")))</f>
        <v>IN</v>
      </c>
      <c r="H1282" s="14" t="n">
        <f aca="false">H1281+IF(F1282="",0,F1282)</f>
        <v>18.4377121828058</v>
      </c>
      <c r="I1282" s="14" t="n">
        <f aca="false">MAX(I1281,H1282)</f>
        <v>43.9309628600509</v>
      </c>
      <c r="J1282" s="14" t="n">
        <f aca="false">I1282-H1282</f>
        <v>25.4932506772451</v>
      </c>
    </row>
    <row r="1283" customFormat="false" ht="15" hidden="false" customHeight="false" outlineLevel="0" collapsed="false">
      <c r="A1283" s="12" t="n">
        <f aca="false">Data!A1283</f>
        <v>43868</v>
      </c>
      <c r="B1283" s="14" t="n">
        <f aca="false">Data!B1283</f>
        <v>50.32</v>
      </c>
      <c r="C1283" s="0" t="str">
        <f aca="false">IF(Data!D1283="","HOLD",IF(AND(G1282&lt;&gt;"IN",Data!E1283&lt;-5),"BUY",IF(AND(G1282="IN",Data!E1283&gt;0),"SELL","HOLD")))</f>
        <v>HOLD</v>
      </c>
      <c r="D1283" s="14" t="n">
        <f aca="false">IF(C1283="BUY",B1283,IF(G1282="IN",D1282,""))</f>
        <v>56.74</v>
      </c>
      <c r="E1283" s="14" t="str">
        <f aca="false">IF(C1283="SELL",B1283,"")</f>
        <v/>
      </c>
      <c r="F1283" s="14" t="str">
        <f aca="false">IF(E1283="","",(E1283-D1283)/D1283*100)</f>
        <v/>
      </c>
      <c r="G1283" s="0" t="str">
        <f aca="false">IF(C1283="BUY","IN",IF(C1283="SELL","OUT",IF(G1282="IN","IN","OUT")))</f>
        <v>IN</v>
      </c>
      <c r="H1283" s="14" t="n">
        <f aca="false">H1282+IF(F1283="",0,F1283)</f>
        <v>18.4377121828058</v>
      </c>
      <c r="I1283" s="14" t="n">
        <f aca="false">MAX(I1282,H1283)</f>
        <v>43.9309628600509</v>
      </c>
      <c r="J1283" s="14" t="n">
        <f aca="false">I1283-H1283</f>
        <v>25.4932506772451</v>
      </c>
    </row>
    <row r="1284" customFormat="false" ht="15" hidden="false" customHeight="false" outlineLevel="0" collapsed="false">
      <c r="A1284" s="12" t="n">
        <f aca="false">Data!A1284</f>
        <v>43871</v>
      </c>
      <c r="B1284" s="14" t="n">
        <f aca="false">Data!B1284</f>
        <v>49.57</v>
      </c>
      <c r="C1284" s="0" t="str">
        <f aca="false">IF(Data!D1284="","HOLD",IF(AND(G1283&lt;&gt;"IN",Data!E1284&lt;-5),"BUY",IF(AND(G1283="IN",Data!E1284&gt;0),"SELL","HOLD")))</f>
        <v>HOLD</v>
      </c>
      <c r="D1284" s="14" t="n">
        <f aca="false">IF(C1284="BUY",B1284,IF(G1283="IN",D1283,""))</f>
        <v>56.74</v>
      </c>
      <c r="E1284" s="14" t="str">
        <f aca="false">IF(C1284="SELL",B1284,"")</f>
        <v/>
      </c>
      <c r="F1284" s="14" t="str">
        <f aca="false">IF(E1284="","",(E1284-D1284)/D1284*100)</f>
        <v/>
      </c>
      <c r="G1284" s="0" t="str">
        <f aca="false">IF(C1284="BUY","IN",IF(C1284="SELL","OUT",IF(G1283="IN","IN","OUT")))</f>
        <v>IN</v>
      </c>
      <c r="H1284" s="14" t="n">
        <f aca="false">H1283+IF(F1284="",0,F1284)</f>
        <v>18.4377121828058</v>
      </c>
      <c r="I1284" s="14" t="n">
        <f aca="false">MAX(I1283,H1284)</f>
        <v>43.9309628600509</v>
      </c>
      <c r="J1284" s="14" t="n">
        <f aca="false">I1284-H1284</f>
        <v>25.4932506772451</v>
      </c>
    </row>
    <row r="1285" customFormat="false" ht="15" hidden="false" customHeight="false" outlineLevel="0" collapsed="false">
      <c r="A1285" s="12" t="n">
        <f aca="false">Data!A1285</f>
        <v>43872</v>
      </c>
      <c r="B1285" s="14" t="n">
        <f aca="false">Data!B1285</f>
        <v>49.94</v>
      </c>
      <c r="C1285" s="0" t="str">
        <f aca="false">IF(Data!D1285="","HOLD",IF(AND(G1284&lt;&gt;"IN",Data!E1285&lt;-5),"BUY",IF(AND(G1284="IN",Data!E1285&gt;0),"SELL","HOLD")))</f>
        <v>HOLD</v>
      </c>
      <c r="D1285" s="14" t="n">
        <f aca="false">IF(C1285="BUY",B1285,IF(G1284="IN",D1284,""))</f>
        <v>56.74</v>
      </c>
      <c r="E1285" s="14" t="str">
        <f aca="false">IF(C1285="SELL",B1285,"")</f>
        <v/>
      </c>
      <c r="F1285" s="14" t="str">
        <f aca="false">IF(E1285="","",(E1285-D1285)/D1285*100)</f>
        <v/>
      </c>
      <c r="G1285" s="0" t="str">
        <f aca="false">IF(C1285="BUY","IN",IF(C1285="SELL","OUT",IF(G1284="IN","IN","OUT")))</f>
        <v>IN</v>
      </c>
      <c r="H1285" s="14" t="n">
        <f aca="false">H1284+IF(F1285="",0,F1285)</f>
        <v>18.4377121828058</v>
      </c>
      <c r="I1285" s="14" t="n">
        <f aca="false">MAX(I1284,H1285)</f>
        <v>43.9309628600509</v>
      </c>
      <c r="J1285" s="14" t="n">
        <f aca="false">I1285-H1285</f>
        <v>25.4932506772451</v>
      </c>
    </row>
    <row r="1286" customFormat="false" ht="15" hidden="false" customHeight="false" outlineLevel="0" collapsed="false">
      <c r="A1286" s="12" t="n">
        <f aca="false">Data!A1286</f>
        <v>43873</v>
      </c>
      <c r="B1286" s="14" t="n">
        <f aca="false">Data!B1286</f>
        <v>51.17</v>
      </c>
      <c r="C1286" s="0" t="str">
        <f aca="false">IF(Data!D1286="","HOLD",IF(AND(G1285&lt;&gt;"IN",Data!E1286&lt;-5),"BUY",IF(AND(G1285="IN",Data!E1286&gt;0),"SELL","HOLD")))</f>
        <v>HOLD</v>
      </c>
      <c r="D1286" s="14" t="n">
        <f aca="false">IF(C1286="BUY",B1286,IF(G1285="IN",D1285,""))</f>
        <v>56.74</v>
      </c>
      <c r="E1286" s="14" t="str">
        <f aca="false">IF(C1286="SELL",B1286,"")</f>
        <v/>
      </c>
      <c r="F1286" s="14" t="str">
        <f aca="false">IF(E1286="","",(E1286-D1286)/D1286*100)</f>
        <v/>
      </c>
      <c r="G1286" s="0" t="str">
        <f aca="false">IF(C1286="BUY","IN",IF(C1286="SELL","OUT",IF(G1285="IN","IN","OUT")))</f>
        <v>IN</v>
      </c>
      <c r="H1286" s="14" t="n">
        <f aca="false">H1285+IF(F1286="",0,F1286)</f>
        <v>18.4377121828058</v>
      </c>
      <c r="I1286" s="14" t="n">
        <f aca="false">MAX(I1285,H1286)</f>
        <v>43.9309628600509</v>
      </c>
      <c r="J1286" s="14" t="n">
        <f aca="false">I1286-H1286</f>
        <v>25.4932506772451</v>
      </c>
    </row>
    <row r="1287" customFormat="false" ht="15" hidden="false" customHeight="false" outlineLevel="0" collapsed="false">
      <c r="A1287" s="12" t="n">
        <f aca="false">Data!A1287</f>
        <v>43874</v>
      </c>
      <c r="B1287" s="14" t="n">
        <f aca="false">Data!B1287</f>
        <v>51.42</v>
      </c>
      <c r="C1287" s="0" t="str">
        <f aca="false">IF(Data!D1287="","HOLD",IF(AND(G1286&lt;&gt;"IN",Data!E1287&lt;-5),"BUY",IF(AND(G1286="IN",Data!E1287&gt;0),"SELL","HOLD")))</f>
        <v>HOLD</v>
      </c>
      <c r="D1287" s="14" t="n">
        <f aca="false">IF(C1287="BUY",B1287,IF(G1286="IN",D1286,""))</f>
        <v>56.74</v>
      </c>
      <c r="E1287" s="14" t="str">
        <f aca="false">IF(C1287="SELL",B1287,"")</f>
        <v/>
      </c>
      <c r="F1287" s="14" t="str">
        <f aca="false">IF(E1287="","",(E1287-D1287)/D1287*100)</f>
        <v/>
      </c>
      <c r="G1287" s="0" t="str">
        <f aca="false">IF(C1287="BUY","IN",IF(C1287="SELL","OUT",IF(G1286="IN","IN","OUT")))</f>
        <v>IN</v>
      </c>
      <c r="H1287" s="14" t="n">
        <f aca="false">H1286+IF(F1287="",0,F1287)</f>
        <v>18.4377121828058</v>
      </c>
      <c r="I1287" s="14" t="n">
        <f aca="false">MAX(I1286,H1287)</f>
        <v>43.9309628600509</v>
      </c>
      <c r="J1287" s="14" t="n">
        <f aca="false">I1287-H1287</f>
        <v>25.4932506772451</v>
      </c>
    </row>
    <row r="1288" customFormat="false" ht="15" hidden="false" customHeight="false" outlineLevel="0" collapsed="false">
      <c r="A1288" s="12" t="n">
        <f aca="false">Data!A1288</f>
        <v>43875</v>
      </c>
      <c r="B1288" s="14" t="n">
        <f aca="false">Data!B1288</f>
        <v>52.05</v>
      </c>
      <c r="C1288" s="0" t="str">
        <f aca="false">IF(Data!D1288="","HOLD",IF(AND(G1287&lt;&gt;"IN",Data!E1288&lt;-5),"BUY",IF(AND(G1287="IN",Data!E1288&gt;0),"SELL","HOLD")))</f>
        <v>HOLD</v>
      </c>
      <c r="D1288" s="14" t="n">
        <f aca="false">IF(C1288="BUY",B1288,IF(G1287="IN",D1287,""))</f>
        <v>56.74</v>
      </c>
      <c r="E1288" s="14" t="str">
        <f aca="false">IF(C1288="SELL",B1288,"")</f>
        <v/>
      </c>
      <c r="F1288" s="14" t="str">
        <f aca="false">IF(E1288="","",(E1288-D1288)/D1288*100)</f>
        <v/>
      </c>
      <c r="G1288" s="0" t="str">
        <f aca="false">IF(C1288="BUY","IN",IF(C1288="SELL","OUT",IF(G1287="IN","IN","OUT")))</f>
        <v>IN</v>
      </c>
      <c r="H1288" s="14" t="n">
        <f aca="false">H1287+IF(F1288="",0,F1288)</f>
        <v>18.4377121828058</v>
      </c>
      <c r="I1288" s="14" t="n">
        <f aca="false">MAX(I1287,H1288)</f>
        <v>43.9309628600509</v>
      </c>
      <c r="J1288" s="14" t="n">
        <f aca="false">I1288-H1288</f>
        <v>25.4932506772451</v>
      </c>
    </row>
    <row r="1289" customFormat="false" ht="15" hidden="false" customHeight="false" outlineLevel="0" collapsed="false">
      <c r="A1289" s="12" t="n">
        <f aca="false">Data!A1289</f>
        <v>43879</v>
      </c>
      <c r="B1289" s="14" t="n">
        <f aca="false">Data!B1289</f>
        <v>52.05</v>
      </c>
      <c r="C1289" s="0" t="str">
        <f aca="false">IF(Data!D1289="","HOLD",IF(AND(G1288&lt;&gt;"IN",Data!E1289&lt;-5),"BUY",IF(AND(G1288="IN",Data!E1289&gt;0),"SELL","HOLD")))</f>
        <v>HOLD</v>
      </c>
      <c r="D1289" s="14" t="n">
        <f aca="false">IF(C1289="BUY",B1289,IF(G1288="IN",D1288,""))</f>
        <v>56.74</v>
      </c>
      <c r="E1289" s="14" t="str">
        <f aca="false">IF(C1289="SELL",B1289,"")</f>
        <v/>
      </c>
      <c r="F1289" s="14" t="str">
        <f aca="false">IF(E1289="","",(E1289-D1289)/D1289*100)</f>
        <v/>
      </c>
      <c r="G1289" s="0" t="str">
        <f aca="false">IF(C1289="BUY","IN",IF(C1289="SELL","OUT",IF(G1288="IN","IN","OUT")))</f>
        <v>IN</v>
      </c>
      <c r="H1289" s="14" t="n">
        <f aca="false">H1288+IF(F1289="",0,F1289)</f>
        <v>18.4377121828058</v>
      </c>
      <c r="I1289" s="14" t="n">
        <f aca="false">MAX(I1288,H1289)</f>
        <v>43.9309628600509</v>
      </c>
      <c r="J1289" s="14" t="n">
        <f aca="false">I1289-H1289</f>
        <v>25.4932506772451</v>
      </c>
    </row>
    <row r="1290" customFormat="false" ht="15" hidden="false" customHeight="false" outlineLevel="0" collapsed="false">
      <c r="A1290" s="12" t="n">
        <f aca="false">Data!A1290</f>
        <v>43880</v>
      </c>
      <c r="B1290" s="14" t="n">
        <f aca="false">Data!B1290</f>
        <v>53.29</v>
      </c>
      <c r="C1290" s="0" t="str">
        <f aca="false">IF(Data!D1290="","HOLD",IF(AND(G1289&lt;&gt;"IN",Data!E1290&lt;-5),"BUY",IF(AND(G1289="IN",Data!E1290&gt;0),"SELL","HOLD")))</f>
        <v>SELL</v>
      </c>
      <c r="D1290" s="14" t="n">
        <f aca="false">IF(C1290="BUY",B1290,IF(G1289="IN",D1289,""))</f>
        <v>56.74</v>
      </c>
      <c r="E1290" s="14" t="n">
        <f aca="false">IF(C1290="SELL",B1290,"")</f>
        <v>53.29</v>
      </c>
      <c r="F1290" s="14" t="n">
        <f aca="false">IF(E1290="","",(E1290-D1290)/D1290*100)</f>
        <v>-6.08036658442017</v>
      </c>
      <c r="G1290" s="0" t="str">
        <f aca="false">IF(C1290="BUY","IN",IF(C1290="SELL","OUT",IF(G1289="IN","IN","OUT")))</f>
        <v>OUT</v>
      </c>
      <c r="H1290" s="14" t="n">
        <f aca="false">H1289+IF(F1290="",0,F1290)</f>
        <v>12.3573455983856</v>
      </c>
      <c r="I1290" s="14" t="n">
        <f aca="false">MAX(I1289,H1290)</f>
        <v>43.9309628600509</v>
      </c>
      <c r="J1290" s="14" t="n">
        <f aca="false">I1290-H1290</f>
        <v>31.5736172616652</v>
      </c>
    </row>
    <row r="1291" customFormat="false" ht="15" hidden="false" customHeight="false" outlineLevel="0" collapsed="false">
      <c r="A1291" s="12" t="n">
        <f aca="false">Data!A1291</f>
        <v>43881</v>
      </c>
      <c r="B1291" s="14" t="n">
        <f aca="false">Data!B1291</f>
        <v>53.78</v>
      </c>
      <c r="C1291" s="0" t="str">
        <f aca="false">IF(Data!D1291="","HOLD",IF(AND(G1290&lt;&gt;"IN",Data!E1291&lt;-5),"BUY",IF(AND(G1290="IN",Data!E1291&gt;0),"SELL","HOLD")))</f>
        <v>HOLD</v>
      </c>
      <c r="D1291" s="14" t="str">
        <f aca="false">IF(C1291="BUY",B1291,IF(G1290="IN",D1290,""))</f>
        <v/>
      </c>
      <c r="E1291" s="14" t="str">
        <f aca="false">IF(C1291="SELL",B1291,"")</f>
        <v/>
      </c>
      <c r="F1291" s="14" t="str">
        <f aca="false">IF(E1291="","",(E1291-D1291)/D1291*100)</f>
        <v/>
      </c>
      <c r="G1291" s="0" t="str">
        <f aca="false">IF(C1291="BUY","IN",IF(C1291="SELL","OUT",IF(G1290="IN","IN","OUT")))</f>
        <v>OUT</v>
      </c>
      <c r="H1291" s="14" t="n">
        <f aca="false">H1290+IF(F1291="",0,F1291)</f>
        <v>12.3573455983856</v>
      </c>
      <c r="I1291" s="14" t="n">
        <f aca="false">MAX(I1290,H1291)</f>
        <v>43.9309628600509</v>
      </c>
      <c r="J1291" s="14" t="n">
        <f aca="false">I1291-H1291</f>
        <v>31.5736172616652</v>
      </c>
    </row>
    <row r="1292" customFormat="false" ht="15" hidden="false" customHeight="false" outlineLevel="0" collapsed="false">
      <c r="A1292" s="12" t="n">
        <f aca="false">Data!A1292</f>
        <v>43882</v>
      </c>
      <c r="B1292" s="14" t="n">
        <f aca="false">Data!B1292</f>
        <v>53.38</v>
      </c>
      <c r="C1292" s="0" t="str">
        <f aca="false">IF(Data!D1292="","HOLD",IF(AND(G1291&lt;&gt;"IN",Data!E1292&lt;-5),"BUY",IF(AND(G1291="IN",Data!E1292&gt;0),"SELL","HOLD")))</f>
        <v>HOLD</v>
      </c>
      <c r="D1292" s="14" t="str">
        <f aca="false">IF(C1292="BUY",B1292,IF(G1291="IN",D1291,""))</f>
        <v/>
      </c>
      <c r="E1292" s="14" t="str">
        <f aca="false">IF(C1292="SELL",B1292,"")</f>
        <v/>
      </c>
      <c r="F1292" s="14" t="str">
        <f aca="false">IF(E1292="","",(E1292-D1292)/D1292*100)</f>
        <v/>
      </c>
      <c r="G1292" s="0" t="str">
        <f aca="false">IF(C1292="BUY","IN",IF(C1292="SELL","OUT",IF(G1291="IN","IN","OUT")))</f>
        <v>OUT</v>
      </c>
      <c r="H1292" s="14" t="n">
        <f aca="false">H1291+IF(F1292="",0,F1292)</f>
        <v>12.3573455983856</v>
      </c>
      <c r="I1292" s="14" t="n">
        <f aca="false">MAX(I1291,H1292)</f>
        <v>43.9309628600509</v>
      </c>
      <c r="J1292" s="14" t="n">
        <f aca="false">I1292-H1292</f>
        <v>31.5736172616652</v>
      </c>
    </row>
    <row r="1293" customFormat="false" ht="15" hidden="false" customHeight="false" outlineLevel="0" collapsed="false">
      <c r="A1293" s="12" t="n">
        <f aca="false">Data!A1293</f>
        <v>43885</v>
      </c>
      <c r="B1293" s="14" t="n">
        <f aca="false">Data!B1293</f>
        <v>51.43</v>
      </c>
      <c r="C1293" s="0" t="str">
        <f aca="false">IF(Data!D1293="","HOLD",IF(AND(G1292&lt;&gt;"IN",Data!E1293&lt;-5),"BUY",IF(AND(G1292="IN",Data!E1293&gt;0),"SELL","HOLD")))</f>
        <v>HOLD</v>
      </c>
      <c r="D1293" s="14" t="str">
        <f aca="false">IF(C1293="BUY",B1293,IF(G1292="IN",D1292,""))</f>
        <v/>
      </c>
      <c r="E1293" s="14" t="str">
        <f aca="false">IF(C1293="SELL",B1293,"")</f>
        <v/>
      </c>
      <c r="F1293" s="14" t="str">
        <f aca="false">IF(E1293="","",(E1293-D1293)/D1293*100)</f>
        <v/>
      </c>
      <c r="G1293" s="0" t="str">
        <f aca="false">IF(C1293="BUY","IN",IF(C1293="SELL","OUT",IF(G1292="IN","IN","OUT")))</f>
        <v>OUT</v>
      </c>
      <c r="H1293" s="14" t="n">
        <f aca="false">H1292+IF(F1293="",0,F1293)</f>
        <v>12.3573455983856</v>
      </c>
      <c r="I1293" s="14" t="n">
        <f aca="false">MAX(I1292,H1293)</f>
        <v>43.9309628600509</v>
      </c>
      <c r="J1293" s="14" t="n">
        <f aca="false">I1293-H1293</f>
        <v>31.5736172616652</v>
      </c>
    </row>
    <row r="1294" customFormat="false" ht="15" hidden="false" customHeight="false" outlineLevel="0" collapsed="false">
      <c r="A1294" s="12" t="n">
        <f aca="false">Data!A1294</f>
        <v>43886</v>
      </c>
      <c r="B1294" s="14" t="n">
        <f aca="false">Data!B1294</f>
        <v>49.9</v>
      </c>
      <c r="C1294" s="0" t="str">
        <f aca="false">IF(Data!D1294="","HOLD",IF(AND(G1293&lt;&gt;"IN",Data!E1294&lt;-5),"BUY",IF(AND(G1293="IN",Data!E1294&gt;0),"SELL","HOLD")))</f>
        <v>HOLD</v>
      </c>
      <c r="D1294" s="14" t="str">
        <f aca="false">IF(C1294="BUY",B1294,IF(G1293="IN",D1293,""))</f>
        <v/>
      </c>
      <c r="E1294" s="14" t="str">
        <f aca="false">IF(C1294="SELL",B1294,"")</f>
        <v/>
      </c>
      <c r="F1294" s="14" t="str">
        <f aca="false">IF(E1294="","",(E1294-D1294)/D1294*100)</f>
        <v/>
      </c>
      <c r="G1294" s="0" t="str">
        <f aca="false">IF(C1294="BUY","IN",IF(C1294="SELL","OUT",IF(G1293="IN","IN","OUT")))</f>
        <v>OUT</v>
      </c>
      <c r="H1294" s="14" t="n">
        <f aca="false">H1293+IF(F1294="",0,F1294)</f>
        <v>12.3573455983856</v>
      </c>
      <c r="I1294" s="14" t="n">
        <f aca="false">MAX(I1293,H1294)</f>
        <v>43.9309628600509</v>
      </c>
      <c r="J1294" s="14" t="n">
        <f aca="false">I1294-H1294</f>
        <v>31.5736172616652</v>
      </c>
    </row>
    <row r="1295" customFormat="false" ht="15" hidden="false" customHeight="false" outlineLevel="0" collapsed="false">
      <c r="A1295" s="12" t="n">
        <f aca="false">Data!A1295</f>
        <v>43887</v>
      </c>
      <c r="B1295" s="14" t="n">
        <f aca="false">Data!B1295</f>
        <v>48.73</v>
      </c>
      <c r="C1295" s="0" t="str">
        <f aca="false">IF(Data!D1295="","HOLD",IF(AND(G1294&lt;&gt;"IN",Data!E1295&lt;-5),"BUY",IF(AND(G1294="IN",Data!E1295&gt;0),"SELL","HOLD")))</f>
        <v>HOLD</v>
      </c>
      <c r="D1295" s="14" t="str">
        <f aca="false">IF(C1295="BUY",B1295,IF(G1294="IN",D1294,""))</f>
        <v/>
      </c>
      <c r="E1295" s="14" t="str">
        <f aca="false">IF(C1295="SELL",B1295,"")</f>
        <v/>
      </c>
      <c r="F1295" s="14" t="str">
        <f aca="false">IF(E1295="","",(E1295-D1295)/D1295*100)</f>
        <v/>
      </c>
      <c r="G1295" s="0" t="str">
        <f aca="false">IF(C1295="BUY","IN",IF(C1295="SELL","OUT",IF(G1294="IN","IN","OUT")))</f>
        <v>OUT</v>
      </c>
      <c r="H1295" s="14" t="n">
        <f aca="false">H1294+IF(F1295="",0,F1295)</f>
        <v>12.3573455983856</v>
      </c>
      <c r="I1295" s="14" t="n">
        <f aca="false">MAX(I1294,H1295)</f>
        <v>43.9309628600509</v>
      </c>
      <c r="J1295" s="14" t="n">
        <f aca="false">I1295-H1295</f>
        <v>31.5736172616652</v>
      </c>
    </row>
    <row r="1296" customFormat="false" ht="15" hidden="false" customHeight="false" outlineLevel="0" collapsed="false">
      <c r="A1296" s="12" t="n">
        <f aca="false">Data!A1296</f>
        <v>43888</v>
      </c>
      <c r="B1296" s="14" t="n">
        <f aca="false">Data!B1296</f>
        <v>47.09</v>
      </c>
      <c r="C1296" s="0" t="str">
        <f aca="false">IF(Data!D1296="","HOLD",IF(AND(G1295&lt;&gt;"IN",Data!E1296&lt;-5),"BUY",IF(AND(G1295="IN",Data!E1296&gt;0),"SELL","HOLD")))</f>
        <v>BUY</v>
      </c>
      <c r="D1296" s="14" t="n">
        <f aca="false">IF(C1296="BUY",B1296,IF(G1295="IN",D1295,""))</f>
        <v>47.09</v>
      </c>
      <c r="E1296" s="14" t="str">
        <f aca="false">IF(C1296="SELL",B1296,"")</f>
        <v/>
      </c>
      <c r="F1296" s="14" t="str">
        <f aca="false">IF(E1296="","",(E1296-D1296)/D1296*100)</f>
        <v/>
      </c>
      <c r="G1296" s="0" t="str">
        <f aca="false">IF(C1296="BUY","IN",IF(C1296="SELL","OUT",IF(G1295="IN","IN","OUT")))</f>
        <v>IN</v>
      </c>
      <c r="H1296" s="14" t="n">
        <f aca="false">H1295+IF(F1296="",0,F1296)</f>
        <v>12.3573455983856</v>
      </c>
      <c r="I1296" s="14" t="n">
        <f aca="false">MAX(I1295,H1296)</f>
        <v>43.9309628600509</v>
      </c>
      <c r="J1296" s="14" t="n">
        <f aca="false">I1296-H1296</f>
        <v>31.5736172616652</v>
      </c>
    </row>
    <row r="1297" customFormat="false" ht="15" hidden="false" customHeight="false" outlineLevel="0" collapsed="false">
      <c r="A1297" s="12" t="n">
        <f aca="false">Data!A1297</f>
        <v>43889</v>
      </c>
      <c r="B1297" s="14" t="n">
        <f aca="false">Data!B1297</f>
        <v>44.76</v>
      </c>
      <c r="C1297" s="0" t="str">
        <f aca="false">IF(Data!D1297="","HOLD",IF(AND(G1296&lt;&gt;"IN",Data!E1297&lt;-5),"BUY",IF(AND(G1296="IN",Data!E1297&gt;0),"SELL","HOLD")))</f>
        <v>HOLD</v>
      </c>
      <c r="D1297" s="14" t="n">
        <f aca="false">IF(C1297="BUY",B1297,IF(G1296="IN",D1296,""))</f>
        <v>47.09</v>
      </c>
      <c r="E1297" s="14" t="str">
        <f aca="false">IF(C1297="SELL",B1297,"")</f>
        <v/>
      </c>
      <c r="F1297" s="14" t="str">
        <f aca="false">IF(E1297="","",(E1297-D1297)/D1297*100)</f>
        <v/>
      </c>
      <c r="G1297" s="0" t="str">
        <f aca="false">IF(C1297="BUY","IN",IF(C1297="SELL","OUT",IF(G1296="IN","IN","OUT")))</f>
        <v>IN</v>
      </c>
      <c r="H1297" s="14" t="n">
        <f aca="false">H1296+IF(F1297="",0,F1297)</f>
        <v>12.3573455983856</v>
      </c>
      <c r="I1297" s="14" t="n">
        <f aca="false">MAX(I1296,H1297)</f>
        <v>43.9309628600509</v>
      </c>
      <c r="J1297" s="14" t="n">
        <f aca="false">I1297-H1297</f>
        <v>31.5736172616652</v>
      </c>
    </row>
    <row r="1298" customFormat="false" ht="15" hidden="false" customHeight="false" outlineLevel="0" collapsed="false">
      <c r="A1298" s="12" t="n">
        <f aca="false">Data!A1298</f>
        <v>43892</v>
      </c>
      <c r="B1298" s="14" t="n">
        <f aca="false">Data!B1298</f>
        <v>46.75</v>
      </c>
      <c r="C1298" s="0" t="str">
        <f aca="false">IF(Data!D1298="","HOLD",IF(AND(G1297&lt;&gt;"IN",Data!E1298&lt;-5),"BUY",IF(AND(G1297="IN",Data!E1298&gt;0),"SELL","HOLD")))</f>
        <v>HOLD</v>
      </c>
      <c r="D1298" s="14" t="n">
        <f aca="false">IF(C1298="BUY",B1298,IF(G1297="IN",D1297,""))</f>
        <v>47.09</v>
      </c>
      <c r="E1298" s="14" t="str">
        <f aca="false">IF(C1298="SELL",B1298,"")</f>
        <v/>
      </c>
      <c r="F1298" s="14" t="str">
        <f aca="false">IF(E1298="","",(E1298-D1298)/D1298*100)</f>
        <v/>
      </c>
      <c r="G1298" s="0" t="str">
        <f aca="false">IF(C1298="BUY","IN",IF(C1298="SELL","OUT",IF(G1297="IN","IN","OUT")))</f>
        <v>IN</v>
      </c>
      <c r="H1298" s="14" t="n">
        <f aca="false">H1297+IF(F1298="",0,F1298)</f>
        <v>12.3573455983856</v>
      </c>
      <c r="I1298" s="14" t="n">
        <f aca="false">MAX(I1297,H1298)</f>
        <v>43.9309628600509</v>
      </c>
      <c r="J1298" s="14" t="n">
        <f aca="false">I1298-H1298</f>
        <v>31.5736172616652</v>
      </c>
    </row>
    <row r="1299" customFormat="false" ht="15" hidden="false" customHeight="false" outlineLevel="0" collapsed="false">
      <c r="A1299" s="12" t="n">
        <f aca="false">Data!A1299</f>
        <v>43893</v>
      </c>
      <c r="B1299" s="14" t="n">
        <f aca="false">Data!B1299</f>
        <v>47.18</v>
      </c>
      <c r="C1299" s="0" t="str">
        <f aca="false">IF(Data!D1299="","HOLD",IF(AND(G1298&lt;&gt;"IN",Data!E1299&lt;-5),"BUY",IF(AND(G1298="IN",Data!E1299&gt;0),"SELL","HOLD")))</f>
        <v>HOLD</v>
      </c>
      <c r="D1299" s="14" t="n">
        <f aca="false">IF(C1299="BUY",B1299,IF(G1298="IN",D1298,""))</f>
        <v>47.09</v>
      </c>
      <c r="E1299" s="14" t="str">
        <f aca="false">IF(C1299="SELL",B1299,"")</f>
        <v/>
      </c>
      <c r="F1299" s="14" t="str">
        <f aca="false">IF(E1299="","",(E1299-D1299)/D1299*100)</f>
        <v/>
      </c>
      <c r="G1299" s="0" t="str">
        <f aca="false">IF(C1299="BUY","IN",IF(C1299="SELL","OUT",IF(G1298="IN","IN","OUT")))</f>
        <v>IN</v>
      </c>
      <c r="H1299" s="14" t="n">
        <f aca="false">H1298+IF(F1299="",0,F1299)</f>
        <v>12.3573455983856</v>
      </c>
      <c r="I1299" s="14" t="n">
        <f aca="false">MAX(I1298,H1299)</f>
        <v>43.9309628600509</v>
      </c>
      <c r="J1299" s="14" t="n">
        <f aca="false">I1299-H1299</f>
        <v>31.5736172616652</v>
      </c>
    </row>
    <row r="1300" customFormat="false" ht="15" hidden="false" customHeight="false" outlineLevel="0" collapsed="false">
      <c r="A1300" s="12" t="n">
        <f aca="false">Data!A1300</f>
        <v>43894</v>
      </c>
      <c r="B1300" s="14" t="n">
        <f aca="false">Data!B1300</f>
        <v>46.78</v>
      </c>
      <c r="C1300" s="0" t="str">
        <f aca="false">IF(Data!D1300="","HOLD",IF(AND(G1299&lt;&gt;"IN",Data!E1300&lt;-5),"BUY",IF(AND(G1299="IN",Data!E1300&gt;0),"SELL","HOLD")))</f>
        <v>HOLD</v>
      </c>
      <c r="D1300" s="14" t="n">
        <f aca="false">IF(C1300="BUY",B1300,IF(G1299="IN",D1299,""))</f>
        <v>47.09</v>
      </c>
      <c r="E1300" s="14" t="str">
        <f aca="false">IF(C1300="SELL",B1300,"")</f>
        <v/>
      </c>
      <c r="F1300" s="14" t="str">
        <f aca="false">IF(E1300="","",(E1300-D1300)/D1300*100)</f>
        <v/>
      </c>
      <c r="G1300" s="0" t="str">
        <f aca="false">IF(C1300="BUY","IN",IF(C1300="SELL","OUT",IF(G1299="IN","IN","OUT")))</f>
        <v>IN</v>
      </c>
      <c r="H1300" s="14" t="n">
        <f aca="false">H1299+IF(F1300="",0,F1300)</f>
        <v>12.3573455983856</v>
      </c>
      <c r="I1300" s="14" t="n">
        <f aca="false">MAX(I1299,H1300)</f>
        <v>43.9309628600509</v>
      </c>
      <c r="J1300" s="14" t="n">
        <f aca="false">I1300-H1300</f>
        <v>31.5736172616652</v>
      </c>
    </row>
    <row r="1301" customFormat="false" ht="15" hidden="false" customHeight="false" outlineLevel="0" collapsed="false">
      <c r="A1301" s="12" t="n">
        <f aca="false">Data!A1301</f>
        <v>43895</v>
      </c>
      <c r="B1301" s="14" t="n">
        <f aca="false">Data!B1301</f>
        <v>45.9</v>
      </c>
      <c r="C1301" s="0" t="str">
        <f aca="false">IF(Data!D1301="","HOLD",IF(AND(G1300&lt;&gt;"IN",Data!E1301&lt;-5),"BUY",IF(AND(G1300="IN",Data!E1301&gt;0),"SELL","HOLD")))</f>
        <v>HOLD</v>
      </c>
      <c r="D1301" s="14" t="n">
        <f aca="false">IF(C1301="BUY",B1301,IF(G1300="IN",D1300,""))</f>
        <v>47.09</v>
      </c>
      <c r="E1301" s="14" t="str">
        <f aca="false">IF(C1301="SELL",B1301,"")</f>
        <v/>
      </c>
      <c r="F1301" s="14" t="str">
        <f aca="false">IF(E1301="","",(E1301-D1301)/D1301*100)</f>
        <v/>
      </c>
      <c r="G1301" s="0" t="str">
        <f aca="false">IF(C1301="BUY","IN",IF(C1301="SELL","OUT",IF(G1300="IN","IN","OUT")))</f>
        <v>IN</v>
      </c>
      <c r="H1301" s="14" t="n">
        <f aca="false">H1300+IF(F1301="",0,F1301)</f>
        <v>12.3573455983856</v>
      </c>
      <c r="I1301" s="14" t="n">
        <f aca="false">MAX(I1300,H1301)</f>
        <v>43.9309628600509</v>
      </c>
      <c r="J1301" s="14" t="n">
        <f aca="false">I1301-H1301</f>
        <v>31.5736172616652</v>
      </c>
    </row>
    <row r="1302" customFormat="false" ht="15" hidden="false" customHeight="false" outlineLevel="0" collapsed="false">
      <c r="A1302" s="12" t="n">
        <f aca="false">Data!A1302</f>
        <v>43896</v>
      </c>
      <c r="B1302" s="14" t="n">
        <f aca="false">Data!B1302</f>
        <v>41.28</v>
      </c>
      <c r="C1302" s="0" t="str">
        <f aca="false">IF(Data!D1302="","HOLD",IF(AND(G1301&lt;&gt;"IN",Data!E1302&lt;-5),"BUY",IF(AND(G1301="IN",Data!E1302&gt;0),"SELL","HOLD")))</f>
        <v>HOLD</v>
      </c>
      <c r="D1302" s="14" t="n">
        <f aca="false">IF(C1302="BUY",B1302,IF(G1301="IN",D1301,""))</f>
        <v>47.09</v>
      </c>
      <c r="E1302" s="14" t="str">
        <f aca="false">IF(C1302="SELL",B1302,"")</f>
        <v/>
      </c>
      <c r="F1302" s="14" t="str">
        <f aca="false">IF(E1302="","",(E1302-D1302)/D1302*100)</f>
        <v/>
      </c>
      <c r="G1302" s="0" t="str">
        <f aca="false">IF(C1302="BUY","IN",IF(C1302="SELL","OUT",IF(G1301="IN","IN","OUT")))</f>
        <v>IN</v>
      </c>
      <c r="H1302" s="14" t="n">
        <f aca="false">H1301+IF(F1302="",0,F1302)</f>
        <v>12.3573455983856</v>
      </c>
      <c r="I1302" s="14" t="n">
        <f aca="false">MAX(I1301,H1302)</f>
        <v>43.9309628600509</v>
      </c>
      <c r="J1302" s="14" t="n">
        <f aca="false">I1302-H1302</f>
        <v>31.5736172616652</v>
      </c>
    </row>
    <row r="1303" customFormat="false" ht="15" hidden="false" customHeight="false" outlineLevel="0" collapsed="false">
      <c r="A1303" s="12" t="n">
        <f aca="false">Data!A1303</f>
        <v>43899</v>
      </c>
      <c r="B1303" s="14" t="n">
        <f aca="false">Data!B1303</f>
        <v>31.13</v>
      </c>
      <c r="C1303" s="0" t="str">
        <f aca="false">IF(Data!D1303="","HOLD",IF(AND(G1302&lt;&gt;"IN",Data!E1303&lt;-5),"BUY",IF(AND(G1302="IN",Data!E1303&gt;0),"SELL","HOLD")))</f>
        <v>HOLD</v>
      </c>
      <c r="D1303" s="14" t="n">
        <f aca="false">IF(C1303="BUY",B1303,IF(G1302="IN",D1302,""))</f>
        <v>47.09</v>
      </c>
      <c r="E1303" s="14" t="str">
        <f aca="false">IF(C1303="SELL",B1303,"")</f>
        <v/>
      </c>
      <c r="F1303" s="14" t="str">
        <f aca="false">IF(E1303="","",(E1303-D1303)/D1303*100)</f>
        <v/>
      </c>
      <c r="G1303" s="0" t="str">
        <f aca="false">IF(C1303="BUY","IN",IF(C1303="SELL","OUT",IF(G1302="IN","IN","OUT")))</f>
        <v>IN</v>
      </c>
      <c r="H1303" s="14" t="n">
        <f aca="false">H1302+IF(F1303="",0,F1303)</f>
        <v>12.3573455983856</v>
      </c>
      <c r="I1303" s="14" t="n">
        <f aca="false">MAX(I1302,H1303)</f>
        <v>43.9309628600509</v>
      </c>
      <c r="J1303" s="14" t="n">
        <f aca="false">I1303-H1303</f>
        <v>31.5736172616652</v>
      </c>
    </row>
    <row r="1304" customFormat="false" ht="15" hidden="false" customHeight="false" outlineLevel="0" collapsed="false">
      <c r="A1304" s="12" t="n">
        <f aca="false">Data!A1304</f>
        <v>43900</v>
      </c>
      <c r="B1304" s="14" t="n">
        <f aca="false">Data!B1304</f>
        <v>34.36</v>
      </c>
      <c r="C1304" s="0" t="str">
        <f aca="false">IF(Data!D1304="","HOLD",IF(AND(G1303&lt;&gt;"IN",Data!E1304&lt;-5),"BUY",IF(AND(G1303="IN",Data!E1304&gt;0),"SELL","HOLD")))</f>
        <v>HOLD</v>
      </c>
      <c r="D1304" s="14" t="n">
        <f aca="false">IF(C1304="BUY",B1304,IF(G1303="IN",D1303,""))</f>
        <v>47.09</v>
      </c>
      <c r="E1304" s="14" t="str">
        <f aca="false">IF(C1304="SELL",B1304,"")</f>
        <v/>
      </c>
      <c r="F1304" s="14" t="str">
        <f aca="false">IF(E1304="","",(E1304-D1304)/D1304*100)</f>
        <v/>
      </c>
      <c r="G1304" s="0" t="str">
        <f aca="false">IF(C1304="BUY","IN",IF(C1304="SELL","OUT",IF(G1303="IN","IN","OUT")))</f>
        <v>IN</v>
      </c>
      <c r="H1304" s="14" t="n">
        <f aca="false">H1303+IF(F1304="",0,F1304)</f>
        <v>12.3573455983856</v>
      </c>
      <c r="I1304" s="14" t="n">
        <f aca="false">MAX(I1303,H1304)</f>
        <v>43.9309628600509</v>
      </c>
      <c r="J1304" s="14" t="n">
        <f aca="false">I1304-H1304</f>
        <v>31.5736172616652</v>
      </c>
    </row>
    <row r="1305" customFormat="false" ht="15" hidden="false" customHeight="false" outlineLevel="0" collapsed="false">
      <c r="A1305" s="12" t="n">
        <f aca="false">Data!A1305</f>
        <v>43901</v>
      </c>
      <c r="B1305" s="14" t="n">
        <f aca="false">Data!B1305</f>
        <v>32.98</v>
      </c>
      <c r="C1305" s="0" t="str">
        <f aca="false">IF(Data!D1305="","HOLD",IF(AND(G1304&lt;&gt;"IN",Data!E1305&lt;-5),"BUY",IF(AND(G1304="IN",Data!E1305&gt;0),"SELL","HOLD")))</f>
        <v>HOLD</v>
      </c>
      <c r="D1305" s="14" t="n">
        <f aca="false">IF(C1305="BUY",B1305,IF(G1304="IN",D1304,""))</f>
        <v>47.09</v>
      </c>
      <c r="E1305" s="14" t="str">
        <f aca="false">IF(C1305="SELL",B1305,"")</f>
        <v/>
      </c>
      <c r="F1305" s="14" t="str">
        <f aca="false">IF(E1305="","",(E1305-D1305)/D1305*100)</f>
        <v/>
      </c>
      <c r="G1305" s="0" t="str">
        <f aca="false">IF(C1305="BUY","IN",IF(C1305="SELL","OUT",IF(G1304="IN","IN","OUT")))</f>
        <v>IN</v>
      </c>
      <c r="H1305" s="14" t="n">
        <f aca="false">H1304+IF(F1305="",0,F1305)</f>
        <v>12.3573455983856</v>
      </c>
      <c r="I1305" s="14" t="n">
        <f aca="false">MAX(I1304,H1305)</f>
        <v>43.9309628600509</v>
      </c>
      <c r="J1305" s="14" t="n">
        <f aca="false">I1305-H1305</f>
        <v>31.5736172616652</v>
      </c>
    </row>
    <row r="1306" customFormat="false" ht="15" hidden="false" customHeight="false" outlineLevel="0" collapsed="false">
      <c r="A1306" s="12" t="n">
        <f aca="false">Data!A1306</f>
        <v>43902</v>
      </c>
      <c r="B1306" s="14" t="n">
        <f aca="false">Data!B1306</f>
        <v>31.5</v>
      </c>
      <c r="C1306" s="0" t="str">
        <f aca="false">IF(Data!D1306="","HOLD",IF(AND(G1305&lt;&gt;"IN",Data!E1306&lt;-5),"BUY",IF(AND(G1305="IN",Data!E1306&gt;0),"SELL","HOLD")))</f>
        <v>HOLD</v>
      </c>
      <c r="D1306" s="14" t="n">
        <f aca="false">IF(C1306="BUY",B1306,IF(G1305="IN",D1305,""))</f>
        <v>47.09</v>
      </c>
      <c r="E1306" s="14" t="str">
        <f aca="false">IF(C1306="SELL",B1306,"")</f>
        <v/>
      </c>
      <c r="F1306" s="14" t="str">
        <f aca="false">IF(E1306="","",(E1306-D1306)/D1306*100)</f>
        <v/>
      </c>
      <c r="G1306" s="0" t="str">
        <f aca="false">IF(C1306="BUY","IN",IF(C1306="SELL","OUT",IF(G1305="IN","IN","OUT")))</f>
        <v>IN</v>
      </c>
      <c r="H1306" s="14" t="n">
        <f aca="false">H1305+IF(F1306="",0,F1306)</f>
        <v>12.3573455983856</v>
      </c>
      <c r="I1306" s="14" t="n">
        <f aca="false">MAX(I1305,H1306)</f>
        <v>43.9309628600509</v>
      </c>
      <c r="J1306" s="14" t="n">
        <f aca="false">I1306-H1306</f>
        <v>31.5736172616652</v>
      </c>
    </row>
    <row r="1307" customFormat="false" ht="15" hidden="false" customHeight="false" outlineLevel="0" collapsed="false">
      <c r="A1307" s="12" t="n">
        <f aca="false">Data!A1307</f>
        <v>43903</v>
      </c>
      <c r="B1307" s="14" t="n">
        <f aca="false">Data!B1307</f>
        <v>31.73</v>
      </c>
      <c r="C1307" s="0" t="str">
        <f aca="false">IF(Data!D1307="","HOLD",IF(AND(G1306&lt;&gt;"IN",Data!E1307&lt;-5),"BUY",IF(AND(G1306="IN",Data!E1307&gt;0),"SELL","HOLD")))</f>
        <v>HOLD</v>
      </c>
      <c r="D1307" s="14" t="n">
        <f aca="false">IF(C1307="BUY",B1307,IF(G1306="IN",D1306,""))</f>
        <v>47.09</v>
      </c>
      <c r="E1307" s="14" t="str">
        <f aca="false">IF(C1307="SELL",B1307,"")</f>
        <v/>
      </c>
      <c r="F1307" s="14" t="str">
        <f aca="false">IF(E1307="","",(E1307-D1307)/D1307*100)</f>
        <v/>
      </c>
      <c r="G1307" s="0" t="str">
        <f aca="false">IF(C1307="BUY","IN",IF(C1307="SELL","OUT",IF(G1306="IN","IN","OUT")))</f>
        <v>IN</v>
      </c>
      <c r="H1307" s="14" t="n">
        <f aca="false">H1306+IF(F1307="",0,F1307)</f>
        <v>12.3573455983856</v>
      </c>
      <c r="I1307" s="14" t="n">
        <f aca="false">MAX(I1306,H1307)</f>
        <v>43.9309628600509</v>
      </c>
      <c r="J1307" s="14" t="n">
        <f aca="false">I1307-H1307</f>
        <v>31.5736172616652</v>
      </c>
    </row>
    <row r="1308" customFormat="false" ht="15" hidden="false" customHeight="false" outlineLevel="0" collapsed="false">
      <c r="A1308" s="12" t="n">
        <f aca="false">Data!A1308</f>
        <v>43906</v>
      </c>
      <c r="B1308" s="14" t="n">
        <f aca="false">Data!B1308</f>
        <v>28.7</v>
      </c>
      <c r="C1308" s="0" t="str">
        <f aca="false">IF(Data!D1308="","HOLD",IF(AND(G1307&lt;&gt;"IN",Data!E1308&lt;-5),"BUY",IF(AND(G1307="IN",Data!E1308&gt;0),"SELL","HOLD")))</f>
        <v>HOLD</v>
      </c>
      <c r="D1308" s="14" t="n">
        <f aca="false">IF(C1308="BUY",B1308,IF(G1307="IN",D1307,""))</f>
        <v>47.09</v>
      </c>
      <c r="E1308" s="14" t="str">
        <f aca="false">IF(C1308="SELL",B1308,"")</f>
        <v/>
      </c>
      <c r="F1308" s="14" t="str">
        <f aca="false">IF(E1308="","",(E1308-D1308)/D1308*100)</f>
        <v/>
      </c>
      <c r="G1308" s="0" t="str">
        <f aca="false">IF(C1308="BUY","IN",IF(C1308="SELL","OUT",IF(G1307="IN","IN","OUT")))</f>
        <v>IN</v>
      </c>
      <c r="H1308" s="14" t="n">
        <f aca="false">H1307+IF(F1308="",0,F1308)</f>
        <v>12.3573455983856</v>
      </c>
      <c r="I1308" s="14" t="n">
        <f aca="false">MAX(I1307,H1308)</f>
        <v>43.9309628600509</v>
      </c>
      <c r="J1308" s="14" t="n">
        <f aca="false">I1308-H1308</f>
        <v>31.5736172616652</v>
      </c>
    </row>
    <row r="1309" customFormat="false" ht="15" hidden="false" customHeight="false" outlineLevel="0" collapsed="false">
      <c r="A1309" s="12" t="n">
        <f aca="false">Data!A1309</f>
        <v>43907</v>
      </c>
      <c r="B1309" s="14" t="n">
        <f aca="false">Data!B1309</f>
        <v>26.95</v>
      </c>
      <c r="C1309" s="0" t="str">
        <f aca="false">IF(Data!D1309="","HOLD",IF(AND(G1308&lt;&gt;"IN",Data!E1309&lt;-5),"BUY",IF(AND(G1308="IN",Data!E1309&gt;0),"SELL","HOLD")))</f>
        <v>HOLD</v>
      </c>
      <c r="D1309" s="14" t="n">
        <f aca="false">IF(C1309="BUY",B1309,IF(G1308="IN",D1308,""))</f>
        <v>47.09</v>
      </c>
      <c r="E1309" s="14" t="str">
        <f aca="false">IF(C1309="SELL",B1309,"")</f>
        <v/>
      </c>
      <c r="F1309" s="14" t="str">
        <f aca="false">IF(E1309="","",(E1309-D1309)/D1309*100)</f>
        <v/>
      </c>
      <c r="G1309" s="0" t="str">
        <f aca="false">IF(C1309="BUY","IN",IF(C1309="SELL","OUT",IF(G1308="IN","IN","OUT")))</f>
        <v>IN</v>
      </c>
      <c r="H1309" s="14" t="n">
        <f aca="false">H1308+IF(F1309="",0,F1309)</f>
        <v>12.3573455983856</v>
      </c>
      <c r="I1309" s="14" t="n">
        <f aca="false">MAX(I1308,H1309)</f>
        <v>43.9309628600509</v>
      </c>
      <c r="J1309" s="14" t="n">
        <f aca="false">I1309-H1309</f>
        <v>31.5736172616652</v>
      </c>
    </row>
    <row r="1310" customFormat="false" ht="15" hidden="false" customHeight="false" outlineLevel="0" collapsed="false">
      <c r="A1310" s="12" t="n">
        <f aca="false">Data!A1310</f>
        <v>43908</v>
      </c>
      <c r="B1310" s="14" t="n">
        <f aca="false">Data!B1310</f>
        <v>20.37</v>
      </c>
      <c r="C1310" s="0" t="str">
        <f aca="false">IF(Data!D1310="","HOLD",IF(AND(G1309&lt;&gt;"IN",Data!E1310&lt;-5),"BUY",IF(AND(G1309="IN",Data!E1310&gt;0),"SELL","HOLD")))</f>
        <v>HOLD</v>
      </c>
      <c r="D1310" s="14" t="n">
        <f aca="false">IF(C1310="BUY",B1310,IF(G1309="IN",D1309,""))</f>
        <v>47.09</v>
      </c>
      <c r="E1310" s="14" t="str">
        <f aca="false">IF(C1310="SELL",B1310,"")</f>
        <v/>
      </c>
      <c r="F1310" s="14" t="str">
        <f aca="false">IF(E1310="","",(E1310-D1310)/D1310*100)</f>
        <v/>
      </c>
      <c r="G1310" s="0" t="str">
        <f aca="false">IF(C1310="BUY","IN",IF(C1310="SELL","OUT",IF(G1309="IN","IN","OUT")))</f>
        <v>IN</v>
      </c>
      <c r="H1310" s="14" t="n">
        <f aca="false">H1309+IF(F1310="",0,F1310)</f>
        <v>12.3573455983856</v>
      </c>
      <c r="I1310" s="14" t="n">
        <f aca="false">MAX(I1309,H1310)</f>
        <v>43.9309628600509</v>
      </c>
      <c r="J1310" s="14" t="n">
        <f aca="false">I1310-H1310</f>
        <v>31.5736172616652</v>
      </c>
    </row>
    <row r="1311" customFormat="false" ht="15" hidden="false" customHeight="false" outlineLevel="0" collapsed="false">
      <c r="A1311" s="12" t="n">
        <f aca="false">Data!A1311</f>
        <v>43909</v>
      </c>
      <c r="B1311" s="14" t="n">
        <f aca="false">Data!B1311</f>
        <v>25.22</v>
      </c>
      <c r="C1311" s="0" t="str">
        <f aca="false">IF(Data!D1311="","HOLD",IF(AND(G1310&lt;&gt;"IN",Data!E1311&lt;-5),"BUY",IF(AND(G1310="IN",Data!E1311&gt;0),"SELL","HOLD")))</f>
        <v>HOLD</v>
      </c>
      <c r="D1311" s="14" t="n">
        <f aca="false">IF(C1311="BUY",B1311,IF(G1310="IN",D1310,""))</f>
        <v>47.09</v>
      </c>
      <c r="E1311" s="14" t="str">
        <f aca="false">IF(C1311="SELL",B1311,"")</f>
        <v/>
      </c>
      <c r="F1311" s="14" t="str">
        <f aca="false">IF(E1311="","",(E1311-D1311)/D1311*100)</f>
        <v/>
      </c>
      <c r="G1311" s="0" t="str">
        <f aca="false">IF(C1311="BUY","IN",IF(C1311="SELL","OUT",IF(G1310="IN","IN","OUT")))</f>
        <v>IN</v>
      </c>
      <c r="H1311" s="14" t="n">
        <f aca="false">H1310+IF(F1311="",0,F1311)</f>
        <v>12.3573455983856</v>
      </c>
      <c r="I1311" s="14" t="n">
        <f aca="false">MAX(I1310,H1311)</f>
        <v>43.9309628600509</v>
      </c>
      <c r="J1311" s="14" t="n">
        <f aca="false">I1311-H1311</f>
        <v>31.5736172616652</v>
      </c>
    </row>
    <row r="1312" customFormat="false" ht="15" hidden="false" customHeight="false" outlineLevel="0" collapsed="false">
      <c r="A1312" s="12" t="n">
        <f aca="false">Data!A1312</f>
        <v>43910</v>
      </c>
      <c r="B1312" s="14" t="n">
        <f aca="false">Data!B1312</f>
        <v>22.43</v>
      </c>
      <c r="C1312" s="0" t="str">
        <f aca="false">IF(Data!D1312="","HOLD",IF(AND(G1311&lt;&gt;"IN",Data!E1312&lt;-5),"BUY",IF(AND(G1311="IN",Data!E1312&gt;0),"SELL","HOLD")))</f>
        <v>HOLD</v>
      </c>
      <c r="D1312" s="14" t="n">
        <f aca="false">IF(C1312="BUY",B1312,IF(G1311="IN",D1311,""))</f>
        <v>47.09</v>
      </c>
      <c r="E1312" s="14" t="str">
        <f aca="false">IF(C1312="SELL",B1312,"")</f>
        <v/>
      </c>
      <c r="F1312" s="14" t="str">
        <f aca="false">IF(E1312="","",(E1312-D1312)/D1312*100)</f>
        <v/>
      </c>
      <c r="G1312" s="0" t="str">
        <f aca="false">IF(C1312="BUY","IN",IF(C1312="SELL","OUT",IF(G1311="IN","IN","OUT")))</f>
        <v>IN</v>
      </c>
      <c r="H1312" s="14" t="n">
        <f aca="false">H1311+IF(F1312="",0,F1312)</f>
        <v>12.3573455983856</v>
      </c>
      <c r="I1312" s="14" t="n">
        <f aca="false">MAX(I1311,H1312)</f>
        <v>43.9309628600509</v>
      </c>
      <c r="J1312" s="14" t="n">
        <f aca="false">I1312-H1312</f>
        <v>31.5736172616652</v>
      </c>
    </row>
    <row r="1313" customFormat="false" ht="15" hidden="false" customHeight="false" outlineLevel="0" collapsed="false">
      <c r="A1313" s="12" t="n">
        <f aca="false">Data!A1313</f>
        <v>43913</v>
      </c>
      <c r="B1313" s="14" t="n">
        <f aca="false">Data!B1313</f>
        <v>23.36</v>
      </c>
      <c r="C1313" s="0" t="str">
        <f aca="false">IF(Data!D1313="","HOLD",IF(AND(G1312&lt;&gt;"IN",Data!E1313&lt;-5),"BUY",IF(AND(G1312="IN",Data!E1313&gt;0),"SELL","HOLD")))</f>
        <v>HOLD</v>
      </c>
      <c r="D1313" s="14" t="n">
        <f aca="false">IF(C1313="BUY",B1313,IF(G1312="IN",D1312,""))</f>
        <v>47.09</v>
      </c>
      <c r="E1313" s="14" t="str">
        <f aca="false">IF(C1313="SELL",B1313,"")</f>
        <v/>
      </c>
      <c r="F1313" s="14" t="str">
        <f aca="false">IF(E1313="","",(E1313-D1313)/D1313*100)</f>
        <v/>
      </c>
      <c r="G1313" s="0" t="str">
        <f aca="false">IF(C1313="BUY","IN",IF(C1313="SELL","OUT",IF(G1312="IN","IN","OUT")))</f>
        <v>IN</v>
      </c>
      <c r="H1313" s="14" t="n">
        <f aca="false">H1312+IF(F1313="",0,F1313)</f>
        <v>12.3573455983856</v>
      </c>
      <c r="I1313" s="14" t="n">
        <f aca="false">MAX(I1312,H1313)</f>
        <v>43.9309628600509</v>
      </c>
      <c r="J1313" s="14" t="n">
        <f aca="false">I1313-H1313</f>
        <v>31.5736172616652</v>
      </c>
    </row>
    <row r="1314" customFormat="false" ht="15" hidden="false" customHeight="false" outlineLevel="0" collapsed="false">
      <c r="A1314" s="12" t="n">
        <f aca="false">Data!A1314</f>
        <v>43914</v>
      </c>
      <c r="B1314" s="14" t="n">
        <f aca="false">Data!B1314</f>
        <v>24.01</v>
      </c>
      <c r="C1314" s="0" t="str">
        <f aca="false">IF(Data!D1314="","HOLD",IF(AND(G1313&lt;&gt;"IN",Data!E1314&lt;-5),"BUY",IF(AND(G1313="IN",Data!E1314&gt;0),"SELL","HOLD")))</f>
        <v>HOLD</v>
      </c>
      <c r="D1314" s="14" t="n">
        <f aca="false">IF(C1314="BUY",B1314,IF(G1313="IN",D1313,""))</f>
        <v>47.09</v>
      </c>
      <c r="E1314" s="14" t="str">
        <f aca="false">IF(C1314="SELL",B1314,"")</f>
        <v/>
      </c>
      <c r="F1314" s="14" t="str">
        <f aca="false">IF(E1314="","",(E1314-D1314)/D1314*100)</f>
        <v/>
      </c>
      <c r="G1314" s="0" t="str">
        <f aca="false">IF(C1314="BUY","IN",IF(C1314="SELL","OUT",IF(G1313="IN","IN","OUT")))</f>
        <v>IN</v>
      </c>
      <c r="H1314" s="14" t="n">
        <f aca="false">H1313+IF(F1314="",0,F1314)</f>
        <v>12.3573455983856</v>
      </c>
      <c r="I1314" s="14" t="n">
        <f aca="false">MAX(I1313,H1314)</f>
        <v>43.9309628600509</v>
      </c>
      <c r="J1314" s="14" t="n">
        <f aca="false">I1314-H1314</f>
        <v>31.5736172616652</v>
      </c>
    </row>
    <row r="1315" customFormat="false" ht="15" hidden="false" customHeight="false" outlineLevel="0" collapsed="false">
      <c r="A1315" s="12" t="n">
        <f aca="false">Data!A1315</f>
        <v>43915</v>
      </c>
      <c r="B1315" s="14" t="n">
        <f aca="false">Data!B1315</f>
        <v>24.49</v>
      </c>
      <c r="C1315" s="0" t="str">
        <f aca="false">IF(Data!D1315="","HOLD",IF(AND(G1314&lt;&gt;"IN",Data!E1315&lt;-5),"BUY",IF(AND(G1314="IN",Data!E1315&gt;0),"SELL","HOLD")))</f>
        <v>HOLD</v>
      </c>
      <c r="D1315" s="14" t="n">
        <f aca="false">IF(C1315="BUY",B1315,IF(G1314="IN",D1314,""))</f>
        <v>47.09</v>
      </c>
      <c r="E1315" s="14" t="str">
        <f aca="false">IF(C1315="SELL",B1315,"")</f>
        <v/>
      </c>
      <c r="F1315" s="14" t="str">
        <f aca="false">IF(E1315="","",(E1315-D1315)/D1315*100)</f>
        <v/>
      </c>
      <c r="G1315" s="0" t="str">
        <f aca="false">IF(C1315="BUY","IN",IF(C1315="SELL","OUT",IF(G1314="IN","IN","OUT")))</f>
        <v>IN</v>
      </c>
      <c r="H1315" s="14" t="n">
        <f aca="false">H1314+IF(F1315="",0,F1315)</f>
        <v>12.3573455983856</v>
      </c>
      <c r="I1315" s="14" t="n">
        <f aca="false">MAX(I1314,H1315)</f>
        <v>43.9309628600509</v>
      </c>
      <c r="J1315" s="14" t="n">
        <f aca="false">I1315-H1315</f>
        <v>31.5736172616652</v>
      </c>
    </row>
    <row r="1316" customFormat="false" ht="15" hidden="false" customHeight="false" outlineLevel="0" collapsed="false">
      <c r="A1316" s="12" t="n">
        <f aca="false">Data!A1316</f>
        <v>43916</v>
      </c>
      <c r="B1316" s="14" t="n">
        <f aca="false">Data!B1316</f>
        <v>22.6</v>
      </c>
      <c r="C1316" s="0" t="str">
        <f aca="false">IF(Data!D1316="","HOLD",IF(AND(G1315&lt;&gt;"IN",Data!E1316&lt;-5),"BUY",IF(AND(G1315="IN",Data!E1316&gt;0),"SELL","HOLD")))</f>
        <v>HOLD</v>
      </c>
      <c r="D1316" s="14" t="n">
        <f aca="false">IF(C1316="BUY",B1316,IF(G1315="IN",D1315,""))</f>
        <v>47.09</v>
      </c>
      <c r="E1316" s="14" t="str">
        <f aca="false">IF(C1316="SELL",B1316,"")</f>
        <v/>
      </c>
      <c r="F1316" s="14" t="str">
        <f aca="false">IF(E1316="","",(E1316-D1316)/D1316*100)</f>
        <v/>
      </c>
      <c r="G1316" s="0" t="str">
        <f aca="false">IF(C1316="BUY","IN",IF(C1316="SELL","OUT",IF(G1315="IN","IN","OUT")))</f>
        <v>IN</v>
      </c>
      <c r="H1316" s="14" t="n">
        <f aca="false">H1315+IF(F1316="",0,F1316)</f>
        <v>12.3573455983856</v>
      </c>
      <c r="I1316" s="14" t="n">
        <f aca="false">MAX(I1315,H1316)</f>
        <v>43.9309628600509</v>
      </c>
      <c r="J1316" s="14" t="n">
        <f aca="false">I1316-H1316</f>
        <v>31.5736172616652</v>
      </c>
    </row>
    <row r="1317" customFormat="false" ht="15" hidden="false" customHeight="false" outlineLevel="0" collapsed="false">
      <c r="A1317" s="12" t="n">
        <f aca="false">Data!A1317</f>
        <v>43917</v>
      </c>
      <c r="B1317" s="14" t="n">
        <f aca="false">Data!B1317</f>
        <v>21.51</v>
      </c>
      <c r="C1317" s="0" t="str">
        <f aca="false">IF(Data!D1317="","HOLD",IF(AND(G1316&lt;&gt;"IN",Data!E1317&lt;-5),"BUY",IF(AND(G1316="IN",Data!E1317&gt;0),"SELL","HOLD")))</f>
        <v>HOLD</v>
      </c>
      <c r="D1317" s="14" t="n">
        <f aca="false">IF(C1317="BUY",B1317,IF(G1316="IN",D1316,""))</f>
        <v>47.09</v>
      </c>
      <c r="E1317" s="14" t="str">
        <f aca="false">IF(C1317="SELL",B1317,"")</f>
        <v/>
      </c>
      <c r="F1317" s="14" t="str">
        <f aca="false">IF(E1317="","",(E1317-D1317)/D1317*100)</f>
        <v/>
      </c>
      <c r="G1317" s="0" t="str">
        <f aca="false">IF(C1317="BUY","IN",IF(C1317="SELL","OUT",IF(G1316="IN","IN","OUT")))</f>
        <v>IN</v>
      </c>
      <c r="H1317" s="14" t="n">
        <f aca="false">H1316+IF(F1317="",0,F1317)</f>
        <v>12.3573455983856</v>
      </c>
      <c r="I1317" s="14" t="n">
        <f aca="false">MAX(I1316,H1317)</f>
        <v>43.9309628600509</v>
      </c>
      <c r="J1317" s="14" t="n">
        <f aca="false">I1317-H1317</f>
        <v>31.5736172616652</v>
      </c>
    </row>
    <row r="1318" customFormat="false" ht="15" hidden="false" customHeight="false" outlineLevel="0" collapsed="false">
      <c r="A1318" s="12" t="n">
        <f aca="false">Data!A1318</f>
        <v>43920</v>
      </c>
      <c r="B1318" s="14" t="n">
        <f aca="false">Data!B1318</f>
        <v>20.09</v>
      </c>
      <c r="C1318" s="0" t="str">
        <f aca="false">IF(Data!D1318="","HOLD",IF(AND(G1317&lt;&gt;"IN",Data!E1318&lt;-5),"BUY",IF(AND(G1317="IN",Data!E1318&gt;0),"SELL","HOLD")))</f>
        <v>HOLD</v>
      </c>
      <c r="D1318" s="14" t="n">
        <f aca="false">IF(C1318="BUY",B1318,IF(G1317="IN",D1317,""))</f>
        <v>47.09</v>
      </c>
      <c r="E1318" s="14" t="str">
        <f aca="false">IF(C1318="SELL",B1318,"")</f>
        <v/>
      </c>
      <c r="F1318" s="14" t="str">
        <f aca="false">IF(E1318="","",(E1318-D1318)/D1318*100)</f>
        <v/>
      </c>
      <c r="G1318" s="0" t="str">
        <f aca="false">IF(C1318="BUY","IN",IF(C1318="SELL","OUT",IF(G1317="IN","IN","OUT")))</f>
        <v>IN</v>
      </c>
      <c r="H1318" s="14" t="n">
        <f aca="false">H1317+IF(F1318="",0,F1318)</f>
        <v>12.3573455983856</v>
      </c>
      <c r="I1318" s="14" t="n">
        <f aca="false">MAX(I1317,H1318)</f>
        <v>43.9309628600509</v>
      </c>
      <c r="J1318" s="14" t="n">
        <f aca="false">I1318-H1318</f>
        <v>31.5736172616652</v>
      </c>
    </row>
    <row r="1319" customFormat="false" ht="15" hidden="false" customHeight="false" outlineLevel="0" collapsed="false">
      <c r="A1319" s="12" t="n">
        <f aca="false">Data!A1319</f>
        <v>43921</v>
      </c>
      <c r="B1319" s="14" t="n">
        <f aca="false">Data!B1319</f>
        <v>20.48</v>
      </c>
      <c r="C1319" s="0" t="str">
        <f aca="false">IF(Data!D1319="","HOLD",IF(AND(G1318&lt;&gt;"IN",Data!E1319&lt;-5),"BUY",IF(AND(G1318="IN",Data!E1319&gt;0),"SELL","HOLD")))</f>
        <v>HOLD</v>
      </c>
      <c r="D1319" s="14" t="n">
        <f aca="false">IF(C1319="BUY",B1319,IF(G1318="IN",D1318,""))</f>
        <v>47.09</v>
      </c>
      <c r="E1319" s="14" t="str">
        <f aca="false">IF(C1319="SELL",B1319,"")</f>
        <v/>
      </c>
      <c r="F1319" s="14" t="str">
        <f aca="false">IF(E1319="","",(E1319-D1319)/D1319*100)</f>
        <v/>
      </c>
      <c r="G1319" s="0" t="str">
        <f aca="false">IF(C1319="BUY","IN",IF(C1319="SELL","OUT",IF(G1318="IN","IN","OUT")))</f>
        <v>IN</v>
      </c>
      <c r="H1319" s="14" t="n">
        <f aca="false">H1318+IF(F1319="",0,F1319)</f>
        <v>12.3573455983856</v>
      </c>
      <c r="I1319" s="14" t="n">
        <f aca="false">MAX(I1318,H1319)</f>
        <v>43.9309628600509</v>
      </c>
      <c r="J1319" s="14" t="n">
        <f aca="false">I1319-H1319</f>
        <v>31.5736172616652</v>
      </c>
    </row>
    <row r="1320" customFormat="false" ht="15" hidden="false" customHeight="false" outlineLevel="0" collapsed="false">
      <c r="A1320" s="12" t="n">
        <f aca="false">Data!A1320</f>
        <v>43922</v>
      </c>
      <c r="B1320" s="14" t="n">
        <f aca="false">Data!B1320</f>
        <v>20.31</v>
      </c>
      <c r="C1320" s="0" t="str">
        <f aca="false">IF(Data!D1320="","HOLD",IF(AND(G1319&lt;&gt;"IN",Data!E1320&lt;-5),"BUY",IF(AND(G1319="IN",Data!E1320&gt;0),"SELL","HOLD")))</f>
        <v>HOLD</v>
      </c>
      <c r="D1320" s="14" t="n">
        <f aca="false">IF(C1320="BUY",B1320,IF(G1319="IN",D1319,""))</f>
        <v>47.09</v>
      </c>
      <c r="E1320" s="14" t="str">
        <f aca="false">IF(C1320="SELL",B1320,"")</f>
        <v/>
      </c>
      <c r="F1320" s="14" t="str">
        <f aca="false">IF(E1320="","",(E1320-D1320)/D1320*100)</f>
        <v/>
      </c>
      <c r="G1320" s="0" t="str">
        <f aca="false">IF(C1320="BUY","IN",IF(C1320="SELL","OUT",IF(G1319="IN","IN","OUT")))</f>
        <v>IN</v>
      </c>
      <c r="H1320" s="14" t="n">
        <f aca="false">H1319+IF(F1320="",0,F1320)</f>
        <v>12.3573455983856</v>
      </c>
      <c r="I1320" s="14" t="n">
        <f aca="false">MAX(I1319,H1320)</f>
        <v>43.9309628600509</v>
      </c>
      <c r="J1320" s="14" t="n">
        <f aca="false">I1320-H1320</f>
        <v>31.5736172616652</v>
      </c>
    </row>
    <row r="1321" customFormat="false" ht="15" hidden="false" customHeight="false" outlineLevel="0" collapsed="false">
      <c r="A1321" s="12" t="n">
        <f aca="false">Data!A1321</f>
        <v>43923</v>
      </c>
      <c r="B1321" s="14" t="n">
        <f aca="false">Data!B1321</f>
        <v>25.32</v>
      </c>
      <c r="C1321" s="0" t="str">
        <f aca="false">IF(Data!D1321="","HOLD",IF(AND(G1320&lt;&gt;"IN",Data!E1321&lt;-5),"BUY",IF(AND(G1320="IN",Data!E1321&gt;0),"SELL","HOLD")))</f>
        <v>HOLD</v>
      </c>
      <c r="D1321" s="14" t="n">
        <f aca="false">IF(C1321="BUY",B1321,IF(G1320="IN",D1320,""))</f>
        <v>47.09</v>
      </c>
      <c r="E1321" s="14" t="str">
        <f aca="false">IF(C1321="SELL",B1321,"")</f>
        <v/>
      </c>
      <c r="F1321" s="14" t="str">
        <f aca="false">IF(E1321="","",(E1321-D1321)/D1321*100)</f>
        <v/>
      </c>
      <c r="G1321" s="0" t="str">
        <f aca="false">IF(C1321="BUY","IN",IF(C1321="SELL","OUT",IF(G1320="IN","IN","OUT")))</f>
        <v>IN</v>
      </c>
      <c r="H1321" s="14" t="n">
        <f aca="false">H1320+IF(F1321="",0,F1321)</f>
        <v>12.3573455983856</v>
      </c>
      <c r="I1321" s="14" t="n">
        <f aca="false">MAX(I1320,H1321)</f>
        <v>43.9309628600509</v>
      </c>
      <c r="J1321" s="14" t="n">
        <f aca="false">I1321-H1321</f>
        <v>31.5736172616652</v>
      </c>
    </row>
    <row r="1322" customFormat="false" ht="15" hidden="false" customHeight="false" outlineLevel="0" collapsed="false">
      <c r="A1322" s="12" t="n">
        <f aca="false">Data!A1322</f>
        <v>43924</v>
      </c>
      <c r="B1322" s="14" t="n">
        <f aca="false">Data!B1322</f>
        <v>28.34</v>
      </c>
      <c r="C1322" s="0" t="str">
        <f aca="false">IF(Data!D1322="","HOLD",IF(AND(G1321&lt;&gt;"IN",Data!E1322&lt;-5),"BUY",IF(AND(G1321="IN",Data!E1322&gt;0),"SELL","HOLD")))</f>
        <v>SELL</v>
      </c>
      <c r="D1322" s="14" t="n">
        <f aca="false">IF(C1322="BUY",B1322,IF(G1321="IN",D1321,""))</f>
        <v>47.09</v>
      </c>
      <c r="E1322" s="14" t="n">
        <f aca="false">IF(C1322="SELL",B1322,"")</f>
        <v>28.34</v>
      </c>
      <c r="F1322" s="14" t="n">
        <f aca="false">IF(E1322="","",(E1322-D1322)/D1322*100)</f>
        <v>-39.817370991718</v>
      </c>
      <c r="G1322" s="0" t="str">
        <f aca="false">IF(C1322="BUY","IN",IF(C1322="SELL","OUT",IF(G1321="IN","IN","OUT")))</f>
        <v>OUT</v>
      </c>
      <c r="H1322" s="14" t="n">
        <f aca="false">H1321+IF(F1322="",0,F1322)</f>
        <v>-27.4600253933324</v>
      </c>
      <c r="I1322" s="14" t="n">
        <f aca="false">MAX(I1321,H1322)</f>
        <v>43.9309628600509</v>
      </c>
      <c r="J1322" s="14" t="n">
        <f aca="false">I1322-H1322</f>
        <v>71.3909882533832</v>
      </c>
    </row>
    <row r="1323" customFormat="false" ht="15" hidden="false" customHeight="false" outlineLevel="0" collapsed="false">
      <c r="A1323" s="12" t="n">
        <f aca="false">Data!A1323</f>
        <v>43927</v>
      </c>
      <c r="B1323" s="14" t="n">
        <f aca="false">Data!B1323</f>
        <v>26.08</v>
      </c>
      <c r="C1323" s="0" t="str">
        <f aca="false">IF(Data!D1323="","HOLD",IF(AND(G1322&lt;&gt;"IN",Data!E1323&lt;-5),"BUY",IF(AND(G1322="IN",Data!E1323&gt;0),"SELL","HOLD")))</f>
        <v>HOLD</v>
      </c>
      <c r="D1323" s="14" t="str">
        <f aca="false">IF(C1323="BUY",B1323,IF(G1322="IN",D1322,""))</f>
        <v/>
      </c>
      <c r="E1323" s="14" t="str">
        <f aca="false">IF(C1323="SELL",B1323,"")</f>
        <v/>
      </c>
      <c r="F1323" s="14" t="str">
        <f aca="false">IF(E1323="","",(E1323-D1323)/D1323*100)</f>
        <v/>
      </c>
      <c r="G1323" s="0" t="str">
        <f aca="false">IF(C1323="BUY","IN",IF(C1323="SELL","OUT",IF(G1322="IN","IN","OUT")))</f>
        <v>OUT</v>
      </c>
      <c r="H1323" s="14" t="n">
        <f aca="false">H1322+IF(F1323="",0,F1323)</f>
        <v>-27.4600253933324</v>
      </c>
      <c r="I1323" s="14" t="n">
        <f aca="false">MAX(I1322,H1323)</f>
        <v>43.9309628600509</v>
      </c>
      <c r="J1323" s="14" t="n">
        <f aca="false">I1323-H1323</f>
        <v>71.3909882533832</v>
      </c>
    </row>
    <row r="1324" customFormat="false" ht="15" hidden="false" customHeight="false" outlineLevel="0" collapsed="false">
      <c r="A1324" s="12" t="n">
        <f aca="false">Data!A1324</f>
        <v>43928</v>
      </c>
      <c r="B1324" s="14" t="n">
        <f aca="false">Data!B1324</f>
        <v>23.63</v>
      </c>
      <c r="C1324" s="0" t="str">
        <f aca="false">IF(Data!D1324="","HOLD",IF(AND(G1323&lt;&gt;"IN",Data!E1324&lt;-5),"BUY",IF(AND(G1323="IN",Data!E1324&gt;0),"SELL","HOLD")))</f>
        <v>BUY</v>
      </c>
      <c r="D1324" s="14" t="n">
        <f aca="false">IF(C1324="BUY",B1324,IF(G1323="IN",D1323,""))</f>
        <v>23.63</v>
      </c>
      <c r="E1324" s="14" t="str">
        <f aca="false">IF(C1324="SELL",B1324,"")</f>
        <v/>
      </c>
      <c r="F1324" s="14" t="str">
        <f aca="false">IF(E1324="","",(E1324-D1324)/D1324*100)</f>
        <v/>
      </c>
      <c r="G1324" s="0" t="str">
        <f aca="false">IF(C1324="BUY","IN",IF(C1324="SELL","OUT",IF(G1323="IN","IN","OUT")))</f>
        <v>IN</v>
      </c>
      <c r="H1324" s="14" t="n">
        <f aca="false">H1323+IF(F1324="",0,F1324)</f>
        <v>-27.4600253933324</v>
      </c>
      <c r="I1324" s="14" t="n">
        <f aca="false">MAX(I1323,H1324)</f>
        <v>43.9309628600509</v>
      </c>
      <c r="J1324" s="14" t="n">
        <f aca="false">I1324-H1324</f>
        <v>71.3909882533832</v>
      </c>
    </row>
    <row r="1325" customFormat="false" ht="15" hidden="false" customHeight="false" outlineLevel="0" collapsed="false">
      <c r="A1325" s="12" t="n">
        <f aca="false">Data!A1325</f>
        <v>43929</v>
      </c>
      <c r="B1325" s="14" t="n">
        <f aca="false">Data!B1325</f>
        <v>25.09</v>
      </c>
      <c r="C1325" s="0" t="str">
        <f aca="false">IF(Data!D1325="","HOLD",IF(AND(G1324&lt;&gt;"IN",Data!E1325&lt;-5),"BUY",IF(AND(G1324="IN",Data!E1325&gt;0),"SELL","HOLD")))</f>
        <v>SELL</v>
      </c>
      <c r="D1325" s="14" t="n">
        <f aca="false">IF(C1325="BUY",B1325,IF(G1324="IN",D1324,""))</f>
        <v>23.63</v>
      </c>
      <c r="E1325" s="14" t="n">
        <f aca="false">IF(C1325="SELL",B1325,"")</f>
        <v>25.09</v>
      </c>
      <c r="F1325" s="14" t="n">
        <f aca="false">IF(E1325="","",(E1325-D1325)/D1325*100)</f>
        <v>6.17858654253069</v>
      </c>
      <c r="G1325" s="0" t="str">
        <f aca="false">IF(C1325="BUY","IN",IF(C1325="SELL","OUT",IF(G1324="IN","IN","OUT")))</f>
        <v>OUT</v>
      </c>
      <c r="H1325" s="14" t="n">
        <f aca="false">H1324+IF(F1325="",0,F1325)</f>
        <v>-21.2814388508017</v>
      </c>
      <c r="I1325" s="14" t="n">
        <f aca="false">MAX(I1324,H1325)</f>
        <v>43.9309628600509</v>
      </c>
      <c r="J1325" s="14" t="n">
        <f aca="false">I1325-H1325</f>
        <v>65.2124017108525</v>
      </c>
    </row>
    <row r="1326" customFormat="false" ht="15" hidden="false" customHeight="false" outlineLevel="0" collapsed="false">
      <c r="A1326" s="12" t="n">
        <f aca="false">Data!A1326</f>
        <v>43930</v>
      </c>
      <c r="B1326" s="14" t="n">
        <f aca="false">Data!B1326</f>
        <v>22.76</v>
      </c>
      <c r="C1326" s="0" t="str">
        <f aca="false">IF(Data!D1326="","HOLD",IF(AND(G1325&lt;&gt;"IN",Data!E1326&lt;-5),"BUY",IF(AND(G1325="IN",Data!E1326&gt;0),"SELL","HOLD")))</f>
        <v>BUY</v>
      </c>
      <c r="D1326" s="14" t="n">
        <f aca="false">IF(C1326="BUY",B1326,IF(G1325="IN",D1325,""))</f>
        <v>22.76</v>
      </c>
      <c r="E1326" s="14" t="str">
        <f aca="false">IF(C1326="SELL",B1326,"")</f>
        <v/>
      </c>
      <c r="F1326" s="14" t="str">
        <f aca="false">IF(E1326="","",(E1326-D1326)/D1326*100)</f>
        <v/>
      </c>
      <c r="G1326" s="0" t="str">
        <f aca="false">IF(C1326="BUY","IN",IF(C1326="SELL","OUT",IF(G1325="IN","IN","OUT")))</f>
        <v>IN</v>
      </c>
      <c r="H1326" s="14" t="n">
        <f aca="false">H1325+IF(F1326="",0,F1326)</f>
        <v>-21.2814388508017</v>
      </c>
      <c r="I1326" s="14" t="n">
        <f aca="false">MAX(I1325,H1326)</f>
        <v>43.9309628600509</v>
      </c>
      <c r="J1326" s="14" t="n">
        <f aca="false">I1326-H1326</f>
        <v>65.2124017108525</v>
      </c>
    </row>
    <row r="1327" customFormat="false" ht="15" hidden="false" customHeight="false" outlineLevel="0" collapsed="false">
      <c r="A1327" s="12" t="n">
        <f aca="false">Data!A1327</f>
        <v>43934</v>
      </c>
      <c r="B1327" s="14" t="n">
        <f aca="false">Data!B1327</f>
        <v>22.41</v>
      </c>
      <c r="C1327" s="0" t="str">
        <f aca="false">IF(Data!D1327="","HOLD",IF(AND(G1326&lt;&gt;"IN",Data!E1327&lt;-5),"BUY",IF(AND(G1326="IN",Data!E1327&gt;0),"SELL","HOLD")))</f>
        <v>HOLD</v>
      </c>
      <c r="D1327" s="14" t="n">
        <f aca="false">IF(C1327="BUY",B1327,IF(G1326="IN",D1326,""))</f>
        <v>22.76</v>
      </c>
      <c r="E1327" s="14" t="str">
        <f aca="false">IF(C1327="SELL",B1327,"")</f>
        <v/>
      </c>
      <c r="F1327" s="14" t="str">
        <f aca="false">IF(E1327="","",(E1327-D1327)/D1327*100)</f>
        <v/>
      </c>
      <c r="G1327" s="0" t="str">
        <f aca="false">IF(C1327="BUY","IN",IF(C1327="SELL","OUT",IF(G1326="IN","IN","OUT")))</f>
        <v>IN</v>
      </c>
      <c r="H1327" s="14" t="n">
        <f aca="false">H1326+IF(F1327="",0,F1327)</f>
        <v>-21.2814388508017</v>
      </c>
      <c r="I1327" s="14" t="n">
        <f aca="false">MAX(I1326,H1327)</f>
        <v>43.9309628600509</v>
      </c>
      <c r="J1327" s="14" t="n">
        <f aca="false">I1327-H1327</f>
        <v>65.2124017108525</v>
      </c>
    </row>
    <row r="1328" customFormat="false" ht="15" hidden="false" customHeight="false" outlineLevel="0" collapsed="false">
      <c r="A1328" s="12" t="n">
        <f aca="false">Data!A1328</f>
        <v>43935</v>
      </c>
      <c r="B1328" s="14" t="n">
        <f aca="false">Data!B1328</f>
        <v>20.11</v>
      </c>
      <c r="C1328" s="0" t="str">
        <f aca="false">IF(Data!D1328="","HOLD",IF(AND(G1327&lt;&gt;"IN",Data!E1328&lt;-5),"BUY",IF(AND(G1327="IN",Data!E1328&gt;0),"SELL","HOLD")))</f>
        <v>HOLD</v>
      </c>
      <c r="D1328" s="14" t="n">
        <f aca="false">IF(C1328="BUY",B1328,IF(G1327="IN",D1327,""))</f>
        <v>22.76</v>
      </c>
      <c r="E1328" s="14" t="str">
        <f aca="false">IF(C1328="SELL",B1328,"")</f>
        <v/>
      </c>
      <c r="F1328" s="14" t="str">
        <f aca="false">IF(E1328="","",(E1328-D1328)/D1328*100)</f>
        <v/>
      </c>
      <c r="G1328" s="0" t="str">
        <f aca="false">IF(C1328="BUY","IN",IF(C1328="SELL","OUT",IF(G1327="IN","IN","OUT")))</f>
        <v>IN</v>
      </c>
      <c r="H1328" s="14" t="n">
        <f aca="false">H1327+IF(F1328="",0,F1328)</f>
        <v>-21.2814388508017</v>
      </c>
      <c r="I1328" s="14" t="n">
        <f aca="false">MAX(I1327,H1328)</f>
        <v>43.9309628600509</v>
      </c>
      <c r="J1328" s="14" t="n">
        <f aca="false">I1328-H1328</f>
        <v>65.2124017108525</v>
      </c>
    </row>
    <row r="1329" customFormat="false" ht="15" hidden="false" customHeight="false" outlineLevel="0" collapsed="false">
      <c r="A1329" s="12" t="n">
        <f aca="false">Data!A1329</f>
        <v>43936</v>
      </c>
      <c r="B1329" s="14" t="n">
        <f aca="false">Data!B1329</f>
        <v>19.87</v>
      </c>
      <c r="C1329" s="0" t="str">
        <f aca="false">IF(Data!D1329="","HOLD",IF(AND(G1328&lt;&gt;"IN",Data!E1329&lt;-5),"BUY",IF(AND(G1328="IN",Data!E1329&gt;0),"SELL","HOLD")))</f>
        <v>HOLD</v>
      </c>
      <c r="D1329" s="14" t="n">
        <f aca="false">IF(C1329="BUY",B1329,IF(G1328="IN",D1328,""))</f>
        <v>22.76</v>
      </c>
      <c r="E1329" s="14" t="str">
        <f aca="false">IF(C1329="SELL",B1329,"")</f>
        <v/>
      </c>
      <c r="F1329" s="14" t="str">
        <f aca="false">IF(E1329="","",(E1329-D1329)/D1329*100)</f>
        <v/>
      </c>
      <c r="G1329" s="0" t="str">
        <f aca="false">IF(C1329="BUY","IN",IF(C1329="SELL","OUT",IF(G1328="IN","IN","OUT")))</f>
        <v>IN</v>
      </c>
      <c r="H1329" s="14" t="n">
        <f aca="false">H1328+IF(F1329="",0,F1329)</f>
        <v>-21.2814388508017</v>
      </c>
      <c r="I1329" s="14" t="n">
        <f aca="false">MAX(I1328,H1329)</f>
        <v>43.9309628600509</v>
      </c>
      <c r="J1329" s="14" t="n">
        <f aca="false">I1329-H1329</f>
        <v>65.2124017108525</v>
      </c>
    </row>
    <row r="1330" customFormat="false" ht="15" hidden="false" customHeight="false" outlineLevel="0" collapsed="false">
      <c r="A1330" s="12" t="n">
        <f aca="false">Data!A1330</f>
        <v>43937</v>
      </c>
      <c r="B1330" s="14" t="n">
        <f aca="false">Data!B1330</f>
        <v>19.87</v>
      </c>
      <c r="C1330" s="0" t="str">
        <f aca="false">IF(Data!D1330="","HOLD",IF(AND(G1329&lt;&gt;"IN",Data!E1330&lt;-5),"BUY",IF(AND(G1329="IN",Data!E1330&gt;0),"SELL","HOLD")))</f>
        <v>HOLD</v>
      </c>
      <c r="D1330" s="14" t="n">
        <f aca="false">IF(C1330="BUY",B1330,IF(G1329="IN",D1329,""))</f>
        <v>22.76</v>
      </c>
      <c r="E1330" s="14" t="str">
        <f aca="false">IF(C1330="SELL",B1330,"")</f>
        <v/>
      </c>
      <c r="F1330" s="14" t="str">
        <f aca="false">IF(E1330="","",(E1330-D1330)/D1330*100)</f>
        <v/>
      </c>
      <c r="G1330" s="0" t="str">
        <f aca="false">IF(C1330="BUY","IN",IF(C1330="SELL","OUT",IF(G1329="IN","IN","OUT")))</f>
        <v>IN</v>
      </c>
      <c r="H1330" s="14" t="n">
        <f aca="false">H1329+IF(F1330="",0,F1330)</f>
        <v>-21.2814388508017</v>
      </c>
      <c r="I1330" s="14" t="n">
        <f aca="false">MAX(I1329,H1330)</f>
        <v>43.9309628600509</v>
      </c>
      <c r="J1330" s="14" t="n">
        <f aca="false">I1330-H1330</f>
        <v>65.2124017108525</v>
      </c>
    </row>
    <row r="1331" customFormat="false" ht="15" hidden="false" customHeight="false" outlineLevel="0" collapsed="false">
      <c r="A1331" s="12" t="n">
        <f aca="false">Data!A1331</f>
        <v>43938</v>
      </c>
      <c r="B1331" s="14" t="n">
        <f aca="false">Data!B1331</f>
        <v>18.27</v>
      </c>
      <c r="C1331" s="0" t="str">
        <f aca="false">IF(Data!D1331="","HOLD",IF(AND(G1330&lt;&gt;"IN",Data!E1331&lt;-5),"BUY",IF(AND(G1330="IN",Data!E1331&gt;0),"SELL","HOLD")))</f>
        <v>HOLD</v>
      </c>
      <c r="D1331" s="14" t="n">
        <f aca="false">IF(C1331="BUY",B1331,IF(G1330="IN",D1330,""))</f>
        <v>22.76</v>
      </c>
      <c r="E1331" s="14" t="str">
        <f aca="false">IF(C1331="SELL",B1331,"")</f>
        <v/>
      </c>
      <c r="F1331" s="14" t="str">
        <f aca="false">IF(E1331="","",(E1331-D1331)/D1331*100)</f>
        <v/>
      </c>
      <c r="G1331" s="0" t="str">
        <f aca="false">IF(C1331="BUY","IN",IF(C1331="SELL","OUT",IF(G1330="IN","IN","OUT")))</f>
        <v>IN</v>
      </c>
      <c r="H1331" s="14" t="n">
        <f aca="false">H1330+IF(F1331="",0,F1331)</f>
        <v>-21.2814388508017</v>
      </c>
      <c r="I1331" s="14" t="n">
        <f aca="false">MAX(I1330,H1331)</f>
        <v>43.9309628600509</v>
      </c>
      <c r="J1331" s="14" t="n">
        <f aca="false">I1331-H1331</f>
        <v>65.2124017108525</v>
      </c>
    </row>
    <row r="1332" customFormat="false" ht="15" hidden="false" customHeight="false" outlineLevel="0" collapsed="false">
      <c r="A1332" s="12" t="n">
        <f aca="false">Data!A1332</f>
        <v>43941</v>
      </c>
      <c r="B1332" s="14" t="n">
        <f aca="false">Data!B1332</f>
        <v>-37.63</v>
      </c>
      <c r="C1332" s="0" t="str">
        <f aca="false">IF(Data!D1332="","HOLD",IF(AND(G1331&lt;&gt;"IN",Data!E1332&lt;-5),"BUY",IF(AND(G1331="IN",Data!E1332&gt;0),"SELL","HOLD")))</f>
        <v>HOLD</v>
      </c>
      <c r="D1332" s="14" t="n">
        <f aca="false">IF(C1332="BUY",B1332,IF(G1331="IN",D1331,""))</f>
        <v>22.76</v>
      </c>
      <c r="E1332" s="14" t="str">
        <f aca="false">IF(C1332="SELL",B1332,"")</f>
        <v/>
      </c>
      <c r="F1332" s="14" t="str">
        <f aca="false">IF(E1332="","",(E1332-D1332)/D1332*100)</f>
        <v/>
      </c>
      <c r="G1332" s="0" t="str">
        <f aca="false">IF(C1332="BUY","IN",IF(C1332="SELL","OUT",IF(G1331="IN","IN","OUT")))</f>
        <v>IN</v>
      </c>
      <c r="H1332" s="14" t="n">
        <f aca="false">H1331+IF(F1332="",0,F1332)</f>
        <v>-21.2814388508017</v>
      </c>
      <c r="I1332" s="14" t="n">
        <f aca="false">MAX(I1331,H1332)</f>
        <v>43.9309628600509</v>
      </c>
      <c r="J1332" s="14" t="n">
        <f aca="false">I1332-H1332</f>
        <v>65.2124017108525</v>
      </c>
    </row>
    <row r="1333" customFormat="false" ht="15" hidden="false" customHeight="false" outlineLevel="0" collapsed="false">
      <c r="A1333" s="12" t="n">
        <f aca="false">Data!A1333</f>
        <v>43942</v>
      </c>
      <c r="B1333" s="14" t="n">
        <f aca="false">Data!B1333</f>
        <v>10.01</v>
      </c>
      <c r="C1333" s="0" t="str">
        <f aca="false">IF(Data!D1333="","HOLD",IF(AND(G1332&lt;&gt;"IN",Data!E1333&lt;-5),"BUY",IF(AND(G1332="IN",Data!E1333&gt;0),"SELL","HOLD")))</f>
        <v>HOLD</v>
      </c>
      <c r="D1333" s="14" t="n">
        <f aca="false">IF(C1333="BUY",B1333,IF(G1332="IN",D1332,""))</f>
        <v>22.76</v>
      </c>
      <c r="E1333" s="14" t="str">
        <f aca="false">IF(C1333="SELL",B1333,"")</f>
        <v/>
      </c>
      <c r="F1333" s="14" t="str">
        <f aca="false">IF(E1333="","",(E1333-D1333)/D1333*100)</f>
        <v/>
      </c>
      <c r="G1333" s="0" t="str">
        <f aca="false">IF(C1333="BUY","IN",IF(C1333="SELL","OUT",IF(G1332="IN","IN","OUT")))</f>
        <v>IN</v>
      </c>
      <c r="H1333" s="14" t="n">
        <f aca="false">H1332+IF(F1333="",0,F1333)</f>
        <v>-21.2814388508017</v>
      </c>
      <c r="I1333" s="14" t="n">
        <f aca="false">MAX(I1332,H1333)</f>
        <v>43.9309628600509</v>
      </c>
      <c r="J1333" s="14" t="n">
        <f aca="false">I1333-H1333</f>
        <v>65.2124017108525</v>
      </c>
    </row>
    <row r="1334" customFormat="false" ht="15" hidden="false" customHeight="false" outlineLevel="0" collapsed="false">
      <c r="A1334" s="12" t="n">
        <f aca="false">Data!A1334</f>
        <v>43943</v>
      </c>
      <c r="B1334" s="14" t="n">
        <f aca="false">Data!B1334</f>
        <v>13.78</v>
      </c>
      <c r="C1334" s="0" t="str">
        <f aca="false">IF(Data!D1334="","HOLD",IF(AND(G1333&lt;&gt;"IN",Data!E1334&lt;-5),"BUY",IF(AND(G1333="IN",Data!E1334&gt;0),"SELL","HOLD")))</f>
        <v>HOLD</v>
      </c>
      <c r="D1334" s="14" t="n">
        <f aca="false">IF(C1334="BUY",B1334,IF(G1333="IN",D1333,""))</f>
        <v>22.76</v>
      </c>
      <c r="E1334" s="14" t="str">
        <f aca="false">IF(C1334="SELL",B1334,"")</f>
        <v/>
      </c>
      <c r="F1334" s="14" t="str">
        <f aca="false">IF(E1334="","",(E1334-D1334)/D1334*100)</f>
        <v/>
      </c>
      <c r="G1334" s="0" t="str">
        <f aca="false">IF(C1334="BUY","IN",IF(C1334="SELL","OUT",IF(G1333="IN","IN","OUT")))</f>
        <v>IN</v>
      </c>
      <c r="H1334" s="14" t="n">
        <f aca="false">H1333+IF(F1334="",0,F1334)</f>
        <v>-21.2814388508017</v>
      </c>
      <c r="I1334" s="14" t="n">
        <f aca="false">MAX(I1333,H1334)</f>
        <v>43.9309628600509</v>
      </c>
      <c r="J1334" s="14" t="n">
        <f aca="false">I1334-H1334</f>
        <v>65.2124017108525</v>
      </c>
    </row>
    <row r="1335" customFormat="false" ht="15" hidden="false" customHeight="false" outlineLevel="0" collapsed="false">
      <c r="A1335" s="12" t="n">
        <f aca="false">Data!A1335</f>
        <v>43944</v>
      </c>
      <c r="B1335" s="14" t="n">
        <f aca="false">Data!B1335</f>
        <v>16.5</v>
      </c>
      <c r="C1335" s="0" t="str">
        <f aca="false">IF(Data!D1335="","HOLD",IF(AND(G1334&lt;&gt;"IN",Data!E1335&lt;-5),"BUY",IF(AND(G1334="IN",Data!E1335&gt;0),"SELL","HOLD")))</f>
        <v>HOLD</v>
      </c>
      <c r="D1335" s="14" t="n">
        <f aca="false">IF(C1335="BUY",B1335,IF(G1334="IN",D1334,""))</f>
        <v>22.76</v>
      </c>
      <c r="E1335" s="14" t="str">
        <f aca="false">IF(C1335="SELL",B1335,"")</f>
        <v/>
      </c>
      <c r="F1335" s="14" t="str">
        <f aca="false">IF(E1335="","",(E1335-D1335)/D1335*100)</f>
        <v/>
      </c>
      <c r="G1335" s="0" t="str">
        <f aca="false">IF(C1335="BUY","IN",IF(C1335="SELL","OUT",IF(G1334="IN","IN","OUT")))</f>
        <v>IN</v>
      </c>
      <c r="H1335" s="14" t="n">
        <f aca="false">H1334+IF(F1335="",0,F1335)</f>
        <v>-21.2814388508017</v>
      </c>
      <c r="I1335" s="14" t="n">
        <f aca="false">MAX(I1334,H1335)</f>
        <v>43.9309628600509</v>
      </c>
      <c r="J1335" s="14" t="n">
        <f aca="false">I1335-H1335</f>
        <v>65.2124017108525</v>
      </c>
    </row>
    <row r="1336" customFormat="false" ht="15" hidden="false" customHeight="false" outlineLevel="0" collapsed="false">
      <c r="A1336" s="12" t="n">
        <f aca="false">Data!A1336</f>
        <v>43945</v>
      </c>
      <c r="B1336" s="14" t="n">
        <f aca="false">Data!B1336</f>
        <v>16.94</v>
      </c>
      <c r="C1336" s="0" t="str">
        <f aca="false">IF(Data!D1336="","HOLD",IF(AND(G1335&lt;&gt;"IN",Data!E1336&lt;-5),"BUY",IF(AND(G1335="IN",Data!E1336&gt;0),"SELL","HOLD")))</f>
        <v>HOLD</v>
      </c>
      <c r="D1336" s="14" t="n">
        <f aca="false">IF(C1336="BUY",B1336,IF(G1335="IN",D1335,""))</f>
        <v>22.76</v>
      </c>
      <c r="E1336" s="14" t="str">
        <f aca="false">IF(C1336="SELL",B1336,"")</f>
        <v/>
      </c>
      <c r="F1336" s="14" t="str">
        <f aca="false">IF(E1336="","",(E1336-D1336)/D1336*100)</f>
        <v/>
      </c>
      <c r="G1336" s="0" t="str">
        <f aca="false">IF(C1336="BUY","IN",IF(C1336="SELL","OUT",IF(G1335="IN","IN","OUT")))</f>
        <v>IN</v>
      </c>
      <c r="H1336" s="14" t="n">
        <f aca="false">H1335+IF(F1336="",0,F1336)</f>
        <v>-21.2814388508017</v>
      </c>
      <c r="I1336" s="14" t="n">
        <f aca="false">MAX(I1335,H1336)</f>
        <v>43.9309628600509</v>
      </c>
      <c r="J1336" s="14" t="n">
        <f aca="false">I1336-H1336</f>
        <v>65.2124017108525</v>
      </c>
    </row>
    <row r="1337" customFormat="false" ht="15" hidden="false" customHeight="false" outlineLevel="0" collapsed="false">
      <c r="A1337" s="12" t="n">
        <f aca="false">Data!A1337</f>
        <v>43948</v>
      </c>
      <c r="B1337" s="14" t="n">
        <f aca="false">Data!B1337</f>
        <v>12.78</v>
      </c>
      <c r="C1337" s="0" t="str">
        <f aca="false">IF(Data!D1337="","HOLD",IF(AND(G1336&lt;&gt;"IN",Data!E1337&lt;-5),"BUY",IF(AND(G1336="IN",Data!E1337&gt;0),"SELL","HOLD")))</f>
        <v>HOLD</v>
      </c>
      <c r="D1337" s="14" t="n">
        <f aca="false">IF(C1337="BUY",B1337,IF(G1336="IN",D1336,""))</f>
        <v>22.76</v>
      </c>
      <c r="E1337" s="14" t="str">
        <f aca="false">IF(C1337="SELL",B1337,"")</f>
        <v/>
      </c>
      <c r="F1337" s="14" t="str">
        <f aca="false">IF(E1337="","",(E1337-D1337)/D1337*100)</f>
        <v/>
      </c>
      <c r="G1337" s="0" t="str">
        <f aca="false">IF(C1337="BUY","IN",IF(C1337="SELL","OUT",IF(G1336="IN","IN","OUT")))</f>
        <v>IN</v>
      </c>
      <c r="H1337" s="14" t="n">
        <f aca="false">H1336+IF(F1337="",0,F1337)</f>
        <v>-21.2814388508017</v>
      </c>
      <c r="I1337" s="14" t="n">
        <f aca="false">MAX(I1336,H1337)</f>
        <v>43.9309628600509</v>
      </c>
      <c r="J1337" s="14" t="n">
        <f aca="false">I1337-H1337</f>
        <v>65.2124017108525</v>
      </c>
    </row>
    <row r="1338" customFormat="false" ht="15" hidden="false" customHeight="false" outlineLevel="0" collapsed="false">
      <c r="A1338" s="12" t="n">
        <f aca="false">Data!A1338</f>
        <v>43949</v>
      </c>
      <c r="B1338" s="14" t="n">
        <f aca="false">Data!B1338</f>
        <v>12.34</v>
      </c>
      <c r="C1338" s="0" t="str">
        <f aca="false">IF(Data!D1338="","HOLD",IF(AND(G1337&lt;&gt;"IN",Data!E1338&lt;-5),"BUY",IF(AND(G1337="IN",Data!E1338&gt;0),"SELL","HOLD")))</f>
        <v>HOLD</v>
      </c>
      <c r="D1338" s="14" t="n">
        <f aca="false">IF(C1338="BUY",B1338,IF(G1337="IN",D1337,""))</f>
        <v>22.76</v>
      </c>
      <c r="E1338" s="14" t="str">
        <f aca="false">IF(C1338="SELL",B1338,"")</f>
        <v/>
      </c>
      <c r="F1338" s="14" t="str">
        <f aca="false">IF(E1338="","",(E1338-D1338)/D1338*100)</f>
        <v/>
      </c>
      <c r="G1338" s="0" t="str">
        <f aca="false">IF(C1338="BUY","IN",IF(C1338="SELL","OUT",IF(G1337="IN","IN","OUT")))</f>
        <v>IN</v>
      </c>
      <c r="H1338" s="14" t="n">
        <f aca="false">H1337+IF(F1338="",0,F1338)</f>
        <v>-21.2814388508017</v>
      </c>
      <c r="I1338" s="14" t="n">
        <f aca="false">MAX(I1337,H1338)</f>
        <v>43.9309628600509</v>
      </c>
      <c r="J1338" s="14" t="n">
        <f aca="false">I1338-H1338</f>
        <v>65.2124017108525</v>
      </c>
    </row>
    <row r="1339" customFormat="false" ht="15" hidden="false" customHeight="false" outlineLevel="0" collapsed="false">
      <c r="A1339" s="12" t="n">
        <f aca="false">Data!A1339</f>
        <v>43950</v>
      </c>
      <c r="B1339" s="14" t="n">
        <f aca="false">Data!B1339</f>
        <v>15.06</v>
      </c>
      <c r="C1339" s="0" t="str">
        <f aca="false">IF(Data!D1339="","HOLD",IF(AND(G1338&lt;&gt;"IN",Data!E1339&lt;-5),"BUY",IF(AND(G1338="IN",Data!E1339&gt;0),"SELL","HOLD")))</f>
        <v>HOLD</v>
      </c>
      <c r="D1339" s="14" t="n">
        <f aca="false">IF(C1339="BUY",B1339,IF(G1338="IN",D1338,""))</f>
        <v>22.76</v>
      </c>
      <c r="E1339" s="14" t="str">
        <f aca="false">IF(C1339="SELL",B1339,"")</f>
        <v/>
      </c>
      <c r="F1339" s="14" t="str">
        <f aca="false">IF(E1339="","",(E1339-D1339)/D1339*100)</f>
        <v/>
      </c>
      <c r="G1339" s="0" t="str">
        <f aca="false">IF(C1339="BUY","IN",IF(C1339="SELL","OUT",IF(G1338="IN","IN","OUT")))</f>
        <v>IN</v>
      </c>
      <c r="H1339" s="14" t="n">
        <f aca="false">H1338+IF(F1339="",0,F1339)</f>
        <v>-21.2814388508017</v>
      </c>
      <c r="I1339" s="14" t="n">
        <f aca="false">MAX(I1338,H1339)</f>
        <v>43.9309628600509</v>
      </c>
      <c r="J1339" s="14" t="n">
        <f aca="false">I1339-H1339</f>
        <v>65.2124017108525</v>
      </c>
    </row>
    <row r="1340" customFormat="false" ht="15" hidden="false" customHeight="false" outlineLevel="0" collapsed="false">
      <c r="A1340" s="12" t="n">
        <f aca="false">Data!A1340</f>
        <v>43951</v>
      </c>
      <c r="B1340" s="14" t="n">
        <f aca="false">Data!B1340</f>
        <v>18.84</v>
      </c>
      <c r="C1340" s="0" t="str">
        <f aca="false">IF(Data!D1340="","HOLD",IF(AND(G1339&lt;&gt;"IN",Data!E1340&lt;-5),"BUY",IF(AND(G1339="IN",Data!E1340&gt;0),"SELL","HOLD")))</f>
        <v>SELL</v>
      </c>
      <c r="D1340" s="14" t="n">
        <f aca="false">IF(C1340="BUY",B1340,IF(G1339="IN",D1339,""))</f>
        <v>22.76</v>
      </c>
      <c r="E1340" s="14" t="n">
        <f aca="false">IF(C1340="SELL",B1340,"")</f>
        <v>18.84</v>
      </c>
      <c r="F1340" s="14" t="n">
        <f aca="false">IF(E1340="","",(E1340-D1340)/D1340*100)</f>
        <v>-17.2231985940246</v>
      </c>
      <c r="G1340" s="0" t="str">
        <f aca="false">IF(C1340="BUY","IN",IF(C1340="SELL","OUT",IF(G1339="IN","IN","OUT")))</f>
        <v>OUT</v>
      </c>
      <c r="H1340" s="14" t="n">
        <f aca="false">H1339+IF(F1340="",0,F1340)</f>
        <v>-38.5046374448263</v>
      </c>
      <c r="I1340" s="14" t="n">
        <f aca="false">MAX(I1339,H1340)</f>
        <v>43.9309628600509</v>
      </c>
      <c r="J1340" s="14" t="n">
        <f aca="false">I1340-H1340</f>
        <v>82.4356003048771</v>
      </c>
    </row>
    <row r="1341" customFormat="false" ht="15" hidden="false" customHeight="false" outlineLevel="0" collapsed="false">
      <c r="A1341" s="12" t="n">
        <f aca="false">Data!A1341</f>
        <v>43952</v>
      </c>
      <c r="B1341" s="14" t="n">
        <f aca="false">Data!B1341</f>
        <v>19.78</v>
      </c>
      <c r="C1341" s="0" t="str">
        <f aca="false">IF(Data!D1341="","HOLD",IF(AND(G1340&lt;&gt;"IN",Data!E1341&lt;-5),"BUY",IF(AND(G1340="IN",Data!E1341&gt;0),"SELL","HOLD")))</f>
        <v>HOLD</v>
      </c>
      <c r="D1341" s="14" t="str">
        <f aca="false">IF(C1341="BUY",B1341,IF(G1340="IN",D1340,""))</f>
        <v/>
      </c>
      <c r="E1341" s="14" t="str">
        <f aca="false">IF(C1341="SELL",B1341,"")</f>
        <v/>
      </c>
      <c r="F1341" s="14" t="str">
        <f aca="false">IF(E1341="","",(E1341-D1341)/D1341*100)</f>
        <v/>
      </c>
      <c r="G1341" s="0" t="str">
        <f aca="false">IF(C1341="BUY","IN",IF(C1341="SELL","OUT",IF(G1340="IN","IN","OUT")))</f>
        <v>OUT</v>
      </c>
      <c r="H1341" s="14" t="n">
        <f aca="false">H1340+IF(F1341="",0,F1341)</f>
        <v>-38.5046374448263</v>
      </c>
      <c r="I1341" s="14" t="n">
        <f aca="false">MAX(I1340,H1341)</f>
        <v>43.9309628600509</v>
      </c>
      <c r="J1341" s="14" t="n">
        <f aca="false">I1341-H1341</f>
        <v>82.4356003048771</v>
      </c>
    </row>
    <row r="1342" customFormat="false" ht="15" hidden="false" customHeight="false" outlineLevel="0" collapsed="false">
      <c r="A1342" s="12" t="n">
        <f aca="false">Data!A1342</f>
        <v>43955</v>
      </c>
      <c r="B1342" s="14" t="n">
        <f aca="false">Data!B1342</f>
        <v>20.39</v>
      </c>
      <c r="C1342" s="0" t="str">
        <f aca="false">IF(Data!D1342="","HOLD",IF(AND(G1341&lt;&gt;"IN",Data!E1342&lt;-5),"BUY",IF(AND(G1341="IN",Data!E1342&gt;0),"SELL","HOLD")))</f>
        <v>HOLD</v>
      </c>
      <c r="D1342" s="14" t="str">
        <f aca="false">IF(C1342="BUY",B1342,IF(G1341="IN",D1341,""))</f>
        <v/>
      </c>
      <c r="E1342" s="14" t="str">
        <f aca="false">IF(C1342="SELL",B1342,"")</f>
        <v/>
      </c>
      <c r="F1342" s="14" t="str">
        <f aca="false">IF(E1342="","",(E1342-D1342)/D1342*100)</f>
        <v/>
      </c>
      <c r="G1342" s="0" t="str">
        <f aca="false">IF(C1342="BUY","IN",IF(C1342="SELL","OUT",IF(G1341="IN","IN","OUT")))</f>
        <v>OUT</v>
      </c>
      <c r="H1342" s="14" t="n">
        <f aca="false">H1341+IF(F1342="",0,F1342)</f>
        <v>-38.5046374448263</v>
      </c>
      <c r="I1342" s="14" t="n">
        <f aca="false">MAX(I1341,H1342)</f>
        <v>43.9309628600509</v>
      </c>
      <c r="J1342" s="14" t="n">
        <f aca="false">I1342-H1342</f>
        <v>82.4356003048771</v>
      </c>
    </row>
    <row r="1343" customFormat="false" ht="15" hidden="false" customHeight="false" outlineLevel="0" collapsed="false">
      <c r="A1343" s="12" t="n">
        <f aca="false">Data!A1343</f>
        <v>43956</v>
      </c>
      <c r="B1343" s="14" t="n">
        <f aca="false">Data!B1343</f>
        <v>24.56</v>
      </c>
      <c r="C1343" s="0" t="str">
        <f aca="false">IF(Data!D1343="","HOLD",IF(AND(G1342&lt;&gt;"IN",Data!E1343&lt;-5),"BUY",IF(AND(G1342="IN",Data!E1343&gt;0),"SELL","HOLD")))</f>
        <v>HOLD</v>
      </c>
      <c r="D1343" s="14" t="str">
        <f aca="false">IF(C1343="BUY",B1343,IF(G1342="IN",D1342,""))</f>
        <v/>
      </c>
      <c r="E1343" s="14" t="str">
        <f aca="false">IF(C1343="SELL",B1343,"")</f>
        <v/>
      </c>
      <c r="F1343" s="14" t="str">
        <f aca="false">IF(E1343="","",(E1343-D1343)/D1343*100)</f>
        <v/>
      </c>
      <c r="G1343" s="0" t="str">
        <f aca="false">IF(C1343="BUY","IN",IF(C1343="SELL","OUT",IF(G1342="IN","IN","OUT")))</f>
        <v>OUT</v>
      </c>
      <c r="H1343" s="14" t="n">
        <f aca="false">H1342+IF(F1343="",0,F1343)</f>
        <v>-38.5046374448263</v>
      </c>
      <c r="I1343" s="14" t="n">
        <f aca="false">MAX(I1342,H1343)</f>
        <v>43.9309628600509</v>
      </c>
      <c r="J1343" s="14" t="n">
        <f aca="false">I1343-H1343</f>
        <v>82.4356003048771</v>
      </c>
    </row>
    <row r="1344" customFormat="false" ht="15" hidden="false" customHeight="false" outlineLevel="0" collapsed="false">
      <c r="A1344" s="12" t="n">
        <f aca="false">Data!A1344</f>
        <v>43957</v>
      </c>
      <c r="B1344" s="14" t="n">
        <f aca="false">Data!B1344</f>
        <v>23.99</v>
      </c>
      <c r="C1344" s="0" t="str">
        <f aca="false">IF(Data!D1344="","HOLD",IF(AND(G1343&lt;&gt;"IN",Data!E1344&lt;-5),"BUY",IF(AND(G1343="IN",Data!E1344&gt;0),"SELL","HOLD")))</f>
        <v>HOLD</v>
      </c>
      <c r="D1344" s="14" t="str">
        <f aca="false">IF(C1344="BUY",B1344,IF(G1343="IN",D1343,""))</f>
        <v/>
      </c>
      <c r="E1344" s="14" t="str">
        <f aca="false">IF(C1344="SELL",B1344,"")</f>
        <v/>
      </c>
      <c r="F1344" s="14" t="str">
        <f aca="false">IF(E1344="","",(E1344-D1344)/D1344*100)</f>
        <v/>
      </c>
      <c r="G1344" s="0" t="str">
        <f aca="false">IF(C1344="BUY","IN",IF(C1344="SELL","OUT",IF(G1343="IN","IN","OUT")))</f>
        <v>OUT</v>
      </c>
      <c r="H1344" s="14" t="n">
        <f aca="false">H1343+IF(F1344="",0,F1344)</f>
        <v>-38.5046374448263</v>
      </c>
      <c r="I1344" s="14" t="n">
        <f aca="false">MAX(I1343,H1344)</f>
        <v>43.9309628600509</v>
      </c>
      <c r="J1344" s="14" t="n">
        <f aca="false">I1344-H1344</f>
        <v>82.4356003048771</v>
      </c>
    </row>
    <row r="1345" customFormat="false" ht="15" hidden="false" customHeight="false" outlineLevel="0" collapsed="false">
      <c r="A1345" s="12" t="n">
        <f aca="false">Data!A1345</f>
        <v>43958</v>
      </c>
      <c r="B1345" s="14" t="n">
        <f aca="false">Data!B1345</f>
        <v>23.55</v>
      </c>
      <c r="C1345" s="0" t="str">
        <f aca="false">IF(Data!D1345="","HOLD",IF(AND(G1344&lt;&gt;"IN",Data!E1345&lt;-5),"BUY",IF(AND(G1344="IN",Data!E1345&gt;0),"SELL","HOLD")))</f>
        <v>HOLD</v>
      </c>
      <c r="D1345" s="14" t="str">
        <f aca="false">IF(C1345="BUY",B1345,IF(G1344="IN",D1344,""))</f>
        <v/>
      </c>
      <c r="E1345" s="14" t="str">
        <f aca="false">IF(C1345="SELL",B1345,"")</f>
        <v/>
      </c>
      <c r="F1345" s="14" t="str">
        <f aca="false">IF(E1345="","",(E1345-D1345)/D1345*100)</f>
        <v/>
      </c>
      <c r="G1345" s="0" t="str">
        <f aca="false">IF(C1345="BUY","IN",IF(C1345="SELL","OUT",IF(G1344="IN","IN","OUT")))</f>
        <v>OUT</v>
      </c>
      <c r="H1345" s="14" t="n">
        <f aca="false">H1344+IF(F1345="",0,F1345)</f>
        <v>-38.5046374448263</v>
      </c>
      <c r="I1345" s="14" t="n">
        <f aca="false">MAX(I1344,H1345)</f>
        <v>43.9309628600509</v>
      </c>
      <c r="J1345" s="14" t="n">
        <f aca="false">I1345-H1345</f>
        <v>82.4356003048771</v>
      </c>
    </row>
    <row r="1346" customFormat="false" ht="15" hidden="false" customHeight="false" outlineLevel="0" collapsed="false">
      <c r="A1346" s="12" t="n">
        <f aca="false">Data!A1346</f>
        <v>43959</v>
      </c>
      <c r="B1346" s="14" t="n">
        <f aca="false">Data!B1346</f>
        <v>24.74</v>
      </c>
      <c r="C1346" s="0" t="str">
        <f aca="false">IF(Data!D1346="","HOLD",IF(AND(G1345&lt;&gt;"IN",Data!E1346&lt;-5),"BUY",IF(AND(G1345="IN",Data!E1346&gt;0),"SELL","HOLD")))</f>
        <v>HOLD</v>
      </c>
      <c r="D1346" s="14" t="str">
        <f aca="false">IF(C1346="BUY",B1346,IF(G1345="IN",D1345,""))</f>
        <v/>
      </c>
      <c r="E1346" s="14" t="str">
        <f aca="false">IF(C1346="SELL",B1346,"")</f>
        <v/>
      </c>
      <c r="F1346" s="14" t="str">
        <f aca="false">IF(E1346="","",(E1346-D1346)/D1346*100)</f>
        <v/>
      </c>
      <c r="G1346" s="0" t="str">
        <f aca="false">IF(C1346="BUY","IN",IF(C1346="SELL","OUT",IF(G1345="IN","IN","OUT")))</f>
        <v>OUT</v>
      </c>
      <c r="H1346" s="14" t="n">
        <f aca="false">H1345+IF(F1346="",0,F1346)</f>
        <v>-38.5046374448263</v>
      </c>
      <c r="I1346" s="14" t="n">
        <f aca="false">MAX(I1345,H1346)</f>
        <v>43.9309628600509</v>
      </c>
      <c r="J1346" s="14" t="n">
        <f aca="false">I1346-H1346</f>
        <v>82.4356003048771</v>
      </c>
    </row>
    <row r="1347" customFormat="false" ht="15" hidden="false" customHeight="false" outlineLevel="0" collapsed="false">
      <c r="A1347" s="12" t="n">
        <f aca="false">Data!A1347</f>
        <v>43962</v>
      </c>
      <c r="B1347" s="14" t="n">
        <f aca="false">Data!B1347</f>
        <v>24.14</v>
      </c>
      <c r="C1347" s="0" t="str">
        <f aca="false">IF(Data!D1347="","HOLD",IF(AND(G1346&lt;&gt;"IN",Data!E1347&lt;-5),"BUY",IF(AND(G1346="IN",Data!E1347&gt;0),"SELL","HOLD")))</f>
        <v>HOLD</v>
      </c>
      <c r="D1347" s="14" t="str">
        <f aca="false">IF(C1347="BUY",B1347,IF(G1346="IN",D1346,""))</f>
        <v/>
      </c>
      <c r="E1347" s="14" t="str">
        <f aca="false">IF(C1347="SELL",B1347,"")</f>
        <v/>
      </c>
      <c r="F1347" s="14" t="str">
        <f aca="false">IF(E1347="","",(E1347-D1347)/D1347*100)</f>
        <v/>
      </c>
      <c r="G1347" s="0" t="str">
        <f aca="false">IF(C1347="BUY","IN",IF(C1347="SELL","OUT",IF(G1346="IN","IN","OUT")))</f>
        <v>OUT</v>
      </c>
      <c r="H1347" s="14" t="n">
        <f aca="false">H1346+IF(F1347="",0,F1347)</f>
        <v>-38.5046374448263</v>
      </c>
      <c r="I1347" s="14" t="n">
        <f aca="false">MAX(I1346,H1347)</f>
        <v>43.9309628600509</v>
      </c>
      <c r="J1347" s="14" t="n">
        <f aca="false">I1347-H1347</f>
        <v>82.4356003048771</v>
      </c>
    </row>
    <row r="1348" customFormat="false" ht="15" hidden="false" customHeight="false" outlineLevel="0" collapsed="false">
      <c r="A1348" s="12" t="n">
        <f aca="false">Data!A1348</f>
        <v>43963</v>
      </c>
      <c r="B1348" s="14" t="n">
        <f aca="false">Data!B1348</f>
        <v>25.78</v>
      </c>
      <c r="C1348" s="0" t="str">
        <f aca="false">IF(Data!D1348="","HOLD",IF(AND(G1347&lt;&gt;"IN",Data!E1348&lt;-5),"BUY",IF(AND(G1347="IN",Data!E1348&gt;0),"SELL","HOLD")))</f>
        <v>HOLD</v>
      </c>
      <c r="D1348" s="14" t="str">
        <f aca="false">IF(C1348="BUY",B1348,IF(G1347="IN",D1347,""))</f>
        <v/>
      </c>
      <c r="E1348" s="14" t="str">
        <f aca="false">IF(C1348="SELL",B1348,"")</f>
        <v/>
      </c>
      <c r="F1348" s="14" t="str">
        <f aca="false">IF(E1348="","",(E1348-D1348)/D1348*100)</f>
        <v/>
      </c>
      <c r="G1348" s="0" t="str">
        <f aca="false">IF(C1348="BUY","IN",IF(C1348="SELL","OUT",IF(G1347="IN","IN","OUT")))</f>
        <v>OUT</v>
      </c>
      <c r="H1348" s="14" t="n">
        <f aca="false">H1347+IF(F1348="",0,F1348)</f>
        <v>-38.5046374448263</v>
      </c>
      <c r="I1348" s="14" t="n">
        <f aca="false">MAX(I1347,H1348)</f>
        <v>43.9309628600509</v>
      </c>
      <c r="J1348" s="14" t="n">
        <f aca="false">I1348-H1348</f>
        <v>82.4356003048771</v>
      </c>
    </row>
    <row r="1349" customFormat="false" ht="15" hidden="false" customHeight="false" outlineLevel="0" collapsed="false">
      <c r="A1349" s="12" t="n">
        <f aca="false">Data!A1349</f>
        <v>43964</v>
      </c>
      <c r="B1349" s="14" t="n">
        <f aca="false">Data!B1349</f>
        <v>25.29</v>
      </c>
      <c r="C1349" s="0" t="str">
        <f aca="false">IF(Data!D1349="","HOLD",IF(AND(G1348&lt;&gt;"IN",Data!E1349&lt;-5),"BUY",IF(AND(G1348="IN",Data!E1349&gt;0),"SELL","HOLD")))</f>
        <v>HOLD</v>
      </c>
      <c r="D1349" s="14" t="str">
        <f aca="false">IF(C1349="BUY",B1349,IF(G1348="IN",D1348,""))</f>
        <v/>
      </c>
      <c r="E1349" s="14" t="str">
        <f aca="false">IF(C1349="SELL",B1349,"")</f>
        <v/>
      </c>
      <c r="F1349" s="14" t="str">
        <f aca="false">IF(E1349="","",(E1349-D1349)/D1349*100)</f>
        <v/>
      </c>
      <c r="G1349" s="0" t="str">
        <f aca="false">IF(C1349="BUY","IN",IF(C1349="SELL","OUT",IF(G1348="IN","IN","OUT")))</f>
        <v>OUT</v>
      </c>
      <c r="H1349" s="14" t="n">
        <f aca="false">H1348+IF(F1349="",0,F1349)</f>
        <v>-38.5046374448263</v>
      </c>
      <c r="I1349" s="14" t="n">
        <f aca="false">MAX(I1348,H1349)</f>
        <v>43.9309628600509</v>
      </c>
      <c r="J1349" s="14" t="n">
        <f aca="false">I1349-H1349</f>
        <v>82.4356003048771</v>
      </c>
    </row>
    <row r="1350" customFormat="false" ht="15" hidden="false" customHeight="false" outlineLevel="0" collapsed="false">
      <c r="A1350" s="12" t="n">
        <f aca="false">Data!A1350</f>
        <v>43965</v>
      </c>
      <c r="B1350" s="14" t="n">
        <f aca="false">Data!B1350</f>
        <v>27.56</v>
      </c>
      <c r="C1350" s="0" t="str">
        <f aca="false">IF(Data!D1350="","HOLD",IF(AND(G1349&lt;&gt;"IN",Data!E1350&lt;-5),"BUY",IF(AND(G1349="IN",Data!E1350&gt;0),"SELL","HOLD")))</f>
        <v>HOLD</v>
      </c>
      <c r="D1350" s="14" t="str">
        <f aca="false">IF(C1350="BUY",B1350,IF(G1349="IN",D1349,""))</f>
        <v/>
      </c>
      <c r="E1350" s="14" t="str">
        <f aca="false">IF(C1350="SELL",B1350,"")</f>
        <v/>
      </c>
      <c r="F1350" s="14" t="str">
        <f aca="false">IF(E1350="","",(E1350-D1350)/D1350*100)</f>
        <v/>
      </c>
      <c r="G1350" s="0" t="str">
        <f aca="false">IF(C1350="BUY","IN",IF(C1350="SELL","OUT",IF(G1349="IN","IN","OUT")))</f>
        <v>OUT</v>
      </c>
      <c r="H1350" s="14" t="n">
        <f aca="false">H1349+IF(F1350="",0,F1350)</f>
        <v>-38.5046374448263</v>
      </c>
      <c r="I1350" s="14" t="n">
        <f aca="false">MAX(I1349,H1350)</f>
        <v>43.9309628600509</v>
      </c>
      <c r="J1350" s="14" t="n">
        <f aca="false">I1350-H1350</f>
        <v>82.4356003048771</v>
      </c>
    </row>
    <row r="1351" customFormat="false" ht="15" hidden="false" customHeight="false" outlineLevel="0" collapsed="false">
      <c r="A1351" s="12" t="n">
        <f aca="false">Data!A1351</f>
        <v>43966</v>
      </c>
      <c r="B1351" s="14" t="n">
        <f aca="false">Data!B1351</f>
        <v>29.43</v>
      </c>
      <c r="C1351" s="0" t="str">
        <f aca="false">IF(Data!D1351="","HOLD",IF(AND(G1350&lt;&gt;"IN",Data!E1351&lt;-5),"BUY",IF(AND(G1350="IN",Data!E1351&gt;0),"SELL","HOLD")))</f>
        <v>HOLD</v>
      </c>
      <c r="D1351" s="14" t="str">
        <f aca="false">IF(C1351="BUY",B1351,IF(G1350="IN",D1350,""))</f>
        <v/>
      </c>
      <c r="E1351" s="14" t="str">
        <f aca="false">IF(C1351="SELL",B1351,"")</f>
        <v/>
      </c>
      <c r="F1351" s="14" t="str">
        <f aca="false">IF(E1351="","",(E1351-D1351)/D1351*100)</f>
        <v/>
      </c>
      <c r="G1351" s="0" t="str">
        <f aca="false">IF(C1351="BUY","IN",IF(C1351="SELL","OUT",IF(G1350="IN","IN","OUT")))</f>
        <v>OUT</v>
      </c>
      <c r="H1351" s="14" t="n">
        <f aca="false">H1350+IF(F1351="",0,F1351)</f>
        <v>-38.5046374448263</v>
      </c>
      <c r="I1351" s="14" t="n">
        <f aca="false">MAX(I1350,H1351)</f>
        <v>43.9309628600509</v>
      </c>
      <c r="J1351" s="14" t="n">
        <f aca="false">I1351-H1351</f>
        <v>82.4356003048771</v>
      </c>
    </row>
    <row r="1352" customFormat="false" ht="15" hidden="false" customHeight="false" outlineLevel="0" collapsed="false">
      <c r="A1352" s="12" t="n">
        <f aca="false">Data!A1352</f>
        <v>43969</v>
      </c>
      <c r="B1352" s="14" t="n">
        <f aca="false">Data!B1352</f>
        <v>31.82</v>
      </c>
      <c r="C1352" s="0" t="str">
        <f aca="false">IF(Data!D1352="","HOLD",IF(AND(G1351&lt;&gt;"IN",Data!E1352&lt;-5),"BUY",IF(AND(G1351="IN",Data!E1352&gt;0),"SELL","HOLD")))</f>
        <v>HOLD</v>
      </c>
      <c r="D1352" s="14" t="str">
        <f aca="false">IF(C1352="BUY",B1352,IF(G1351="IN",D1351,""))</f>
        <v/>
      </c>
      <c r="E1352" s="14" t="str">
        <f aca="false">IF(C1352="SELL",B1352,"")</f>
        <v/>
      </c>
      <c r="F1352" s="14" t="str">
        <f aca="false">IF(E1352="","",(E1352-D1352)/D1352*100)</f>
        <v/>
      </c>
      <c r="G1352" s="0" t="str">
        <f aca="false">IF(C1352="BUY","IN",IF(C1352="SELL","OUT",IF(G1351="IN","IN","OUT")))</f>
        <v>OUT</v>
      </c>
      <c r="H1352" s="14" t="n">
        <f aca="false">H1351+IF(F1352="",0,F1352)</f>
        <v>-38.5046374448263</v>
      </c>
      <c r="I1352" s="14" t="n">
        <f aca="false">MAX(I1351,H1352)</f>
        <v>43.9309628600509</v>
      </c>
      <c r="J1352" s="14" t="n">
        <f aca="false">I1352-H1352</f>
        <v>82.4356003048771</v>
      </c>
    </row>
    <row r="1353" customFormat="false" ht="15" hidden="false" customHeight="false" outlineLevel="0" collapsed="false">
      <c r="A1353" s="12" t="n">
        <f aca="false">Data!A1353</f>
        <v>43970</v>
      </c>
      <c r="B1353" s="14" t="n">
        <f aca="false">Data!B1353</f>
        <v>32.5</v>
      </c>
      <c r="C1353" s="0" t="str">
        <f aca="false">IF(Data!D1353="","HOLD",IF(AND(G1352&lt;&gt;"IN",Data!E1353&lt;-5),"BUY",IF(AND(G1352="IN",Data!E1353&gt;0),"SELL","HOLD")))</f>
        <v>HOLD</v>
      </c>
      <c r="D1353" s="14" t="str">
        <f aca="false">IF(C1353="BUY",B1353,IF(G1352="IN",D1352,""))</f>
        <v/>
      </c>
      <c r="E1353" s="14" t="str">
        <f aca="false">IF(C1353="SELL",B1353,"")</f>
        <v/>
      </c>
      <c r="F1353" s="14" t="str">
        <f aca="false">IF(E1353="","",(E1353-D1353)/D1353*100)</f>
        <v/>
      </c>
      <c r="G1353" s="0" t="str">
        <f aca="false">IF(C1353="BUY","IN",IF(C1353="SELL","OUT",IF(G1352="IN","IN","OUT")))</f>
        <v>OUT</v>
      </c>
      <c r="H1353" s="14" t="n">
        <f aca="false">H1352+IF(F1353="",0,F1353)</f>
        <v>-38.5046374448263</v>
      </c>
      <c r="I1353" s="14" t="n">
        <f aca="false">MAX(I1352,H1353)</f>
        <v>43.9309628600509</v>
      </c>
      <c r="J1353" s="14" t="n">
        <f aca="false">I1353-H1353</f>
        <v>82.4356003048771</v>
      </c>
    </row>
    <row r="1354" customFormat="false" ht="15" hidden="false" customHeight="false" outlineLevel="0" collapsed="false">
      <c r="A1354" s="12" t="n">
        <f aca="false">Data!A1354</f>
        <v>43971</v>
      </c>
      <c r="B1354" s="14" t="n">
        <f aca="false">Data!B1354</f>
        <v>33.49</v>
      </c>
      <c r="C1354" s="0" t="str">
        <f aca="false">IF(Data!D1354="","HOLD",IF(AND(G1353&lt;&gt;"IN",Data!E1354&lt;-5),"BUY",IF(AND(G1353="IN",Data!E1354&gt;0),"SELL","HOLD")))</f>
        <v>HOLD</v>
      </c>
      <c r="D1354" s="14" t="str">
        <f aca="false">IF(C1354="BUY",B1354,IF(G1353="IN",D1353,""))</f>
        <v/>
      </c>
      <c r="E1354" s="14" t="str">
        <f aca="false">IF(C1354="SELL",B1354,"")</f>
        <v/>
      </c>
      <c r="F1354" s="14" t="str">
        <f aca="false">IF(E1354="","",(E1354-D1354)/D1354*100)</f>
        <v/>
      </c>
      <c r="G1354" s="0" t="str">
        <f aca="false">IF(C1354="BUY","IN",IF(C1354="SELL","OUT",IF(G1353="IN","IN","OUT")))</f>
        <v>OUT</v>
      </c>
      <c r="H1354" s="14" t="n">
        <f aca="false">H1353+IF(F1354="",0,F1354)</f>
        <v>-38.5046374448263</v>
      </c>
      <c r="I1354" s="14" t="n">
        <f aca="false">MAX(I1353,H1354)</f>
        <v>43.9309628600509</v>
      </c>
      <c r="J1354" s="14" t="n">
        <f aca="false">I1354-H1354</f>
        <v>82.4356003048771</v>
      </c>
    </row>
    <row r="1355" customFormat="false" ht="15" hidden="false" customHeight="false" outlineLevel="0" collapsed="false">
      <c r="A1355" s="12" t="n">
        <f aca="false">Data!A1355</f>
        <v>43972</v>
      </c>
      <c r="B1355" s="14" t="n">
        <f aca="false">Data!B1355</f>
        <v>33.92</v>
      </c>
      <c r="C1355" s="0" t="str">
        <f aca="false">IF(Data!D1355="","HOLD",IF(AND(G1354&lt;&gt;"IN",Data!E1355&lt;-5),"BUY",IF(AND(G1354="IN",Data!E1355&gt;0),"SELL","HOLD")))</f>
        <v>HOLD</v>
      </c>
      <c r="D1355" s="14" t="str">
        <f aca="false">IF(C1355="BUY",B1355,IF(G1354="IN",D1354,""))</f>
        <v/>
      </c>
      <c r="E1355" s="14" t="str">
        <f aca="false">IF(C1355="SELL",B1355,"")</f>
        <v/>
      </c>
      <c r="F1355" s="14" t="str">
        <f aca="false">IF(E1355="","",(E1355-D1355)/D1355*100)</f>
        <v/>
      </c>
      <c r="G1355" s="0" t="str">
        <f aca="false">IF(C1355="BUY","IN",IF(C1355="SELL","OUT",IF(G1354="IN","IN","OUT")))</f>
        <v>OUT</v>
      </c>
      <c r="H1355" s="14" t="n">
        <f aca="false">H1354+IF(F1355="",0,F1355)</f>
        <v>-38.5046374448263</v>
      </c>
      <c r="I1355" s="14" t="n">
        <f aca="false">MAX(I1354,H1355)</f>
        <v>43.9309628600509</v>
      </c>
      <c r="J1355" s="14" t="n">
        <f aca="false">I1355-H1355</f>
        <v>82.4356003048771</v>
      </c>
    </row>
    <row r="1356" customFormat="false" ht="15" hidden="false" customHeight="false" outlineLevel="0" collapsed="false">
      <c r="A1356" s="12" t="n">
        <f aca="false">Data!A1356</f>
        <v>43973</v>
      </c>
      <c r="B1356" s="14" t="n">
        <f aca="false">Data!B1356</f>
        <v>33.25</v>
      </c>
      <c r="C1356" s="0" t="str">
        <f aca="false">IF(Data!D1356="","HOLD",IF(AND(G1355&lt;&gt;"IN",Data!E1356&lt;-5),"BUY",IF(AND(G1355="IN",Data!E1356&gt;0),"SELL","HOLD")))</f>
        <v>HOLD</v>
      </c>
      <c r="D1356" s="14" t="str">
        <f aca="false">IF(C1356="BUY",B1356,IF(G1355="IN",D1355,""))</f>
        <v/>
      </c>
      <c r="E1356" s="14" t="str">
        <f aca="false">IF(C1356="SELL",B1356,"")</f>
        <v/>
      </c>
      <c r="F1356" s="14" t="str">
        <f aca="false">IF(E1356="","",(E1356-D1356)/D1356*100)</f>
        <v/>
      </c>
      <c r="G1356" s="0" t="str">
        <f aca="false">IF(C1356="BUY","IN",IF(C1356="SELL","OUT",IF(G1355="IN","IN","OUT")))</f>
        <v>OUT</v>
      </c>
      <c r="H1356" s="14" t="n">
        <f aca="false">H1355+IF(F1356="",0,F1356)</f>
        <v>-38.5046374448263</v>
      </c>
      <c r="I1356" s="14" t="n">
        <f aca="false">MAX(I1355,H1356)</f>
        <v>43.9309628600509</v>
      </c>
      <c r="J1356" s="14" t="n">
        <f aca="false">I1356-H1356</f>
        <v>82.4356003048771</v>
      </c>
    </row>
    <row r="1357" customFormat="false" ht="15" hidden="false" customHeight="false" outlineLevel="0" collapsed="false">
      <c r="A1357" s="12" t="n">
        <f aca="false">Data!A1357</f>
        <v>43977</v>
      </c>
      <c r="B1357" s="14" t="n">
        <f aca="false">Data!B1357</f>
        <v>34.35</v>
      </c>
      <c r="C1357" s="0" t="str">
        <f aca="false">IF(Data!D1357="","HOLD",IF(AND(G1356&lt;&gt;"IN",Data!E1357&lt;-5),"BUY",IF(AND(G1356="IN",Data!E1357&gt;0),"SELL","HOLD")))</f>
        <v>HOLD</v>
      </c>
      <c r="D1357" s="14" t="str">
        <f aca="false">IF(C1357="BUY",B1357,IF(G1356="IN",D1356,""))</f>
        <v/>
      </c>
      <c r="E1357" s="14" t="str">
        <f aca="false">IF(C1357="SELL",B1357,"")</f>
        <v/>
      </c>
      <c r="F1357" s="14" t="str">
        <f aca="false">IF(E1357="","",(E1357-D1357)/D1357*100)</f>
        <v/>
      </c>
      <c r="G1357" s="0" t="str">
        <f aca="false">IF(C1357="BUY","IN",IF(C1357="SELL","OUT",IF(G1356="IN","IN","OUT")))</f>
        <v>OUT</v>
      </c>
      <c r="H1357" s="14" t="n">
        <f aca="false">H1356+IF(F1357="",0,F1357)</f>
        <v>-38.5046374448263</v>
      </c>
      <c r="I1357" s="14" t="n">
        <f aca="false">MAX(I1356,H1357)</f>
        <v>43.9309628600509</v>
      </c>
      <c r="J1357" s="14" t="n">
        <f aca="false">I1357-H1357</f>
        <v>82.4356003048771</v>
      </c>
    </row>
    <row r="1358" customFormat="false" ht="15" hidden="false" customHeight="false" outlineLevel="0" collapsed="false">
      <c r="A1358" s="12" t="n">
        <f aca="false">Data!A1358</f>
        <v>43978</v>
      </c>
      <c r="B1358" s="14" t="n">
        <f aca="false">Data!B1358</f>
        <v>32.81</v>
      </c>
      <c r="C1358" s="0" t="str">
        <f aca="false">IF(Data!D1358="","HOLD",IF(AND(G1357&lt;&gt;"IN",Data!E1358&lt;-5),"BUY",IF(AND(G1357="IN",Data!E1358&gt;0),"SELL","HOLD")))</f>
        <v>HOLD</v>
      </c>
      <c r="D1358" s="14" t="str">
        <f aca="false">IF(C1358="BUY",B1358,IF(G1357="IN",D1357,""))</f>
        <v/>
      </c>
      <c r="E1358" s="14" t="str">
        <f aca="false">IF(C1358="SELL",B1358,"")</f>
        <v/>
      </c>
      <c r="F1358" s="14" t="str">
        <f aca="false">IF(E1358="","",(E1358-D1358)/D1358*100)</f>
        <v/>
      </c>
      <c r="G1358" s="0" t="str">
        <f aca="false">IF(C1358="BUY","IN",IF(C1358="SELL","OUT",IF(G1357="IN","IN","OUT")))</f>
        <v>OUT</v>
      </c>
      <c r="H1358" s="14" t="n">
        <f aca="false">H1357+IF(F1358="",0,F1358)</f>
        <v>-38.5046374448263</v>
      </c>
      <c r="I1358" s="14" t="n">
        <f aca="false">MAX(I1357,H1358)</f>
        <v>43.9309628600509</v>
      </c>
      <c r="J1358" s="14" t="n">
        <f aca="false">I1358-H1358</f>
        <v>82.4356003048771</v>
      </c>
    </row>
    <row r="1359" customFormat="false" ht="15" hidden="false" customHeight="false" outlineLevel="0" collapsed="false">
      <c r="A1359" s="12" t="n">
        <f aca="false">Data!A1359</f>
        <v>43979</v>
      </c>
      <c r="B1359" s="14" t="n">
        <f aca="false">Data!B1359</f>
        <v>33.71</v>
      </c>
      <c r="C1359" s="0" t="str">
        <f aca="false">IF(Data!D1359="","HOLD",IF(AND(G1358&lt;&gt;"IN",Data!E1359&lt;-5),"BUY",IF(AND(G1358="IN",Data!E1359&gt;0),"SELL","HOLD")))</f>
        <v>HOLD</v>
      </c>
      <c r="D1359" s="14" t="str">
        <f aca="false">IF(C1359="BUY",B1359,IF(G1358="IN",D1358,""))</f>
        <v/>
      </c>
      <c r="E1359" s="14" t="str">
        <f aca="false">IF(C1359="SELL",B1359,"")</f>
        <v/>
      </c>
      <c r="F1359" s="14" t="str">
        <f aca="false">IF(E1359="","",(E1359-D1359)/D1359*100)</f>
        <v/>
      </c>
      <c r="G1359" s="0" t="str">
        <f aca="false">IF(C1359="BUY","IN",IF(C1359="SELL","OUT",IF(G1358="IN","IN","OUT")))</f>
        <v>OUT</v>
      </c>
      <c r="H1359" s="14" t="n">
        <f aca="false">H1358+IF(F1359="",0,F1359)</f>
        <v>-38.5046374448263</v>
      </c>
      <c r="I1359" s="14" t="n">
        <f aca="false">MAX(I1358,H1359)</f>
        <v>43.9309628600509</v>
      </c>
      <c r="J1359" s="14" t="n">
        <f aca="false">I1359-H1359</f>
        <v>82.4356003048771</v>
      </c>
    </row>
    <row r="1360" customFormat="false" ht="15" hidden="false" customHeight="false" outlineLevel="0" collapsed="false">
      <c r="A1360" s="12" t="n">
        <f aca="false">Data!A1360</f>
        <v>43980</v>
      </c>
      <c r="B1360" s="14" t="n">
        <f aca="false">Data!B1360</f>
        <v>35.49</v>
      </c>
      <c r="C1360" s="0" t="str">
        <f aca="false">IF(Data!D1360="","HOLD",IF(AND(G1359&lt;&gt;"IN",Data!E1360&lt;-5),"BUY",IF(AND(G1359="IN",Data!E1360&gt;0),"SELL","HOLD")))</f>
        <v>HOLD</v>
      </c>
      <c r="D1360" s="14" t="str">
        <f aca="false">IF(C1360="BUY",B1360,IF(G1359="IN",D1359,""))</f>
        <v/>
      </c>
      <c r="E1360" s="14" t="str">
        <f aca="false">IF(C1360="SELL",B1360,"")</f>
        <v/>
      </c>
      <c r="F1360" s="14" t="str">
        <f aca="false">IF(E1360="","",(E1360-D1360)/D1360*100)</f>
        <v/>
      </c>
      <c r="G1360" s="0" t="str">
        <f aca="false">IF(C1360="BUY","IN",IF(C1360="SELL","OUT",IF(G1359="IN","IN","OUT")))</f>
        <v>OUT</v>
      </c>
      <c r="H1360" s="14" t="n">
        <f aca="false">H1359+IF(F1360="",0,F1360)</f>
        <v>-38.5046374448263</v>
      </c>
      <c r="I1360" s="14" t="n">
        <f aca="false">MAX(I1359,H1360)</f>
        <v>43.9309628600509</v>
      </c>
      <c r="J1360" s="14" t="n">
        <f aca="false">I1360-H1360</f>
        <v>82.4356003048771</v>
      </c>
    </row>
    <row r="1361" customFormat="false" ht="15" hidden="false" customHeight="false" outlineLevel="0" collapsed="false">
      <c r="A1361" s="12" t="n">
        <f aca="false">Data!A1361</f>
        <v>43983</v>
      </c>
      <c r="B1361" s="14" t="n">
        <f aca="false">Data!B1361</f>
        <v>35.44</v>
      </c>
      <c r="C1361" s="0" t="str">
        <f aca="false">IF(Data!D1361="","HOLD",IF(AND(G1360&lt;&gt;"IN",Data!E1361&lt;-5),"BUY",IF(AND(G1360="IN",Data!E1361&gt;0),"SELL","HOLD")))</f>
        <v>HOLD</v>
      </c>
      <c r="D1361" s="14" t="str">
        <f aca="false">IF(C1361="BUY",B1361,IF(G1360="IN",D1360,""))</f>
        <v/>
      </c>
      <c r="E1361" s="14" t="str">
        <f aca="false">IF(C1361="SELL",B1361,"")</f>
        <v/>
      </c>
      <c r="F1361" s="14" t="str">
        <f aca="false">IF(E1361="","",(E1361-D1361)/D1361*100)</f>
        <v/>
      </c>
      <c r="G1361" s="0" t="str">
        <f aca="false">IF(C1361="BUY","IN",IF(C1361="SELL","OUT",IF(G1360="IN","IN","OUT")))</f>
        <v>OUT</v>
      </c>
      <c r="H1361" s="14" t="n">
        <f aca="false">H1360+IF(F1361="",0,F1361)</f>
        <v>-38.5046374448263</v>
      </c>
      <c r="I1361" s="14" t="n">
        <f aca="false">MAX(I1360,H1361)</f>
        <v>43.9309628600509</v>
      </c>
      <c r="J1361" s="14" t="n">
        <f aca="false">I1361-H1361</f>
        <v>82.4356003048771</v>
      </c>
    </row>
    <row r="1362" customFormat="false" ht="15" hidden="false" customHeight="false" outlineLevel="0" collapsed="false">
      <c r="A1362" s="12" t="n">
        <f aca="false">Data!A1362</f>
        <v>43984</v>
      </c>
      <c r="B1362" s="14" t="n">
        <f aca="false">Data!B1362</f>
        <v>36.81</v>
      </c>
      <c r="C1362" s="0" t="str">
        <f aca="false">IF(Data!D1362="","HOLD",IF(AND(G1361&lt;&gt;"IN",Data!E1362&lt;-5),"BUY",IF(AND(G1361="IN",Data!E1362&gt;0),"SELL","HOLD")))</f>
        <v>HOLD</v>
      </c>
      <c r="D1362" s="14" t="str">
        <f aca="false">IF(C1362="BUY",B1362,IF(G1361="IN",D1361,""))</f>
        <v/>
      </c>
      <c r="E1362" s="14" t="str">
        <f aca="false">IF(C1362="SELL",B1362,"")</f>
        <v/>
      </c>
      <c r="F1362" s="14" t="str">
        <f aca="false">IF(E1362="","",(E1362-D1362)/D1362*100)</f>
        <v/>
      </c>
      <c r="G1362" s="0" t="str">
        <f aca="false">IF(C1362="BUY","IN",IF(C1362="SELL","OUT",IF(G1361="IN","IN","OUT")))</f>
        <v>OUT</v>
      </c>
      <c r="H1362" s="14" t="n">
        <f aca="false">H1361+IF(F1362="",0,F1362)</f>
        <v>-38.5046374448263</v>
      </c>
      <c r="I1362" s="14" t="n">
        <f aca="false">MAX(I1361,H1362)</f>
        <v>43.9309628600509</v>
      </c>
      <c r="J1362" s="14" t="n">
        <f aca="false">I1362-H1362</f>
        <v>82.4356003048771</v>
      </c>
    </row>
    <row r="1363" customFormat="false" ht="15" hidden="false" customHeight="false" outlineLevel="0" collapsed="false">
      <c r="A1363" s="12" t="n">
        <f aca="false">Data!A1363</f>
        <v>43985</v>
      </c>
      <c r="B1363" s="14" t="n">
        <f aca="false">Data!B1363</f>
        <v>37.29</v>
      </c>
      <c r="C1363" s="0" t="str">
        <f aca="false">IF(Data!D1363="","HOLD",IF(AND(G1362&lt;&gt;"IN",Data!E1363&lt;-5),"BUY",IF(AND(G1362="IN",Data!E1363&gt;0),"SELL","HOLD")))</f>
        <v>HOLD</v>
      </c>
      <c r="D1363" s="14" t="str">
        <f aca="false">IF(C1363="BUY",B1363,IF(G1362="IN",D1362,""))</f>
        <v/>
      </c>
      <c r="E1363" s="14" t="str">
        <f aca="false">IF(C1363="SELL",B1363,"")</f>
        <v/>
      </c>
      <c r="F1363" s="14" t="str">
        <f aca="false">IF(E1363="","",(E1363-D1363)/D1363*100)</f>
        <v/>
      </c>
      <c r="G1363" s="0" t="str">
        <f aca="false">IF(C1363="BUY","IN",IF(C1363="SELL","OUT",IF(G1362="IN","IN","OUT")))</f>
        <v>OUT</v>
      </c>
      <c r="H1363" s="14" t="n">
        <f aca="false">H1362+IF(F1363="",0,F1363)</f>
        <v>-38.5046374448263</v>
      </c>
      <c r="I1363" s="14" t="n">
        <f aca="false">MAX(I1362,H1363)</f>
        <v>43.9309628600509</v>
      </c>
      <c r="J1363" s="14" t="n">
        <f aca="false">I1363-H1363</f>
        <v>82.4356003048771</v>
      </c>
    </row>
    <row r="1364" customFormat="false" ht="15" hidden="false" customHeight="false" outlineLevel="0" collapsed="false">
      <c r="A1364" s="12" t="n">
        <f aca="false">Data!A1364</f>
        <v>43986</v>
      </c>
      <c r="B1364" s="14" t="n">
        <f aca="false">Data!B1364</f>
        <v>37.41</v>
      </c>
      <c r="C1364" s="0" t="str">
        <f aca="false">IF(Data!D1364="","HOLD",IF(AND(G1363&lt;&gt;"IN",Data!E1364&lt;-5),"BUY",IF(AND(G1363="IN",Data!E1364&gt;0),"SELL","HOLD")))</f>
        <v>HOLD</v>
      </c>
      <c r="D1364" s="14" t="str">
        <f aca="false">IF(C1364="BUY",B1364,IF(G1363="IN",D1363,""))</f>
        <v/>
      </c>
      <c r="E1364" s="14" t="str">
        <f aca="false">IF(C1364="SELL",B1364,"")</f>
        <v/>
      </c>
      <c r="F1364" s="14" t="str">
        <f aca="false">IF(E1364="","",(E1364-D1364)/D1364*100)</f>
        <v/>
      </c>
      <c r="G1364" s="0" t="str">
        <f aca="false">IF(C1364="BUY","IN",IF(C1364="SELL","OUT",IF(G1363="IN","IN","OUT")))</f>
        <v>OUT</v>
      </c>
      <c r="H1364" s="14" t="n">
        <f aca="false">H1363+IF(F1364="",0,F1364)</f>
        <v>-38.5046374448263</v>
      </c>
      <c r="I1364" s="14" t="n">
        <f aca="false">MAX(I1363,H1364)</f>
        <v>43.9309628600509</v>
      </c>
      <c r="J1364" s="14" t="n">
        <f aca="false">I1364-H1364</f>
        <v>82.4356003048771</v>
      </c>
    </row>
    <row r="1365" customFormat="false" ht="15" hidden="false" customHeight="false" outlineLevel="0" collapsed="false">
      <c r="A1365" s="12" t="n">
        <f aca="false">Data!A1365</f>
        <v>43987</v>
      </c>
      <c r="B1365" s="14" t="n">
        <f aca="false">Data!B1365</f>
        <v>39.55</v>
      </c>
      <c r="C1365" s="0" t="str">
        <f aca="false">IF(Data!D1365="","HOLD",IF(AND(G1364&lt;&gt;"IN",Data!E1365&lt;-5),"BUY",IF(AND(G1364="IN",Data!E1365&gt;0),"SELL","HOLD")))</f>
        <v>HOLD</v>
      </c>
      <c r="D1365" s="14" t="str">
        <f aca="false">IF(C1365="BUY",B1365,IF(G1364="IN",D1364,""))</f>
        <v/>
      </c>
      <c r="E1365" s="14" t="str">
        <f aca="false">IF(C1365="SELL",B1365,"")</f>
        <v/>
      </c>
      <c r="F1365" s="14" t="str">
        <f aca="false">IF(E1365="","",(E1365-D1365)/D1365*100)</f>
        <v/>
      </c>
      <c r="G1365" s="0" t="str">
        <f aca="false">IF(C1365="BUY","IN",IF(C1365="SELL","OUT",IF(G1364="IN","IN","OUT")))</f>
        <v>OUT</v>
      </c>
      <c r="H1365" s="14" t="n">
        <f aca="false">H1364+IF(F1365="",0,F1365)</f>
        <v>-38.5046374448263</v>
      </c>
      <c r="I1365" s="14" t="n">
        <f aca="false">MAX(I1364,H1365)</f>
        <v>43.9309628600509</v>
      </c>
      <c r="J1365" s="14" t="n">
        <f aca="false">I1365-H1365</f>
        <v>82.4356003048771</v>
      </c>
    </row>
    <row r="1366" customFormat="false" ht="15" hidden="false" customHeight="false" outlineLevel="0" collapsed="false">
      <c r="A1366" s="12" t="n">
        <f aca="false">Data!A1366</f>
        <v>43990</v>
      </c>
      <c r="B1366" s="14" t="n">
        <f aca="false">Data!B1366</f>
        <v>38.19</v>
      </c>
      <c r="C1366" s="0" t="str">
        <f aca="false">IF(Data!D1366="","HOLD",IF(AND(G1365&lt;&gt;"IN",Data!E1366&lt;-5),"BUY",IF(AND(G1365="IN",Data!E1366&gt;0),"SELL","HOLD")))</f>
        <v>HOLD</v>
      </c>
      <c r="D1366" s="14" t="str">
        <f aca="false">IF(C1366="BUY",B1366,IF(G1365="IN",D1365,""))</f>
        <v/>
      </c>
      <c r="E1366" s="14" t="str">
        <f aca="false">IF(C1366="SELL",B1366,"")</f>
        <v/>
      </c>
      <c r="F1366" s="14" t="str">
        <f aca="false">IF(E1366="","",(E1366-D1366)/D1366*100)</f>
        <v/>
      </c>
      <c r="G1366" s="0" t="str">
        <f aca="false">IF(C1366="BUY","IN",IF(C1366="SELL","OUT",IF(G1365="IN","IN","OUT")))</f>
        <v>OUT</v>
      </c>
      <c r="H1366" s="14" t="n">
        <f aca="false">H1365+IF(F1366="",0,F1366)</f>
        <v>-38.5046374448263</v>
      </c>
      <c r="I1366" s="14" t="n">
        <f aca="false">MAX(I1365,H1366)</f>
        <v>43.9309628600509</v>
      </c>
      <c r="J1366" s="14" t="n">
        <f aca="false">I1366-H1366</f>
        <v>82.4356003048771</v>
      </c>
    </row>
    <row r="1367" customFormat="false" ht="15" hidden="false" customHeight="false" outlineLevel="0" collapsed="false">
      <c r="A1367" s="12" t="n">
        <f aca="false">Data!A1367</f>
        <v>43991</v>
      </c>
      <c r="B1367" s="14" t="n">
        <f aca="false">Data!B1367</f>
        <v>38.94</v>
      </c>
      <c r="C1367" s="0" t="str">
        <f aca="false">IF(Data!D1367="","HOLD",IF(AND(G1366&lt;&gt;"IN",Data!E1367&lt;-5),"BUY",IF(AND(G1366="IN",Data!E1367&gt;0),"SELL","HOLD")))</f>
        <v>HOLD</v>
      </c>
      <c r="D1367" s="14" t="str">
        <f aca="false">IF(C1367="BUY",B1367,IF(G1366="IN",D1366,""))</f>
        <v/>
      </c>
      <c r="E1367" s="14" t="str">
        <f aca="false">IF(C1367="SELL",B1367,"")</f>
        <v/>
      </c>
      <c r="F1367" s="14" t="str">
        <f aca="false">IF(E1367="","",(E1367-D1367)/D1367*100)</f>
        <v/>
      </c>
      <c r="G1367" s="0" t="str">
        <f aca="false">IF(C1367="BUY","IN",IF(C1367="SELL","OUT",IF(G1366="IN","IN","OUT")))</f>
        <v>OUT</v>
      </c>
      <c r="H1367" s="14" t="n">
        <f aca="false">H1366+IF(F1367="",0,F1367)</f>
        <v>-38.5046374448263</v>
      </c>
      <c r="I1367" s="14" t="n">
        <f aca="false">MAX(I1366,H1367)</f>
        <v>43.9309628600509</v>
      </c>
      <c r="J1367" s="14" t="n">
        <f aca="false">I1367-H1367</f>
        <v>82.4356003048771</v>
      </c>
    </row>
    <row r="1368" customFormat="false" ht="15" hidden="false" customHeight="false" outlineLevel="0" collapsed="false">
      <c r="A1368" s="12" t="n">
        <f aca="false">Data!A1368</f>
        <v>43992</v>
      </c>
      <c r="B1368" s="14" t="n">
        <f aca="false">Data!B1368</f>
        <v>39.6</v>
      </c>
      <c r="C1368" s="0" t="str">
        <f aca="false">IF(Data!D1368="","HOLD",IF(AND(G1367&lt;&gt;"IN",Data!E1368&lt;-5),"BUY",IF(AND(G1367="IN",Data!E1368&gt;0),"SELL","HOLD")))</f>
        <v>HOLD</v>
      </c>
      <c r="D1368" s="14" t="str">
        <f aca="false">IF(C1368="BUY",B1368,IF(G1367="IN",D1367,""))</f>
        <v/>
      </c>
      <c r="E1368" s="14" t="str">
        <f aca="false">IF(C1368="SELL",B1368,"")</f>
        <v/>
      </c>
      <c r="F1368" s="14" t="str">
        <f aca="false">IF(E1368="","",(E1368-D1368)/D1368*100)</f>
        <v/>
      </c>
      <c r="G1368" s="0" t="str">
        <f aca="false">IF(C1368="BUY","IN",IF(C1368="SELL","OUT",IF(G1367="IN","IN","OUT")))</f>
        <v>OUT</v>
      </c>
      <c r="H1368" s="14" t="n">
        <f aca="false">H1367+IF(F1368="",0,F1368)</f>
        <v>-38.5046374448263</v>
      </c>
      <c r="I1368" s="14" t="n">
        <f aca="false">MAX(I1367,H1368)</f>
        <v>43.9309628600509</v>
      </c>
      <c r="J1368" s="14" t="n">
        <f aca="false">I1368-H1368</f>
        <v>82.4356003048771</v>
      </c>
    </row>
    <row r="1369" customFormat="false" ht="15" hidden="false" customHeight="false" outlineLevel="0" collapsed="false">
      <c r="A1369" s="12" t="n">
        <f aca="false">Data!A1369</f>
        <v>43993</v>
      </c>
      <c r="B1369" s="14" t="n">
        <f aca="false">Data!B1369</f>
        <v>36.34</v>
      </c>
      <c r="C1369" s="0" t="str">
        <f aca="false">IF(Data!D1369="","HOLD",IF(AND(G1368&lt;&gt;"IN",Data!E1369&lt;-5),"BUY",IF(AND(G1368="IN",Data!E1369&gt;0),"SELL","HOLD")))</f>
        <v>HOLD</v>
      </c>
      <c r="D1369" s="14" t="str">
        <f aca="false">IF(C1369="BUY",B1369,IF(G1368="IN",D1368,""))</f>
        <v/>
      </c>
      <c r="E1369" s="14" t="str">
        <f aca="false">IF(C1369="SELL",B1369,"")</f>
        <v/>
      </c>
      <c r="F1369" s="14" t="str">
        <f aca="false">IF(E1369="","",(E1369-D1369)/D1369*100)</f>
        <v/>
      </c>
      <c r="G1369" s="0" t="str">
        <f aca="false">IF(C1369="BUY","IN",IF(C1369="SELL","OUT",IF(G1368="IN","IN","OUT")))</f>
        <v>OUT</v>
      </c>
      <c r="H1369" s="14" t="n">
        <f aca="false">H1368+IF(F1369="",0,F1369)</f>
        <v>-38.5046374448263</v>
      </c>
      <c r="I1369" s="14" t="n">
        <f aca="false">MAX(I1368,H1369)</f>
        <v>43.9309628600509</v>
      </c>
      <c r="J1369" s="14" t="n">
        <f aca="false">I1369-H1369</f>
        <v>82.4356003048771</v>
      </c>
    </row>
    <row r="1370" customFormat="false" ht="15" hidden="false" customHeight="false" outlineLevel="0" collapsed="false">
      <c r="A1370" s="12" t="n">
        <f aca="false">Data!A1370</f>
        <v>43994</v>
      </c>
      <c r="B1370" s="14" t="n">
        <f aca="false">Data!B1370</f>
        <v>36.26</v>
      </c>
      <c r="C1370" s="0" t="str">
        <f aca="false">IF(Data!D1370="","HOLD",IF(AND(G1369&lt;&gt;"IN",Data!E1370&lt;-5),"BUY",IF(AND(G1369="IN",Data!E1370&gt;0),"SELL","HOLD")))</f>
        <v>HOLD</v>
      </c>
      <c r="D1370" s="14" t="str">
        <f aca="false">IF(C1370="BUY",B1370,IF(G1369="IN",D1369,""))</f>
        <v/>
      </c>
      <c r="E1370" s="14" t="str">
        <f aca="false">IF(C1370="SELL",B1370,"")</f>
        <v/>
      </c>
      <c r="F1370" s="14" t="str">
        <f aca="false">IF(E1370="","",(E1370-D1370)/D1370*100)</f>
        <v/>
      </c>
      <c r="G1370" s="0" t="str">
        <f aca="false">IF(C1370="BUY","IN",IF(C1370="SELL","OUT",IF(G1369="IN","IN","OUT")))</f>
        <v>OUT</v>
      </c>
      <c r="H1370" s="14" t="n">
        <f aca="false">H1369+IF(F1370="",0,F1370)</f>
        <v>-38.5046374448263</v>
      </c>
      <c r="I1370" s="14" t="n">
        <f aca="false">MAX(I1369,H1370)</f>
        <v>43.9309628600509</v>
      </c>
      <c r="J1370" s="14" t="n">
        <f aca="false">I1370-H1370</f>
        <v>82.4356003048771</v>
      </c>
    </row>
    <row r="1371" customFormat="false" ht="15" hidden="false" customHeight="false" outlineLevel="0" collapsed="false">
      <c r="A1371" s="12" t="n">
        <f aca="false">Data!A1371</f>
        <v>43997</v>
      </c>
      <c r="B1371" s="14" t="n">
        <f aca="false">Data!B1371</f>
        <v>37.12</v>
      </c>
      <c r="C1371" s="0" t="str">
        <f aca="false">IF(Data!D1371="","HOLD",IF(AND(G1370&lt;&gt;"IN",Data!E1371&lt;-5),"BUY",IF(AND(G1370="IN",Data!E1371&gt;0),"SELL","HOLD")))</f>
        <v>HOLD</v>
      </c>
      <c r="D1371" s="14" t="str">
        <f aca="false">IF(C1371="BUY",B1371,IF(G1370="IN",D1370,""))</f>
        <v/>
      </c>
      <c r="E1371" s="14" t="str">
        <f aca="false">IF(C1371="SELL",B1371,"")</f>
        <v/>
      </c>
      <c r="F1371" s="14" t="str">
        <f aca="false">IF(E1371="","",(E1371-D1371)/D1371*100)</f>
        <v/>
      </c>
      <c r="G1371" s="0" t="str">
        <f aca="false">IF(C1371="BUY","IN",IF(C1371="SELL","OUT",IF(G1370="IN","IN","OUT")))</f>
        <v>OUT</v>
      </c>
      <c r="H1371" s="14" t="n">
        <f aca="false">H1370+IF(F1371="",0,F1371)</f>
        <v>-38.5046374448263</v>
      </c>
      <c r="I1371" s="14" t="n">
        <f aca="false">MAX(I1370,H1371)</f>
        <v>43.9309628600509</v>
      </c>
      <c r="J1371" s="14" t="n">
        <f aca="false">I1371-H1371</f>
        <v>82.4356003048771</v>
      </c>
    </row>
    <row r="1372" customFormat="false" ht="15" hidden="false" customHeight="false" outlineLevel="0" collapsed="false">
      <c r="A1372" s="12" t="n">
        <f aca="false">Data!A1372</f>
        <v>43998</v>
      </c>
      <c r="B1372" s="14" t="n">
        <f aca="false">Data!B1372</f>
        <v>38.38</v>
      </c>
      <c r="C1372" s="0" t="str">
        <f aca="false">IF(Data!D1372="","HOLD",IF(AND(G1371&lt;&gt;"IN",Data!E1372&lt;-5),"BUY",IF(AND(G1371="IN",Data!E1372&gt;0),"SELL","HOLD")))</f>
        <v>HOLD</v>
      </c>
      <c r="D1372" s="14" t="str">
        <f aca="false">IF(C1372="BUY",B1372,IF(G1371="IN",D1371,""))</f>
        <v/>
      </c>
      <c r="E1372" s="14" t="str">
        <f aca="false">IF(C1372="SELL",B1372,"")</f>
        <v/>
      </c>
      <c r="F1372" s="14" t="str">
        <f aca="false">IF(E1372="","",(E1372-D1372)/D1372*100)</f>
        <v/>
      </c>
      <c r="G1372" s="0" t="str">
        <f aca="false">IF(C1372="BUY","IN",IF(C1372="SELL","OUT",IF(G1371="IN","IN","OUT")))</f>
        <v>OUT</v>
      </c>
      <c r="H1372" s="14" t="n">
        <f aca="false">H1371+IF(F1372="",0,F1372)</f>
        <v>-38.5046374448263</v>
      </c>
      <c r="I1372" s="14" t="n">
        <f aca="false">MAX(I1371,H1372)</f>
        <v>43.9309628600509</v>
      </c>
      <c r="J1372" s="14" t="n">
        <f aca="false">I1372-H1372</f>
        <v>82.4356003048771</v>
      </c>
    </row>
    <row r="1373" customFormat="false" ht="15" hidden="false" customHeight="false" outlineLevel="0" collapsed="false">
      <c r="A1373" s="12" t="n">
        <f aca="false">Data!A1373</f>
        <v>43999</v>
      </c>
      <c r="B1373" s="14" t="n">
        <f aca="false">Data!B1373</f>
        <v>37.96</v>
      </c>
      <c r="C1373" s="0" t="str">
        <f aca="false">IF(Data!D1373="","HOLD",IF(AND(G1372&lt;&gt;"IN",Data!E1373&lt;-5),"BUY",IF(AND(G1372="IN",Data!E1373&gt;0),"SELL","HOLD")))</f>
        <v>HOLD</v>
      </c>
      <c r="D1373" s="14" t="str">
        <f aca="false">IF(C1373="BUY",B1373,IF(G1372="IN",D1372,""))</f>
        <v/>
      </c>
      <c r="E1373" s="14" t="str">
        <f aca="false">IF(C1373="SELL",B1373,"")</f>
        <v/>
      </c>
      <c r="F1373" s="14" t="str">
        <f aca="false">IF(E1373="","",(E1373-D1373)/D1373*100)</f>
        <v/>
      </c>
      <c r="G1373" s="0" t="str">
        <f aca="false">IF(C1373="BUY","IN",IF(C1373="SELL","OUT",IF(G1372="IN","IN","OUT")))</f>
        <v>OUT</v>
      </c>
      <c r="H1373" s="14" t="n">
        <f aca="false">H1372+IF(F1373="",0,F1373)</f>
        <v>-38.5046374448263</v>
      </c>
      <c r="I1373" s="14" t="n">
        <f aca="false">MAX(I1372,H1373)</f>
        <v>43.9309628600509</v>
      </c>
      <c r="J1373" s="14" t="n">
        <f aca="false">I1373-H1373</f>
        <v>82.4356003048771</v>
      </c>
    </row>
    <row r="1374" customFormat="false" ht="15" hidden="false" customHeight="false" outlineLevel="0" collapsed="false">
      <c r="A1374" s="12" t="n">
        <f aca="false">Data!A1374</f>
        <v>44000</v>
      </c>
      <c r="B1374" s="14" t="n">
        <f aca="false">Data!B1374</f>
        <v>38.84</v>
      </c>
      <c r="C1374" s="0" t="str">
        <f aca="false">IF(Data!D1374="","HOLD",IF(AND(G1373&lt;&gt;"IN",Data!E1374&lt;-5),"BUY",IF(AND(G1373="IN",Data!E1374&gt;0),"SELL","HOLD")))</f>
        <v>HOLD</v>
      </c>
      <c r="D1374" s="14" t="str">
        <f aca="false">IF(C1374="BUY",B1374,IF(G1373="IN",D1373,""))</f>
        <v/>
      </c>
      <c r="E1374" s="14" t="str">
        <f aca="false">IF(C1374="SELL",B1374,"")</f>
        <v/>
      </c>
      <c r="F1374" s="14" t="str">
        <f aca="false">IF(E1374="","",(E1374-D1374)/D1374*100)</f>
        <v/>
      </c>
      <c r="G1374" s="0" t="str">
        <f aca="false">IF(C1374="BUY","IN",IF(C1374="SELL","OUT",IF(G1373="IN","IN","OUT")))</f>
        <v>OUT</v>
      </c>
      <c r="H1374" s="14" t="n">
        <f aca="false">H1373+IF(F1374="",0,F1374)</f>
        <v>-38.5046374448263</v>
      </c>
      <c r="I1374" s="14" t="n">
        <f aca="false">MAX(I1373,H1374)</f>
        <v>43.9309628600509</v>
      </c>
      <c r="J1374" s="14" t="n">
        <f aca="false">I1374-H1374</f>
        <v>82.4356003048771</v>
      </c>
    </row>
    <row r="1375" customFormat="false" ht="15" hidden="false" customHeight="false" outlineLevel="0" collapsed="false">
      <c r="A1375" s="12" t="n">
        <f aca="false">Data!A1375</f>
        <v>44001</v>
      </c>
      <c r="B1375" s="14" t="n">
        <f aca="false">Data!B1375</f>
        <v>39.75</v>
      </c>
      <c r="C1375" s="0" t="str">
        <f aca="false">IF(Data!D1375="","HOLD",IF(AND(G1374&lt;&gt;"IN",Data!E1375&lt;-5),"BUY",IF(AND(G1374="IN",Data!E1375&gt;0),"SELL","HOLD")))</f>
        <v>HOLD</v>
      </c>
      <c r="D1375" s="14" t="str">
        <f aca="false">IF(C1375="BUY",B1375,IF(G1374="IN",D1374,""))</f>
        <v/>
      </c>
      <c r="E1375" s="14" t="str">
        <f aca="false">IF(C1375="SELL",B1375,"")</f>
        <v/>
      </c>
      <c r="F1375" s="14" t="str">
        <f aca="false">IF(E1375="","",(E1375-D1375)/D1375*100)</f>
        <v/>
      </c>
      <c r="G1375" s="0" t="str">
        <f aca="false">IF(C1375="BUY","IN",IF(C1375="SELL","OUT",IF(G1374="IN","IN","OUT")))</f>
        <v>OUT</v>
      </c>
      <c r="H1375" s="14" t="n">
        <f aca="false">H1374+IF(F1375="",0,F1375)</f>
        <v>-38.5046374448263</v>
      </c>
      <c r="I1375" s="14" t="n">
        <f aca="false">MAX(I1374,H1375)</f>
        <v>43.9309628600509</v>
      </c>
      <c r="J1375" s="14" t="n">
        <f aca="false">I1375-H1375</f>
        <v>82.4356003048771</v>
      </c>
    </row>
    <row r="1376" customFormat="false" ht="15" hidden="false" customHeight="false" outlineLevel="0" collapsed="false">
      <c r="A1376" s="12" t="n">
        <f aca="false">Data!A1376</f>
        <v>44004</v>
      </c>
      <c r="B1376" s="14" t="n">
        <f aca="false">Data!B1376</f>
        <v>40.46</v>
      </c>
      <c r="C1376" s="0" t="str">
        <f aca="false">IF(Data!D1376="","HOLD",IF(AND(G1375&lt;&gt;"IN",Data!E1376&lt;-5),"BUY",IF(AND(G1375="IN",Data!E1376&gt;0),"SELL","HOLD")))</f>
        <v>HOLD</v>
      </c>
      <c r="D1376" s="14" t="str">
        <f aca="false">IF(C1376="BUY",B1376,IF(G1375="IN",D1375,""))</f>
        <v/>
      </c>
      <c r="E1376" s="14" t="str">
        <f aca="false">IF(C1376="SELL",B1376,"")</f>
        <v/>
      </c>
      <c r="F1376" s="14" t="str">
        <f aca="false">IF(E1376="","",(E1376-D1376)/D1376*100)</f>
        <v/>
      </c>
      <c r="G1376" s="0" t="str">
        <f aca="false">IF(C1376="BUY","IN",IF(C1376="SELL","OUT",IF(G1375="IN","IN","OUT")))</f>
        <v>OUT</v>
      </c>
      <c r="H1376" s="14" t="n">
        <f aca="false">H1375+IF(F1376="",0,F1376)</f>
        <v>-38.5046374448263</v>
      </c>
      <c r="I1376" s="14" t="n">
        <f aca="false">MAX(I1375,H1376)</f>
        <v>43.9309628600509</v>
      </c>
      <c r="J1376" s="14" t="n">
        <f aca="false">I1376-H1376</f>
        <v>82.4356003048771</v>
      </c>
    </row>
    <row r="1377" customFormat="false" ht="15" hidden="false" customHeight="false" outlineLevel="0" collapsed="false">
      <c r="A1377" s="12" t="n">
        <f aca="false">Data!A1377</f>
        <v>44005</v>
      </c>
      <c r="B1377" s="14" t="n">
        <f aca="false">Data!B1377</f>
        <v>40.37</v>
      </c>
      <c r="C1377" s="0" t="str">
        <f aca="false">IF(Data!D1377="","HOLD",IF(AND(G1376&lt;&gt;"IN",Data!E1377&lt;-5),"BUY",IF(AND(G1376="IN",Data!E1377&gt;0),"SELL","HOLD")))</f>
        <v>HOLD</v>
      </c>
      <c r="D1377" s="14" t="str">
        <f aca="false">IF(C1377="BUY",B1377,IF(G1376="IN",D1376,""))</f>
        <v/>
      </c>
      <c r="E1377" s="14" t="str">
        <f aca="false">IF(C1377="SELL",B1377,"")</f>
        <v/>
      </c>
      <c r="F1377" s="14" t="str">
        <f aca="false">IF(E1377="","",(E1377-D1377)/D1377*100)</f>
        <v/>
      </c>
      <c r="G1377" s="0" t="str">
        <f aca="false">IF(C1377="BUY","IN",IF(C1377="SELL","OUT",IF(G1376="IN","IN","OUT")))</f>
        <v>OUT</v>
      </c>
      <c r="H1377" s="14" t="n">
        <f aca="false">H1376+IF(F1377="",0,F1377)</f>
        <v>-38.5046374448263</v>
      </c>
      <c r="I1377" s="14" t="n">
        <f aca="false">MAX(I1376,H1377)</f>
        <v>43.9309628600509</v>
      </c>
      <c r="J1377" s="14" t="n">
        <f aca="false">I1377-H1377</f>
        <v>82.4356003048771</v>
      </c>
    </row>
    <row r="1378" customFormat="false" ht="15" hidden="false" customHeight="false" outlineLevel="0" collapsed="false">
      <c r="A1378" s="12" t="n">
        <f aca="false">Data!A1378</f>
        <v>44006</v>
      </c>
      <c r="B1378" s="14" t="n">
        <f aca="false">Data!B1378</f>
        <v>38.01</v>
      </c>
      <c r="C1378" s="0" t="str">
        <f aca="false">IF(Data!D1378="","HOLD",IF(AND(G1377&lt;&gt;"IN",Data!E1378&lt;-5),"BUY",IF(AND(G1377="IN",Data!E1378&gt;0),"SELL","HOLD")))</f>
        <v>HOLD</v>
      </c>
      <c r="D1378" s="14" t="str">
        <f aca="false">IF(C1378="BUY",B1378,IF(G1377="IN",D1377,""))</f>
        <v/>
      </c>
      <c r="E1378" s="14" t="str">
        <f aca="false">IF(C1378="SELL",B1378,"")</f>
        <v/>
      </c>
      <c r="F1378" s="14" t="str">
        <f aca="false">IF(E1378="","",(E1378-D1378)/D1378*100)</f>
        <v/>
      </c>
      <c r="G1378" s="0" t="str">
        <f aca="false">IF(C1378="BUY","IN",IF(C1378="SELL","OUT",IF(G1377="IN","IN","OUT")))</f>
        <v>OUT</v>
      </c>
      <c r="H1378" s="14" t="n">
        <f aca="false">H1377+IF(F1378="",0,F1378)</f>
        <v>-38.5046374448263</v>
      </c>
      <c r="I1378" s="14" t="n">
        <f aca="false">MAX(I1377,H1378)</f>
        <v>43.9309628600509</v>
      </c>
      <c r="J1378" s="14" t="n">
        <f aca="false">I1378-H1378</f>
        <v>82.4356003048771</v>
      </c>
    </row>
    <row r="1379" customFormat="false" ht="15" hidden="false" customHeight="false" outlineLevel="0" collapsed="false">
      <c r="A1379" s="12" t="n">
        <f aca="false">Data!A1379</f>
        <v>44007</v>
      </c>
      <c r="B1379" s="14" t="n">
        <f aca="false">Data!B1379</f>
        <v>38.72</v>
      </c>
      <c r="C1379" s="0" t="str">
        <f aca="false">IF(Data!D1379="","HOLD",IF(AND(G1378&lt;&gt;"IN",Data!E1379&lt;-5),"BUY",IF(AND(G1378="IN",Data!E1379&gt;0),"SELL","HOLD")))</f>
        <v>HOLD</v>
      </c>
      <c r="D1379" s="14" t="str">
        <f aca="false">IF(C1379="BUY",B1379,IF(G1378="IN",D1378,""))</f>
        <v/>
      </c>
      <c r="E1379" s="14" t="str">
        <f aca="false">IF(C1379="SELL",B1379,"")</f>
        <v/>
      </c>
      <c r="F1379" s="14" t="str">
        <f aca="false">IF(E1379="","",(E1379-D1379)/D1379*100)</f>
        <v/>
      </c>
      <c r="G1379" s="0" t="str">
        <f aca="false">IF(C1379="BUY","IN",IF(C1379="SELL","OUT",IF(G1378="IN","IN","OUT")))</f>
        <v>OUT</v>
      </c>
      <c r="H1379" s="14" t="n">
        <f aca="false">H1378+IF(F1379="",0,F1379)</f>
        <v>-38.5046374448263</v>
      </c>
      <c r="I1379" s="14" t="n">
        <f aca="false">MAX(I1378,H1379)</f>
        <v>43.9309628600509</v>
      </c>
      <c r="J1379" s="14" t="n">
        <f aca="false">I1379-H1379</f>
        <v>82.4356003048771</v>
      </c>
    </row>
    <row r="1380" customFormat="false" ht="15" hidden="false" customHeight="false" outlineLevel="0" collapsed="false">
      <c r="A1380" s="12" t="n">
        <f aca="false">Data!A1380</f>
        <v>44008</v>
      </c>
      <c r="B1380" s="14" t="n">
        <f aca="false">Data!B1380</f>
        <v>38.49</v>
      </c>
      <c r="C1380" s="0" t="str">
        <f aca="false">IF(Data!D1380="","HOLD",IF(AND(G1379&lt;&gt;"IN",Data!E1380&lt;-5),"BUY",IF(AND(G1379="IN",Data!E1380&gt;0),"SELL","HOLD")))</f>
        <v>HOLD</v>
      </c>
      <c r="D1380" s="14" t="str">
        <f aca="false">IF(C1380="BUY",B1380,IF(G1379="IN",D1379,""))</f>
        <v/>
      </c>
      <c r="E1380" s="14" t="str">
        <f aca="false">IF(C1380="SELL",B1380,"")</f>
        <v/>
      </c>
      <c r="F1380" s="14" t="str">
        <f aca="false">IF(E1380="","",(E1380-D1380)/D1380*100)</f>
        <v/>
      </c>
      <c r="G1380" s="0" t="str">
        <f aca="false">IF(C1380="BUY","IN",IF(C1380="SELL","OUT",IF(G1379="IN","IN","OUT")))</f>
        <v>OUT</v>
      </c>
      <c r="H1380" s="14" t="n">
        <f aca="false">H1379+IF(F1380="",0,F1380)</f>
        <v>-38.5046374448263</v>
      </c>
      <c r="I1380" s="14" t="n">
        <f aca="false">MAX(I1379,H1380)</f>
        <v>43.9309628600509</v>
      </c>
      <c r="J1380" s="14" t="n">
        <f aca="false">I1380-H1380</f>
        <v>82.4356003048771</v>
      </c>
    </row>
    <row r="1381" customFormat="false" ht="15" hidden="false" customHeight="false" outlineLevel="0" collapsed="false">
      <c r="A1381" s="12" t="n">
        <f aca="false">Data!A1381</f>
        <v>44011</v>
      </c>
      <c r="B1381" s="14" t="n">
        <f aca="false">Data!B1381</f>
        <v>39.7</v>
      </c>
      <c r="C1381" s="0" t="str">
        <f aca="false">IF(Data!D1381="","HOLD",IF(AND(G1380&lt;&gt;"IN",Data!E1381&lt;-5),"BUY",IF(AND(G1380="IN",Data!E1381&gt;0),"SELL","HOLD")))</f>
        <v>HOLD</v>
      </c>
      <c r="D1381" s="14" t="str">
        <f aca="false">IF(C1381="BUY",B1381,IF(G1380="IN",D1380,""))</f>
        <v/>
      </c>
      <c r="E1381" s="14" t="str">
        <f aca="false">IF(C1381="SELL",B1381,"")</f>
        <v/>
      </c>
      <c r="F1381" s="14" t="str">
        <f aca="false">IF(E1381="","",(E1381-D1381)/D1381*100)</f>
        <v/>
      </c>
      <c r="G1381" s="0" t="str">
        <f aca="false">IF(C1381="BUY","IN",IF(C1381="SELL","OUT",IF(G1380="IN","IN","OUT")))</f>
        <v>OUT</v>
      </c>
      <c r="H1381" s="14" t="n">
        <f aca="false">H1380+IF(F1381="",0,F1381)</f>
        <v>-38.5046374448263</v>
      </c>
      <c r="I1381" s="14" t="n">
        <f aca="false">MAX(I1380,H1381)</f>
        <v>43.9309628600509</v>
      </c>
      <c r="J1381" s="14" t="n">
        <f aca="false">I1381-H1381</f>
        <v>82.4356003048771</v>
      </c>
    </row>
    <row r="1382" customFormat="false" ht="15" hidden="false" customHeight="false" outlineLevel="0" collapsed="false">
      <c r="A1382" s="12" t="n">
        <f aca="false">Data!A1382</f>
        <v>44012</v>
      </c>
      <c r="B1382" s="14" t="n">
        <f aca="false">Data!B1382</f>
        <v>39.27</v>
      </c>
      <c r="C1382" s="0" t="str">
        <f aca="false">IF(Data!D1382="","HOLD",IF(AND(G1381&lt;&gt;"IN",Data!E1382&lt;-5),"BUY",IF(AND(G1381="IN",Data!E1382&gt;0),"SELL","HOLD")))</f>
        <v>HOLD</v>
      </c>
      <c r="D1382" s="14" t="str">
        <f aca="false">IF(C1382="BUY",B1382,IF(G1381="IN",D1381,""))</f>
        <v/>
      </c>
      <c r="E1382" s="14" t="str">
        <f aca="false">IF(C1382="SELL",B1382,"")</f>
        <v/>
      </c>
      <c r="F1382" s="14" t="str">
        <f aca="false">IF(E1382="","",(E1382-D1382)/D1382*100)</f>
        <v/>
      </c>
      <c r="G1382" s="0" t="str">
        <f aca="false">IF(C1382="BUY","IN",IF(C1382="SELL","OUT",IF(G1381="IN","IN","OUT")))</f>
        <v>OUT</v>
      </c>
      <c r="H1382" s="14" t="n">
        <f aca="false">H1381+IF(F1382="",0,F1382)</f>
        <v>-38.5046374448263</v>
      </c>
      <c r="I1382" s="14" t="n">
        <f aca="false">MAX(I1381,H1382)</f>
        <v>43.9309628600509</v>
      </c>
      <c r="J1382" s="14" t="n">
        <f aca="false">I1382-H1382</f>
        <v>82.4356003048771</v>
      </c>
    </row>
    <row r="1383" customFormat="false" ht="15" hidden="false" customHeight="false" outlineLevel="0" collapsed="false">
      <c r="A1383" s="12" t="n">
        <f aca="false">Data!A1383</f>
        <v>44013</v>
      </c>
      <c r="B1383" s="14" t="n">
        <f aca="false">Data!B1383</f>
        <v>39.82</v>
      </c>
      <c r="C1383" s="0" t="str">
        <f aca="false">IF(Data!D1383="","HOLD",IF(AND(G1382&lt;&gt;"IN",Data!E1383&lt;-5),"BUY",IF(AND(G1382="IN",Data!E1383&gt;0),"SELL","HOLD")))</f>
        <v>HOLD</v>
      </c>
      <c r="D1383" s="14" t="str">
        <f aca="false">IF(C1383="BUY",B1383,IF(G1382="IN",D1382,""))</f>
        <v/>
      </c>
      <c r="E1383" s="14" t="str">
        <f aca="false">IF(C1383="SELL",B1383,"")</f>
        <v/>
      </c>
      <c r="F1383" s="14" t="str">
        <f aca="false">IF(E1383="","",(E1383-D1383)/D1383*100)</f>
        <v/>
      </c>
      <c r="G1383" s="0" t="str">
        <f aca="false">IF(C1383="BUY","IN",IF(C1383="SELL","OUT",IF(G1382="IN","IN","OUT")))</f>
        <v>OUT</v>
      </c>
      <c r="H1383" s="14" t="n">
        <f aca="false">H1382+IF(F1383="",0,F1383)</f>
        <v>-38.5046374448263</v>
      </c>
      <c r="I1383" s="14" t="n">
        <f aca="false">MAX(I1382,H1383)</f>
        <v>43.9309628600509</v>
      </c>
      <c r="J1383" s="14" t="n">
        <f aca="false">I1383-H1383</f>
        <v>82.4356003048771</v>
      </c>
    </row>
    <row r="1384" customFormat="false" ht="15" hidden="false" customHeight="false" outlineLevel="0" collapsed="false">
      <c r="A1384" s="12" t="n">
        <f aca="false">Data!A1384</f>
        <v>44014</v>
      </c>
      <c r="B1384" s="14" t="n">
        <f aca="false">Data!B1384</f>
        <v>40.65</v>
      </c>
      <c r="C1384" s="0" t="str">
        <f aca="false">IF(Data!D1384="","HOLD",IF(AND(G1383&lt;&gt;"IN",Data!E1384&lt;-5),"BUY",IF(AND(G1383="IN",Data!E1384&gt;0),"SELL","HOLD")))</f>
        <v>HOLD</v>
      </c>
      <c r="D1384" s="14" t="str">
        <f aca="false">IF(C1384="BUY",B1384,IF(G1383="IN",D1383,""))</f>
        <v/>
      </c>
      <c r="E1384" s="14" t="str">
        <f aca="false">IF(C1384="SELL",B1384,"")</f>
        <v/>
      </c>
      <c r="F1384" s="14" t="str">
        <f aca="false">IF(E1384="","",(E1384-D1384)/D1384*100)</f>
        <v/>
      </c>
      <c r="G1384" s="0" t="str">
        <f aca="false">IF(C1384="BUY","IN",IF(C1384="SELL","OUT",IF(G1383="IN","IN","OUT")))</f>
        <v>OUT</v>
      </c>
      <c r="H1384" s="14" t="n">
        <f aca="false">H1383+IF(F1384="",0,F1384)</f>
        <v>-38.5046374448263</v>
      </c>
      <c r="I1384" s="14" t="n">
        <f aca="false">MAX(I1383,H1384)</f>
        <v>43.9309628600509</v>
      </c>
      <c r="J1384" s="14" t="n">
        <f aca="false">I1384-H1384</f>
        <v>82.4356003048771</v>
      </c>
    </row>
    <row r="1385" customFormat="false" ht="15" hidden="false" customHeight="false" outlineLevel="0" collapsed="false">
      <c r="A1385" s="12" t="n">
        <f aca="false">Data!A1385</f>
        <v>44018</v>
      </c>
      <c r="B1385" s="14" t="n">
        <f aca="false">Data!B1385</f>
        <v>40.63</v>
      </c>
      <c r="C1385" s="0" t="str">
        <f aca="false">IF(Data!D1385="","HOLD",IF(AND(G1384&lt;&gt;"IN",Data!E1385&lt;-5),"BUY",IF(AND(G1384="IN",Data!E1385&gt;0),"SELL","HOLD")))</f>
        <v>HOLD</v>
      </c>
      <c r="D1385" s="14" t="str">
        <f aca="false">IF(C1385="BUY",B1385,IF(G1384="IN",D1384,""))</f>
        <v/>
      </c>
      <c r="E1385" s="14" t="str">
        <f aca="false">IF(C1385="SELL",B1385,"")</f>
        <v/>
      </c>
      <c r="F1385" s="14" t="str">
        <f aca="false">IF(E1385="","",(E1385-D1385)/D1385*100)</f>
        <v/>
      </c>
      <c r="G1385" s="0" t="str">
        <f aca="false">IF(C1385="BUY","IN",IF(C1385="SELL","OUT",IF(G1384="IN","IN","OUT")))</f>
        <v>OUT</v>
      </c>
      <c r="H1385" s="14" t="n">
        <f aca="false">H1384+IF(F1385="",0,F1385)</f>
        <v>-38.5046374448263</v>
      </c>
      <c r="I1385" s="14" t="n">
        <f aca="false">MAX(I1384,H1385)</f>
        <v>43.9309628600509</v>
      </c>
      <c r="J1385" s="14" t="n">
        <f aca="false">I1385-H1385</f>
        <v>82.4356003048771</v>
      </c>
    </row>
    <row r="1386" customFormat="false" ht="15" hidden="false" customHeight="false" outlineLevel="0" collapsed="false">
      <c r="A1386" s="12" t="n">
        <f aca="false">Data!A1386</f>
        <v>44019</v>
      </c>
      <c r="B1386" s="14" t="n">
        <f aca="false">Data!B1386</f>
        <v>40.62</v>
      </c>
      <c r="C1386" s="0" t="str">
        <f aca="false">IF(Data!D1386="","HOLD",IF(AND(G1385&lt;&gt;"IN",Data!E1386&lt;-5),"BUY",IF(AND(G1385="IN",Data!E1386&gt;0),"SELL","HOLD")))</f>
        <v>HOLD</v>
      </c>
      <c r="D1386" s="14" t="str">
        <f aca="false">IF(C1386="BUY",B1386,IF(G1385="IN",D1385,""))</f>
        <v/>
      </c>
      <c r="E1386" s="14" t="str">
        <f aca="false">IF(C1386="SELL",B1386,"")</f>
        <v/>
      </c>
      <c r="F1386" s="14" t="str">
        <f aca="false">IF(E1386="","",(E1386-D1386)/D1386*100)</f>
        <v/>
      </c>
      <c r="G1386" s="0" t="str">
        <f aca="false">IF(C1386="BUY","IN",IF(C1386="SELL","OUT",IF(G1385="IN","IN","OUT")))</f>
        <v>OUT</v>
      </c>
      <c r="H1386" s="14" t="n">
        <f aca="false">H1385+IF(F1386="",0,F1386)</f>
        <v>-38.5046374448263</v>
      </c>
      <c r="I1386" s="14" t="n">
        <f aca="false">MAX(I1385,H1386)</f>
        <v>43.9309628600509</v>
      </c>
      <c r="J1386" s="14" t="n">
        <f aca="false">I1386-H1386</f>
        <v>82.4356003048771</v>
      </c>
    </row>
    <row r="1387" customFormat="false" ht="15" hidden="false" customHeight="false" outlineLevel="0" collapsed="false">
      <c r="A1387" s="12" t="n">
        <f aca="false">Data!A1387</f>
        <v>44020</v>
      </c>
      <c r="B1387" s="14" t="n">
        <f aca="false">Data!B1387</f>
        <v>40.9</v>
      </c>
      <c r="C1387" s="0" t="str">
        <f aca="false">IF(Data!D1387="","HOLD",IF(AND(G1386&lt;&gt;"IN",Data!E1387&lt;-5),"BUY",IF(AND(G1386="IN",Data!E1387&gt;0),"SELL","HOLD")))</f>
        <v>HOLD</v>
      </c>
      <c r="D1387" s="14" t="str">
        <f aca="false">IF(C1387="BUY",B1387,IF(G1386="IN",D1386,""))</f>
        <v/>
      </c>
      <c r="E1387" s="14" t="str">
        <f aca="false">IF(C1387="SELL",B1387,"")</f>
        <v/>
      </c>
      <c r="F1387" s="14" t="str">
        <f aca="false">IF(E1387="","",(E1387-D1387)/D1387*100)</f>
        <v/>
      </c>
      <c r="G1387" s="0" t="str">
        <f aca="false">IF(C1387="BUY","IN",IF(C1387="SELL","OUT",IF(G1386="IN","IN","OUT")))</f>
        <v>OUT</v>
      </c>
      <c r="H1387" s="14" t="n">
        <f aca="false">H1386+IF(F1387="",0,F1387)</f>
        <v>-38.5046374448263</v>
      </c>
      <c r="I1387" s="14" t="n">
        <f aca="false">MAX(I1386,H1387)</f>
        <v>43.9309628600509</v>
      </c>
      <c r="J1387" s="14" t="n">
        <f aca="false">I1387-H1387</f>
        <v>82.4356003048771</v>
      </c>
    </row>
    <row r="1388" customFormat="false" ht="15" hidden="false" customHeight="false" outlineLevel="0" collapsed="false">
      <c r="A1388" s="12" t="n">
        <f aca="false">Data!A1388</f>
        <v>44021</v>
      </c>
      <c r="B1388" s="14" t="n">
        <f aca="false">Data!B1388</f>
        <v>39.62</v>
      </c>
      <c r="C1388" s="0" t="str">
        <f aca="false">IF(Data!D1388="","HOLD",IF(AND(G1387&lt;&gt;"IN",Data!E1388&lt;-5),"BUY",IF(AND(G1387="IN",Data!E1388&gt;0),"SELL","HOLD")))</f>
        <v>HOLD</v>
      </c>
      <c r="D1388" s="14" t="str">
        <f aca="false">IF(C1388="BUY",B1388,IF(G1387="IN",D1387,""))</f>
        <v/>
      </c>
      <c r="E1388" s="14" t="str">
        <f aca="false">IF(C1388="SELL",B1388,"")</f>
        <v/>
      </c>
      <c r="F1388" s="14" t="str">
        <f aca="false">IF(E1388="","",(E1388-D1388)/D1388*100)</f>
        <v/>
      </c>
      <c r="G1388" s="0" t="str">
        <f aca="false">IF(C1388="BUY","IN",IF(C1388="SELL","OUT",IF(G1387="IN","IN","OUT")))</f>
        <v>OUT</v>
      </c>
      <c r="H1388" s="14" t="n">
        <f aca="false">H1387+IF(F1388="",0,F1388)</f>
        <v>-38.5046374448263</v>
      </c>
      <c r="I1388" s="14" t="n">
        <f aca="false">MAX(I1387,H1388)</f>
        <v>43.9309628600509</v>
      </c>
      <c r="J1388" s="14" t="n">
        <f aca="false">I1388-H1388</f>
        <v>82.4356003048771</v>
      </c>
    </row>
    <row r="1389" customFormat="false" ht="15" hidden="false" customHeight="false" outlineLevel="0" collapsed="false">
      <c r="A1389" s="12" t="n">
        <f aca="false">Data!A1389</f>
        <v>44022</v>
      </c>
      <c r="B1389" s="14" t="n">
        <f aca="false">Data!B1389</f>
        <v>40.55</v>
      </c>
      <c r="C1389" s="0" t="str">
        <f aca="false">IF(Data!D1389="","HOLD",IF(AND(G1388&lt;&gt;"IN",Data!E1389&lt;-5),"BUY",IF(AND(G1388="IN",Data!E1389&gt;0),"SELL","HOLD")))</f>
        <v>HOLD</v>
      </c>
      <c r="D1389" s="14" t="str">
        <f aca="false">IF(C1389="BUY",B1389,IF(G1388="IN",D1388,""))</f>
        <v/>
      </c>
      <c r="E1389" s="14" t="str">
        <f aca="false">IF(C1389="SELL",B1389,"")</f>
        <v/>
      </c>
      <c r="F1389" s="14" t="str">
        <f aca="false">IF(E1389="","",(E1389-D1389)/D1389*100)</f>
        <v/>
      </c>
      <c r="G1389" s="0" t="str">
        <f aca="false">IF(C1389="BUY","IN",IF(C1389="SELL","OUT",IF(G1388="IN","IN","OUT")))</f>
        <v>OUT</v>
      </c>
      <c r="H1389" s="14" t="n">
        <f aca="false">H1388+IF(F1389="",0,F1389)</f>
        <v>-38.5046374448263</v>
      </c>
      <c r="I1389" s="14" t="n">
        <f aca="false">MAX(I1388,H1389)</f>
        <v>43.9309628600509</v>
      </c>
      <c r="J1389" s="14" t="n">
        <f aca="false">I1389-H1389</f>
        <v>82.4356003048771</v>
      </c>
    </row>
    <row r="1390" customFormat="false" ht="15" hidden="false" customHeight="false" outlineLevel="0" collapsed="false">
      <c r="A1390" s="12" t="n">
        <f aca="false">Data!A1390</f>
        <v>44025</v>
      </c>
      <c r="B1390" s="14" t="n">
        <f aca="false">Data!B1390</f>
        <v>40.1</v>
      </c>
      <c r="C1390" s="0" t="str">
        <f aca="false">IF(Data!D1390="","HOLD",IF(AND(G1389&lt;&gt;"IN",Data!E1390&lt;-5),"BUY",IF(AND(G1389="IN",Data!E1390&gt;0),"SELL","HOLD")))</f>
        <v>HOLD</v>
      </c>
      <c r="D1390" s="14" t="str">
        <f aca="false">IF(C1390="BUY",B1390,IF(G1389="IN",D1389,""))</f>
        <v/>
      </c>
      <c r="E1390" s="14" t="str">
        <f aca="false">IF(C1390="SELL",B1390,"")</f>
        <v/>
      </c>
      <c r="F1390" s="14" t="str">
        <f aca="false">IF(E1390="","",(E1390-D1390)/D1390*100)</f>
        <v/>
      </c>
      <c r="G1390" s="0" t="str">
        <f aca="false">IF(C1390="BUY","IN",IF(C1390="SELL","OUT",IF(G1389="IN","IN","OUT")))</f>
        <v>OUT</v>
      </c>
      <c r="H1390" s="14" t="n">
        <f aca="false">H1389+IF(F1390="",0,F1390)</f>
        <v>-38.5046374448263</v>
      </c>
      <c r="I1390" s="14" t="n">
        <f aca="false">MAX(I1389,H1390)</f>
        <v>43.9309628600509</v>
      </c>
      <c r="J1390" s="14" t="n">
        <f aca="false">I1390-H1390</f>
        <v>82.4356003048771</v>
      </c>
    </row>
    <row r="1391" customFormat="false" ht="15" hidden="false" customHeight="false" outlineLevel="0" collapsed="false">
      <c r="A1391" s="12" t="n">
        <f aca="false">Data!A1391</f>
        <v>44026</v>
      </c>
      <c r="B1391" s="14" t="n">
        <f aca="false">Data!B1391</f>
        <v>40.29</v>
      </c>
      <c r="C1391" s="0" t="str">
        <f aca="false">IF(Data!D1391="","HOLD",IF(AND(G1390&lt;&gt;"IN",Data!E1391&lt;-5),"BUY",IF(AND(G1390="IN",Data!E1391&gt;0),"SELL","HOLD")))</f>
        <v>HOLD</v>
      </c>
      <c r="D1391" s="14" t="str">
        <f aca="false">IF(C1391="BUY",B1391,IF(G1390="IN",D1390,""))</f>
        <v/>
      </c>
      <c r="E1391" s="14" t="str">
        <f aca="false">IF(C1391="SELL",B1391,"")</f>
        <v/>
      </c>
      <c r="F1391" s="14" t="str">
        <f aca="false">IF(E1391="","",(E1391-D1391)/D1391*100)</f>
        <v/>
      </c>
      <c r="G1391" s="0" t="str">
        <f aca="false">IF(C1391="BUY","IN",IF(C1391="SELL","OUT",IF(G1390="IN","IN","OUT")))</f>
        <v>OUT</v>
      </c>
      <c r="H1391" s="14" t="n">
        <f aca="false">H1390+IF(F1391="",0,F1391)</f>
        <v>-38.5046374448263</v>
      </c>
      <c r="I1391" s="14" t="n">
        <f aca="false">MAX(I1390,H1391)</f>
        <v>43.9309628600509</v>
      </c>
      <c r="J1391" s="14" t="n">
        <f aca="false">I1391-H1391</f>
        <v>82.4356003048771</v>
      </c>
    </row>
    <row r="1392" customFormat="false" ht="15" hidden="false" customHeight="false" outlineLevel="0" collapsed="false">
      <c r="A1392" s="12" t="n">
        <f aca="false">Data!A1392</f>
        <v>44027</v>
      </c>
      <c r="B1392" s="14" t="n">
        <f aca="false">Data!B1392</f>
        <v>41.2</v>
      </c>
      <c r="C1392" s="0" t="str">
        <f aca="false">IF(Data!D1392="","HOLD",IF(AND(G1391&lt;&gt;"IN",Data!E1392&lt;-5),"BUY",IF(AND(G1391="IN",Data!E1392&gt;0),"SELL","HOLD")))</f>
        <v>HOLD</v>
      </c>
      <c r="D1392" s="14" t="str">
        <f aca="false">IF(C1392="BUY",B1392,IF(G1391="IN",D1391,""))</f>
        <v/>
      </c>
      <c r="E1392" s="14" t="str">
        <f aca="false">IF(C1392="SELL",B1392,"")</f>
        <v/>
      </c>
      <c r="F1392" s="14" t="str">
        <f aca="false">IF(E1392="","",(E1392-D1392)/D1392*100)</f>
        <v/>
      </c>
      <c r="G1392" s="0" t="str">
        <f aca="false">IF(C1392="BUY","IN",IF(C1392="SELL","OUT",IF(G1391="IN","IN","OUT")))</f>
        <v>OUT</v>
      </c>
      <c r="H1392" s="14" t="n">
        <f aca="false">H1391+IF(F1392="",0,F1392)</f>
        <v>-38.5046374448263</v>
      </c>
      <c r="I1392" s="14" t="n">
        <f aca="false">MAX(I1391,H1392)</f>
        <v>43.9309628600509</v>
      </c>
      <c r="J1392" s="14" t="n">
        <f aca="false">I1392-H1392</f>
        <v>82.4356003048771</v>
      </c>
    </row>
    <row r="1393" customFormat="false" ht="15" hidden="false" customHeight="false" outlineLevel="0" collapsed="false">
      <c r="A1393" s="12" t="n">
        <f aca="false">Data!A1393</f>
        <v>44028</v>
      </c>
      <c r="B1393" s="14" t="n">
        <f aca="false">Data!B1393</f>
        <v>40.75</v>
      </c>
      <c r="C1393" s="0" t="str">
        <f aca="false">IF(Data!D1393="","HOLD",IF(AND(G1392&lt;&gt;"IN",Data!E1393&lt;-5),"BUY",IF(AND(G1392="IN",Data!E1393&gt;0),"SELL","HOLD")))</f>
        <v>HOLD</v>
      </c>
      <c r="D1393" s="14" t="str">
        <f aca="false">IF(C1393="BUY",B1393,IF(G1392="IN",D1392,""))</f>
        <v/>
      </c>
      <c r="E1393" s="14" t="str">
        <f aca="false">IF(C1393="SELL",B1393,"")</f>
        <v/>
      </c>
      <c r="F1393" s="14" t="str">
        <f aca="false">IF(E1393="","",(E1393-D1393)/D1393*100)</f>
        <v/>
      </c>
      <c r="G1393" s="0" t="str">
        <f aca="false">IF(C1393="BUY","IN",IF(C1393="SELL","OUT",IF(G1392="IN","IN","OUT")))</f>
        <v>OUT</v>
      </c>
      <c r="H1393" s="14" t="n">
        <f aca="false">H1392+IF(F1393="",0,F1393)</f>
        <v>-38.5046374448263</v>
      </c>
      <c r="I1393" s="14" t="n">
        <f aca="false">MAX(I1392,H1393)</f>
        <v>43.9309628600509</v>
      </c>
      <c r="J1393" s="14" t="n">
        <f aca="false">I1393-H1393</f>
        <v>82.4356003048771</v>
      </c>
    </row>
    <row r="1394" customFormat="false" ht="15" hidden="false" customHeight="false" outlineLevel="0" collapsed="false">
      <c r="A1394" s="12" t="n">
        <f aca="false">Data!A1394</f>
        <v>44029</v>
      </c>
      <c r="B1394" s="14" t="n">
        <f aca="false">Data!B1394</f>
        <v>40.59</v>
      </c>
      <c r="C1394" s="0" t="str">
        <f aca="false">IF(Data!D1394="","HOLD",IF(AND(G1393&lt;&gt;"IN",Data!E1394&lt;-5),"BUY",IF(AND(G1393="IN",Data!E1394&gt;0),"SELL","HOLD")))</f>
        <v>HOLD</v>
      </c>
      <c r="D1394" s="14" t="str">
        <f aca="false">IF(C1394="BUY",B1394,IF(G1393="IN",D1393,""))</f>
        <v/>
      </c>
      <c r="E1394" s="14" t="str">
        <f aca="false">IF(C1394="SELL",B1394,"")</f>
        <v/>
      </c>
      <c r="F1394" s="14" t="str">
        <f aca="false">IF(E1394="","",(E1394-D1394)/D1394*100)</f>
        <v/>
      </c>
      <c r="G1394" s="0" t="str">
        <f aca="false">IF(C1394="BUY","IN",IF(C1394="SELL","OUT",IF(G1393="IN","IN","OUT")))</f>
        <v>OUT</v>
      </c>
      <c r="H1394" s="14" t="n">
        <f aca="false">H1393+IF(F1394="",0,F1394)</f>
        <v>-38.5046374448263</v>
      </c>
      <c r="I1394" s="14" t="n">
        <f aca="false">MAX(I1393,H1394)</f>
        <v>43.9309628600509</v>
      </c>
      <c r="J1394" s="14" t="n">
        <f aca="false">I1394-H1394</f>
        <v>82.4356003048771</v>
      </c>
    </row>
    <row r="1395" customFormat="false" ht="15" hidden="false" customHeight="false" outlineLevel="0" collapsed="false">
      <c r="A1395" s="12" t="n">
        <f aca="false">Data!A1395</f>
        <v>44032</v>
      </c>
      <c r="B1395" s="14" t="n">
        <f aca="false">Data!B1395</f>
        <v>40.81</v>
      </c>
      <c r="C1395" s="0" t="str">
        <f aca="false">IF(Data!D1395="","HOLD",IF(AND(G1394&lt;&gt;"IN",Data!E1395&lt;-5),"BUY",IF(AND(G1394="IN",Data!E1395&gt;0),"SELL","HOLD")))</f>
        <v>HOLD</v>
      </c>
      <c r="D1395" s="14" t="str">
        <f aca="false">IF(C1395="BUY",B1395,IF(G1394="IN",D1394,""))</f>
        <v/>
      </c>
      <c r="E1395" s="14" t="str">
        <f aca="false">IF(C1395="SELL",B1395,"")</f>
        <v/>
      </c>
      <c r="F1395" s="14" t="str">
        <f aca="false">IF(E1395="","",(E1395-D1395)/D1395*100)</f>
        <v/>
      </c>
      <c r="G1395" s="0" t="str">
        <f aca="false">IF(C1395="BUY","IN",IF(C1395="SELL","OUT",IF(G1394="IN","IN","OUT")))</f>
        <v>OUT</v>
      </c>
      <c r="H1395" s="14" t="n">
        <f aca="false">H1394+IF(F1395="",0,F1395)</f>
        <v>-38.5046374448263</v>
      </c>
      <c r="I1395" s="14" t="n">
        <f aca="false">MAX(I1394,H1395)</f>
        <v>43.9309628600509</v>
      </c>
      <c r="J1395" s="14" t="n">
        <f aca="false">I1395-H1395</f>
        <v>82.4356003048771</v>
      </c>
    </row>
    <row r="1396" customFormat="false" ht="15" hidden="false" customHeight="false" outlineLevel="0" collapsed="false">
      <c r="A1396" s="12" t="n">
        <f aca="false">Data!A1396</f>
        <v>44033</v>
      </c>
      <c r="B1396" s="14" t="n">
        <f aca="false">Data!B1396</f>
        <v>41.96</v>
      </c>
      <c r="C1396" s="0" t="str">
        <f aca="false">IF(Data!D1396="","HOLD",IF(AND(G1395&lt;&gt;"IN",Data!E1396&lt;-5),"BUY",IF(AND(G1395="IN",Data!E1396&gt;0),"SELL","HOLD")))</f>
        <v>HOLD</v>
      </c>
      <c r="D1396" s="14" t="str">
        <f aca="false">IF(C1396="BUY",B1396,IF(G1395="IN",D1395,""))</f>
        <v/>
      </c>
      <c r="E1396" s="14" t="str">
        <f aca="false">IF(C1396="SELL",B1396,"")</f>
        <v/>
      </c>
      <c r="F1396" s="14" t="str">
        <f aca="false">IF(E1396="","",(E1396-D1396)/D1396*100)</f>
        <v/>
      </c>
      <c r="G1396" s="0" t="str">
        <f aca="false">IF(C1396="BUY","IN",IF(C1396="SELL","OUT",IF(G1395="IN","IN","OUT")))</f>
        <v>OUT</v>
      </c>
      <c r="H1396" s="14" t="n">
        <f aca="false">H1395+IF(F1396="",0,F1396)</f>
        <v>-38.5046374448263</v>
      </c>
      <c r="I1396" s="14" t="n">
        <f aca="false">MAX(I1395,H1396)</f>
        <v>43.9309628600509</v>
      </c>
      <c r="J1396" s="14" t="n">
        <f aca="false">I1396-H1396</f>
        <v>82.4356003048771</v>
      </c>
    </row>
    <row r="1397" customFormat="false" ht="15" hidden="false" customHeight="false" outlineLevel="0" collapsed="false">
      <c r="A1397" s="12" t="n">
        <f aca="false">Data!A1397</f>
        <v>44034</v>
      </c>
      <c r="B1397" s="14" t="n">
        <f aca="false">Data!B1397</f>
        <v>41.9</v>
      </c>
      <c r="C1397" s="0" t="str">
        <f aca="false">IF(Data!D1397="","HOLD",IF(AND(G1396&lt;&gt;"IN",Data!E1397&lt;-5),"BUY",IF(AND(G1396="IN",Data!E1397&gt;0),"SELL","HOLD")))</f>
        <v>HOLD</v>
      </c>
      <c r="D1397" s="14" t="str">
        <f aca="false">IF(C1397="BUY",B1397,IF(G1396="IN",D1396,""))</f>
        <v/>
      </c>
      <c r="E1397" s="14" t="str">
        <f aca="false">IF(C1397="SELL",B1397,"")</f>
        <v/>
      </c>
      <c r="F1397" s="14" t="str">
        <f aca="false">IF(E1397="","",(E1397-D1397)/D1397*100)</f>
        <v/>
      </c>
      <c r="G1397" s="0" t="str">
        <f aca="false">IF(C1397="BUY","IN",IF(C1397="SELL","OUT",IF(G1396="IN","IN","OUT")))</f>
        <v>OUT</v>
      </c>
      <c r="H1397" s="14" t="n">
        <f aca="false">H1396+IF(F1397="",0,F1397)</f>
        <v>-38.5046374448263</v>
      </c>
      <c r="I1397" s="14" t="n">
        <f aca="false">MAX(I1396,H1397)</f>
        <v>43.9309628600509</v>
      </c>
      <c r="J1397" s="14" t="n">
        <f aca="false">I1397-H1397</f>
        <v>82.4356003048771</v>
      </c>
    </row>
    <row r="1398" customFormat="false" ht="15" hidden="false" customHeight="false" outlineLevel="0" collapsed="false">
      <c r="A1398" s="12" t="n">
        <f aca="false">Data!A1398</f>
        <v>44035</v>
      </c>
      <c r="B1398" s="14" t="n">
        <f aca="false">Data!B1398</f>
        <v>41.07</v>
      </c>
      <c r="C1398" s="0" t="str">
        <f aca="false">IF(Data!D1398="","HOLD",IF(AND(G1397&lt;&gt;"IN",Data!E1398&lt;-5),"BUY",IF(AND(G1397="IN",Data!E1398&gt;0),"SELL","HOLD")))</f>
        <v>HOLD</v>
      </c>
      <c r="D1398" s="14" t="str">
        <f aca="false">IF(C1398="BUY",B1398,IF(G1397="IN",D1397,""))</f>
        <v/>
      </c>
      <c r="E1398" s="14" t="str">
        <f aca="false">IF(C1398="SELL",B1398,"")</f>
        <v/>
      </c>
      <c r="F1398" s="14" t="str">
        <f aca="false">IF(E1398="","",(E1398-D1398)/D1398*100)</f>
        <v/>
      </c>
      <c r="G1398" s="0" t="str">
        <f aca="false">IF(C1398="BUY","IN",IF(C1398="SELL","OUT",IF(G1397="IN","IN","OUT")))</f>
        <v>OUT</v>
      </c>
      <c r="H1398" s="14" t="n">
        <f aca="false">H1397+IF(F1398="",0,F1398)</f>
        <v>-38.5046374448263</v>
      </c>
      <c r="I1398" s="14" t="n">
        <f aca="false">MAX(I1397,H1398)</f>
        <v>43.9309628600509</v>
      </c>
      <c r="J1398" s="14" t="n">
        <f aca="false">I1398-H1398</f>
        <v>82.4356003048771</v>
      </c>
    </row>
    <row r="1399" customFormat="false" ht="15" hidden="false" customHeight="false" outlineLevel="0" collapsed="false">
      <c r="A1399" s="12" t="n">
        <f aca="false">Data!A1399</f>
        <v>44036</v>
      </c>
      <c r="B1399" s="14" t="n">
        <f aca="false">Data!B1399</f>
        <v>41.29</v>
      </c>
      <c r="C1399" s="0" t="str">
        <f aca="false">IF(Data!D1399="","HOLD",IF(AND(G1398&lt;&gt;"IN",Data!E1399&lt;-5),"BUY",IF(AND(G1398="IN",Data!E1399&gt;0),"SELL","HOLD")))</f>
        <v>HOLD</v>
      </c>
      <c r="D1399" s="14" t="str">
        <f aca="false">IF(C1399="BUY",B1399,IF(G1398="IN",D1398,""))</f>
        <v/>
      </c>
      <c r="E1399" s="14" t="str">
        <f aca="false">IF(C1399="SELL",B1399,"")</f>
        <v/>
      </c>
      <c r="F1399" s="14" t="str">
        <f aca="false">IF(E1399="","",(E1399-D1399)/D1399*100)</f>
        <v/>
      </c>
      <c r="G1399" s="0" t="str">
        <f aca="false">IF(C1399="BUY","IN",IF(C1399="SELL","OUT",IF(G1398="IN","IN","OUT")))</f>
        <v>OUT</v>
      </c>
      <c r="H1399" s="14" t="n">
        <f aca="false">H1398+IF(F1399="",0,F1399)</f>
        <v>-38.5046374448263</v>
      </c>
      <c r="I1399" s="14" t="n">
        <f aca="false">MAX(I1398,H1399)</f>
        <v>43.9309628600509</v>
      </c>
      <c r="J1399" s="14" t="n">
        <f aca="false">I1399-H1399</f>
        <v>82.4356003048771</v>
      </c>
    </row>
    <row r="1400" customFormat="false" ht="15" hidden="false" customHeight="false" outlineLevel="0" collapsed="false">
      <c r="A1400" s="12" t="n">
        <f aca="false">Data!A1400</f>
        <v>44039</v>
      </c>
      <c r="B1400" s="14" t="n">
        <f aca="false">Data!B1400</f>
        <v>41.6</v>
      </c>
      <c r="C1400" s="0" t="str">
        <f aca="false">IF(Data!D1400="","HOLD",IF(AND(G1399&lt;&gt;"IN",Data!E1400&lt;-5),"BUY",IF(AND(G1399="IN",Data!E1400&gt;0),"SELL","HOLD")))</f>
        <v>HOLD</v>
      </c>
      <c r="D1400" s="14" t="str">
        <f aca="false">IF(C1400="BUY",B1400,IF(G1399="IN",D1399,""))</f>
        <v/>
      </c>
      <c r="E1400" s="14" t="str">
        <f aca="false">IF(C1400="SELL",B1400,"")</f>
        <v/>
      </c>
      <c r="F1400" s="14" t="str">
        <f aca="false">IF(E1400="","",(E1400-D1400)/D1400*100)</f>
        <v/>
      </c>
      <c r="G1400" s="0" t="str">
        <f aca="false">IF(C1400="BUY","IN",IF(C1400="SELL","OUT",IF(G1399="IN","IN","OUT")))</f>
        <v>OUT</v>
      </c>
      <c r="H1400" s="14" t="n">
        <f aca="false">H1399+IF(F1400="",0,F1400)</f>
        <v>-38.5046374448263</v>
      </c>
      <c r="I1400" s="14" t="n">
        <f aca="false">MAX(I1399,H1400)</f>
        <v>43.9309628600509</v>
      </c>
      <c r="J1400" s="14" t="n">
        <f aca="false">I1400-H1400</f>
        <v>82.4356003048771</v>
      </c>
    </row>
    <row r="1401" customFormat="false" ht="15" hidden="false" customHeight="false" outlineLevel="0" collapsed="false">
      <c r="A1401" s="12" t="n">
        <f aca="false">Data!A1401</f>
        <v>44040</v>
      </c>
      <c r="B1401" s="14" t="n">
        <f aca="false">Data!B1401</f>
        <v>41.04</v>
      </c>
      <c r="C1401" s="0" t="str">
        <f aca="false">IF(Data!D1401="","HOLD",IF(AND(G1400&lt;&gt;"IN",Data!E1401&lt;-5),"BUY",IF(AND(G1400="IN",Data!E1401&gt;0),"SELL","HOLD")))</f>
        <v>HOLD</v>
      </c>
      <c r="D1401" s="14" t="str">
        <f aca="false">IF(C1401="BUY",B1401,IF(G1400="IN",D1400,""))</f>
        <v/>
      </c>
      <c r="E1401" s="14" t="str">
        <f aca="false">IF(C1401="SELL",B1401,"")</f>
        <v/>
      </c>
      <c r="F1401" s="14" t="str">
        <f aca="false">IF(E1401="","",(E1401-D1401)/D1401*100)</f>
        <v/>
      </c>
      <c r="G1401" s="0" t="str">
        <f aca="false">IF(C1401="BUY","IN",IF(C1401="SELL","OUT",IF(G1400="IN","IN","OUT")))</f>
        <v>OUT</v>
      </c>
      <c r="H1401" s="14" t="n">
        <f aca="false">H1400+IF(F1401="",0,F1401)</f>
        <v>-38.5046374448263</v>
      </c>
      <c r="I1401" s="14" t="n">
        <f aca="false">MAX(I1400,H1401)</f>
        <v>43.9309628600509</v>
      </c>
      <c r="J1401" s="14" t="n">
        <f aca="false">I1401-H1401</f>
        <v>82.4356003048771</v>
      </c>
    </row>
    <row r="1402" customFormat="false" ht="15" hidden="false" customHeight="false" outlineLevel="0" collapsed="false">
      <c r="A1402" s="12" t="n">
        <f aca="false">Data!A1402</f>
        <v>44041</v>
      </c>
      <c r="B1402" s="14" t="n">
        <f aca="false">Data!B1402</f>
        <v>41.27</v>
      </c>
      <c r="C1402" s="0" t="str">
        <f aca="false">IF(Data!D1402="","HOLD",IF(AND(G1401&lt;&gt;"IN",Data!E1402&lt;-5),"BUY",IF(AND(G1401="IN",Data!E1402&gt;0),"SELL","HOLD")))</f>
        <v>HOLD</v>
      </c>
      <c r="D1402" s="14" t="str">
        <f aca="false">IF(C1402="BUY",B1402,IF(G1401="IN",D1401,""))</f>
        <v/>
      </c>
      <c r="E1402" s="14" t="str">
        <f aca="false">IF(C1402="SELL",B1402,"")</f>
        <v/>
      </c>
      <c r="F1402" s="14" t="str">
        <f aca="false">IF(E1402="","",(E1402-D1402)/D1402*100)</f>
        <v/>
      </c>
      <c r="G1402" s="0" t="str">
        <f aca="false">IF(C1402="BUY","IN",IF(C1402="SELL","OUT",IF(G1401="IN","IN","OUT")))</f>
        <v>OUT</v>
      </c>
      <c r="H1402" s="14" t="n">
        <f aca="false">H1401+IF(F1402="",0,F1402)</f>
        <v>-38.5046374448263</v>
      </c>
      <c r="I1402" s="14" t="n">
        <f aca="false">MAX(I1401,H1402)</f>
        <v>43.9309628600509</v>
      </c>
      <c r="J1402" s="14" t="n">
        <f aca="false">I1402-H1402</f>
        <v>82.4356003048771</v>
      </c>
    </row>
    <row r="1403" customFormat="false" ht="15" hidden="false" customHeight="false" outlineLevel="0" collapsed="false">
      <c r="A1403" s="12" t="n">
        <f aca="false">Data!A1403</f>
        <v>44042</v>
      </c>
      <c r="B1403" s="14" t="n">
        <f aca="false">Data!B1403</f>
        <v>39.92</v>
      </c>
      <c r="C1403" s="0" t="str">
        <f aca="false">IF(Data!D1403="","HOLD",IF(AND(G1402&lt;&gt;"IN",Data!E1403&lt;-5),"BUY",IF(AND(G1402="IN",Data!E1403&gt;0),"SELL","HOLD")))</f>
        <v>HOLD</v>
      </c>
      <c r="D1403" s="14" t="str">
        <f aca="false">IF(C1403="BUY",B1403,IF(G1402="IN",D1402,""))</f>
        <v/>
      </c>
      <c r="E1403" s="14" t="str">
        <f aca="false">IF(C1403="SELL",B1403,"")</f>
        <v/>
      </c>
      <c r="F1403" s="14" t="str">
        <f aca="false">IF(E1403="","",(E1403-D1403)/D1403*100)</f>
        <v/>
      </c>
      <c r="G1403" s="0" t="str">
        <f aca="false">IF(C1403="BUY","IN",IF(C1403="SELL","OUT",IF(G1402="IN","IN","OUT")))</f>
        <v>OUT</v>
      </c>
      <c r="H1403" s="14" t="n">
        <f aca="false">H1402+IF(F1403="",0,F1403)</f>
        <v>-38.5046374448263</v>
      </c>
      <c r="I1403" s="14" t="n">
        <f aca="false">MAX(I1402,H1403)</f>
        <v>43.9309628600509</v>
      </c>
      <c r="J1403" s="14" t="n">
        <f aca="false">I1403-H1403</f>
        <v>82.4356003048771</v>
      </c>
    </row>
    <row r="1404" customFormat="false" ht="15" hidden="false" customHeight="false" outlineLevel="0" collapsed="false">
      <c r="A1404" s="12" t="n">
        <f aca="false">Data!A1404</f>
        <v>44043</v>
      </c>
      <c r="B1404" s="14" t="n">
        <f aca="false">Data!B1404</f>
        <v>40.27</v>
      </c>
      <c r="C1404" s="0" t="str">
        <f aca="false">IF(Data!D1404="","HOLD",IF(AND(G1403&lt;&gt;"IN",Data!E1404&lt;-5),"BUY",IF(AND(G1403="IN",Data!E1404&gt;0),"SELL","HOLD")))</f>
        <v>HOLD</v>
      </c>
      <c r="D1404" s="14" t="str">
        <f aca="false">IF(C1404="BUY",B1404,IF(G1403="IN",D1403,""))</f>
        <v/>
      </c>
      <c r="E1404" s="14" t="str">
        <f aca="false">IF(C1404="SELL",B1404,"")</f>
        <v/>
      </c>
      <c r="F1404" s="14" t="str">
        <f aca="false">IF(E1404="","",(E1404-D1404)/D1404*100)</f>
        <v/>
      </c>
      <c r="G1404" s="0" t="str">
        <f aca="false">IF(C1404="BUY","IN",IF(C1404="SELL","OUT",IF(G1403="IN","IN","OUT")))</f>
        <v>OUT</v>
      </c>
      <c r="H1404" s="14" t="n">
        <f aca="false">H1403+IF(F1404="",0,F1404)</f>
        <v>-38.5046374448263</v>
      </c>
      <c r="I1404" s="14" t="n">
        <f aca="false">MAX(I1403,H1404)</f>
        <v>43.9309628600509</v>
      </c>
      <c r="J1404" s="14" t="n">
        <f aca="false">I1404-H1404</f>
        <v>82.4356003048771</v>
      </c>
    </row>
    <row r="1405" customFormat="false" ht="15" hidden="false" customHeight="false" outlineLevel="0" collapsed="false">
      <c r="A1405" s="12" t="n">
        <f aca="false">Data!A1405</f>
        <v>44046</v>
      </c>
      <c r="B1405" s="14" t="n">
        <f aca="false">Data!B1405</f>
        <v>41.01</v>
      </c>
      <c r="C1405" s="0" t="str">
        <f aca="false">IF(Data!D1405="","HOLD",IF(AND(G1404&lt;&gt;"IN",Data!E1405&lt;-5),"BUY",IF(AND(G1404="IN",Data!E1405&gt;0),"SELL","HOLD")))</f>
        <v>HOLD</v>
      </c>
      <c r="D1405" s="14" t="str">
        <f aca="false">IF(C1405="BUY",B1405,IF(G1404="IN",D1404,""))</f>
        <v/>
      </c>
      <c r="E1405" s="14" t="str">
        <f aca="false">IF(C1405="SELL",B1405,"")</f>
        <v/>
      </c>
      <c r="F1405" s="14" t="str">
        <f aca="false">IF(E1405="","",(E1405-D1405)/D1405*100)</f>
        <v/>
      </c>
      <c r="G1405" s="0" t="str">
        <f aca="false">IF(C1405="BUY","IN",IF(C1405="SELL","OUT",IF(G1404="IN","IN","OUT")))</f>
        <v>OUT</v>
      </c>
      <c r="H1405" s="14" t="n">
        <f aca="false">H1404+IF(F1405="",0,F1405)</f>
        <v>-38.5046374448263</v>
      </c>
      <c r="I1405" s="14" t="n">
        <f aca="false">MAX(I1404,H1405)</f>
        <v>43.9309628600509</v>
      </c>
      <c r="J1405" s="14" t="n">
        <f aca="false">I1405-H1405</f>
        <v>82.4356003048771</v>
      </c>
    </row>
    <row r="1406" customFormat="false" ht="15" hidden="false" customHeight="false" outlineLevel="0" collapsed="false">
      <c r="A1406" s="12" t="n">
        <f aca="false">Data!A1406</f>
        <v>44047</v>
      </c>
      <c r="B1406" s="14" t="n">
        <f aca="false">Data!B1406</f>
        <v>41.7</v>
      </c>
      <c r="C1406" s="0" t="str">
        <f aca="false">IF(Data!D1406="","HOLD",IF(AND(G1405&lt;&gt;"IN",Data!E1406&lt;-5),"BUY",IF(AND(G1405="IN",Data!E1406&gt;0),"SELL","HOLD")))</f>
        <v>HOLD</v>
      </c>
      <c r="D1406" s="14" t="str">
        <f aca="false">IF(C1406="BUY",B1406,IF(G1405="IN",D1405,""))</f>
        <v/>
      </c>
      <c r="E1406" s="14" t="str">
        <f aca="false">IF(C1406="SELL",B1406,"")</f>
        <v/>
      </c>
      <c r="F1406" s="14" t="str">
        <f aca="false">IF(E1406="","",(E1406-D1406)/D1406*100)</f>
        <v/>
      </c>
      <c r="G1406" s="0" t="str">
        <f aca="false">IF(C1406="BUY","IN",IF(C1406="SELL","OUT",IF(G1405="IN","IN","OUT")))</f>
        <v>OUT</v>
      </c>
      <c r="H1406" s="14" t="n">
        <f aca="false">H1405+IF(F1406="",0,F1406)</f>
        <v>-38.5046374448263</v>
      </c>
      <c r="I1406" s="14" t="n">
        <f aca="false">MAX(I1405,H1406)</f>
        <v>43.9309628600509</v>
      </c>
      <c r="J1406" s="14" t="n">
        <f aca="false">I1406-H1406</f>
        <v>82.4356003048771</v>
      </c>
    </row>
    <row r="1407" customFormat="false" ht="15" hidden="false" customHeight="false" outlineLevel="0" collapsed="false">
      <c r="A1407" s="12" t="n">
        <f aca="false">Data!A1407</f>
        <v>44048</v>
      </c>
      <c r="B1407" s="14" t="n">
        <f aca="false">Data!B1407</f>
        <v>42.19</v>
      </c>
      <c r="C1407" s="0" t="str">
        <f aca="false">IF(Data!D1407="","HOLD",IF(AND(G1406&lt;&gt;"IN",Data!E1407&lt;-5),"BUY",IF(AND(G1406="IN",Data!E1407&gt;0),"SELL","HOLD")))</f>
        <v>HOLD</v>
      </c>
      <c r="D1407" s="14" t="str">
        <f aca="false">IF(C1407="BUY",B1407,IF(G1406="IN",D1406,""))</f>
        <v/>
      </c>
      <c r="E1407" s="14" t="str">
        <f aca="false">IF(C1407="SELL",B1407,"")</f>
        <v/>
      </c>
      <c r="F1407" s="14" t="str">
        <f aca="false">IF(E1407="","",(E1407-D1407)/D1407*100)</f>
        <v/>
      </c>
      <c r="G1407" s="0" t="str">
        <f aca="false">IF(C1407="BUY","IN",IF(C1407="SELL","OUT",IF(G1406="IN","IN","OUT")))</f>
        <v>OUT</v>
      </c>
      <c r="H1407" s="14" t="n">
        <f aca="false">H1406+IF(F1407="",0,F1407)</f>
        <v>-38.5046374448263</v>
      </c>
      <c r="I1407" s="14" t="n">
        <f aca="false">MAX(I1406,H1407)</f>
        <v>43.9309628600509</v>
      </c>
      <c r="J1407" s="14" t="n">
        <f aca="false">I1407-H1407</f>
        <v>82.4356003048771</v>
      </c>
    </row>
    <row r="1408" customFormat="false" ht="15" hidden="false" customHeight="false" outlineLevel="0" collapsed="false">
      <c r="A1408" s="12" t="n">
        <f aca="false">Data!A1408</f>
        <v>44049</v>
      </c>
      <c r="B1408" s="14" t="n">
        <f aca="false">Data!B1408</f>
        <v>41.95</v>
      </c>
      <c r="C1408" s="0" t="str">
        <f aca="false">IF(Data!D1408="","HOLD",IF(AND(G1407&lt;&gt;"IN",Data!E1408&lt;-5),"BUY",IF(AND(G1407="IN",Data!E1408&gt;0),"SELL","HOLD")))</f>
        <v>HOLD</v>
      </c>
      <c r="D1408" s="14" t="str">
        <f aca="false">IF(C1408="BUY",B1408,IF(G1407="IN",D1407,""))</f>
        <v/>
      </c>
      <c r="E1408" s="14" t="str">
        <f aca="false">IF(C1408="SELL",B1408,"")</f>
        <v/>
      </c>
      <c r="F1408" s="14" t="str">
        <f aca="false">IF(E1408="","",(E1408-D1408)/D1408*100)</f>
        <v/>
      </c>
      <c r="G1408" s="0" t="str">
        <f aca="false">IF(C1408="BUY","IN",IF(C1408="SELL","OUT",IF(G1407="IN","IN","OUT")))</f>
        <v>OUT</v>
      </c>
      <c r="H1408" s="14" t="n">
        <f aca="false">H1407+IF(F1408="",0,F1408)</f>
        <v>-38.5046374448263</v>
      </c>
      <c r="I1408" s="14" t="n">
        <f aca="false">MAX(I1407,H1408)</f>
        <v>43.9309628600509</v>
      </c>
      <c r="J1408" s="14" t="n">
        <f aca="false">I1408-H1408</f>
        <v>82.4356003048771</v>
      </c>
    </row>
    <row r="1409" customFormat="false" ht="15" hidden="false" customHeight="false" outlineLevel="0" collapsed="false">
      <c r="A1409" s="12" t="n">
        <f aca="false">Data!A1409</f>
        <v>44050</v>
      </c>
      <c r="B1409" s="14" t="n">
        <f aca="false">Data!B1409</f>
        <v>41.22</v>
      </c>
      <c r="C1409" s="0" t="str">
        <f aca="false">IF(Data!D1409="","HOLD",IF(AND(G1408&lt;&gt;"IN",Data!E1409&lt;-5),"BUY",IF(AND(G1408="IN",Data!E1409&gt;0),"SELL","HOLD")))</f>
        <v>HOLD</v>
      </c>
      <c r="D1409" s="14" t="str">
        <f aca="false">IF(C1409="BUY",B1409,IF(G1408="IN",D1408,""))</f>
        <v/>
      </c>
      <c r="E1409" s="14" t="str">
        <f aca="false">IF(C1409="SELL",B1409,"")</f>
        <v/>
      </c>
      <c r="F1409" s="14" t="str">
        <f aca="false">IF(E1409="","",(E1409-D1409)/D1409*100)</f>
        <v/>
      </c>
      <c r="G1409" s="0" t="str">
        <f aca="false">IF(C1409="BUY","IN",IF(C1409="SELL","OUT",IF(G1408="IN","IN","OUT")))</f>
        <v>OUT</v>
      </c>
      <c r="H1409" s="14" t="n">
        <f aca="false">H1408+IF(F1409="",0,F1409)</f>
        <v>-38.5046374448263</v>
      </c>
      <c r="I1409" s="14" t="n">
        <f aca="false">MAX(I1408,H1409)</f>
        <v>43.9309628600509</v>
      </c>
      <c r="J1409" s="14" t="n">
        <f aca="false">I1409-H1409</f>
        <v>82.4356003048771</v>
      </c>
    </row>
    <row r="1410" customFormat="false" ht="15" hidden="false" customHeight="false" outlineLevel="0" collapsed="false">
      <c r="A1410" s="12" t="n">
        <f aca="false">Data!A1410</f>
        <v>44053</v>
      </c>
      <c r="B1410" s="14" t="n">
        <f aca="false">Data!B1410</f>
        <v>41.94</v>
      </c>
      <c r="C1410" s="0" t="str">
        <f aca="false">IF(Data!D1410="","HOLD",IF(AND(G1409&lt;&gt;"IN",Data!E1410&lt;-5),"BUY",IF(AND(G1409="IN",Data!E1410&gt;0),"SELL","HOLD")))</f>
        <v>HOLD</v>
      </c>
      <c r="D1410" s="14" t="str">
        <f aca="false">IF(C1410="BUY",B1410,IF(G1409="IN",D1409,""))</f>
        <v/>
      </c>
      <c r="E1410" s="14" t="str">
        <f aca="false">IF(C1410="SELL",B1410,"")</f>
        <v/>
      </c>
      <c r="F1410" s="14" t="str">
        <f aca="false">IF(E1410="","",(E1410-D1410)/D1410*100)</f>
        <v/>
      </c>
      <c r="G1410" s="0" t="str">
        <f aca="false">IF(C1410="BUY","IN",IF(C1410="SELL","OUT",IF(G1409="IN","IN","OUT")))</f>
        <v>OUT</v>
      </c>
      <c r="H1410" s="14" t="n">
        <f aca="false">H1409+IF(F1410="",0,F1410)</f>
        <v>-38.5046374448263</v>
      </c>
      <c r="I1410" s="14" t="n">
        <f aca="false">MAX(I1409,H1410)</f>
        <v>43.9309628600509</v>
      </c>
      <c r="J1410" s="14" t="n">
        <f aca="false">I1410-H1410</f>
        <v>82.4356003048771</v>
      </c>
    </row>
    <row r="1411" customFormat="false" ht="15" hidden="false" customHeight="false" outlineLevel="0" collapsed="false">
      <c r="A1411" s="12" t="n">
        <f aca="false">Data!A1411</f>
        <v>44054</v>
      </c>
      <c r="B1411" s="14" t="n">
        <f aca="false">Data!B1411</f>
        <v>41.61</v>
      </c>
      <c r="C1411" s="0" t="str">
        <f aca="false">IF(Data!D1411="","HOLD",IF(AND(G1410&lt;&gt;"IN",Data!E1411&lt;-5),"BUY",IF(AND(G1410="IN",Data!E1411&gt;0),"SELL","HOLD")))</f>
        <v>HOLD</v>
      </c>
      <c r="D1411" s="14" t="str">
        <f aca="false">IF(C1411="BUY",B1411,IF(G1410="IN",D1410,""))</f>
        <v/>
      </c>
      <c r="E1411" s="14" t="str">
        <f aca="false">IF(C1411="SELL",B1411,"")</f>
        <v/>
      </c>
      <c r="F1411" s="14" t="str">
        <f aca="false">IF(E1411="","",(E1411-D1411)/D1411*100)</f>
        <v/>
      </c>
      <c r="G1411" s="0" t="str">
        <f aca="false">IF(C1411="BUY","IN",IF(C1411="SELL","OUT",IF(G1410="IN","IN","OUT")))</f>
        <v>OUT</v>
      </c>
      <c r="H1411" s="14" t="n">
        <f aca="false">H1410+IF(F1411="",0,F1411)</f>
        <v>-38.5046374448263</v>
      </c>
      <c r="I1411" s="14" t="n">
        <f aca="false">MAX(I1410,H1411)</f>
        <v>43.9309628600509</v>
      </c>
      <c r="J1411" s="14" t="n">
        <f aca="false">I1411-H1411</f>
        <v>82.4356003048771</v>
      </c>
    </row>
    <row r="1412" customFormat="false" ht="15" hidden="false" customHeight="false" outlineLevel="0" collapsed="false">
      <c r="A1412" s="12" t="n">
        <f aca="false">Data!A1412</f>
        <v>44055</v>
      </c>
      <c r="B1412" s="14" t="n">
        <f aca="false">Data!B1412</f>
        <v>42.67</v>
      </c>
      <c r="C1412" s="0" t="str">
        <f aca="false">IF(Data!D1412="","HOLD",IF(AND(G1411&lt;&gt;"IN",Data!E1412&lt;-5),"BUY",IF(AND(G1411="IN",Data!E1412&gt;0),"SELL","HOLD")))</f>
        <v>HOLD</v>
      </c>
      <c r="D1412" s="14" t="str">
        <f aca="false">IF(C1412="BUY",B1412,IF(G1411="IN",D1411,""))</f>
        <v/>
      </c>
      <c r="E1412" s="14" t="str">
        <f aca="false">IF(C1412="SELL",B1412,"")</f>
        <v/>
      </c>
      <c r="F1412" s="14" t="str">
        <f aca="false">IF(E1412="","",(E1412-D1412)/D1412*100)</f>
        <v/>
      </c>
      <c r="G1412" s="0" t="str">
        <f aca="false">IF(C1412="BUY","IN",IF(C1412="SELL","OUT",IF(G1411="IN","IN","OUT")))</f>
        <v>OUT</v>
      </c>
      <c r="H1412" s="14" t="n">
        <f aca="false">H1411+IF(F1412="",0,F1412)</f>
        <v>-38.5046374448263</v>
      </c>
      <c r="I1412" s="14" t="n">
        <f aca="false">MAX(I1411,H1412)</f>
        <v>43.9309628600509</v>
      </c>
      <c r="J1412" s="14" t="n">
        <f aca="false">I1412-H1412</f>
        <v>82.4356003048771</v>
      </c>
    </row>
    <row r="1413" customFormat="false" ht="15" hidden="false" customHeight="false" outlineLevel="0" collapsed="false">
      <c r="A1413" s="12" t="n">
        <f aca="false">Data!A1413</f>
        <v>44056</v>
      </c>
      <c r="B1413" s="14" t="n">
        <f aca="false">Data!B1413</f>
        <v>42.24</v>
      </c>
      <c r="C1413" s="0" t="str">
        <f aca="false">IF(Data!D1413="","HOLD",IF(AND(G1412&lt;&gt;"IN",Data!E1413&lt;-5),"BUY",IF(AND(G1412="IN",Data!E1413&gt;0),"SELL","HOLD")))</f>
        <v>HOLD</v>
      </c>
      <c r="D1413" s="14" t="str">
        <f aca="false">IF(C1413="BUY",B1413,IF(G1412="IN",D1412,""))</f>
        <v/>
      </c>
      <c r="E1413" s="14" t="str">
        <f aca="false">IF(C1413="SELL",B1413,"")</f>
        <v/>
      </c>
      <c r="F1413" s="14" t="str">
        <f aca="false">IF(E1413="","",(E1413-D1413)/D1413*100)</f>
        <v/>
      </c>
      <c r="G1413" s="0" t="str">
        <f aca="false">IF(C1413="BUY","IN",IF(C1413="SELL","OUT",IF(G1412="IN","IN","OUT")))</f>
        <v>OUT</v>
      </c>
      <c r="H1413" s="14" t="n">
        <f aca="false">H1412+IF(F1413="",0,F1413)</f>
        <v>-38.5046374448263</v>
      </c>
      <c r="I1413" s="14" t="n">
        <f aca="false">MAX(I1412,H1413)</f>
        <v>43.9309628600509</v>
      </c>
      <c r="J1413" s="14" t="n">
        <f aca="false">I1413-H1413</f>
        <v>82.4356003048771</v>
      </c>
    </row>
    <row r="1414" customFormat="false" ht="15" hidden="false" customHeight="false" outlineLevel="0" collapsed="false">
      <c r="A1414" s="12" t="n">
        <f aca="false">Data!A1414</f>
        <v>44057</v>
      </c>
      <c r="B1414" s="14" t="n">
        <f aca="false">Data!B1414</f>
        <v>42.01</v>
      </c>
      <c r="C1414" s="0" t="str">
        <f aca="false">IF(Data!D1414="","HOLD",IF(AND(G1413&lt;&gt;"IN",Data!E1414&lt;-5),"BUY",IF(AND(G1413="IN",Data!E1414&gt;0),"SELL","HOLD")))</f>
        <v>HOLD</v>
      </c>
      <c r="D1414" s="14" t="str">
        <f aca="false">IF(C1414="BUY",B1414,IF(G1413="IN",D1413,""))</f>
        <v/>
      </c>
      <c r="E1414" s="14" t="str">
        <f aca="false">IF(C1414="SELL",B1414,"")</f>
        <v/>
      </c>
      <c r="F1414" s="14" t="str">
        <f aca="false">IF(E1414="","",(E1414-D1414)/D1414*100)</f>
        <v/>
      </c>
      <c r="G1414" s="0" t="str">
        <f aca="false">IF(C1414="BUY","IN",IF(C1414="SELL","OUT",IF(G1413="IN","IN","OUT")))</f>
        <v>OUT</v>
      </c>
      <c r="H1414" s="14" t="n">
        <f aca="false">H1413+IF(F1414="",0,F1414)</f>
        <v>-38.5046374448263</v>
      </c>
      <c r="I1414" s="14" t="n">
        <f aca="false">MAX(I1413,H1414)</f>
        <v>43.9309628600509</v>
      </c>
      <c r="J1414" s="14" t="n">
        <f aca="false">I1414-H1414</f>
        <v>82.4356003048771</v>
      </c>
    </row>
    <row r="1415" customFormat="false" ht="15" hidden="false" customHeight="false" outlineLevel="0" collapsed="false">
      <c r="A1415" s="12" t="n">
        <f aca="false">Data!A1415</f>
        <v>44060</v>
      </c>
      <c r="B1415" s="14" t="n">
        <f aca="false">Data!B1415</f>
        <v>42.89</v>
      </c>
      <c r="C1415" s="0" t="str">
        <f aca="false">IF(Data!D1415="","HOLD",IF(AND(G1414&lt;&gt;"IN",Data!E1415&lt;-5),"BUY",IF(AND(G1414="IN",Data!E1415&gt;0),"SELL","HOLD")))</f>
        <v>HOLD</v>
      </c>
      <c r="D1415" s="14" t="str">
        <f aca="false">IF(C1415="BUY",B1415,IF(G1414="IN",D1414,""))</f>
        <v/>
      </c>
      <c r="E1415" s="14" t="str">
        <f aca="false">IF(C1415="SELL",B1415,"")</f>
        <v/>
      </c>
      <c r="F1415" s="14" t="str">
        <f aca="false">IF(E1415="","",(E1415-D1415)/D1415*100)</f>
        <v/>
      </c>
      <c r="G1415" s="0" t="str">
        <f aca="false">IF(C1415="BUY","IN",IF(C1415="SELL","OUT",IF(G1414="IN","IN","OUT")))</f>
        <v>OUT</v>
      </c>
      <c r="H1415" s="14" t="n">
        <f aca="false">H1414+IF(F1415="",0,F1415)</f>
        <v>-38.5046374448263</v>
      </c>
      <c r="I1415" s="14" t="n">
        <f aca="false">MAX(I1414,H1415)</f>
        <v>43.9309628600509</v>
      </c>
      <c r="J1415" s="14" t="n">
        <f aca="false">I1415-H1415</f>
        <v>82.4356003048771</v>
      </c>
    </row>
    <row r="1416" customFormat="false" ht="15" hidden="false" customHeight="false" outlineLevel="0" collapsed="false">
      <c r="A1416" s="12" t="n">
        <f aca="false">Data!A1416</f>
        <v>44061</v>
      </c>
      <c r="B1416" s="14" t="n">
        <f aca="false">Data!B1416</f>
        <v>42.89</v>
      </c>
      <c r="C1416" s="0" t="str">
        <f aca="false">IF(Data!D1416="","HOLD",IF(AND(G1415&lt;&gt;"IN",Data!E1416&lt;-5),"BUY",IF(AND(G1415="IN",Data!E1416&gt;0),"SELL","HOLD")))</f>
        <v>HOLD</v>
      </c>
      <c r="D1416" s="14" t="str">
        <f aca="false">IF(C1416="BUY",B1416,IF(G1415="IN",D1415,""))</f>
        <v/>
      </c>
      <c r="E1416" s="14" t="str">
        <f aca="false">IF(C1416="SELL",B1416,"")</f>
        <v/>
      </c>
      <c r="F1416" s="14" t="str">
        <f aca="false">IF(E1416="","",(E1416-D1416)/D1416*100)</f>
        <v/>
      </c>
      <c r="G1416" s="0" t="str">
        <f aca="false">IF(C1416="BUY","IN",IF(C1416="SELL","OUT",IF(G1415="IN","IN","OUT")))</f>
        <v>OUT</v>
      </c>
      <c r="H1416" s="14" t="n">
        <f aca="false">H1415+IF(F1416="",0,F1416)</f>
        <v>-38.5046374448263</v>
      </c>
      <c r="I1416" s="14" t="n">
        <f aca="false">MAX(I1415,H1416)</f>
        <v>43.9309628600509</v>
      </c>
      <c r="J1416" s="14" t="n">
        <f aca="false">I1416-H1416</f>
        <v>82.4356003048771</v>
      </c>
    </row>
    <row r="1417" customFormat="false" ht="15" hidden="false" customHeight="false" outlineLevel="0" collapsed="false">
      <c r="A1417" s="12" t="n">
        <f aca="false">Data!A1417</f>
        <v>44062</v>
      </c>
      <c r="B1417" s="14" t="n">
        <f aca="false">Data!B1417</f>
        <v>42.93</v>
      </c>
      <c r="C1417" s="0" t="str">
        <f aca="false">IF(Data!D1417="","HOLD",IF(AND(G1416&lt;&gt;"IN",Data!E1417&lt;-5),"BUY",IF(AND(G1416="IN",Data!E1417&gt;0),"SELL","HOLD")))</f>
        <v>HOLD</v>
      </c>
      <c r="D1417" s="14" t="str">
        <f aca="false">IF(C1417="BUY",B1417,IF(G1416="IN",D1416,""))</f>
        <v/>
      </c>
      <c r="E1417" s="14" t="str">
        <f aca="false">IF(C1417="SELL",B1417,"")</f>
        <v/>
      </c>
      <c r="F1417" s="14" t="str">
        <f aca="false">IF(E1417="","",(E1417-D1417)/D1417*100)</f>
        <v/>
      </c>
      <c r="G1417" s="0" t="str">
        <f aca="false">IF(C1417="BUY","IN",IF(C1417="SELL","OUT",IF(G1416="IN","IN","OUT")))</f>
        <v>OUT</v>
      </c>
      <c r="H1417" s="14" t="n">
        <f aca="false">H1416+IF(F1417="",0,F1417)</f>
        <v>-38.5046374448263</v>
      </c>
      <c r="I1417" s="14" t="n">
        <f aca="false">MAX(I1416,H1417)</f>
        <v>43.9309628600509</v>
      </c>
      <c r="J1417" s="14" t="n">
        <f aca="false">I1417-H1417</f>
        <v>82.4356003048771</v>
      </c>
    </row>
    <row r="1418" customFormat="false" ht="15" hidden="false" customHeight="false" outlineLevel="0" collapsed="false">
      <c r="A1418" s="12" t="n">
        <f aca="false">Data!A1418</f>
        <v>44063</v>
      </c>
      <c r="B1418" s="14" t="n">
        <f aca="false">Data!B1418</f>
        <v>42.58</v>
      </c>
      <c r="C1418" s="0" t="str">
        <f aca="false">IF(Data!D1418="","HOLD",IF(AND(G1417&lt;&gt;"IN",Data!E1418&lt;-5),"BUY",IF(AND(G1417="IN",Data!E1418&gt;0),"SELL","HOLD")))</f>
        <v>HOLD</v>
      </c>
      <c r="D1418" s="14" t="str">
        <f aca="false">IF(C1418="BUY",B1418,IF(G1417="IN",D1417,""))</f>
        <v/>
      </c>
      <c r="E1418" s="14" t="str">
        <f aca="false">IF(C1418="SELL",B1418,"")</f>
        <v/>
      </c>
      <c r="F1418" s="14" t="str">
        <f aca="false">IF(E1418="","",(E1418-D1418)/D1418*100)</f>
        <v/>
      </c>
      <c r="G1418" s="0" t="str">
        <f aca="false">IF(C1418="BUY","IN",IF(C1418="SELL","OUT",IF(G1417="IN","IN","OUT")))</f>
        <v>OUT</v>
      </c>
      <c r="H1418" s="14" t="n">
        <f aca="false">H1417+IF(F1418="",0,F1418)</f>
        <v>-38.5046374448263</v>
      </c>
      <c r="I1418" s="14" t="n">
        <f aca="false">MAX(I1417,H1418)</f>
        <v>43.9309628600509</v>
      </c>
      <c r="J1418" s="14" t="n">
        <f aca="false">I1418-H1418</f>
        <v>82.4356003048771</v>
      </c>
    </row>
    <row r="1419" customFormat="false" ht="15" hidden="false" customHeight="false" outlineLevel="0" collapsed="false">
      <c r="A1419" s="12" t="n">
        <f aca="false">Data!A1419</f>
        <v>44064</v>
      </c>
      <c r="B1419" s="14" t="n">
        <f aca="false">Data!B1419</f>
        <v>42.34</v>
      </c>
      <c r="C1419" s="0" t="str">
        <f aca="false">IF(Data!D1419="","HOLD",IF(AND(G1418&lt;&gt;"IN",Data!E1419&lt;-5),"BUY",IF(AND(G1418="IN",Data!E1419&gt;0),"SELL","HOLD")))</f>
        <v>HOLD</v>
      </c>
      <c r="D1419" s="14" t="str">
        <f aca="false">IF(C1419="BUY",B1419,IF(G1418="IN",D1418,""))</f>
        <v/>
      </c>
      <c r="E1419" s="14" t="str">
        <f aca="false">IF(C1419="SELL",B1419,"")</f>
        <v/>
      </c>
      <c r="F1419" s="14" t="str">
        <f aca="false">IF(E1419="","",(E1419-D1419)/D1419*100)</f>
        <v/>
      </c>
      <c r="G1419" s="0" t="str">
        <f aca="false">IF(C1419="BUY","IN",IF(C1419="SELL","OUT",IF(G1418="IN","IN","OUT")))</f>
        <v>OUT</v>
      </c>
      <c r="H1419" s="14" t="n">
        <f aca="false">H1418+IF(F1419="",0,F1419)</f>
        <v>-38.5046374448263</v>
      </c>
      <c r="I1419" s="14" t="n">
        <f aca="false">MAX(I1418,H1419)</f>
        <v>43.9309628600509</v>
      </c>
      <c r="J1419" s="14" t="n">
        <f aca="false">I1419-H1419</f>
        <v>82.4356003048771</v>
      </c>
    </row>
    <row r="1420" customFormat="false" ht="15" hidden="false" customHeight="false" outlineLevel="0" collapsed="false">
      <c r="A1420" s="12" t="n">
        <f aca="false">Data!A1420</f>
        <v>44067</v>
      </c>
      <c r="B1420" s="14" t="n">
        <f aca="false">Data!B1420</f>
        <v>42.62</v>
      </c>
      <c r="C1420" s="0" t="str">
        <f aca="false">IF(Data!D1420="","HOLD",IF(AND(G1419&lt;&gt;"IN",Data!E1420&lt;-5),"BUY",IF(AND(G1419="IN",Data!E1420&gt;0),"SELL","HOLD")))</f>
        <v>HOLD</v>
      </c>
      <c r="D1420" s="14" t="str">
        <f aca="false">IF(C1420="BUY",B1420,IF(G1419="IN",D1419,""))</f>
        <v/>
      </c>
      <c r="E1420" s="14" t="str">
        <f aca="false">IF(C1420="SELL",B1420,"")</f>
        <v/>
      </c>
      <c r="F1420" s="14" t="str">
        <f aca="false">IF(E1420="","",(E1420-D1420)/D1420*100)</f>
        <v/>
      </c>
      <c r="G1420" s="0" t="str">
        <f aca="false">IF(C1420="BUY","IN",IF(C1420="SELL","OUT",IF(G1419="IN","IN","OUT")))</f>
        <v>OUT</v>
      </c>
      <c r="H1420" s="14" t="n">
        <f aca="false">H1419+IF(F1420="",0,F1420)</f>
        <v>-38.5046374448263</v>
      </c>
      <c r="I1420" s="14" t="n">
        <f aca="false">MAX(I1419,H1420)</f>
        <v>43.9309628600509</v>
      </c>
      <c r="J1420" s="14" t="n">
        <f aca="false">I1420-H1420</f>
        <v>82.4356003048771</v>
      </c>
    </row>
    <row r="1421" customFormat="false" ht="15" hidden="false" customHeight="false" outlineLevel="0" collapsed="false">
      <c r="A1421" s="12" t="n">
        <f aca="false">Data!A1421</f>
        <v>44068</v>
      </c>
      <c r="B1421" s="14" t="n">
        <f aca="false">Data!B1421</f>
        <v>43.35</v>
      </c>
      <c r="C1421" s="0" t="str">
        <f aca="false">IF(Data!D1421="","HOLD",IF(AND(G1420&lt;&gt;"IN",Data!E1421&lt;-5),"BUY",IF(AND(G1420="IN",Data!E1421&gt;0),"SELL","HOLD")))</f>
        <v>HOLD</v>
      </c>
      <c r="D1421" s="14" t="str">
        <f aca="false">IF(C1421="BUY",B1421,IF(G1420="IN",D1420,""))</f>
        <v/>
      </c>
      <c r="E1421" s="14" t="str">
        <f aca="false">IF(C1421="SELL",B1421,"")</f>
        <v/>
      </c>
      <c r="F1421" s="14" t="str">
        <f aca="false">IF(E1421="","",(E1421-D1421)/D1421*100)</f>
        <v/>
      </c>
      <c r="G1421" s="0" t="str">
        <f aca="false">IF(C1421="BUY","IN",IF(C1421="SELL","OUT",IF(G1420="IN","IN","OUT")))</f>
        <v>OUT</v>
      </c>
      <c r="H1421" s="14" t="n">
        <f aca="false">H1420+IF(F1421="",0,F1421)</f>
        <v>-38.5046374448263</v>
      </c>
      <c r="I1421" s="14" t="n">
        <f aca="false">MAX(I1420,H1421)</f>
        <v>43.9309628600509</v>
      </c>
      <c r="J1421" s="14" t="n">
        <f aca="false">I1421-H1421</f>
        <v>82.4356003048771</v>
      </c>
    </row>
    <row r="1422" customFormat="false" ht="15" hidden="false" customHeight="false" outlineLevel="0" collapsed="false">
      <c r="A1422" s="12" t="n">
        <f aca="false">Data!A1422</f>
        <v>44069</v>
      </c>
      <c r="B1422" s="14" t="n">
        <f aca="false">Data!B1422</f>
        <v>43.39</v>
      </c>
      <c r="C1422" s="0" t="str">
        <f aca="false">IF(Data!D1422="","HOLD",IF(AND(G1421&lt;&gt;"IN",Data!E1422&lt;-5),"BUY",IF(AND(G1421="IN",Data!E1422&gt;0),"SELL","HOLD")))</f>
        <v>HOLD</v>
      </c>
      <c r="D1422" s="14" t="str">
        <f aca="false">IF(C1422="BUY",B1422,IF(G1421="IN",D1421,""))</f>
        <v/>
      </c>
      <c r="E1422" s="14" t="str">
        <f aca="false">IF(C1422="SELL",B1422,"")</f>
        <v/>
      </c>
      <c r="F1422" s="14" t="str">
        <f aca="false">IF(E1422="","",(E1422-D1422)/D1422*100)</f>
        <v/>
      </c>
      <c r="G1422" s="0" t="str">
        <f aca="false">IF(C1422="BUY","IN",IF(C1422="SELL","OUT",IF(G1421="IN","IN","OUT")))</f>
        <v>OUT</v>
      </c>
      <c r="H1422" s="14" t="n">
        <f aca="false">H1421+IF(F1422="",0,F1422)</f>
        <v>-38.5046374448263</v>
      </c>
      <c r="I1422" s="14" t="n">
        <f aca="false">MAX(I1421,H1422)</f>
        <v>43.9309628600509</v>
      </c>
      <c r="J1422" s="14" t="n">
        <f aca="false">I1422-H1422</f>
        <v>82.4356003048771</v>
      </c>
    </row>
    <row r="1423" customFormat="false" ht="15" hidden="false" customHeight="false" outlineLevel="0" collapsed="false">
      <c r="A1423" s="12" t="n">
        <f aca="false">Data!A1423</f>
        <v>44070</v>
      </c>
      <c r="B1423" s="14" t="n">
        <f aca="false">Data!B1423</f>
        <v>43.04</v>
      </c>
      <c r="C1423" s="0" t="str">
        <f aca="false">IF(Data!D1423="","HOLD",IF(AND(G1422&lt;&gt;"IN",Data!E1423&lt;-5),"BUY",IF(AND(G1422="IN",Data!E1423&gt;0),"SELL","HOLD")))</f>
        <v>HOLD</v>
      </c>
      <c r="D1423" s="14" t="str">
        <f aca="false">IF(C1423="BUY",B1423,IF(G1422="IN",D1422,""))</f>
        <v/>
      </c>
      <c r="E1423" s="14" t="str">
        <f aca="false">IF(C1423="SELL",B1423,"")</f>
        <v/>
      </c>
      <c r="F1423" s="14" t="str">
        <f aca="false">IF(E1423="","",(E1423-D1423)/D1423*100)</f>
        <v/>
      </c>
      <c r="G1423" s="0" t="str">
        <f aca="false">IF(C1423="BUY","IN",IF(C1423="SELL","OUT",IF(G1422="IN","IN","OUT")))</f>
        <v>OUT</v>
      </c>
      <c r="H1423" s="14" t="n">
        <f aca="false">H1422+IF(F1423="",0,F1423)</f>
        <v>-38.5046374448263</v>
      </c>
      <c r="I1423" s="14" t="n">
        <f aca="false">MAX(I1422,H1423)</f>
        <v>43.9309628600509</v>
      </c>
      <c r="J1423" s="14" t="n">
        <f aca="false">I1423-H1423</f>
        <v>82.4356003048771</v>
      </c>
    </row>
    <row r="1424" customFormat="false" ht="15" hidden="false" customHeight="false" outlineLevel="0" collapsed="false">
      <c r="A1424" s="12" t="n">
        <f aca="false">Data!A1424</f>
        <v>44071</v>
      </c>
      <c r="B1424" s="14" t="n">
        <f aca="false">Data!B1424</f>
        <v>42.97</v>
      </c>
      <c r="C1424" s="0" t="str">
        <f aca="false">IF(Data!D1424="","HOLD",IF(AND(G1423&lt;&gt;"IN",Data!E1424&lt;-5),"BUY",IF(AND(G1423="IN",Data!E1424&gt;0),"SELL","HOLD")))</f>
        <v>HOLD</v>
      </c>
      <c r="D1424" s="14" t="str">
        <f aca="false">IF(C1424="BUY",B1424,IF(G1423="IN",D1423,""))</f>
        <v/>
      </c>
      <c r="E1424" s="14" t="str">
        <f aca="false">IF(C1424="SELL",B1424,"")</f>
        <v/>
      </c>
      <c r="F1424" s="14" t="str">
        <f aca="false">IF(E1424="","",(E1424-D1424)/D1424*100)</f>
        <v/>
      </c>
      <c r="G1424" s="0" t="str">
        <f aca="false">IF(C1424="BUY","IN",IF(C1424="SELL","OUT",IF(G1423="IN","IN","OUT")))</f>
        <v>OUT</v>
      </c>
      <c r="H1424" s="14" t="n">
        <f aca="false">H1423+IF(F1424="",0,F1424)</f>
        <v>-38.5046374448263</v>
      </c>
      <c r="I1424" s="14" t="n">
        <f aca="false">MAX(I1423,H1424)</f>
        <v>43.9309628600509</v>
      </c>
      <c r="J1424" s="14" t="n">
        <f aca="false">I1424-H1424</f>
        <v>82.4356003048771</v>
      </c>
    </row>
    <row r="1425" customFormat="false" ht="15" hidden="false" customHeight="false" outlineLevel="0" collapsed="false">
      <c r="A1425" s="12" t="n">
        <f aca="false">Data!A1425</f>
        <v>44074</v>
      </c>
      <c r="B1425" s="14" t="n">
        <f aca="false">Data!B1425</f>
        <v>42.61</v>
      </c>
      <c r="C1425" s="0" t="str">
        <f aca="false">IF(Data!D1425="","HOLD",IF(AND(G1424&lt;&gt;"IN",Data!E1425&lt;-5),"BUY",IF(AND(G1424="IN",Data!E1425&gt;0),"SELL","HOLD")))</f>
        <v>HOLD</v>
      </c>
      <c r="D1425" s="14" t="str">
        <f aca="false">IF(C1425="BUY",B1425,IF(G1424="IN",D1424,""))</f>
        <v/>
      </c>
      <c r="E1425" s="14" t="str">
        <f aca="false">IF(C1425="SELL",B1425,"")</f>
        <v/>
      </c>
      <c r="F1425" s="14" t="str">
        <f aca="false">IF(E1425="","",(E1425-D1425)/D1425*100)</f>
        <v/>
      </c>
      <c r="G1425" s="0" t="str">
        <f aca="false">IF(C1425="BUY","IN",IF(C1425="SELL","OUT",IF(G1424="IN","IN","OUT")))</f>
        <v>OUT</v>
      </c>
      <c r="H1425" s="14" t="n">
        <f aca="false">H1424+IF(F1425="",0,F1425)</f>
        <v>-38.5046374448263</v>
      </c>
      <c r="I1425" s="14" t="n">
        <f aca="false">MAX(I1424,H1425)</f>
        <v>43.9309628600509</v>
      </c>
      <c r="J1425" s="14" t="n">
        <f aca="false">I1425-H1425</f>
        <v>82.4356003048771</v>
      </c>
    </row>
    <row r="1426" customFormat="false" ht="15" hidden="false" customHeight="false" outlineLevel="0" collapsed="false">
      <c r="A1426" s="12" t="n">
        <f aca="false">Data!A1426</f>
        <v>44075</v>
      </c>
      <c r="B1426" s="14" t="n">
        <f aca="false">Data!B1426</f>
        <v>42.76</v>
      </c>
      <c r="C1426" s="0" t="str">
        <f aca="false">IF(Data!D1426="","HOLD",IF(AND(G1425&lt;&gt;"IN",Data!E1426&lt;-5),"BUY",IF(AND(G1425="IN",Data!E1426&gt;0),"SELL","HOLD")))</f>
        <v>HOLD</v>
      </c>
      <c r="D1426" s="14" t="str">
        <f aca="false">IF(C1426="BUY",B1426,IF(G1425="IN",D1425,""))</f>
        <v/>
      </c>
      <c r="E1426" s="14" t="str">
        <f aca="false">IF(C1426="SELL",B1426,"")</f>
        <v/>
      </c>
      <c r="F1426" s="14" t="str">
        <f aca="false">IF(E1426="","",(E1426-D1426)/D1426*100)</f>
        <v/>
      </c>
      <c r="G1426" s="0" t="str">
        <f aca="false">IF(C1426="BUY","IN",IF(C1426="SELL","OUT",IF(G1425="IN","IN","OUT")))</f>
        <v>OUT</v>
      </c>
      <c r="H1426" s="14" t="n">
        <f aca="false">H1425+IF(F1426="",0,F1426)</f>
        <v>-38.5046374448263</v>
      </c>
      <c r="I1426" s="14" t="n">
        <f aca="false">MAX(I1425,H1426)</f>
        <v>43.9309628600509</v>
      </c>
      <c r="J1426" s="14" t="n">
        <f aca="false">I1426-H1426</f>
        <v>82.4356003048771</v>
      </c>
    </row>
    <row r="1427" customFormat="false" ht="15" hidden="false" customHeight="false" outlineLevel="0" collapsed="false">
      <c r="A1427" s="12" t="n">
        <f aca="false">Data!A1427</f>
        <v>44076</v>
      </c>
      <c r="B1427" s="14" t="n">
        <f aca="false">Data!B1427</f>
        <v>41.51</v>
      </c>
      <c r="C1427" s="0" t="str">
        <f aca="false">IF(Data!D1427="","HOLD",IF(AND(G1426&lt;&gt;"IN",Data!E1427&lt;-5),"BUY",IF(AND(G1426="IN",Data!E1427&gt;0),"SELL","HOLD")))</f>
        <v>HOLD</v>
      </c>
      <c r="D1427" s="14" t="str">
        <f aca="false">IF(C1427="BUY",B1427,IF(G1426="IN",D1426,""))</f>
        <v/>
      </c>
      <c r="E1427" s="14" t="str">
        <f aca="false">IF(C1427="SELL",B1427,"")</f>
        <v/>
      </c>
      <c r="F1427" s="14" t="str">
        <f aca="false">IF(E1427="","",(E1427-D1427)/D1427*100)</f>
        <v/>
      </c>
      <c r="G1427" s="0" t="str">
        <f aca="false">IF(C1427="BUY","IN",IF(C1427="SELL","OUT",IF(G1426="IN","IN","OUT")))</f>
        <v>OUT</v>
      </c>
      <c r="H1427" s="14" t="n">
        <f aca="false">H1426+IF(F1427="",0,F1427)</f>
        <v>-38.5046374448263</v>
      </c>
      <c r="I1427" s="14" t="n">
        <f aca="false">MAX(I1426,H1427)</f>
        <v>43.9309628600509</v>
      </c>
      <c r="J1427" s="14" t="n">
        <f aca="false">I1427-H1427</f>
        <v>82.4356003048771</v>
      </c>
    </row>
    <row r="1428" customFormat="false" ht="15" hidden="false" customHeight="false" outlineLevel="0" collapsed="false">
      <c r="A1428" s="12" t="n">
        <f aca="false">Data!A1428</f>
        <v>44077</v>
      </c>
      <c r="B1428" s="14" t="n">
        <f aca="false">Data!B1428</f>
        <v>41.37</v>
      </c>
      <c r="C1428" s="0" t="str">
        <f aca="false">IF(Data!D1428="","HOLD",IF(AND(G1427&lt;&gt;"IN",Data!E1428&lt;-5),"BUY",IF(AND(G1427="IN",Data!E1428&gt;0),"SELL","HOLD")))</f>
        <v>HOLD</v>
      </c>
      <c r="D1428" s="14" t="str">
        <f aca="false">IF(C1428="BUY",B1428,IF(G1427="IN",D1427,""))</f>
        <v/>
      </c>
      <c r="E1428" s="14" t="str">
        <f aca="false">IF(C1428="SELL",B1428,"")</f>
        <v/>
      </c>
      <c r="F1428" s="14" t="str">
        <f aca="false">IF(E1428="","",(E1428-D1428)/D1428*100)</f>
        <v/>
      </c>
      <c r="G1428" s="0" t="str">
        <f aca="false">IF(C1428="BUY","IN",IF(C1428="SELL","OUT",IF(G1427="IN","IN","OUT")))</f>
        <v>OUT</v>
      </c>
      <c r="H1428" s="14" t="n">
        <f aca="false">H1427+IF(F1428="",0,F1428)</f>
        <v>-38.5046374448263</v>
      </c>
      <c r="I1428" s="14" t="n">
        <f aca="false">MAX(I1427,H1428)</f>
        <v>43.9309628600509</v>
      </c>
      <c r="J1428" s="14" t="n">
        <f aca="false">I1428-H1428</f>
        <v>82.4356003048771</v>
      </c>
    </row>
    <row r="1429" customFormat="false" ht="15" hidden="false" customHeight="false" outlineLevel="0" collapsed="false">
      <c r="A1429" s="12" t="n">
        <f aca="false">Data!A1429</f>
        <v>44078</v>
      </c>
      <c r="B1429" s="14" t="n">
        <f aca="false">Data!B1429</f>
        <v>39.77</v>
      </c>
      <c r="C1429" s="0" t="str">
        <f aca="false">IF(Data!D1429="","HOLD",IF(AND(G1428&lt;&gt;"IN",Data!E1429&lt;-5),"BUY",IF(AND(G1428="IN",Data!E1429&gt;0),"SELL","HOLD")))</f>
        <v>BUY</v>
      </c>
      <c r="D1429" s="14" t="n">
        <f aca="false">IF(C1429="BUY",B1429,IF(G1428="IN",D1428,""))</f>
        <v>39.77</v>
      </c>
      <c r="E1429" s="14" t="str">
        <f aca="false">IF(C1429="SELL",B1429,"")</f>
        <v/>
      </c>
      <c r="F1429" s="14" t="str">
        <f aca="false">IF(E1429="","",(E1429-D1429)/D1429*100)</f>
        <v/>
      </c>
      <c r="G1429" s="0" t="str">
        <f aca="false">IF(C1429="BUY","IN",IF(C1429="SELL","OUT",IF(G1428="IN","IN","OUT")))</f>
        <v>IN</v>
      </c>
      <c r="H1429" s="14" t="n">
        <f aca="false">H1428+IF(F1429="",0,F1429)</f>
        <v>-38.5046374448263</v>
      </c>
      <c r="I1429" s="14" t="n">
        <f aca="false">MAX(I1428,H1429)</f>
        <v>43.9309628600509</v>
      </c>
      <c r="J1429" s="14" t="n">
        <f aca="false">I1429-H1429</f>
        <v>82.4356003048771</v>
      </c>
    </row>
    <row r="1430" customFormat="false" ht="15" hidden="false" customHeight="false" outlineLevel="0" collapsed="false">
      <c r="A1430" s="12" t="n">
        <f aca="false">Data!A1430</f>
        <v>44082</v>
      </c>
      <c r="B1430" s="14" t="n">
        <f aca="false">Data!B1430</f>
        <v>36.76</v>
      </c>
      <c r="C1430" s="0" t="str">
        <f aca="false">IF(Data!D1430="","HOLD",IF(AND(G1429&lt;&gt;"IN",Data!E1430&lt;-5),"BUY",IF(AND(G1429="IN",Data!E1430&gt;0),"SELL","HOLD")))</f>
        <v>HOLD</v>
      </c>
      <c r="D1430" s="14" t="n">
        <f aca="false">IF(C1430="BUY",B1430,IF(G1429="IN",D1429,""))</f>
        <v>39.77</v>
      </c>
      <c r="E1430" s="14" t="str">
        <f aca="false">IF(C1430="SELL",B1430,"")</f>
        <v/>
      </c>
      <c r="F1430" s="14" t="str">
        <f aca="false">IF(E1430="","",(E1430-D1430)/D1430*100)</f>
        <v/>
      </c>
      <c r="G1430" s="0" t="str">
        <f aca="false">IF(C1430="BUY","IN",IF(C1430="SELL","OUT",IF(G1429="IN","IN","OUT")))</f>
        <v>IN</v>
      </c>
      <c r="H1430" s="14" t="n">
        <f aca="false">H1429+IF(F1430="",0,F1430)</f>
        <v>-38.5046374448263</v>
      </c>
      <c r="I1430" s="14" t="n">
        <f aca="false">MAX(I1429,H1430)</f>
        <v>43.9309628600509</v>
      </c>
      <c r="J1430" s="14" t="n">
        <f aca="false">I1430-H1430</f>
        <v>82.4356003048771</v>
      </c>
    </row>
    <row r="1431" customFormat="false" ht="15" hidden="false" customHeight="false" outlineLevel="0" collapsed="false">
      <c r="A1431" s="12" t="n">
        <f aca="false">Data!A1431</f>
        <v>44083</v>
      </c>
      <c r="B1431" s="14" t="n">
        <f aca="false">Data!B1431</f>
        <v>38.05</v>
      </c>
      <c r="C1431" s="0" t="str">
        <f aca="false">IF(Data!D1431="","HOLD",IF(AND(G1430&lt;&gt;"IN",Data!E1431&lt;-5),"BUY",IF(AND(G1430="IN",Data!E1431&gt;0),"SELL","HOLD")))</f>
        <v>HOLD</v>
      </c>
      <c r="D1431" s="14" t="n">
        <f aca="false">IF(C1431="BUY",B1431,IF(G1430="IN",D1430,""))</f>
        <v>39.77</v>
      </c>
      <c r="E1431" s="14" t="str">
        <f aca="false">IF(C1431="SELL",B1431,"")</f>
        <v/>
      </c>
      <c r="F1431" s="14" t="str">
        <f aca="false">IF(E1431="","",(E1431-D1431)/D1431*100)</f>
        <v/>
      </c>
      <c r="G1431" s="0" t="str">
        <f aca="false">IF(C1431="BUY","IN",IF(C1431="SELL","OUT",IF(G1430="IN","IN","OUT")))</f>
        <v>IN</v>
      </c>
      <c r="H1431" s="14" t="n">
        <f aca="false">H1430+IF(F1431="",0,F1431)</f>
        <v>-38.5046374448263</v>
      </c>
      <c r="I1431" s="14" t="n">
        <f aca="false">MAX(I1430,H1431)</f>
        <v>43.9309628600509</v>
      </c>
      <c r="J1431" s="14" t="n">
        <f aca="false">I1431-H1431</f>
        <v>82.4356003048771</v>
      </c>
    </row>
    <row r="1432" customFormat="false" ht="15" hidden="false" customHeight="false" outlineLevel="0" collapsed="false">
      <c r="A1432" s="12" t="n">
        <f aca="false">Data!A1432</f>
        <v>44084</v>
      </c>
      <c r="B1432" s="14" t="n">
        <f aca="false">Data!B1432</f>
        <v>37.3</v>
      </c>
      <c r="C1432" s="0" t="str">
        <f aca="false">IF(Data!D1432="","HOLD",IF(AND(G1431&lt;&gt;"IN",Data!E1432&lt;-5),"BUY",IF(AND(G1431="IN",Data!E1432&gt;0),"SELL","HOLD")))</f>
        <v>HOLD</v>
      </c>
      <c r="D1432" s="14" t="n">
        <f aca="false">IF(C1432="BUY",B1432,IF(G1431="IN",D1431,""))</f>
        <v>39.77</v>
      </c>
      <c r="E1432" s="14" t="str">
        <f aca="false">IF(C1432="SELL",B1432,"")</f>
        <v/>
      </c>
      <c r="F1432" s="14" t="str">
        <f aca="false">IF(E1432="","",(E1432-D1432)/D1432*100)</f>
        <v/>
      </c>
      <c r="G1432" s="0" t="str">
        <f aca="false">IF(C1432="BUY","IN",IF(C1432="SELL","OUT",IF(G1431="IN","IN","OUT")))</f>
        <v>IN</v>
      </c>
      <c r="H1432" s="14" t="n">
        <f aca="false">H1431+IF(F1432="",0,F1432)</f>
        <v>-38.5046374448263</v>
      </c>
      <c r="I1432" s="14" t="n">
        <f aca="false">MAX(I1431,H1432)</f>
        <v>43.9309628600509</v>
      </c>
      <c r="J1432" s="14" t="n">
        <f aca="false">I1432-H1432</f>
        <v>82.4356003048771</v>
      </c>
    </row>
    <row r="1433" customFormat="false" ht="15" hidden="false" customHeight="false" outlineLevel="0" collapsed="false">
      <c r="A1433" s="12" t="n">
        <f aca="false">Data!A1433</f>
        <v>44085</v>
      </c>
      <c r="B1433" s="14" t="n">
        <f aca="false">Data!B1433</f>
        <v>37.33</v>
      </c>
      <c r="C1433" s="0" t="str">
        <f aca="false">IF(Data!D1433="","HOLD",IF(AND(G1432&lt;&gt;"IN",Data!E1433&lt;-5),"BUY",IF(AND(G1432="IN",Data!E1433&gt;0),"SELL","HOLD")))</f>
        <v>HOLD</v>
      </c>
      <c r="D1433" s="14" t="n">
        <f aca="false">IF(C1433="BUY",B1433,IF(G1432="IN",D1432,""))</f>
        <v>39.77</v>
      </c>
      <c r="E1433" s="14" t="str">
        <f aca="false">IF(C1433="SELL",B1433,"")</f>
        <v/>
      </c>
      <c r="F1433" s="14" t="str">
        <f aca="false">IF(E1433="","",(E1433-D1433)/D1433*100)</f>
        <v/>
      </c>
      <c r="G1433" s="0" t="str">
        <f aca="false">IF(C1433="BUY","IN",IF(C1433="SELL","OUT",IF(G1432="IN","IN","OUT")))</f>
        <v>IN</v>
      </c>
      <c r="H1433" s="14" t="n">
        <f aca="false">H1432+IF(F1433="",0,F1433)</f>
        <v>-38.5046374448263</v>
      </c>
      <c r="I1433" s="14" t="n">
        <f aca="false">MAX(I1432,H1433)</f>
        <v>43.9309628600509</v>
      </c>
      <c r="J1433" s="14" t="n">
        <f aca="false">I1433-H1433</f>
        <v>82.4356003048771</v>
      </c>
    </row>
    <row r="1434" customFormat="false" ht="15" hidden="false" customHeight="false" outlineLevel="0" collapsed="false">
      <c r="A1434" s="12" t="n">
        <f aca="false">Data!A1434</f>
        <v>44088</v>
      </c>
      <c r="B1434" s="14" t="n">
        <f aca="false">Data!B1434</f>
        <v>37.26</v>
      </c>
      <c r="C1434" s="0" t="str">
        <f aca="false">IF(Data!D1434="","HOLD",IF(AND(G1433&lt;&gt;"IN",Data!E1434&lt;-5),"BUY",IF(AND(G1433="IN",Data!E1434&gt;0),"SELL","HOLD")))</f>
        <v>HOLD</v>
      </c>
      <c r="D1434" s="14" t="n">
        <f aca="false">IF(C1434="BUY",B1434,IF(G1433="IN",D1433,""))</f>
        <v>39.77</v>
      </c>
      <c r="E1434" s="14" t="str">
        <f aca="false">IF(C1434="SELL",B1434,"")</f>
        <v/>
      </c>
      <c r="F1434" s="14" t="str">
        <f aca="false">IF(E1434="","",(E1434-D1434)/D1434*100)</f>
        <v/>
      </c>
      <c r="G1434" s="0" t="str">
        <f aca="false">IF(C1434="BUY","IN",IF(C1434="SELL","OUT",IF(G1433="IN","IN","OUT")))</f>
        <v>IN</v>
      </c>
      <c r="H1434" s="14" t="n">
        <f aca="false">H1433+IF(F1434="",0,F1434)</f>
        <v>-38.5046374448263</v>
      </c>
      <c r="I1434" s="14" t="n">
        <f aca="false">MAX(I1433,H1434)</f>
        <v>43.9309628600509</v>
      </c>
      <c r="J1434" s="14" t="n">
        <f aca="false">I1434-H1434</f>
        <v>82.4356003048771</v>
      </c>
    </row>
    <row r="1435" customFormat="false" ht="15" hidden="false" customHeight="false" outlineLevel="0" collapsed="false">
      <c r="A1435" s="12" t="n">
        <f aca="false">Data!A1435</f>
        <v>44089</v>
      </c>
      <c r="B1435" s="14" t="n">
        <f aca="false">Data!B1435</f>
        <v>38.28</v>
      </c>
      <c r="C1435" s="0" t="str">
        <f aca="false">IF(Data!D1435="","HOLD",IF(AND(G1434&lt;&gt;"IN",Data!E1435&lt;-5),"BUY",IF(AND(G1434="IN",Data!E1435&gt;0),"SELL","HOLD")))</f>
        <v>HOLD</v>
      </c>
      <c r="D1435" s="14" t="n">
        <f aca="false">IF(C1435="BUY",B1435,IF(G1434="IN",D1434,""))</f>
        <v>39.77</v>
      </c>
      <c r="E1435" s="14" t="str">
        <f aca="false">IF(C1435="SELL",B1435,"")</f>
        <v/>
      </c>
      <c r="F1435" s="14" t="str">
        <f aca="false">IF(E1435="","",(E1435-D1435)/D1435*100)</f>
        <v/>
      </c>
      <c r="G1435" s="0" t="str">
        <f aca="false">IF(C1435="BUY","IN",IF(C1435="SELL","OUT",IF(G1434="IN","IN","OUT")))</f>
        <v>IN</v>
      </c>
      <c r="H1435" s="14" t="n">
        <f aca="false">H1434+IF(F1435="",0,F1435)</f>
        <v>-38.5046374448263</v>
      </c>
      <c r="I1435" s="14" t="n">
        <f aca="false">MAX(I1434,H1435)</f>
        <v>43.9309628600509</v>
      </c>
      <c r="J1435" s="14" t="n">
        <f aca="false">I1435-H1435</f>
        <v>82.4356003048771</v>
      </c>
    </row>
    <row r="1436" customFormat="false" ht="15" hidden="false" customHeight="false" outlineLevel="0" collapsed="false">
      <c r="A1436" s="12" t="n">
        <f aca="false">Data!A1436</f>
        <v>44090</v>
      </c>
      <c r="B1436" s="14" t="n">
        <f aca="false">Data!B1436</f>
        <v>40.16</v>
      </c>
      <c r="C1436" s="0" t="str">
        <f aca="false">IF(Data!D1436="","HOLD",IF(AND(G1435&lt;&gt;"IN",Data!E1436&lt;-5),"BUY",IF(AND(G1435="IN",Data!E1436&gt;0),"SELL","HOLD")))</f>
        <v>HOLD</v>
      </c>
      <c r="D1436" s="14" t="n">
        <f aca="false">IF(C1436="BUY",B1436,IF(G1435="IN",D1435,""))</f>
        <v>39.77</v>
      </c>
      <c r="E1436" s="14" t="str">
        <f aca="false">IF(C1436="SELL",B1436,"")</f>
        <v/>
      </c>
      <c r="F1436" s="14" t="str">
        <f aca="false">IF(E1436="","",(E1436-D1436)/D1436*100)</f>
        <v/>
      </c>
      <c r="G1436" s="0" t="str">
        <f aca="false">IF(C1436="BUY","IN",IF(C1436="SELL","OUT",IF(G1435="IN","IN","OUT")))</f>
        <v>IN</v>
      </c>
      <c r="H1436" s="14" t="n">
        <f aca="false">H1435+IF(F1436="",0,F1436)</f>
        <v>-38.5046374448263</v>
      </c>
      <c r="I1436" s="14" t="n">
        <f aca="false">MAX(I1435,H1436)</f>
        <v>43.9309628600509</v>
      </c>
      <c r="J1436" s="14" t="n">
        <f aca="false">I1436-H1436</f>
        <v>82.4356003048771</v>
      </c>
    </row>
    <row r="1437" customFormat="false" ht="15" hidden="false" customHeight="false" outlineLevel="0" collapsed="false">
      <c r="A1437" s="12" t="n">
        <f aca="false">Data!A1437</f>
        <v>44091</v>
      </c>
      <c r="B1437" s="14" t="n">
        <f aca="false">Data!B1437</f>
        <v>40.97</v>
      </c>
      <c r="C1437" s="0" t="str">
        <f aca="false">IF(Data!D1437="","HOLD",IF(AND(G1436&lt;&gt;"IN",Data!E1437&lt;-5),"BUY",IF(AND(G1436="IN",Data!E1437&gt;0),"SELL","HOLD")))</f>
        <v>SELL</v>
      </c>
      <c r="D1437" s="14" t="n">
        <f aca="false">IF(C1437="BUY",B1437,IF(G1436="IN",D1436,""))</f>
        <v>39.77</v>
      </c>
      <c r="E1437" s="14" t="n">
        <f aca="false">IF(C1437="SELL",B1437,"")</f>
        <v>40.97</v>
      </c>
      <c r="F1437" s="14" t="n">
        <f aca="false">IF(E1437="","",(E1437-D1437)/D1437*100)</f>
        <v>3.01734976112647</v>
      </c>
      <c r="G1437" s="0" t="str">
        <f aca="false">IF(C1437="BUY","IN",IF(C1437="SELL","OUT",IF(G1436="IN","IN","OUT")))</f>
        <v>OUT</v>
      </c>
      <c r="H1437" s="14" t="n">
        <f aca="false">H1436+IF(F1437="",0,F1437)</f>
        <v>-35.4872876836998</v>
      </c>
      <c r="I1437" s="14" t="n">
        <f aca="false">MAX(I1436,H1437)</f>
        <v>43.9309628600509</v>
      </c>
      <c r="J1437" s="14" t="n">
        <f aca="false">I1437-H1437</f>
        <v>79.4182505437507</v>
      </c>
    </row>
    <row r="1438" customFormat="false" ht="15" hidden="false" customHeight="false" outlineLevel="0" collapsed="false">
      <c r="A1438" s="12" t="n">
        <f aca="false">Data!A1438</f>
        <v>44092</v>
      </c>
      <c r="B1438" s="14" t="n">
        <f aca="false">Data!B1438</f>
        <v>41.11</v>
      </c>
      <c r="C1438" s="0" t="str">
        <f aca="false">IF(Data!D1438="","HOLD",IF(AND(G1437&lt;&gt;"IN",Data!E1438&lt;-5),"BUY",IF(AND(G1437="IN",Data!E1438&gt;0),"SELL","HOLD")))</f>
        <v>HOLD</v>
      </c>
      <c r="D1438" s="14" t="str">
        <f aca="false">IF(C1438="BUY",B1438,IF(G1437="IN",D1437,""))</f>
        <v/>
      </c>
      <c r="E1438" s="14" t="str">
        <f aca="false">IF(C1438="SELL",B1438,"")</f>
        <v/>
      </c>
      <c r="F1438" s="14" t="str">
        <f aca="false">IF(E1438="","",(E1438-D1438)/D1438*100)</f>
        <v/>
      </c>
      <c r="G1438" s="0" t="str">
        <f aca="false">IF(C1438="BUY","IN",IF(C1438="SELL","OUT",IF(G1437="IN","IN","OUT")))</f>
        <v>OUT</v>
      </c>
      <c r="H1438" s="14" t="n">
        <f aca="false">H1437+IF(F1438="",0,F1438)</f>
        <v>-35.4872876836998</v>
      </c>
      <c r="I1438" s="14" t="n">
        <f aca="false">MAX(I1437,H1438)</f>
        <v>43.9309628600509</v>
      </c>
      <c r="J1438" s="14" t="n">
        <f aca="false">I1438-H1438</f>
        <v>79.4182505437507</v>
      </c>
    </row>
    <row r="1439" customFormat="false" ht="15" hidden="false" customHeight="false" outlineLevel="0" collapsed="false">
      <c r="A1439" s="12" t="n">
        <f aca="false">Data!A1439</f>
        <v>44095</v>
      </c>
      <c r="B1439" s="14" t="n">
        <f aca="false">Data!B1439</f>
        <v>39.31</v>
      </c>
      <c r="C1439" s="0" t="str">
        <f aca="false">IF(Data!D1439="","HOLD",IF(AND(G1438&lt;&gt;"IN",Data!E1439&lt;-5),"BUY",IF(AND(G1438="IN",Data!E1439&gt;0),"SELL","HOLD")))</f>
        <v>HOLD</v>
      </c>
      <c r="D1439" s="14" t="str">
        <f aca="false">IF(C1439="BUY",B1439,IF(G1438="IN",D1438,""))</f>
        <v/>
      </c>
      <c r="E1439" s="14" t="str">
        <f aca="false">IF(C1439="SELL",B1439,"")</f>
        <v/>
      </c>
      <c r="F1439" s="14" t="str">
        <f aca="false">IF(E1439="","",(E1439-D1439)/D1439*100)</f>
        <v/>
      </c>
      <c r="G1439" s="0" t="str">
        <f aca="false">IF(C1439="BUY","IN",IF(C1439="SELL","OUT",IF(G1438="IN","IN","OUT")))</f>
        <v>OUT</v>
      </c>
      <c r="H1439" s="14" t="n">
        <f aca="false">H1438+IF(F1439="",0,F1439)</f>
        <v>-35.4872876836998</v>
      </c>
      <c r="I1439" s="14" t="n">
        <f aca="false">MAX(I1438,H1439)</f>
        <v>43.9309628600509</v>
      </c>
      <c r="J1439" s="14" t="n">
        <f aca="false">I1439-H1439</f>
        <v>79.4182505437507</v>
      </c>
    </row>
    <row r="1440" customFormat="false" ht="15" hidden="false" customHeight="false" outlineLevel="0" collapsed="false">
      <c r="A1440" s="12" t="n">
        <f aca="false">Data!A1440</f>
        <v>44096</v>
      </c>
      <c r="B1440" s="14" t="n">
        <f aca="false">Data!B1440</f>
        <v>39.6</v>
      </c>
      <c r="C1440" s="0" t="str">
        <f aca="false">IF(Data!D1440="","HOLD",IF(AND(G1439&lt;&gt;"IN",Data!E1440&lt;-5),"BUY",IF(AND(G1439="IN",Data!E1440&gt;0),"SELL","HOLD")))</f>
        <v>HOLD</v>
      </c>
      <c r="D1440" s="14" t="str">
        <f aca="false">IF(C1440="BUY",B1440,IF(G1439="IN",D1439,""))</f>
        <v/>
      </c>
      <c r="E1440" s="14" t="str">
        <f aca="false">IF(C1440="SELL",B1440,"")</f>
        <v/>
      </c>
      <c r="F1440" s="14" t="str">
        <f aca="false">IF(E1440="","",(E1440-D1440)/D1440*100)</f>
        <v/>
      </c>
      <c r="G1440" s="0" t="str">
        <f aca="false">IF(C1440="BUY","IN",IF(C1440="SELL","OUT",IF(G1439="IN","IN","OUT")))</f>
        <v>OUT</v>
      </c>
      <c r="H1440" s="14" t="n">
        <f aca="false">H1439+IF(F1440="",0,F1440)</f>
        <v>-35.4872876836998</v>
      </c>
      <c r="I1440" s="14" t="n">
        <f aca="false">MAX(I1439,H1440)</f>
        <v>43.9309628600509</v>
      </c>
      <c r="J1440" s="14" t="n">
        <f aca="false">I1440-H1440</f>
        <v>79.4182505437507</v>
      </c>
    </row>
    <row r="1441" customFormat="false" ht="15" hidden="false" customHeight="false" outlineLevel="0" collapsed="false">
      <c r="A1441" s="12" t="n">
        <f aca="false">Data!A1441</f>
        <v>44097</v>
      </c>
      <c r="B1441" s="14" t="n">
        <f aca="false">Data!B1441</f>
        <v>39.93</v>
      </c>
      <c r="C1441" s="0" t="str">
        <f aca="false">IF(Data!D1441="","HOLD",IF(AND(G1440&lt;&gt;"IN",Data!E1441&lt;-5),"BUY",IF(AND(G1440="IN",Data!E1441&gt;0),"SELL","HOLD")))</f>
        <v>HOLD</v>
      </c>
      <c r="D1441" s="14" t="str">
        <f aca="false">IF(C1441="BUY",B1441,IF(G1440="IN",D1440,""))</f>
        <v/>
      </c>
      <c r="E1441" s="14" t="str">
        <f aca="false">IF(C1441="SELL",B1441,"")</f>
        <v/>
      </c>
      <c r="F1441" s="14" t="str">
        <f aca="false">IF(E1441="","",(E1441-D1441)/D1441*100)</f>
        <v/>
      </c>
      <c r="G1441" s="0" t="str">
        <f aca="false">IF(C1441="BUY","IN",IF(C1441="SELL","OUT",IF(G1440="IN","IN","OUT")))</f>
        <v>OUT</v>
      </c>
      <c r="H1441" s="14" t="n">
        <f aca="false">H1440+IF(F1441="",0,F1441)</f>
        <v>-35.4872876836998</v>
      </c>
      <c r="I1441" s="14" t="n">
        <f aca="false">MAX(I1440,H1441)</f>
        <v>43.9309628600509</v>
      </c>
      <c r="J1441" s="14" t="n">
        <f aca="false">I1441-H1441</f>
        <v>79.4182505437507</v>
      </c>
    </row>
    <row r="1442" customFormat="false" ht="15" hidden="false" customHeight="false" outlineLevel="0" collapsed="false">
      <c r="A1442" s="12" t="n">
        <f aca="false">Data!A1442</f>
        <v>44098</v>
      </c>
      <c r="B1442" s="14" t="n">
        <f aca="false">Data!B1442</f>
        <v>40.31</v>
      </c>
      <c r="C1442" s="0" t="str">
        <f aca="false">IF(Data!D1442="","HOLD",IF(AND(G1441&lt;&gt;"IN",Data!E1442&lt;-5),"BUY",IF(AND(G1441="IN",Data!E1442&gt;0),"SELL","HOLD")))</f>
        <v>HOLD</v>
      </c>
      <c r="D1442" s="14" t="str">
        <f aca="false">IF(C1442="BUY",B1442,IF(G1441="IN",D1441,""))</f>
        <v/>
      </c>
      <c r="E1442" s="14" t="str">
        <f aca="false">IF(C1442="SELL",B1442,"")</f>
        <v/>
      </c>
      <c r="F1442" s="14" t="str">
        <f aca="false">IF(E1442="","",(E1442-D1442)/D1442*100)</f>
        <v/>
      </c>
      <c r="G1442" s="0" t="str">
        <f aca="false">IF(C1442="BUY","IN",IF(C1442="SELL","OUT",IF(G1441="IN","IN","OUT")))</f>
        <v>OUT</v>
      </c>
      <c r="H1442" s="14" t="n">
        <f aca="false">H1441+IF(F1442="",0,F1442)</f>
        <v>-35.4872876836998</v>
      </c>
      <c r="I1442" s="14" t="n">
        <f aca="false">MAX(I1441,H1442)</f>
        <v>43.9309628600509</v>
      </c>
      <c r="J1442" s="14" t="n">
        <f aca="false">I1442-H1442</f>
        <v>79.4182505437507</v>
      </c>
    </row>
    <row r="1443" customFormat="false" ht="15" hidden="false" customHeight="false" outlineLevel="0" collapsed="false">
      <c r="A1443" s="12" t="n">
        <f aca="false">Data!A1443</f>
        <v>44099</v>
      </c>
      <c r="B1443" s="14" t="n">
        <f aca="false">Data!B1443</f>
        <v>40.25</v>
      </c>
      <c r="C1443" s="0" t="str">
        <f aca="false">IF(Data!D1443="","HOLD",IF(AND(G1442&lt;&gt;"IN",Data!E1443&lt;-5),"BUY",IF(AND(G1442="IN",Data!E1443&gt;0),"SELL","HOLD")))</f>
        <v>HOLD</v>
      </c>
      <c r="D1443" s="14" t="str">
        <f aca="false">IF(C1443="BUY",B1443,IF(G1442="IN",D1442,""))</f>
        <v/>
      </c>
      <c r="E1443" s="14" t="str">
        <f aca="false">IF(C1443="SELL",B1443,"")</f>
        <v/>
      </c>
      <c r="F1443" s="14" t="str">
        <f aca="false">IF(E1443="","",(E1443-D1443)/D1443*100)</f>
        <v/>
      </c>
      <c r="G1443" s="0" t="str">
        <f aca="false">IF(C1443="BUY","IN",IF(C1443="SELL","OUT",IF(G1442="IN","IN","OUT")))</f>
        <v>OUT</v>
      </c>
      <c r="H1443" s="14" t="n">
        <f aca="false">H1442+IF(F1443="",0,F1443)</f>
        <v>-35.4872876836998</v>
      </c>
      <c r="I1443" s="14" t="n">
        <f aca="false">MAX(I1442,H1443)</f>
        <v>43.9309628600509</v>
      </c>
      <c r="J1443" s="14" t="n">
        <f aca="false">I1443-H1443</f>
        <v>79.4182505437507</v>
      </c>
    </row>
    <row r="1444" customFormat="false" ht="15" hidden="false" customHeight="false" outlineLevel="0" collapsed="false">
      <c r="A1444" s="12" t="n">
        <f aca="false">Data!A1444</f>
        <v>44102</v>
      </c>
      <c r="B1444" s="14" t="n">
        <f aca="false">Data!B1444</f>
        <v>40.6</v>
      </c>
      <c r="C1444" s="0" t="str">
        <f aca="false">IF(Data!D1444="","HOLD",IF(AND(G1443&lt;&gt;"IN",Data!E1444&lt;-5),"BUY",IF(AND(G1443="IN",Data!E1444&gt;0),"SELL","HOLD")))</f>
        <v>HOLD</v>
      </c>
      <c r="D1444" s="14" t="str">
        <f aca="false">IF(C1444="BUY",B1444,IF(G1443="IN",D1443,""))</f>
        <v/>
      </c>
      <c r="E1444" s="14" t="str">
        <f aca="false">IF(C1444="SELL",B1444,"")</f>
        <v/>
      </c>
      <c r="F1444" s="14" t="str">
        <f aca="false">IF(E1444="","",(E1444-D1444)/D1444*100)</f>
        <v/>
      </c>
      <c r="G1444" s="0" t="str">
        <f aca="false">IF(C1444="BUY","IN",IF(C1444="SELL","OUT",IF(G1443="IN","IN","OUT")))</f>
        <v>OUT</v>
      </c>
      <c r="H1444" s="14" t="n">
        <f aca="false">H1443+IF(F1444="",0,F1444)</f>
        <v>-35.4872876836998</v>
      </c>
      <c r="I1444" s="14" t="n">
        <f aca="false">MAX(I1443,H1444)</f>
        <v>43.9309628600509</v>
      </c>
      <c r="J1444" s="14" t="n">
        <f aca="false">I1444-H1444</f>
        <v>79.4182505437507</v>
      </c>
    </row>
    <row r="1445" customFormat="false" ht="15" hidden="false" customHeight="false" outlineLevel="0" collapsed="false">
      <c r="A1445" s="12" t="n">
        <f aca="false">Data!A1445</f>
        <v>44103</v>
      </c>
      <c r="B1445" s="14" t="n">
        <f aca="false">Data!B1445</f>
        <v>39.29</v>
      </c>
      <c r="C1445" s="0" t="str">
        <f aca="false">IF(Data!D1445="","HOLD",IF(AND(G1444&lt;&gt;"IN",Data!E1445&lt;-5),"BUY",IF(AND(G1444="IN",Data!E1445&gt;0),"SELL","HOLD")))</f>
        <v>HOLD</v>
      </c>
      <c r="D1445" s="14" t="str">
        <f aca="false">IF(C1445="BUY",B1445,IF(G1444="IN",D1444,""))</f>
        <v/>
      </c>
      <c r="E1445" s="14" t="str">
        <f aca="false">IF(C1445="SELL",B1445,"")</f>
        <v/>
      </c>
      <c r="F1445" s="14" t="str">
        <f aca="false">IF(E1445="","",(E1445-D1445)/D1445*100)</f>
        <v/>
      </c>
      <c r="G1445" s="0" t="str">
        <f aca="false">IF(C1445="BUY","IN",IF(C1445="SELL","OUT",IF(G1444="IN","IN","OUT")))</f>
        <v>OUT</v>
      </c>
      <c r="H1445" s="14" t="n">
        <f aca="false">H1444+IF(F1445="",0,F1445)</f>
        <v>-35.4872876836998</v>
      </c>
      <c r="I1445" s="14" t="n">
        <f aca="false">MAX(I1444,H1445)</f>
        <v>43.9309628600509</v>
      </c>
      <c r="J1445" s="14" t="n">
        <f aca="false">I1445-H1445</f>
        <v>79.4182505437507</v>
      </c>
    </row>
    <row r="1446" customFormat="false" ht="15" hidden="false" customHeight="false" outlineLevel="0" collapsed="false">
      <c r="A1446" s="12" t="n">
        <f aca="false">Data!A1446</f>
        <v>44104</v>
      </c>
      <c r="B1446" s="14" t="n">
        <f aca="false">Data!B1446</f>
        <v>40.22</v>
      </c>
      <c r="C1446" s="0" t="str">
        <f aca="false">IF(Data!D1446="","HOLD",IF(AND(G1445&lt;&gt;"IN",Data!E1446&lt;-5),"BUY",IF(AND(G1445="IN",Data!E1446&gt;0),"SELL","HOLD")))</f>
        <v>HOLD</v>
      </c>
      <c r="D1446" s="14" t="str">
        <f aca="false">IF(C1446="BUY",B1446,IF(G1445="IN",D1445,""))</f>
        <v/>
      </c>
      <c r="E1446" s="14" t="str">
        <f aca="false">IF(C1446="SELL",B1446,"")</f>
        <v/>
      </c>
      <c r="F1446" s="14" t="str">
        <f aca="false">IF(E1446="","",(E1446-D1446)/D1446*100)</f>
        <v/>
      </c>
      <c r="G1446" s="0" t="str">
        <f aca="false">IF(C1446="BUY","IN",IF(C1446="SELL","OUT",IF(G1445="IN","IN","OUT")))</f>
        <v>OUT</v>
      </c>
      <c r="H1446" s="14" t="n">
        <f aca="false">H1445+IF(F1446="",0,F1446)</f>
        <v>-35.4872876836998</v>
      </c>
      <c r="I1446" s="14" t="n">
        <f aca="false">MAX(I1445,H1446)</f>
        <v>43.9309628600509</v>
      </c>
      <c r="J1446" s="14" t="n">
        <f aca="false">I1446-H1446</f>
        <v>79.4182505437507</v>
      </c>
    </row>
    <row r="1447" customFormat="false" ht="15" hidden="false" customHeight="false" outlineLevel="0" collapsed="false">
      <c r="A1447" s="12" t="n">
        <f aca="false">Data!A1447</f>
        <v>44105</v>
      </c>
      <c r="B1447" s="14" t="n">
        <f aca="false">Data!B1447</f>
        <v>38.72</v>
      </c>
      <c r="C1447" s="0" t="str">
        <f aca="false">IF(Data!D1447="","HOLD",IF(AND(G1446&lt;&gt;"IN",Data!E1447&lt;-5),"BUY",IF(AND(G1446="IN",Data!E1447&gt;0),"SELL","HOLD")))</f>
        <v>HOLD</v>
      </c>
      <c r="D1447" s="14" t="str">
        <f aca="false">IF(C1447="BUY",B1447,IF(G1446="IN",D1446,""))</f>
        <v/>
      </c>
      <c r="E1447" s="14" t="str">
        <f aca="false">IF(C1447="SELL",B1447,"")</f>
        <v/>
      </c>
      <c r="F1447" s="14" t="str">
        <f aca="false">IF(E1447="","",(E1447-D1447)/D1447*100)</f>
        <v/>
      </c>
      <c r="G1447" s="0" t="str">
        <f aca="false">IF(C1447="BUY","IN",IF(C1447="SELL","OUT",IF(G1446="IN","IN","OUT")))</f>
        <v>OUT</v>
      </c>
      <c r="H1447" s="14" t="n">
        <f aca="false">H1446+IF(F1447="",0,F1447)</f>
        <v>-35.4872876836998</v>
      </c>
      <c r="I1447" s="14" t="n">
        <f aca="false">MAX(I1446,H1447)</f>
        <v>43.9309628600509</v>
      </c>
      <c r="J1447" s="14" t="n">
        <f aca="false">I1447-H1447</f>
        <v>79.4182505437507</v>
      </c>
    </row>
    <row r="1448" customFormat="false" ht="15" hidden="false" customHeight="false" outlineLevel="0" collapsed="false">
      <c r="A1448" s="12" t="n">
        <f aca="false">Data!A1448</f>
        <v>44106</v>
      </c>
      <c r="B1448" s="14" t="n">
        <f aca="false">Data!B1448</f>
        <v>37.05</v>
      </c>
      <c r="C1448" s="0" t="str">
        <f aca="false">IF(Data!D1448="","HOLD",IF(AND(G1447&lt;&gt;"IN",Data!E1448&lt;-5),"BUY",IF(AND(G1447="IN",Data!E1448&gt;0),"SELL","HOLD")))</f>
        <v>BUY</v>
      </c>
      <c r="D1448" s="14" t="n">
        <f aca="false">IF(C1448="BUY",B1448,IF(G1447="IN",D1447,""))</f>
        <v>37.05</v>
      </c>
      <c r="E1448" s="14" t="str">
        <f aca="false">IF(C1448="SELL",B1448,"")</f>
        <v/>
      </c>
      <c r="F1448" s="14" t="str">
        <f aca="false">IF(E1448="","",(E1448-D1448)/D1448*100)</f>
        <v/>
      </c>
      <c r="G1448" s="0" t="str">
        <f aca="false">IF(C1448="BUY","IN",IF(C1448="SELL","OUT",IF(G1447="IN","IN","OUT")))</f>
        <v>IN</v>
      </c>
      <c r="H1448" s="14" t="n">
        <f aca="false">H1447+IF(F1448="",0,F1448)</f>
        <v>-35.4872876836998</v>
      </c>
      <c r="I1448" s="14" t="n">
        <f aca="false">MAX(I1447,H1448)</f>
        <v>43.9309628600509</v>
      </c>
      <c r="J1448" s="14" t="n">
        <f aca="false">I1448-H1448</f>
        <v>79.4182505437507</v>
      </c>
    </row>
    <row r="1449" customFormat="false" ht="15" hidden="false" customHeight="false" outlineLevel="0" collapsed="false">
      <c r="A1449" s="12" t="n">
        <f aca="false">Data!A1449</f>
        <v>44109</v>
      </c>
      <c r="B1449" s="14" t="n">
        <f aca="false">Data!B1449</f>
        <v>39.22</v>
      </c>
      <c r="C1449" s="0" t="str">
        <f aca="false">IF(Data!D1449="","HOLD",IF(AND(G1448&lt;&gt;"IN",Data!E1449&lt;-5),"BUY",IF(AND(G1448="IN",Data!E1449&gt;0),"SELL","HOLD")))</f>
        <v>SELL</v>
      </c>
      <c r="D1449" s="14" t="n">
        <f aca="false">IF(C1449="BUY",B1449,IF(G1448="IN",D1448,""))</f>
        <v>37.05</v>
      </c>
      <c r="E1449" s="14" t="n">
        <f aca="false">IF(C1449="SELL",B1449,"")</f>
        <v>39.22</v>
      </c>
      <c r="F1449" s="14" t="n">
        <f aca="false">IF(E1449="","",(E1449-D1449)/D1449*100)</f>
        <v>5.85695006747639</v>
      </c>
      <c r="G1449" s="0" t="str">
        <f aca="false">IF(C1449="BUY","IN",IF(C1449="SELL","OUT",IF(G1448="IN","IN","OUT")))</f>
        <v>OUT</v>
      </c>
      <c r="H1449" s="14" t="n">
        <f aca="false">H1448+IF(F1449="",0,F1449)</f>
        <v>-29.6303376162234</v>
      </c>
      <c r="I1449" s="14" t="n">
        <f aca="false">MAX(I1448,H1449)</f>
        <v>43.9309628600509</v>
      </c>
      <c r="J1449" s="14" t="n">
        <f aca="false">I1449-H1449</f>
        <v>73.5613004762743</v>
      </c>
    </row>
    <row r="1450" customFormat="false" ht="15" hidden="false" customHeight="false" outlineLevel="0" collapsed="false">
      <c r="A1450" s="12" t="n">
        <f aca="false">Data!A1450</f>
        <v>44110</v>
      </c>
      <c r="B1450" s="14" t="n">
        <f aca="false">Data!B1450</f>
        <v>40.67</v>
      </c>
      <c r="C1450" s="0" t="str">
        <f aca="false">IF(Data!D1450="","HOLD",IF(AND(G1449&lt;&gt;"IN",Data!E1450&lt;-5),"BUY",IF(AND(G1449="IN",Data!E1450&gt;0),"SELL","HOLD")))</f>
        <v>HOLD</v>
      </c>
      <c r="D1450" s="14" t="str">
        <f aca="false">IF(C1450="BUY",B1450,IF(G1449="IN",D1449,""))</f>
        <v/>
      </c>
      <c r="E1450" s="14" t="str">
        <f aca="false">IF(C1450="SELL",B1450,"")</f>
        <v/>
      </c>
      <c r="F1450" s="14" t="str">
        <f aca="false">IF(E1450="","",(E1450-D1450)/D1450*100)</f>
        <v/>
      </c>
      <c r="G1450" s="0" t="str">
        <f aca="false">IF(C1450="BUY","IN",IF(C1450="SELL","OUT",IF(G1449="IN","IN","OUT")))</f>
        <v>OUT</v>
      </c>
      <c r="H1450" s="14" t="n">
        <f aca="false">H1449+IF(F1450="",0,F1450)</f>
        <v>-29.6303376162234</v>
      </c>
      <c r="I1450" s="14" t="n">
        <f aca="false">MAX(I1449,H1450)</f>
        <v>43.9309628600509</v>
      </c>
      <c r="J1450" s="14" t="n">
        <f aca="false">I1450-H1450</f>
        <v>73.5613004762743</v>
      </c>
    </row>
    <row r="1451" customFormat="false" ht="15" hidden="false" customHeight="false" outlineLevel="0" collapsed="false">
      <c r="A1451" s="12" t="n">
        <f aca="false">Data!A1451</f>
        <v>44111</v>
      </c>
      <c r="B1451" s="14" t="n">
        <f aca="false">Data!B1451</f>
        <v>39.95</v>
      </c>
      <c r="C1451" s="0" t="str">
        <f aca="false">IF(Data!D1451="","HOLD",IF(AND(G1450&lt;&gt;"IN",Data!E1451&lt;-5),"BUY",IF(AND(G1450="IN",Data!E1451&gt;0),"SELL","HOLD")))</f>
        <v>HOLD</v>
      </c>
      <c r="D1451" s="14" t="str">
        <f aca="false">IF(C1451="BUY",B1451,IF(G1450="IN",D1450,""))</f>
        <v/>
      </c>
      <c r="E1451" s="14" t="str">
        <f aca="false">IF(C1451="SELL",B1451,"")</f>
        <v/>
      </c>
      <c r="F1451" s="14" t="str">
        <f aca="false">IF(E1451="","",(E1451-D1451)/D1451*100)</f>
        <v/>
      </c>
      <c r="G1451" s="0" t="str">
        <f aca="false">IF(C1451="BUY","IN",IF(C1451="SELL","OUT",IF(G1450="IN","IN","OUT")))</f>
        <v>OUT</v>
      </c>
      <c r="H1451" s="14" t="n">
        <f aca="false">H1450+IF(F1451="",0,F1451)</f>
        <v>-29.6303376162234</v>
      </c>
      <c r="I1451" s="14" t="n">
        <f aca="false">MAX(I1450,H1451)</f>
        <v>43.9309628600509</v>
      </c>
      <c r="J1451" s="14" t="n">
        <f aca="false">I1451-H1451</f>
        <v>73.5613004762743</v>
      </c>
    </row>
    <row r="1452" customFormat="false" ht="15" hidden="false" customHeight="false" outlineLevel="0" collapsed="false">
      <c r="A1452" s="12" t="n">
        <f aca="false">Data!A1452</f>
        <v>44112</v>
      </c>
      <c r="B1452" s="14" t="n">
        <f aca="false">Data!B1452</f>
        <v>41.19</v>
      </c>
      <c r="C1452" s="0" t="str">
        <f aca="false">IF(Data!D1452="","HOLD",IF(AND(G1451&lt;&gt;"IN",Data!E1452&lt;-5),"BUY",IF(AND(G1451="IN",Data!E1452&gt;0),"SELL","HOLD")))</f>
        <v>HOLD</v>
      </c>
      <c r="D1452" s="14" t="str">
        <f aca="false">IF(C1452="BUY",B1452,IF(G1451="IN",D1451,""))</f>
        <v/>
      </c>
      <c r="E1452" s="14" t="str">
        <f aca="false">IF(C1452="SELL",B1452,"")</f>
        <v/>
      </c>
      <c r="F1452" s="14" t="str">
        <f aca="false">IF(E1452="","",(E1452-D1452)/D1452*100)</f>
        <v/>
      </c>
      <c r="G1452" s="0" t="str">
        <f aca="false">IF(C1452="BUY","IN",IF(C1452="SELL","OUT",IF(G1451="IN","IN","OUT")))</f>
        <v>OUT</v>
      </c>
      <c r="H1452" s="14" t="n">
        <f aca="false">H1451+IF(F1452="",0,F1452)</f>
        <v>-29.6303376162234</v>
      </c>
      <c r="I1452" s="14" t="n">
        <f aca="false">MAX(I1451,H1452)</f>
        <v>43.9309628600509</v>
      </c>
      <c r="J1452" s="14" t="n">
        <f aca="false">I1452-H1452</f>
        <v>73.5613004762743</v>
      </c>
    </row>
    <row r="1453" customFormat="false" ht="15" hidden="false" customHeight="false" outlineLevel="0" collapsed="false">
      <c r="A1453" s="12" t="n">
        <f aca="false">Data!A1453</f>
        <v>44113</v>
      </c>
      <c r="B1453" s="14" t="n">
        <f aca="false">Data!B1453</f>
        <v>40.6</v>
      </c>
      <c r="C1453" s="0" t="str">
        <f aca="false">IF(Data!D1453="","HOLD",IF(AND(G1452&lt;&gt;"IN",Data!E1453&lt;-5),"BUY",IF(AND(G1452="IN",Data!E1453&gt;0),"SELL","HOLD")))</f>
        <v>HOLD</v>
      </c>
      <c r="D1453" s="14" t="str">
        <f aca="false">IF(C1453="BUY",B1453,IF(G1452="IN",D1452,""))</f>
        <v/>
      </c>
      <c r="E1453" s="14" t="str">
        <f aca="false">IF(C1453="SELL",B1453,"")</f>
        <v/>
      </c>
      <c r="F1453" s="14" t="str">
        <f aca="false">IF(E1453="","",(E1453-D1453)/D1453*100)</f>
        <v/>
      </c>
      <c r="G1453" s="0" t="str">
        <f aca="false">IF(C1453="BUY","IN",IF(C1453="SELL","OUT",IF(G1452="IN","IN","OUT")))</f>
        <v>OUT</v>
      </c>
      <c r="H1453" s="14" t="n">
        <f aca="false">H1452+IF(F1453="",0,F1453)</f>
        <v>-29.6303376162234</v>
      </c>
      <c r="I1453" s="14" t="n">
        <f aca="false">MAX(I1452,H1453)</f>
        <v>43.9309628600509</v>
      </c>
      <c r="J1453" s="14" t="n">
        <f aca="false">I1453-H1453</f>
        <v>73.5613004762743</v>
      </c>
    </row>
    <row r="1454" customFormat="false" ht="15" hidden="false" customHeight="false" outlineLevel="0" collapsed="false">
      <c r="A1454" s="12" t="n">
        <f aca="false">Data!A1454</f>
        <v>44116</v>
      </c>
      <c r="B1454" s="14" t="n">
        <f aca="false">Data!B1454</f>
        <v>39.43</v>
      </c>
      <c r="C1454" s="0" t="str">
        <f aca="false">IF(Data!D1454="","HOLD",IF(AND(G1453&lt;&gt;"IN",Data!E1454&lt;-5),"BUY",IF(AND(G1453="IN",Data!E1454&gt;0),"SELL","HOLD")))</f>
        <v>HOLD</v>
      </c>
      <c r="D1454" s="14" t="str">
        <f aca="false">IF(C1454="BUY",B1454,IF(G1453="IN",D1453,""))</f>
        <v/>
      </c>
      <c r="E1454" s="14" t="str">
        <f aca="false">IF(C1454="SELL",B1454,"")</f>
        <v/>
      </c>
      <c r="F1454" s="14" t="str">
        <f aca="false">IF(E1454="","",(E1454-D1454)/D1454*100)</f>
        <v/>
      </c>
      <c r="G1454" s="0" t="str">
        <f aca="false">IF(C1454="BUY","IN",IF(C1454="SELL","OUT",IF(G1453="IN","IN","OUT")))</f>
        <v>OUT</v>
      </c>
      <c r="H1454" s="14" t="n">
        <f aca="false">H1453+IF(F1454="",0,F1454)</f>
        <v>-29.6303376162234</v>
      </c>
      <c r="I1454" s="14" t="n">
        <f aca="false">MAX(I1453,H1454)</f>
        <v>43.9309628600509</v>
      </c>
      <c r="J1454" s="14" t="n">
        <f aca="false">I1454-H1454</f>
        <v>73.5613004762743</v>
      </c>
    </row>
    <row r="1455" customFormat="false" ht="15" hidden="false" customHeight="false" outlineLevel="0" collapsed="false">
      <c r="A1455" s="12" t="n">
        <f aca="false">Data!A1455</f>
        <v>44117</v>
      </c>
      <c r="B1455" s="14" t="n">
        <f aca="false">Data!B1455</f>
        <v>40.2</v>
      </c>
      <c r="C1455" s="0" t="str">
        <f aca="false">IF(Data!D1455="","HOLD",IF(AND(G1454&lt;&gt;"IN",Data!E1455&lt;-5),"BUY",IF(AND(G1454="IN",Data!E1455&gt;0),"SELL","HOLD")))</f>
        <v>HOLD</v>
      </c>
      <c r="D1455" s="14" t="str">
        <f aca="false">IF(C1455="BUY",B1455,IF(G1454="IN",D1454,""))</f>
        <v/>
      </c>
      <c r="E1455" s="14" t="str">
        <f aca="false">IF(C1455="SELL",B1455,"")</f>
        <v/>
      </c>
      <c r="F1455" s="14" t="str">
        <f aca="false">IF(E1455="","",(E1455-D1455)/D1455*100)</f>
        <v/>
      </c>
      <c r="G1455" s="0" t="str">
        <f aca="false">IF(C1455="BUY","IN",IF(C1455="SELL","OUT",IF(G1454="IN","IN","OUT")))</f>
        <v>OUT</v>
      </c>
      <c r="H1455" s="14" t="n">
        <f aca="false">H1454+IF(F1455="",0,F1455)</f>
        <v>-29.6303376162234</v>
      </c>
      <c r="I1455" s="14" t="n">
        <f aca="false">MAX(I1454,H1455)</f>
        <v>43.9309628600509</v>
      </c>
      <c r="J1455" s="14" t="n">
        <f aca="false">I1455-H1455</f>
        <v>73.5613004762743</v>
      </c>
    </row>
    <row r="1456" customFormat="false" ht="15" hidden="false" customHeight="false" outlineLevel="0" collapsed="false">
      <c r="A1456" s="12" t="n">
        <f aca="false">Data!A1456</f>
        <v>44118</v>
      </c>
      <c r="B1456" s="14" t="n">
        <f aca="false">Data!B1456</f>
        <v>41.04</v>
      </c>
      <c r="C1456" s="0" t="str">
        <f aca="false">IF(Data!D1456="","HOLD",IF(AND(G1455&lt;&gt;"IN",Data!E1456&lt;-5),"BUY",IF(AND(G1455="IN",Data!E1456&gt;0),"SELL","HOLD")))</f>
        <v>HOLD</v>
      </c>
      <c r="D1456" s="14" t="str">
        <f aca="false">IF(C1456="BUY",B1456,IF(G1455="IN",D1455,""))</f>
        <v/>
      </c>
      <c r="E1456" s="14" t="str">
        <f aca="false">IF(C1456="SELL",B1456,"")</f>
        <v/>
      </c>
      <c r="F1456" s="14" t="str">
        <f aca="false">IF(E1456="","",(E1456-D1456)/D1456*100)</f>
        <v/>
      </c>
      <c r="G1456" s="0" t="str">
        <f aca="false">IF(C1456="BUY","IN",IF(C1456="SELL","OUT",IF(G1455="IN","IN","OUT")))</f>
        <v>OUT</v>
      </c>
      <c r="H1456" s="14" t="n">
        <f aca="false">H1455+IF(F1456="",0,F1456)</f>
        <v>-29.6303376162234</v>
      </c>
      <c r="I1456" s="14" t="n">
        <f aca="false">MAX(I1455,H1456)</f>
        <v>43.9309628600509</v>
      </c>
      <c r="J1456" s="14" t="n">
        <f aca="false">I1456-H1456</f>
        <v>73.5613004762743</v>
      </c>
    </row>
    <row r="1457" customFormat="false" ht="15" hidden="false" customHeight="false" outlineLevel="0" collapsed="false">
      <c r="A1457" s="12" t="n">
        <f aca="false">Data!A1457</f>
        <v>44119</v>
      </c>
      <c r="B1457" s="14" t="n">
        <f aca="false">Data!B1457</f>
        <v>40.96</v>
      </c>
      <c r="C1457" s="0" t="str">
        <f aca="false">IF(Data!D1457="","HOLD",IF(AND(G1456&lt;&gt;"IN",Data!E1457&lt;-5),"BUY",IF(AND(G1456="IN",Data!E1457&gt;0),"SELL","HOLD")))</f>
        <v>HOLD</v>
      </c>
      <c r="D1457" s="14" t="str">
        <f aca="false">IF(C1457="BUY",B1457,IF(G1456="IN",D1456,""))</f>
        <v/>
      </c>
      <c r="E1457" s="14" t="str">
        <f aca="false">IF(C1457="SELL",B1457,"")</f>
        <v/>
      </c>
      <c r="F1457" s="14" t="str">
        <f aca="false">IF(E1457="","",(E1457-D1457)/D1457*100)</f>
        <v/>
      </c>
      <c r="G1457" s="0" t="str">
        <f aca="false">IF(C1457="BUY","IN",IF(C1457="SELL","OUT",IF(G1456="IN","IN","OUT")))</f>
        <v>OUT</v>
      </c>
      <c r="H1457" s="14" t="n">
        <f aca="false">H1456+IF(F1457="",0,F1457)</f>
        <v>-29.6303376162234</v>
      </c>
      <c r="I1457" s="14" t="n">
        <f aca="false">MAX(I1456,H1457)</f>
        <v>43.9309628600509</v>
      </c>
      <c r="J1457" s="14" t="n">
        <f aca="false">I1457-H1457</f>
        <v>73.5613004762743</v>
      </c>
    </row>
    <row r="1458" customFormat="false" ht="15" hidden="false" customHeight="false" outlineLevel="0" collapsed="false">
      <c r="A1458" s="12" t="n">
        <f aca="false">Data!A1458</f>
        <v>44120</v>
      </c>
      <c r="B1458" s="14" t="n">
        <f aca="false">Data!B1458</f>
        <v>40.88</v>
      </c>
      <c r="C1458" s="0" t="str">
        <f aca="false">IF(Data!D1458="","HOLD",IF(AND(G1457&lt;&gt;"IN",Data!E1458&lt;-5),"BUY",IF(AND(G1457="IN",Data!E1458&gt;0),"SELL","HOLD")))</f>
        <v>HOLD</v>
      </c>
      <c r="D1458" s="14" t="str">
        <f aca="false">IF(C1458="BUY",B1458,IF(G1457="IN",D1457,""))</f>
        <v/>
      </c>
      <c r="E1458" s="14" t="str">
        <f aca="false">IF(C1458="SELL",B1458,"")</f>
        <v/>
      </c>
      <c r="F1458" s="14" t="str">
        <f aca="false">IF(E1458="","",(E1458-D1458)/D1458*100)</f>
        <v/>
      </c>
      <c r="G1458" s="0" t="str">
        <f aca="false">IF(C1458="BUY","IN",IF(C1458="SELL","OUT",IF(G1457="IN","IN","OUT")))</f>
        <v>OUT</v>
      </c>
      <c r="H1458" s="14" t="n">
        <f aca="false">H1457+IF(F1458="",0,F1458)</f>
        <v>-29.6303376162234</v>
      </c>
      <c r="I1458" s="14" t="n">
        <f aca="false">MAX(I1457,H1458)</f>
        <v>43.9309628600509</v>
      </c>
      <c r="J1458" s="14" t="n">
        <f aca="false">I1458-H1458</f>
        <v>73.5613004762743</v>
      </c>
    </row>
    <row r="1459" customFormat="false" ht="15" hidden="false" customHeight="false" outlineLevel="0" collapsed="false">
      <c r="A1459" s="12" t="n">
        <f aca="false">Data!A1459</f>
        <v>44123</v>
      </c>
      <c r="B1459" s="14" t="n">
        <f aca="false">Data!B1459</f>
        <v>40.83</v>
      </c>
      <c r="C1459" s="0" t="str">
        <f aca="false">IF(Data!D1459="","HOLD",IF(AND(G1458&lt;&gt;"IN",Data!E1459&lt;-5),"BUY",IF(AND(G1458="IN",Data!E1459&gt;0),"SELL","HOLD")))</f>
        <v>HOLD</v>
      </c>
      <c r="D1459" s="14" t="str">
        <f aca="false">IF(C1459="BUY",B1459,IF(G1458="IN",D1458,""))</f>
        <v/>
      </c>
      <c r="E1459" s="14" t="str">
        <f aca="false">IF(C1459="SELL",B1459,"")</f>
        <v/>
      </c>
      <c r="F1459" s="14" t="str">
        <f aca="false">IF(E1459="","",(E1459-D1459)/D1459*100)</f>
        <v/>
      </c>
      <c r="G1459" s="0" t="str">
        <f aca="false">IF(C1459="BUY","IN",IF(C1459="SELL","OUT",IF(G1458="IN","IN","OUT")))</f>
        <v>OUT</v>
      </c>
      <c r="H1459" s="14" t="n">
        <f aca="false">H1458+IF(F1459="",0,F1459)</f>
        <v>-29.6303376162234</v>
      </c>
      <c r="I1459" s="14" t="n">
        <f aca="false">MAX(I1458,H1459)</f>
        <v>43.9309628600509</v>
      </c>
      <c r="J1459" s="14" t="n">
        <f aca="false">I1459-H1459</f>
        <v>73.5613004762743</v>
      </c>
    </row>
    <row r="1460" customFormat="false" ht="15" hidden="false" customHeight="false" outlineLevel="0" collapsed="false">
      <c r="A1460" s="12" t="n">
        <f aca="false">Data!A1460</f>
        <v>44124</v>
      </c>
      <c r="B1460" s="14" t="n">
        <f aca="false">Data!B1460</f>
        <v>41.46</v>
      </c>
      <c r="C1460" s="0" t="str">
        <f aca="false">IF(Data!D1460="","HOLD",IF(AND(G1459&lt;&gt;"IN",Data!E1460&lt;-5),"BUY",IF(AND(G1459="IN",Data!E1460&gt;0),"SELL","HOLD")))</f>
        <v>HOLD</v>
      </c>
      <c r="D1460" s="14" t="str">
        <f aca="false">IF(C1460="BUY",B1460,IF(G1459="IN",D1459,""))</f>
        <v/>
      </c>
      <c r="E1460" s="14" t="str">
        <f aca="false">IF(C1460="SELL",B1460,"")</f>
        <v/>
      </c>
      <c r="F1460" s="14" t="str">
        <f aca="false">IF(E1460="","",(E1460-D1460)/D1460*100)</f>
        <v/>
      </c>
      <c r="G1460" s="0" t="str">
        <f aca="false">IF(C1460="BUY","IN",IF(C1460="SELL","OUT",IF(G1459="IN","IN","OUT")))</f>
        <v>OUT</v>
      </c>
      <c r="H1460" s="14" t="n">
        <f aca="false">H1459+IF(F1460="",0,F1460)</f>
        <v>-29.6303376162234</v>
      </c>
      <c r="I1460" s="14" t="n">
        <f aca="false">MAX(I1459,H1460)</f>
        <v>43.9309628600509</v>
      </c>
      <c r="J1460" s="14" t="n">
        <f aca="false">I1460-H1460</f>
        <v>73.5613004762743</v>
      </c>
    </row>
    <row r="1461" customFormat="false" ht="15" hidden="false" customHeight="false" outlineLevel="0" collapsed="false">
      <c r="A1461" s="12" t="n">
        <f aca="false">Data!A1461</f>
        <v>44125</v>
      </c>
      <c r="B1461" s="14" t="n">
        <f aca="false">Data!B1461</f>
        <v>40.03</v>
      </c>
      <c r="C1461" s="0" t="str">
        <f aca="false">IF(Data!D1461="","HOLD",IF(AND(G1460&lt;&gt;"IN",Data!E1461&lt;-5),"BUY",IF(AND(G1460="IN",Data!E1461&gt;0),"SELL","HOLD")))</f>
        <v>HOLD</v>
      </c>
      <c r="D1461" s="14" t="str">
        <f aca="false">IF(C1461="BUY",B1461,IF(G1460="IN",D1460,""))</f>
        <v/>
      </c>
      <c r="E1461" s="14" t="str">
        <f aca="false">IF(C1461="SELL",B1461,"")</f>
        <v/>
      </c>
      <c r="F1461" s="14" t="str">
        <f aca="false">IF(E1461="","",(E1461-D1461)/D1461*100)</f>
        <v/>
      </c>
      <c r="G1461" s="0" t="str">
        <f aca="false">IF(C1461="BUY","IN",IF(C1461="SELL","OUT",IF(G1460="IN","IN","OUT")))</f>
        <v>OUT</v>
      </c>
      <c r="H1461" s="14" t="n">
        <f aca="false">H1460+IF(F1461="",0,F1461)</f>
        <v>-29.6303376162234</v>
      </c>
      <c r="I1461" s="14" t="n">
        <f aca="false">MAX(I1460,H1461)</f>
        <v>43.9309628600509</v>
      </c>
      <c r="J1461" s="14" t="n">
        <f aca="false">I1461-H1461</f>
        <v>73.5613004762743</v>
      </c>
    </row>
    <row r="1462" customFormat="false" ht="15" hidden="false" customHeight="false" outlineLevel="0" collapsed="false">
      <c r="A1462" s="12" t="n">
        <f aca="false">Data!A1462</f>
        <v>44126</v>
      </c>
      <c r="B1462" s="14" t="n">
        <f aca="false">Data!B1462</f>
        <v>40.64</v>
      </c>
      <c r="C1462" s="0" t="str">
        <f aca="false">IF(Data!D1462="","HOLD",IF(AND(G1461&lt;&gt;"IN",Data!E1462&lt;-5),"BUY",IF(AND(G1461="IN",Data!E1462&gt;0),"SELL","HOLD")))</f>
        <v>HOLD</v>
      </c>
      <c r="D1462" s="14" t="str">
        <f aca="false">IF(C1462="BUY",B1462,IF(G1461="IN",D1461,""))</f>
        <v/>
      </c>
      <c r="E1462" s="14" t="str">
        <f aca="false">IF(C1462="SELL",B1462,"")</f>
        <v/>
      </c>
      <c r="F1462" s="14" t="str">
        <f aca="false">IF(E1462="","",(E1462-D1462)/D1462*100)</f>
        <v/>
      </c>
      <c r="G1462" s="0" t="str">
        <f aca="false">IF(C1462="BUY","IN",IF(C1462="SELL","OUT",IF(G1461="IN","IN","OUT")))</f>
        <v>OUT</v>
      </c>
      <c r="H1462" s="14" t="n">
        <f aca="false">H1461+IF(F1462="",0,F1462)</f>
        <v>-29.6303376162234</v>
      </c>
      <c r="I1462" s="14" t="n">
        <f aca="false">MAX(I1461,H1462)</f>
        <v>43.9309628600509</v>
      </c>
      <c r="J1462" s="14" t="n">
        <f aca="false">I1462-H1462</f>
        <v>73.5613004762743</v>
      </c>
    </row>
    <row r="1463" customFormat="false" ht="15" hidden="false" customHeight="false" outlineLevel="0" collapsed="false">
      <c r="A1463" s="12" t="n">
        <f aca="false">Data!A1463</f>
        <v>44127</v>
      </c>
      <c r="B1463" s="14" t="n">
        <f aca="false">Data!B1463</f>
        <v>39.85</v>
      </c>
      <c r="C1463" s="0" t="str">
        <f aca="false">IF(Data!D1463="","HOLD",IF(AND(G1462&lt;&gt;"IN",Data!E1463&lt;-5),"BUY",IF(AND(G1462="IN",Data!E1463&gt;0),"SELL","HOLD")))</f>
        <v>HOLD</v>
      </c>
      <c r="D1463" s="14" t="str">
        <f aca="false">IF(C1463="BUY",B1463,IF(G1462="IN",D1462,""))</f>
        <v/>
      </c>
      <c r="E1463" s="14" t="str">
        <f aca="false">IF(C1463="SELL",B1463,"")</f>
        <v/>
      </c>
      <c r="F1463" s="14" t="str">
        <f aca="false">IF(E1463="","",(E1463-D1463)/D1463*100)</f>
        <v/>
      </c>
      <c r="G1463" s="0" t="str">
        <f aca="false">IF(C1463="BUY","IN",IF(C1463="SELL","OUT",IF(G1462="IN","IN","OUT")))</f>
        <v>OUT</v>
      </c>
      <c r="H1463" s="14" t="n">
        <f aca="false">H1462+IF(F1463="",0,F1463)</f>
        <v>-29.6303376162234</v>
      </c>
      <c r="I1463" s="14" t="n">
        <f aca="false">MAX(I1462,H1463)</f>
        <v>43.9309628600509</v>
      </c>
      <c r="J1463" s="14" t="n">
        <f aca="false">I1463-H1463</f>
        <v>73.5613004762743</v>
      </c>
    </row>
    <row r="1464" customFormat="false" ht="15" hidden="false" customHeight="false" outlineLevel="0" collapsed="false">
      <c r="A1464" s="12" t="n">
        <f aca="false">Data!A1464</f>
        <v>44130</v>
      </c>
      <c r="B1464" s="14" t="n">
        <f aca="false">Data!B1464</f>
        <v>38.56</v>
      </c>
      <c r="C1464" s="0" t="str">
        <f aca="false">IF(Data!D1464="","HOLD",IF(AND(G1463&lt;&gt;"IN",Data!E1464&lt;-5),"BUY",IF(AND(G1463="IN",Data!E1464&gt;0),"SELL","HOLD")))</f>
        <v>HOLD</v>
      </c>
      <c r="D1464" s="14" t="str">
        <f aca="false">IF(C1464="BUY",B1464,IF(G1463="IN",D1463,""))</f>
        <v/>
      </c>
      <c r="E1464" s="14" t="str">
        <f aca="false">IF(C1464="SELL",B1464,"")</f>
        <v/>
      </c>
      <c r="F1464" s="14" t="str">
        <f aca="false">IF(E1464="","",(E1464-D1464)/D1464*100)</f>
        <v/>
      </c>
      <c r="G1464" s="0" t="str">
        <f aca="false">IF(C1464="BUY","IN",IF(C1464="SELL","OUT",IF(G1463="IN","IN","OUT")))</f>
        <v>OUT</v>
      </c>
      <c r="H1464" s="14" t="n">
        <f aca="false">H1463+IF(F1464="",0,F1464)</f>
        <v>-29.6303376162234</v>
      </c>
      <c r="I1464" s="14" t="n">
        <f aca="false">MAX(I1463,H1464)</f>
        <v>43.9309628600509</v>
      </c>
      <c r="J1464" s="14" t="n">
        <f aca="false">I1464-H1464</f>
        <v>73.5613004762743</v>
      </c>
    </row>
    <row r="1465" customFormat="false" ht="15" hidden="false" customHeight="false" outlineLevel="0" collapsed="false">
      <c r="A1465" s="12" t="n">
        <f aca="false">Data!A1465</f>
        <v>44131</v>
      </c>
      <c r="B1465" s="14" t="n">
        <f aca="false">Data!B1465</f>
        <v>39.57</v>
      </c>
      <c r="C1465" s="0" t="str">
        <f aca="false">IF(Data!D1465="","HOLD",IF(AND(G1464&lt;&gt;"IN",Data!E1465&lt;-5),"BUY",IF(AND(G1464="IN",Data!E1465&gt;0),"SELL","HOLD")))</f>
        <v>HOLD</v>
      </c>
      <c r="D1465" s="14" t="str">
        <f aca="false">IF(C1465="BUY",B1465,IF(G1464="IN",D1464,""))</f>
        <v/>
      </c>
      <c r="E1465" s="14" t="str">
        <f aca="false">IF(C1465="SELL",B1465,"")</f>
        <v/>
      </c>
      <c r="F1465" s="14" t="str">
        <f aca="false">IF(E1465="","",(E1465-D1465)/D1465*100)</f>
        <v/>
      </c>
      <c r="G1465" s="0" t="str">
        <f aca="false">IF(C1465="BUY","IN",IF(C1465="SELL","OUT",IF(G1464="IN","IN","OUT")))</f>
        <v>OUT</v>
      </c>
      <c r="H1465" s="14" t="n">
        <f aca="false">H1464+IF(F1465="",0,F1465)</f>
        <v>-29.6303376162234</v>
      </c>
      <c r="I1465" s="14" t="n">
        <f aca="false">MAX(I1464,H1465)</f>
        <v>43.9309628600509</v>
      </c>
      <c r="J1465" s="14" t="n">
        <f aca="false">I1465-H1465</f>
        <v>73.5613004762743</v>
      </c>
    </row>
    <row r="1466" customFormat="false" ht="15" hidden="false" customHeight="false" outlineLevel="0" collapsed="false">
      <c r="A1466" s="12" t="n">
        <f aca="false">Data!A1466</f>
        <v>44132</v>
      </c>
      <c r="B1466" s="14" t="n">
        <f aca="false">Data!B1466</f>
        <v>37.39</v>
      </c>
      <c r="C1466" s="0" t="str">
        <f aca="false">IF(Data!D1466="","HOLD",IF(AND(G1465&lt;&gt;"IN",Data!E1466&lt;-5),"BUY",IF(AND(G1465="IN",Data!E1466&gt;0),"SELL","HOLD")))</f>
        <v>BUY</v>
      </c>
      <c r="D1466" s="14" t="n">
        <f aca="false">IF(C1466="BUY",B1466,IF(G1465="IN",D1465,""))</f>
        <v>37.39</v>
      </c>
      <c r="E1466" s="14" t="str">
        <f aca="false">IF(C1466="SELL",B1466,"")</f>
        <v/>
      </c>
      <c r="F1466" s="14" t="str">
        <f aca="false">IF(E1466="","",(E1466-D1466)/D1466*100)</f>
        <v/>
      </c>
      <c r="G1466" s="0" t="str">
        <f aca="false">IF(C1466="BUY","IN",IF(C1466="SELL","OUT",IF(G1465="IN","IN","OUT")))</f>
        <v>IN</v>
      </c>
      <c r="H1466" s="14" t="n">
        <f aca="false">H1465+IF(F1466="",0,F1466)</f>
        <v>-29.6303376162234</v>
      </c>
      <c r="I1466" s="14" t="n">
        <f aca="false">MAX(I1465,H1466)</f>
        <v>43.9309628600509</v>
      </c>
      <c r="J1466" s="14" t="n">
        <f aca="false">I1466-H1466</f>
        <v>73.5613004762743</v>
      </c>
    </row>
    <row r="1467" customFormat="false" ht="15" hidden="false" customHeight="false" outlineLevel="0" collapsed="false">
      <c r="A1467" s="12" t="n">
        <f aca="false">Data!A1467</f>
        <v>44133</v>
      </c>
      <c r="B1467" s="14" t="n">
        <f aca="false">Data!B1467</f>
        <v>36.17</v>
      </c>
      <c r="C1467" s="0" t="str">
        <f aca="false">IF(Data!D1467="","HOLD",IF(AND(G1466&lt;&gt;"IN",Data!E1467&lt;-5),"BUY",IF(AND(G1466="IN",Data!E1467&gt;0),"SELL","HOLD")))</f>
        <v>HOLD</v>
      </c>
      <c r="D1467" s="14" t="n">
        <f aca="false">IF(C1467="BUY",B1467,IF(G1466="IN",D1466,""))</f>
        <v>37.39</v>
      </c>
      <c r="E1467" s="14" t="str">
        <f aca="false">IF(C1467="SELL",B1467,"")</f>
        <v/>
      </c>
      <c r="F1467" s="14" t="str">
        <f aca="false">IF(E1467="","",(E1467-D1467)/D1467*100)</f>
        <v/>
      </c>
      <c r="G1467" s="0" t="str">
        <f aca="false">IF(C1467="BUY","IN",IF(C1467="SELL","OUT",IF(G1466="IN","IN","OUT")))</f>
        <v>IN</v>
      </c>
      <c r="H1467" s="14" t="n">
        <f aca="false">H1466+IF(F1467="",0,F1467)</f>
        <v>-29.6303376162234</v>
      </c>
      <c r="I1467" s="14" t="n">
        <f aca="false">MAX(I1466,H1467)</f>
        <v>43.9309628600509</v>
      </c>
      <c r="J1467" s="14" t="n">
        <f aca="false">I1467-H1467</f>
        <v>73.5613004762743</v>
      </c>
    </row>
    <row r="1468" customFormat="false" ht="15" hidden="false" customHeight="false" outlineLevel="0" collapsed="false">
      <c r="A1468" s="12" t="n">
        <f aca="false">Data!A1468</f>
        <v>44134</v>
      </c>
      <c r="B1468" s="14" t="n">
        <f aca="false">Data!B1468</f>
        <v>35.79</v>
      </c>
      <c r="C1468" s="0" t="str">
        <f aca="false">IF(Data!D1468="","HOLD",IF(AND(G1467&lt;&gt;"IN",Data!E1468&lt;-5),"BUY",IF(AND(G1467="IN",Data!E1468&gt;0),"SELL","HOLD")))</f>
        <v>HOLD</v>
      </c>
      <c r="D1468" s="14" t="n">
        <f aca="false">IF(C1468="BUY",B1468,IF(G1467="IN",D1467,""))</f>
        <v>37.39</v>
      </c>
      <c r="E1468" s="14" t="str">
        <f aca="false">IF(C1468="SELL",B1468,"")</f>
        <v/>
      </c>
      <c r="F1468" s="14" t="str">
        <f aca="false">IF(E1468="","",(E1468-D1468)/D1468*100)</f>
        <v/>
      </c>
      <c r="G1468" s="0" t="str">
        <f aca="false">IF(C1468="BUY","IN",IF(C1468="SELL","OUT",IF(G1467="IN","IN","OUT")))</f>
        <v>IN</v>
      </c>
      <c r="H1468" s="14" t="n">
        <f aca="false">H1467+IF(F1468="",0,F1468)</f>
        <v>-29.6303376162234</v>
      </c>
      <c r="I1468" s="14" t="n">
        <f aca="false">MAX(I1467,H1468)</f>
        <v>43.9309628600509</v>
      </c>
      <c r="J1468" s="14" t="n">
        <f aca="false">I1468-H1468</f>
        <v>73.5613004762743</v>
      </c>
    </row>
    <row r="1469" customFormat="false" ht="15" hidden="false" customHeight="false" outlineLevel="0" collapsed="false">
      <c r="A1469" s="12" t="n">
        <f aca="false">Data!A1469</f>
        <v>44137</v>
      </c>
      <c r="B1469" s="14" t="n">
        <f aca="false">Data!B1469</f>
        <v>36.81</v>
      </c>
      <c r="C1469" s="0" t="str">
        <f aca="false">IF(Data!D1469="","HOLD",IF(AND(G1468&lt;&gt;"IN",Data!E1469&lt;-5),"BUY",IF(AND(G1468="IN",Data!E1469&gt;0),"SELL","HOLD")))</f>
        <v>HOLD</v>
      </c>
      <c r="D1469" s="14" t="n">
        <f aca="false">IF(C1469="BUY",B1469,IF(G1468="IN",D1468,""))</f>
        <v>37.39</v>
      </c>
      <c r="E1469" s="14" t="str">
        <f aca="false">IF(C1469="SELL",B1469,"")</f>
        <v/>
      </c>
      <c r="F1469" s="14" t="str">
        <f aca="false">IF(E1469="","",(E1469-D1469)/D1469*100)</f>
        <v/>
      </c>
      <c r="G1469" s="0" t="str">
        <f aca="false">IF(C1469="BUY","IN",IF(C1469="SELL","OUT",IF(G1468="IN","IN","OUT")))</f>
        <v>IN</v>
      </c>
      <c r="H1469" s="14" t="n">
        <f aca="false">H1468+IF(F1469="",0,F1469)</f>
        <v>-29.6303376162234</v>
      </c>
      <c r="I1469" s="14" t="n">
        <f aca="false">MAX(I1468,H1469)</f>
        <v>43.9309628600509</v>
      </c>
      <c r="J1469" s="14" t="n">
        <f aca="false">I1469-H1469</f>
        <v>73.5613004762743</v>
      </c>
    </row>
    <row r="1470" customFormat="false" ht="15" hidden="false" customHeight="false" outlineLevel="0" collapsed="false">
      <c r="A1470" s="12" t="n">
        <f aca="false">Data!A1470</f>
        <v>44138</v>
      </c>
      <c r="B1470" s="14" t="n">
        <f aca="false">Data!B1470</f>
        <v>37.66</v>
      </c>
      <c r="C1470" s="0" t="str">
        <f aca="false">IF(Data!D1470="","HOLD",IF(AND(G1469&lt;&gt;"IN",Data!E1470&lt;-5),"BUY",IF(AND(G1469="IN",Data!E1470&gt;0),"SELL","HOLD")))</f>
        <v>HOLD</v>
      </c>
      <c r="D1470" s="14" t="n">
        <f aca="false">IF(C1470="BUY",B1470,IF(G1469="IN",D1469,""))</f>
        <v>37.39</v>
      </c>
      <c r="E1470" s="14" t="str">
        <f aca="false">IF(C1470="SELL",B1470,"")</f>
        <v/>
      </c>
      <c r="F1470" s="14" t="str">
        <f aca="false">IF(E1470="","",(E1470-D1470)/D1470*100)</f>
        <v/>
      </c>
      <c r="G1470" s="0" t="str">
        <f aca="false">IF(C1470="BUY","IN",IF(C1470="SELL","OUT",IF(G1469="IN","IN","OUT")))</f>
        <v>IN</v>
      </c>
      <c r="H1470" s="14" t="n">
        <f aca="false">H1469+IF(F1470="",0,F1470)</f>
        <v>-29.6303376162234</v>
      </c>
      <c r="I1470" s="14" t="n">
        <f aca="false">MAX(I1469,H1470)</f>
        <v>43.9309628600509</v>
      </c>
      <c r="J1470" s="14" t="n">
        <f aca="false">I1470-H1470</f>
        <v>73.5613004762743</v>
      </c>
    </row>
    <row r="1471" customFormat="false" ht="15" hidden="false" customHeight="false" outlineLevel="0" collapsed="false">
      <c r="A1471" s="12" t="n">
        <f aca="false">Data!A1471</f>
        <v>44139</v>
      </c>
      <c r="B1471" s="14" t="n">
        <f aca="false">Data!B1471</f>
        <v>39.15</v>
      </c>
      <c r="C1471" s="0" t="str">
        <f aca="false">IF(Data!D1471="","HOLD",IF(AND(G1470&lt;&gt;"IN",Data!E1471&lt;-5),"BUY",IF(AND(G1470="IN",Data!E1471&gt;0),"SELL","HOLD")))</f>
        <v>HOLD</v>
      </c>
      <c r="D1471" s="14" t="n">
        <f aca="false">IF(C1471="BUY",B1471,IF(G1470="IN",D1470,""))</f>
        <v>37.39</v>
      </c>
      <c r="E1471" s="14" t="str">
        <f aca="false">IF(C1471="SELL",B1471,"")</f>
        <v/>
      </c>
      <c r="F1471" s="14" t="str">
        <f aca="false">IF(E1471="","",(E1471-D1471)/D1471*100)</f>
        <v/>
      </c>
      <c r="G1471" s="0" t="str">
        <f aca="false">IF(C1471="BUY","IN",IF(C1471="SELL","OUT",IF(G1470="IN","IN","OUT")))</f>
        <v>IN</v>
      </c>
      <c r="H1471" s="14" t="n">
        <f aca="false">H1470+IF(F1471="",0,F1471)</f>
        <v>-29.6303376162234</v>
      </c>
      <c r="I1471" s="14" t="n">
        <f aca="false">MAX(I1470,H1471)</f>
        <v>43.9309628600509</v>
      </c>
      <c r="J1471" s="14" t="n">
        <f aca="false">I1471-H1471</f>
        <v>73.5613004762743</v>
      </c>
    </row>
    <row r="1472" customFormat="false" ht="15" hidden="false" customHeight="false" outlineLevel="0" collapsed="false">
      <c r="A1472" s="12" t="n">
        <f aca="false">Data!A1472</f>
        <v>44140</v>
      </c>
      <c r="B1472" s="14" t="n">
        <f aca="false">Data!B1472</f>
        <v>38.79</v>
      </c>
      <c r="C1472" s="0" t="str">
        <f aca="false">IF(Data!D1472="","HOLD",IF(AND(G1471&lt;&gt;"IN",Data!E1472&lt;-5),"BUY",IF(AND(G1471="IN",Data!E1472&gt;0),"SELL","HOLD")))</f>
        <v>HOLD</v>
      </c>
      <c r="D1472" s="14" t="n">
        <f aca="false">IF(C1472="BUY",B1472,IF(G1471="IN",D1471,""))</f>
        <v>37.39</v>
      </c>
      <c r="E1472" s="14" t="str">
        <f aca="false">IF(C1472="SELL",B1472,"")</f>
        <v/>
      </c>
      <c r="F1472" s="14" t="str">
        <f aca="false">IF(E1472="","",(E1472-D1472)/D1472*100)</f>
        <v/>
      </c>
      <c r="G1472" s="0" t="str">
        <f aca="false">IF(C1472="BUY","IN",IF(C1472="SELL","OUT",IF(G1471="IN","IN","OUT")))</f>
        <v>IN</v>
      </c>
      <c r="H1472" s="14" t="n">
        <f aca="false">H1471+IF(F1472="",0,F1472)</f>
        <v>-29.6303376162234</v>
      </c>
      <c r="I1472" s="14" t="n">
        <f aca="false">MAX(I1471,H1472)</f>
        <v>43.9309628600509</v>
      </c>
      <c r="J1472" s="14" t="n">
        <f aca="false">I1472-H1472</f>
        <v>73.5613004762743</v>
      </c>
    </row>
    <row r="1473" customFormat="false" ht="15" hidden="false" customHeight="false" outlineLevel="0" collapsed="false">
      <c r="A1473" s="12" t="n">
        <f aca="false">Data!A1473</f>
        <v>44141</v>
      </c>
      <c r="B1473" s="14" t="n">
        <f aca="false">Data!B1473</f>
        <v>37.14</v>
      </c>
      <c r="C1473" s="0" t="str">
        <f aca="false">IF(Data!D1473="","HOLD",IF(AND(G1472&lt;&gt;"IN",Data!E1473&lt;-5),"BUY",IF(AND(G1472="IN",Data!E1473&gt;0),"SELL","HOLD")))</f>
        <v>HOLD</v>
      </c>
      <c r="D1473" s="14" t="n">
        <f aca="false">IF(C1473="BUY",B1473,IF(G1472="IN",D1472,""))</f>
        <v>37.39</v>
      </c>
      <c r="E1473" s="14" t="str">
        <f aca="false">IF(C1473="SELL",B1473,"")</f>
        <v/>
      </c>
      <c r="F1473" s="14" t="str">
        <f aca="false">IF(E1473="","",(E1473-D1473)/D1473*100)</f>
        <v/>
      </c>
      <c r="G1473" s="0" t="str">
        <f aca="false">IF(C1473="BUY","IN",IF(C1473="SELL","OUT",IF(G1472="IN","IN","OUT")))</f>
        <v>IN</v>
      </c>
      <c r="H1473" s="14" t="n">
        <f aca="false">H1472+IF(F1473="",0,F1473)</f>
        <v>-29.6303376162234</v>
      </c>
      <c r="I1473" s="14" t="n">
        <f aca="false">MAX(I1472,H1473)</f>
        <v>43.9309628600509</v>
      </c>
      <c r="J1473" s="14" t="n">
        <f aca="false">I1473-H1473</f>
        <v>73.5613004762743</v>
      </c>
    </row>
    <row r="1474" customFormat="false" ht="15" hidden="false" customHeight="false" outlineLevel="0" collapsed="false">
      <c r="A1474" s="12" t="n">
        <f aca="false">Data!A1474</f>
        <v>44144</v>
      </c>
      <c r="B1474" s="14" t="n">
        <f aca="false">Data!B1474</f>
        <v>40.29</v>
      </c>
      <c r="C1474" s="0" t="str">
        <f aca="false">IF(Data!D1474="","HOLD",IF(AND(G1473&lt;&gt;"IN",Data!E1474&lt;-5),"BUY",IF(AND(G1473="IN",Data!E1474&gt;0),"SELL","HOLD")))</f>
        <v>SELL</v>
      </c>
      <c r="D1474" s="14" t="n">
        <f aca="false">IF(C1474="BUY",B1474,IF(G1473="IN",D1473,""))</f>
        <v>37.39</v>
      </c>
      <c r="E1474" s="14" t="n">
        <f aca="false">IF(C1474="SELL",B1474,"")</f>
        <v>40.29</v>
      </c>
      <c r="F1474" s="14" t="n">
        <f aca="false">IF(E1474="","",(E1474-D1474)/D1474*100)</f>
        <v>7.75608451457609</v>
      </c>
      <c r="G1474" s="0" t="str">
        <f aca="false">IF(C1474="BUY","IN",IF(C1474="SELL","OUT",IF(G1473="IN","IN","OUT")))</f>
        <v>OUT</v>
      </c>
      <c r="H1474" s="14" t="n">
        <f aca="false">H1473+IF(F1474="",0,F1474)</f>
        <v>-21.8742531016473</v>
      </c>
      <c r="I1474" s="14" t="n">
        <f aca="false">MAX(I1473,H1474)</f>
        <v>43.9309628600509</v>
      </c>
      <c r="J1474" s="14" t="n">
        <f aca="false">I1474-H1474</f>
        <v>65.8052159616982</v>
      </c>
    </row>
    <row r="1475" customFormat="false" ht="15" hidden="false" customHeight="false" outlineLevel="0" collapsed="false">
      <c r="A1475" s="12" t="n">
        <f aca="false">Data!A1475</f>
        <v>44145</v>
      </c>
      <c r="B1475" s="14" t="n">
        <f aca="false">Data!B1475</f>
        <v>41.36</v>
      </c>
      <c r="C1475" s="0" t="str">
        <f aca="false">IF(Data!D1475="","HOLD",IF(AND(G1474&lt;&gt;"IN",Data!E1475&lt;-5),"BUY",IF(AND(G1474="IN",Data!E1475&gt;0),"SELL","HOLD")))</f>
        <v>HOLD</v>
      </c>
      <c r="D1475" s="14" t="str">
        <f aca="false">IF(C1475="BUY",B1475,IF(G1474="IN",D1474,""))</f>
        <v/>
      </c>
      <c r="E1475" s="14" t="str">
        <f aca="false">IF(C1475="SELL",B1475,"")</f>
        <v/>
      </c>
      <c r="F1475" s="14" t="str">
        <f aca="false">IF(E1475="","",(E1475-D1475)/D1475*100)</f>
        <v/>
      </c>
      <c r="G1475" s="0" t="str">
        <f aca="false">IF(C1475="BUY","IN",IF(C1475="SELL","OUT",IF(G1474="IN","IN","OUT")))</f>
        <v>OUT</v>
      </c>
      <c r="H1475" s="14" t="n">
        <f aca="false">H1474+IF(F1475="",0,F1475)</f>
        <v>-21.8742531016473</v>
      </c>
      <c r="I1475" s="14" t="n">
        <f aca="false">MAX(I1474,H1475)</f>
        <v>43.9309628600509</v>
      </c>
      <c r="J1475" s="14" t="n">
        <f aca="false">I1475-H1475</f>
        <v>65.8052159616982</v>
      </c>
    </row>
    <row r="1476" customFormat="false" ht="15" hidden="false" customHeight="false" outlineLevel="0" collapsed="false">
      <c r="A1476" s="12" t="n">
        <f aca="false">Data!A1476</f>
        <v>44146</v>
      </c>
      <c r="B1476" s="14" t="n">
        <f aca="false">Data!B1476</f>
        <v>41.45</v>
      </c>
      <c r="C1476" s="0" t="str">
        <f aca="false">IF(Data!D1476="","HOLD",IF(AND(G1475&lt;&gt;"IN",Data!E1476&lt;-5),"BUY",IF(AND(G1475="IN",Data!E1476&gt;0),"SELL","HOLD")))</f>
        <v>HOLD</v>
      </c>
      <c r="D1476" s="14" t="str">
        <f aca="false">IF(C1476="BUY",B1476,IF(G1475="IN",D1475,""))</f>
        <v/>
      </c>
      <c r="E1476" s="14" t="str">
        <f aca="false">IF(C1476="SELL",B1476,"")</f>
        <v/>
      </c>
      <c r="F1476" s="14" t="str">
        <f aca="false">IF(E1476="","",(E1476-D1476)/D1476*100)</f>
        <v/>
      </c>
      <c r="G1476" s="0" t="str">
        <f aca="false">IF(C1476="BUY","IN",IF(C1476="SELL","OUT",IF(G1475="IN","IN","OUT")))</f>
        <v>OUT</v>
      </c>
      <c r="H1476" s="14" t="n">
        <f aca="false">H1475+IF(F1476="",0,F1476)</f>
        <v>-21.8742531016473</v>
      </c>
      <c r="I1476" s="14" t="n">
        <f aca="false">MAX(I1475,H1476)</f>
        <v>43.9309628600509</v>
      </c>
      <c r="J1476" s="14" t="n">
        <f aca="false">I1476-H1476</f>
        <v>65.8052159616982</v>
      </c>
    </row>
    <row r="1477" customFormat="false" ht="15" hidden="false" customHeight="false" outlineLevel="0" collapsed="false">
      <c r="A1477" s="12" t="n">
        <f aca="false">Data!A1477</f>
        <v>44147</v>
      </c>
      <c r="B1477" s="14" t="n">
        <f aca="false">Data!B1477</f>
        <v>41.12</v>
      </c>
      <c r="C1477" s="0" t="str">
        <f aca="false">IF(Data!D1477="","HOLD",IF(AND(G1476&lt;&gt;"IN",Data!E1477&lt;-5),"BUY",IF(AND(G1476="IN",Data!E1477&gt;0),"SELL","HOLD")))</f>
        <v>HOLD</v>
      </c>
      <c r="D1477" s="14" t="str">
        <f aca="false">IF(C1477="BUY",B1477,IF(G1476="IN",D1476,""))</f>
        <v/>
      </c>
      <c r="E1477" s="14" t="str">
        <f aca="false">IF(C1477="SELL",B1477,"")</f>
        <v/>
      </c>
      <c r="F1477" s="14" t="str">
        <f aca="false">IF(E1477="","",(E1477-D1477)/D1477*100)</f>
        <v/>
      </c>
      <c r="G1477" s="0" t="str">
        <f aca="false">IF(C1477="BUY","IN",IF(C1477="SELL","OUT",IF(G1476="IN","IN","OUT")))</f>
        <v>OUT</v>
      </c>
      <c r="H1477" s="14" t="n">
        <f aca="false">H1476+IF(F1477="",0,F1477)</f>
        <v>-21.8742531016473</v>
      </c>
      <c r="I1477" s="14" t="n">
        <f aca="false">MAX(I1476,H1477)</f>
        <v>43.9309628600509</v>
      </c>
      <c r="J1477" s="14" t="n">
        <f aca="false">I1477-H1477</f>
        <v>65.8052159616982</v>
      </c>
    </row>
    <row r="1478" customFormat="false" ht="15" hidden="false" customHeight="false" outlineLevel="0" collapsed="false">
      <c r="A1478" s="12" t="n">
        <f aca="false">Data!A1478</f>
        <v>44148</v>
      </c>
      <c r="B1478" s="14" t="n">
        <f aca="false">Data!B1478</f>
        <v>40.13</v>
      </c>
      <c r="C1478" s="0" t="str">
        <f aca="false">IF(Data!D1478="","HOLD",IF(AND(G1477&lt;&gt;"IN",Data!E1478&lt;-5),"BUY",IF(AND(G1477="IN",Data!E1478&gt;0),"SELL","HOLD")))</f>
        <v>HOLD</v>
      </c>
      <c r="D1478" s="14" t="str">
        <f aca="false">IF(C1478="BUY",B1478,IF(G1477="IN",D1477,""))</f>
        <v/>
      </c>
      <c r="E1478" s="14" t="str">
        <f aca="false">IF(C1478="SELL",B1478,"")</f>
        <v/>
      </c>
      <c r="F1478" s="14" t="str">
        <f aca="false">IF(E1478="","",(E1478-D1478)/D1478*100)</f>
        <v/>
      </c>
      <c r="G1478" s="0" t="str">
        <f aca="false">IF(C1478="BUY","IN",IF(C1478="SELL","OUT",IF(G1477="IN","IN","OUT")))</f>
        <v>OUT</v>
      </c>
      <c r="H1478" s="14" t="n">
        <f aca="false">H1477+IF(F1478="",0,F1478)</f>
        <v>-21.8742531016473</v>
      </c>
      <c r="I1478" s="14" t="n">
        <f aca="false">MAX(I1477,H1478)</f>
        <v>43.9309628600509</v>
      </c>
      <c r="J1478" s="14" t="n">
        <f aca="false">I1478-H1478</f>
        <v>65.8052159616982</v>
      </c>
    </row>
    <row r="1479" customFormat="false" ht="15" hidden="false" customHeight="false" outlineLevel="0" collapsed="false">
      <c r="A1479" s="12" t="n">
        <f aca="false">Data!A1479</f>
        <v>44151</v>
      </c>
      <c r="B1479" s="14" t="n">
        <f aca="false">Data!B1479</f>
        <v>41.34</v>
      </c>
      <c r="C1479" s="0" t="str">
        <f aca="false">IF(Data!D1479="","HOLD",IF(AND(G1478&lt;&gt;"IN",Data!E1479&lt;-5),"BUY",IF(AND(G1478="IN",Data!E1479&gt;0),"SELL","HOLD")))</f>
        <v>HOLD</v>
      </c>
      <c r="D1479" s="14" t="str">
        <f aca="false">IF(C1479="BUY",B1479,IF(G1478="IN",D1478,""))</f>
        <v/>
      </c>
      <c r="E1479" s="14" t="str">
        <f aca="false">IF(C1479="SELL",B1479,"")</f>
        <v/>
      </c>
      <c r="F1479" s="14" t="str">
        <f aca="false">IF(E1479="","",(E1479-D1479)/D1479*100)</f>
        <v/>
      </c>
      <c r="G1479" s="0" t="str">
        <f aca="false">IF(C1479="BUY","IN",IF(C1479="SELL","OUT",IF(G1478="IN","IN","OUT")))</f>
        <v>OUT</v>
      </c>
      <c r="H1479" s="14" t="n">
        <f aca="false">H1478+IF(F1479="",0,F1479)</f>
        <v>-21.8742531016473</v>
      </c>
      <c r="I1479" s="14" t="n">
        <f aca="false">MAX(I1478,H1479)</f>
        <v>43.9309628600509</v>
      </c>
      <c r="J1479" s="14" t="n">
        <f aca="false">I1479-H1479</f>
        <v>65.8052159616982</v>
      </c>
    </row>
    <row r="1480" customFormat="false" ht="15" hidden="false" customHeight="false" outlineLevel="0" collapsed="false">
      <c r="A1480" s="12" t="n">
        <f aca="false">Data!A1480</f>
        <v>44152</v>
      </c>
      <c r="B1480" s="14" t="n">
        <f aca="false">Data!B1480</f>
        <v>41.43</v>
      </c>
      <c r="C1480" s="0" t="str">
        <f aca="false">IF(Data!D1480="","HOLD",IF(AND(G1479&lt;&gt;"IN",Data!E1480&lt;-5),"BUY",IF(AND(G1479="IN",Data!E1480&gt;0),"SELL","HOLD")))</f>
        <v>HOLD</v>
      </c>
      <c r="D1480" s="14" t="str">
        <f aca="false">IF(C1480="BUY",B1480,IF(G1479="IN",D1479,""))</f>
        <v/>
      </c>
      <c r="E1480" s="14" t="str">
        <f aca="false">IF(C1480="SELL",B1480,"")</f>
        <v/>
      </c>
      <c r="F1480" s="14" t="str">
        <f aca="false">IF(E1480="","",(E1480-D1480)/D1480*100)</f>
        <v/>
      </c>
      <c r="G1480" s="0" t="str">
        <f aca="false">IF(C1480="BUY","IN",IF(C1480="SELL","OUT",IF(G1479="IN","IN","OUT")))</f>
        <v>OUT</v>
      </c>
      <c r="H1480" s="14" t="n">
        <f aca="false">H1479+IF(F1480="",0,F1480)</f>
        <v>-21.8742531016473</v>
      </c>
      <c r="I1480" s="14" t="n">
        <f aca="false">MAX(I1479,H1480)</f>
        <v>43.9309628600509</v>
      </c>
      <c r="J1480" s="14" t="n">
        <f aca="false">I1480-H1480</f>
        <v>65.8052159616982</v>
      </c>
    </row>
    <row r="1481" customFormat="false" ht="15" hidden="false" customHeight="false" outlineLevel="0" collapsed="false">
      <c r="A1481" s="12" t="n">
        <f aca="false">Data!A1481</f>
        <v>44153</v>
      </c>
      <c r="B1481" s="14" t="n">
        <f aca="false">Data!B1481</f>
        <v>41.82</v>
      </c>
      <c r="C1481" s="0" t="str">
        <f aca="false">IF(Data!D1481="","HOLD",IF(AND(G1480&lt;&gt;"IN",Data!E1481&lt;-5),"BUY",IF(AND(G1480="IN",Data!E1481&gt;0),"SELL","HOLD")))</f>
        <v>HOLD</v>
      </c>
      <c r="D1481" s="14" t="str">
        <f aca="false">IF(C1481="BUY",B1481,IF(G1480="IN",D1480,""))</f>
        <v/>
      </c>
      <c r="E1481" s="14" t="str">
        <f aca="false">IF(C1481="SELL",B1481,"")</f>
        <v/>
      </c>
      <c r="F1481" s="14" t="str">
        <f aca="false">IF(E1481="","",(E1481-D1481)/D1481*100)</f>
        <v/>
      </c>
      <c r="G1481" s="0" t="str">
        <f aca="false">IF(C1481="BUY","IN",IF(C1481="SELL","OUT",IF(G1480="IN","IN","OUT")))</f>
        <v>OUT</v>
      </c>
      <c r="H1481" s="14" t="n">
        <f aca="false">H1480+IF(F1481="",0,F1481)</f>
        <v>-21.8742531016473</v>
      </c>
      <c r="I1481" s="14" t="n">
        <f aca="false">MAX(I1480,H1481)</f>
        <v>43.9309628600509</v>
      </c>
      <c r="J1481" s="14" t="n">
        <f aca="false">I1481-H1481</f>
        <v>65.8052159616982</v>
      </c>
    </row>
    <row r="1482" customFormat="false" ht="15" hidden="false" customHeight="false" outlineLevel="0" collapsed="false">
      <c r="A1482" s="12" t="n">
        <f aca="false">Data!A1482</f>
        <v>44154</v>
      </c>
      <c r="B1482" s="14" t="n">
        <f aca="false">Data!B1482</f>
        <v>41.74</v>
      </c>
      <c r="C1482" s="0" t="str">
        <f aca="false">IF(Data!D1482="","HOLD",IF(AND(G1481&lt;&gt;"IN",Data!E1482&lt;-5),"BUY",IF(AND(G1481="IN",Data!E1482&gt;0),"SELL","HOLD")))</f>
        <v>HOLD</v>
      </c>
      <c r="D1482" s="14" t="str">
        <f aca="false">IF(C1482="BUY",B1482,IF(G1481="IN",D1481,""))</f>
        <v/>
      </c>
      <c r="E1482" s="14" t="str">
        <f aca="false">IF(C1482="SELL",B1482,"")</f>
        <v/>
      </c>
      <c r="F1482" s="14" t="str">
        <f aca="false">IF(E1482="","",(E1482-D1482)/D1482*100)</f>
        <v/>
      </c>
      <c r="G1482" s="0" t="str">
        <f aca="false">IF(C1482="BUY","IN",IF(C1482="SELL","OUT",IF(G1481="IN","IN","OUT")))</f>
        <v>OUT</v>
      </c>
      <c r="H1482" s="14" t="n">
        <f aca="false">H1481+IF(F1482="",0,F1482)</f>
        <v>-21.8742531016473</v>
      </c>
      <c r="I1482" s="14" t="n">
        <f aca="false">MAX(I1481,H1482)</f>
        <v>43.9309628600509</v>
      </c>
      <c r="J1482" s="14" t="n">
        <f aca="false">I1482-H1482</f>
        <v>65.8052159616982</v>
      </c>
    </row>
    <row r="1483" customFormat="false" ht="15" hidden="false" customHeight="false" outlineLevel="0" collapsed="false">
      <c r="A1483" s="12" t="n">
        <f aca="false">Data!A1483</f>
        <v>44155</v>
      </c>
      <c r="B1483" s="14" t="n">
        <f aca="false">Data!B1483</f>
        <v>42.15</v>
      </c>
      <c r="C1483" s="0" t="str">
        <f aca="false">IF(Data!D1483="","HOLD",IF(AND(G1482&lt;&gt;"IN",Data!E1483&lt;-5),"BUY",IF(AND(G1482="IN",Data!E1483&gt;0),"SELL","HOLD")))</f>
        <v>HOLD</v>
      </c>
      <c r="D1483" s="14" t="str">
        <f aca="false">IF(C1483="BUY",B1483,IF(G1482="IN",D1482,""))</f>
        <v/>
      </c>
      <c r="E1483" s="14" t="str">
        <f aca="false">IF(C1483="SELL",B1483,"")</f>
        <v/>
      </c>
      <c r="F1483" s="14" t="str">
        <f aca="false">IF(E1483="","",(E1483-D1483)/D1483*100)</f>
        <v/>
      </c>
      <c r="G1483" s="0" t="str">
        <f aca="false">IF(C1483="BUY","IN",IF(C1483="SELL","OUT",IF(G1482="IN","IN","OUT")))</f>
        <v>OUT</v>
      </c>
      <c r="H1483" s="14" t="n">
        <f aca="false">H1482+IF(F1483="",0,F1483)</f>
        <v>-21.8742531016473</v>
      </c>
      <c r="I1483" s="14" t="n">
        <f aca="false">MAX(I1482,H1483)</f>
        <v>43.9309628600509</v>
      </c>
      <c r="J1483" s="14" t="n">
        <f aca="false">I1483-H1483</f>
        <v>65.8052159616982</v>
      </c>
    </row>
    <row r="1484" customFormat="false" ht="15" hidden="false" customHeight="false" outlineLevel="0" collapsed="false">
      <c r="A1484" s="12" t="n">
        <f aca="false">Data!A1484</f>
        <v>44158</v>
      </c>
      <c r="B1484" s="14" t="n">
        <f aca="false">Data!B1484</f>
        <v>43.06</v>
      </c>
      <c r="C1484" s="0" t="str">
        <f aca="false">IF(Data!D1484="","HOLD",IF(AND(G1483&lt;&gt;"IN",Data!E1484&lt;-5),"BUY",IF(AND(G1483="IN",Data!E1484&gt;0),"SELL","HOLD")))</f>
        <v>HOLD</v>
      </c>
      <c r="D1484" s="14" t="str">
        <f aca="false">IF(C1484="BUY",B1484,IF(G1483="IN",D1483,""))</f>
        <v/>
      </c>
      <c r="E1484" s="14" t="str">
        <f aca="false">IF(C1484="SELL",B1484,"")</f>
        <v/>
      </c>
      <c r="F1484" s="14" t="str">
        <f aca="false">IF(E1484="","",(E1484-D1484)/D1484*100)</f>
        <v/>
      </c>
      <c r="G1484" s="0" t="str">
        <f aca="false">IF(C1484="BUY","IN",IF(C1484="SELL","OUT",IF(G1483="IN","IN","OUT")))</f>
        <v>OUT</v>
      </c>
      <c r="H1484" s="14" t="n">
        <f aca="false">H1483+IF(F1484="",0,F1484)</f>
        <v>-21.8742531016473</v>
      </c>
      <c r="I1484" s="14" t="n">
        <f aca="false">MAX(I1483,H1484)</f>
        <v>43.9309628600509</v>
      </c>
      <c r="J1484" s="14" t="n">
        <f aca="false">I1484-H1484</f>
        <v>65.8052159616982</v>
      </c>
    </row>
    <row r="1485" customFormat="false" ht="15" hidden="false" customHeight="false" outlineLevel="0" collapsed="false">
      <c r="A1485" s="12" t="n">
        <f aca="false">Data!A1485</f>
        <v>44159</v>
      </c>
      <c r="B1485" s="14" t="n">
        <f aca="false">Data!B1485</f>
        <v>44.91</v>
      </c>
      <c r="C1485" s="0" t="str">
        <f aca="false">IF(Data!D1485="","HOLD",IF(AND(G1484&lt;&gt;"IN",Data!E1485&lt;-5),"BUY",IF(AND(G1484="IN",Data!E1485&gt;0),"SELL","HOLD")))</f>
        <v>HOLD</v>
      </c>
      <c r="D1485" s="14" t="str">
        <f aca="false">IF(C1485="BUY",B1485,IF(G1484="IN",D1484,""))</f>
        <v/>
      </c>
      <c r="E1485" s="14" t="str">
        <f aca="false">IF(C1485="SELL",B1485,"")</f>
        <v/>
      </c>
      <c r="F1485" s="14" t="str">
        <f aca="false">IF(E1485="","",(E1485-D1485)/D1485*100)</f>
        <v/>
      </c>
      <c r="G1485" s="0" t="str">
        <f aca="false">IF(C1485="BUY","IN",IF(C1485="SELL","OUT",IF(G1484="IN","IN","OUT")))</f>
        <v>OUT</v>
      </c>
      <c r="H1485" s="14" t="n">
        <f aca="false">H1484+IF(F1485="",0,F1485)</f>
        <v>-21.8742531016473</v>
      </c>
      <c r="I1485" s="14" t="n">
        <f aca="false">MAX(I1484,H1485)</f>
        <v>43.9309628600509</v>
      </c>
      <c r="J1485" s="14" t="n">
        <f aca="false">I1485-H1485</f>
        <v>65.8052159616982</v>
      </c>
    </row>
    <row r="1486" customFormat="false" ht="15" hidden="false" customHeight="false" outlineLevel="0" collapsed="false">
      <c r="A1486" s="12" t="n">
        <f aca="false">Data!A1486</f>
        <v>44160</v>
      </c>
      <c r="B1486" s="14" t="n">
        <f aca="false">Data!B1486</f>
        <v>45.71</v>
      </c>
      <c r="C1486" s="0" t="str">
        <f aca="false">IF(Data!D1486="","HOLD",IF(AND(G1485&lt;&gt;"IN",Data!E1486&lt;-5),"BUY",IF(AND(G1485="IN",Data!E1486&gt;0),"SELL","HOLD")))</f>
        <v>HOLD</v>
      </c>
      <c r="D1486" s="14" t="str">
        <f aca="false">IF(C1486="BUY",B1486,IF(G1485="IN",D1485,""))</f>
        <v/>
      </c>
      <c r="E1486" s="14" t="str">
        <f aca="false">IF(C1486="SELL",B1486,"")</f>
        <v/>
      </c>
      <c r="F1486" s="14" t="str">
        <f aca="false">IF(E1486="","",(E1486-D1486)/D1486*100)</f>
        <v/>
      </c>
      <c r="G1486" s="0" t="str">
        <f aca="false">IF(C1486="BUY","IN",IF(C1486="SELL","OUT",IF(G1485="IN","IN","OUT")))</f>
        <v>OUT</v>
      </c>
      <c r="H1486" s="14" t="n">
        <f aca="false">H1485+IF(F1486="",0,F1486)</f>
        <v>-21.8742531016473</v>
      </c>
      <c r="I1486" s="14" t="n">
        <f aca="false">MAX(I1485,H1486)</f>
        <v>43.9309628600509</v>
      </c>
      <c r="J1486" s="14" t="n">
        <f aca="false">I1486-H1486</f>
        <v>65.8052159616982</v>
      </c>
    </row>
    <row r="1487" customFormat="false" ht="15" hidden="false" customHeight="false" outlineLevel="0" collapsed="false">
      <c r="A1487" s="12" t="n">
        <f aca="false">Data!A1487</f>
        <v>44162</v>
      </c>
      <c r="B1487" s="14" t="n">
        <f aca="false">Data!B1487</f>
        <v>45.53</v>
      </c>
      <c r="C1487" s="0" t="str">
        <f aca="false">IF(Data!D1487="","HOLD",IF(AND(G1486&lt;&gt;"IN",Data!E1487&lt;-5),"BUY",IF(AND(G1486="IN",Data!E1487&gt;0),"SELL","HOLD")))</f>
        <v>HOLD</v>
      </c>
      <c r="D1487" s="14" t="str">
        <f aca="false">IF(C1487="BUY",B1487,IF(G1486="IN",D1486,""))</f>
        <v/>
      </c>
      <c r="E1487" s="14" t="str">
        <f aca="false">IF(C1487="SELL",B1487,"")</f>
        <v/>
      </c>
      <c r="F1487" s="14" t="str">
        <f aca="false">IF(E1487="","",(E1487-D1487)/D1487*100)</f>
        <v/>
      </c>
      <c r="G1487" s="0" t="str">
        <f aca="false">IF(C1487="BUY","IN",IF(C1487="SELL","OUT",IF(G1486="IN","IN","OUT")))</f>
        <v>OUT</v>
      </c>
      <c r="H1487" s="14" t="n">
        <f aca="false">H1486+IF(F1487="",0,F1487)</f>
        <v>-21.8742531016473</v>
      </c>
      <c r="I1487" s="14" t="n">
        <f aca="false">MAX(I1486,H1487)</f>
        <v>43.9309628600509</v>
      </c>
      <c r="J1487" s="14" t="n">
        <f aca="false">I1487-H1487</f>
        <v>65.8052159616982</v>
      </c>
    </row>
    <row r="1488" customFormat="false" ht="15" hidden="false" customHeight="false" outlineLevel="0" collapsed="false">
      <c r="A1488" s="12" t="n">
        <f aca="false">Data!A1488</f>
        <v>44165</v>
      </c>
      <c r="B1488" s="14" t="n">
        <f aca="false">Data!B1488</f>
        <v>45.34</v>
      </c>
      <c r="C1488" s="0" t="str">
        <f aca="false">IF(Data!D1488="","HOLD",IF(AND(G1487&lt;&gt;"IN",Data!E1488&lt;-5),"BUY",IF(AND(G1487="IN",Data!E1488&gt;0),"SELL","HOLD")))</f>
        <v>HOLD</v>
      </c>
      <c r="D1488" s="14" t="str">
        <f aca="false">IF(C1488="BUY",B1488,IF(G1487="IN",D1487,""))</f>
        <v/>
      </c>
      <c r="E1488" s="14" t="str">
        <f aca="false">IF(C1488="SELL",B1488,"")</f>
        <v/>
      </c>
      <c r="F1488" s="14" t="str">
        <f aca="false">IF(E1488="","",(E1488-D1488)/D1488*100)</f>
        <v/>
      </c>
      <c r="G1488" s="0" t="str">
        <f aca="false">IF(C1488="BUY","IN",IF(C1488="SELL","OUT",IF(G1487="IN","IN","OUT")))</f>
        <v>OUT</v>
      </c>
      <c r="H1488" s="14" t="n">
        <f aca="false">H1487+IF(F1488="",0,F1488)</f>
        <v>-21.8742531016473</v>
      </c>
      <c r="I1488" s="14" t="n">
        <f aca="false">MAX(I1487,H1488)</f>
        <v>43.9309628600509</v>
      </c>
      <c r="J1488" s="14" t="n">
        <f aca="false">I1488-H1488</f>
        <v>65.8052159616982</v>
      </c>
    </row>
    <row r="1489" customFormat="false" ht="15" hidden="false" customHeight="false" outlineLevel="0" collapsed="false">
      <c r="A1489" s="12" t="n">
        <f aca="false">Data!A1489</f>
        <v>44166</v>
      </c>
      <c r="B1489" s="14" t="n">
        <f aca="false">Data!B1489</f>
        <v>44.55</v>
      </c>
      <c r="C1489" s="0" t="str">
        <f aca="false">IF(Data!D1489="","HOLD",IF(AND(G1488&lt;&gt;"IN",Data!E1489&lt;-5),"BUY",IF(AND(G1488="IN",Data!E1489&gt;0),"SELL","HOLD")))</f>
        <v>HOLD</v>
      </c>
      <c r="D1489" s="14" t="str">
        <f aca="false">IF(C1489="BUY",B1489,IF(G1488="IN",D1488,""))</f>
        <v/>
      </c>
      <c r="E1489" s="14" t="str">
        <f aca="false">IF(C1489="SELL",B1489,"")</f>
        <v/>
      </c>
      <c r="F1489" s="14" t="str">
        <f aca="false">IF(E1489="","",(E1489-D1489)/D1489*100)</f>
        <v/>
      </c>
      <c r="G1489" s="0" t="str">
        <f aca="false">IF(C1489="BUY","IN",IF(C1489="SELL","OUT",IF(G1488="IN","IN","OUT")))</f>
        <v>OUT</v>
      </c>
      <c r="H1489" s="14" t="n">
        <f aca="false">H1488+IF(F1489="",0,F1489)</f>
        <v>-21.8742531016473</v>
      </c>
      <c r="I1489" s="14" t="n">
        <f aca="false">MAX(I1488,H1489)</f>
        <v>43.9309628600509</v>
      </c>
      <c r="J1489" s="14" t="n">
        <f aca="false">I1489-H1489</f>
        <v>65.8052159616982</v>
      </c>
    </row>
    <row r="1490" customFormat="false" ht="15" hidden="false" customHeight="false" outlineLevel="0" collapsed="false">
      <c r="A1490" s="12" t="n">
        <f aca="false">Data!A1490</f>
        <v>44167</v>
      </c>
      <c r="B1490" s="14" t="n">
        <f aca="false">Data!B1490</f>
        <v>45.28</v>
      </c>
      <c r="C1490" s="0" t="str">
        <f aca="false">IF(Data!D1490="","HOLD",IF(AND(G1489&lt;&gt;"IN",Data!E1490&lt;-5),"BUY",IF(AND(G1489="IN",Data!E1490&gt;0),"SELL","HOLD")))</f>
        <v>HOLD</v>
      </c>
      <c r="D1490" s="14" t="str">
        <f aca="false">IF(C1490="BUY",B1490,IF(G1489="IN",D1489,""))</f>
        <v/>
      </c>
      <c r="E1490" s="14" t="str">
        <f aca="false">IF(C1490="SELL",B1490,"")</f>
        <v/>
      </c>
      <c r="F1490" s="14" t="str">
        <f aca="false">IF(E1490="","",(E1490-D1490)/D1490*100)</f>
        <v/>
      </c>
      <c r="G1490" s="0" t="str">
        <f aca="false">IF(C1490="BUY","IN",IF(C1490="SELL","OUT",IF(G1489="IN","IN","OUT")))</f>
        <v>OUT</v>
      </c>
      <c r="H1490" s="14" t="n">
        <f aca="false">H1489+IF(F1490="",0,F1490)</f>
        <v>-21.8742531016473</v>
      </c>
      <c r="I1490" s="14" t="n">
        <f aca="false">MAX(I1489,H1490)</f>
        <v>43.9309628600509</v>
      </c>
      <c r="J1490" s="14" t="n">
        <f aca="false">I1490-H1490</f>
        <v>65.8052159616982</v>
      </c>
    </row>
    <row r="1491" customFormat="false" ht="15" hidden="false" customHeight="false" outlineLevel="0" collapsed="false">
      <c r="A1491" s="12" t="n">
        <f aca="false">Data!A1491</f>
        <v>44168</v>
      </c>
      <c r="B1491" s="14" t="n">
        <f aca="false">Data!B1491</f>
        <v>45.64</v>
      </c>
      <c r="C1491" s="0" t="str">
        <f aca="false">IF(Data!D1491="","HOLD",IF(AND(G1490&lt;&gt;"IN",Data!E1491&lt;-5),"BUY",IF(AND(G1490="IN",Data!E1491&gt;0),"SELL","HOLD")))</f>
        <v>HOLD</v>
      </c>
      <c r="D1491" s="14" t="str">
        <f aca="false">IF(C1491="BUY",B1491,IF(G1490="IN",D1490,""))</f>
        <v/>
      </c>
      <c r="E1491" s="14" t="str">
        <f aca="false">IF(C1491="SELL",B1491,"")</f>
        <v/>
      </c>
      <c r="F1491" s="14" t="str">
        <f aca="false">IF(E1491="","",(E1491-D1491)/D1491*100)</f>
        <v/>
      </c>
      <c r="G1491" s="0" t="str">
        <f aca="false">IF(C1491="BUY","IN",IF(C1491="SELL","OUT",IF(G1490="IN","IN","OUT")))</f>
        <v>OUT</v>
      </c>
      <c r="H1491" s="14" t="n">
        <f aca="false">H1490+IF(F1491="",0,F1491)</f>
        <v>-21.8742531016473</v>
      </c>
      <c r="I1491" s="14" t="n">
        <f aca="false">MAX(I1490,H1491)</f>
        <v>43.9309628600509</v>
      </c>
      <c r="J1491" s="14" t="n">
        <f aca="false">I1491-H1491</f>
        <v>65.8052159616982</v>
      </c>
    </row>
    <row r="1492" customFormat="false" ht="15" hidden="false" customHeight="false" outlineLevel="0" collapsed="false">
      <c r="A1492" s="12" t="n">
        <f aca="false">Data!A1492</f>
        <v>44169</v>
      </c>
      <c r="B1492" s="14" t="n">
        <f aca="false">Data!B1492</f>
        <v>46.26</v>
      </c>
      <c r="C1492" s="0" t="str">
        <f aca="false">IF(Data!D1492="","HOLD",IF(AND(G1491&lt;&gt;"IN",Data!E1492&lt;-5),"BUY",IF(AND(G1491="IN",Data!E1492&gt;0),"SELL","HOLD")))</f>
        <v>HOLD</v>
      </c>
      <c r="D1492" s="14" t="str">
        <f aca="false">IF(C1492="BUY",B1492,IF(G1491="IN",D1491,""))</f>
        <v/>
      </c>
      <c r="E1492" s="14" t="str">
        <f aca="false">IF(C1492="SELL",B1492,"")</f>
        <v/>
      </c>
      <c r="F1492" s="14" t="str">
        <f aca="false">IF(E1492="","",(E1492-D1492)/D1492*100)</f>
        <v/>
      </c>
      <c r="G1492" s="0" t="str">
        <f aca="false">IF(C1492="BUY","IN",IF(C1492="SELL","OUT",IF(G1491="IN","IN","OUT")))</f>
        <v>OUT</v>
      </c>
      <c r="H1492" s="14" t="n">
        <f aca="false">H1491+IF(F1492="",0,F1492)</f>
        <v>-21.8742531016473</v>
      </c>
      <c r="I1492" s="14" t="n">
        <f aca="false">MAX(I1491,H1492)</f>
        <v>43.9309628600509</v>
      </c>
      <c r="J1492" s="14" t="n">
        <f aca="false">I1492-H1492</f>
        <v>65.8052159616982</v>
      </c>
    </row>
    <row r="1493" customFormat="false" ht="15" hidden="false" customHeight="false" outlineLevel="0" collapsed="false">
      <c r="A1493" s="12" t="n">
        <f aca="false">Data!A1493</f>
        <v>44172</v>
      </c>
      <c r="B1493" s="14" t="n">
        <f aca="false">Data!B1493</f>
        <v>45.76</v>
      </c>
      <c r="C1493" s="0" t="str">
        <f aca="false">IF(Data!D1493="","HOLD",IF(AND(G1492&lt;&gt;"IN",Data!E1493&lt;-5),"BUY",IF(AND(G1492="IN",Data!E1493&gt;0),"SELL","HOLD")))</f>
        <v>HOLD</v>
      </c>
      <c r="D1493" s="14" t="str">
        <f aca="false">IF(C1493="BUY",B1493,IF(G1492="IN",D1492,""))</f>
        <v/>
      </c>
      <c r="E1493" s="14" t="str">
        <f aca="false">IF(C1493="SELL",B1493,"")</f>
        <v/>
      </c>
      <c r="F1493" s="14" t="str">
        <f aca="false">IF(E1493="","",(E1493-D1493)/D1493*100)</f>
        <v/>
      </c>
      <c r="G1493" s="0" t="str">
        <f aca="false">IF(C1493="BUY","IN",IF(C1493="SELL","OUT",IF(G1492="IN","IN","OUT")))</f>
        <v>OUT</v>
      </c>
      <c r="H1493" s="14" t="n">
        <f aca="false">H1492+IF(F1493="",0,F1493)</f>
        <v>-21.8742531016473</v>
      </c>
      <c r="I1493" s="14" t="n">
        <f aca="false">MAX(I1492,H1493)</f>
        <v>43.9309628600509</v>
      </c>
      <c r="J1493" s="14" t="n">
        <f aca="false">I1493-H1493</f>
        <v>65.8052159616982</v>
      </c>
    </row>
    <row r="1494" customFormat="false" ht="15" hidden="false" customHeight="false" outlineLevel="0" collapsed="false">
      <c r="A1494" s="12" t="n">
        <f aca="false">Data!A1494</f>
        <v>44173</v>
      </c>
      <c r="B1494" s="14" t="n">
        <f aca="false">Data!B1494</f>
        <v>45.6</v>
      </c>
      <c r="C1494" s="0" t="str">
        <f aca="false">IF(Data!D1494="","HOLD",IF(AND(G1493&lt;&gt;"IN",Data!E1494&lt;-5),"BUY",IF(AND(G1493="IN",Data!E1494&gt;0),"SELL","HOLD")))</f>
        <v>HOLD</v>
      </c>
      <c r="D1494" s="14" t="str">
        <f aca="false">IF(C1494="BUY",B1494,IF(G1493="IN",D1493,""))</f>
        <v/>
      </c>
      <c r="E1494" s="14" t="str">
        <f aca="false">IF(C1494="SELL",B1494,"")</f>
        <v/>
      </c>
      <c r="F1494" s="14" t="str">
        <f aca="false">IF(E1494="","",(E1494-D1494)/D1494*100)</f>
        <v/>
      </c>
      <c r="G1494" s="0" t="str">
        <f aca="false">IF(C1494="BUY","IN",IF(C1494="SELL","OUT",IF(G1493="IN","IN","OUT")))</f>
        <v>OUT</v>
      </c>
      <c r="H1494" s="14" t="n">
        <f aca="false">H1493+IF(F1494="",0,F1494)</f>
        <v>-21.8742531016473</v>
      </c>
      <c r="I1494" s="14" t="n">
        <f aca="false">MAX(I1493,H1494)</f>
        <v>43.9309628600509</v>
      </c>
      <c r="J1494" s="14" t="n">
        <f aca="false">I1494-H1494</f>
        <v>65.8052159616982</v>
      </c>
    </row>
    <row r="1495" customFormat="false" ht="15" hidden="false" customHeight="false" outlineLevel="0" collapsed="false">
      <c r="A1495" s="12" t="n">
        <f aca="false">Data!A1495</f>
        <v>44174</v>
      </c>
      <c r="B1495" s="14" t="n">
        <f aca="false">Data!B1495</f>
        <v>45.52</v>
      </c>
      <c r="C1495" s="0" t="str">
        <f aca="false">IF(Data!D1495="","HOLD",IF(AND(G1494&lt;&gt;"IN",Data!E1495&lt;-5),"BUY",IF(AND(G1494="IN",Data!E1495&gt;0),"SELL","HOLD")))</f>
        <v>HOLD</v>
      </c>
      <c r="D1495" s="14" t="str">
        <f aca="false">IF(C1495="BUY",B1495,IF(G1494="IN",D1494,""))</f>
        <v/>
      </c>
      <c r="E1495" s="14" t="str">
        <f aca="false">IF(C1495="SELL",B1495,"")</f>
        <v/>
      </c>
      <c r="F1495" s="14" t="str">
        <f aca="false">IF(E1495="","",(E1495-D1495)/D1495*100)</f>
        <v/>
      </c>
      <c r="G1495" s="0" t="str">
        <f aca="false">IF(C1495="BUY","IN",IF(C1495="SELL","OUT",IF(G1494="IN","IN","OUT")))</f>
        <v>OUT</v>
      </c>
      <c r="H1495" s="14" t="n">
        <f aca="false">H1494+IF(F1495="",0,F1495)</f>
        <v>-21.8742531016473</v>
      </c>
      <c r="I1495" s="14" t="n">
        <f aca="false">MAX(I1494,H1495)</f>
        <v>43.9309628600509</v>
      </c>
      <c r="J1495" s="14" t="n">
        <f aca="false">I1495-H1495</f>
        <v>65.8052159616982</v>
      </c>
    </row>
    <row r="1496" customFormat="false" ht="15" hidden="false" customHeight="false" outlineLevel="0" collapsed="false">
      <c r="A1496" s="12" t="n">
        <f aca="false">Data!A1496</f>
        <v>44175</v>
      </c>
      <c r="B1496" s="14" t="n">
        <f aca="false">Data!B1496</f>
        <v>46.78</v>
      </c>
      <c r="C1496" s="0" t="str">
        <f aca="false">IF(Data!D1496="","HOLD",IF(AND(G1495&lt;&gt;"IN",Data!E1496&lt;-5),"BUY",IF(AND(G1495="IN",Data!E1496&gt;0),"SELL","HOLD")))</f>
        <v>HOLD</v>
      </c>
      <c r="D1496" s="14" t="str">
        <f aca="false">IF(C1496="BUY",B1496,IF(G1495="IN",D1495,""))</f>
        <v/>
      </c>
      <c r="E1496" s="14" t="str">
        <f aca="false">IF(C1496="SELL",B1496,"")</f>
        <v/>
      </c>
      <c r="F1496" s="14" t="str">
        <f aca="false">IF(E1496="","",(E1496-D1496)/D1496*100)</f>
        <v/>
      </c>
      <c r="G1496" s="0" t="str">
        <f aca="false">IF(C1496="BUY","IN",IF(C1496="SELL","OUT",IF(G1495="IN","IN","OUT")))</f>
        <v>OUT</v>
      </c>
      <c r="H1496" s="14" t="n">
        <f aca="false">H1495+IF(F1496="",0,F1496)</f>
        <v>-21.8742531016473</v>
      </c>
      <c r="I1496" s="14" t="n">
        <f aca="false">MAX(I1495,H1496)</f>
        <v>43.9309628600509</v>
      </c>
      <c r="J1496" s="14" t="n">
        <f aca="false">I1496-H1496</f>
        <v>65.8052159616982</v>
      </c>
    </row>
    <row r="1497" customFormat="false" ht="15" hidden="false" customHeight="false" outlineLevel="0" collapsed="false">
      <c r="A1497" s="12" t="n">
        <f aca="false">Data!A1497</f>
        <v>44176</v>
      </c>
      <c r="B1497" s="14" t="n">
        <f aca="false">Data!B1497</f>
        <v>46.57</v>
      </c>
      <c r="C1497" s="0" t="str">
        <f aca="false">IF(Data!D1497="","HOLD",IF(AND(G1496&lt;&gt;"IN",Data!E1497&lt;-5),"BUY",IF(AND(G1496="IN",Data!E1497&gt;0),"SELL","HOLD")))</f>
        <v>HOLD</v>
      </c>
      <c r="D1497" s="14" t="str">
        <f aca="false">IF(C1497="BUY",B1497,IF(G1496="IN",D1496,""))</f>
        <v/>
      </c>
      <c r="E1497" s="14" t="str">
        <f aca="false">IF(C1497="SELL",B1497,"")</f>
        <v/>
      </c>
      <c r="F1497" s="14" t="str">
        <f aca="false">IF(E1497="","",(E1497-D1497)/D1497*100)</f>
        <v/>
      </c>
      <c r="G1497" s="0" t="str">
        <f aca="false">IF(C1497="BUY","IN",IF(C1497="SELL","OUT",IF(G1496="IN","IN","OUT")))</f>
        <v>OUT</v>
      </c>
      <c r="H1497" s="14" t="n">
        <f aca="false">H1496+IF(F1497="",0,F1497)</f>
        <v>-21.8742531016473</v>
      </c>
      <c r="I1497" s="14" t="n">
        <f aca="false">MAX(I1496,H1497)</f>
        <v>43.9309628600509</v>
      </c>
      <c r="J1497" s="14" t="n">
        <f aca="false">I1497-H1497</f>
        <v>65.8052159616982</v>
      </c>
    </row>
    <row r="1498" customFormat="false" ht="15" hidden="false" customHeight="false" outlineLevel="0" collapsed="false">
      <c r="A1498" s="12" t="n">
        <f aca="false">Data!A1498</f>
        <v>44179</v>
      </c>
      <c r="B1498" s="14" t="n">
        <f aca="false">Data!B1498</f>
        <v>46.99</v>
      </c>
      <c r="C1498" s="0" t="str">
        <f aca="false">IF(Data!D1498="","HOLD",IF(AND(G1497&lt;&gt;"IN",Data!E1498&lt;-5),"BUY",IF(AND(G1497="IN",Data!E1498&gt;0),"SELL","HOLD")))</f>
        <v>HOLD</v>
      </c>
      <c r="D1498" s="14" t="str">
        <f aca="false">IF(C1498="BUY",B1498,IF(G1497="IN",D1497,""))</f>
        <v/>
      </c>
      <c r="E1498" s="14" t="str">
        <f aca="false">IF(C1498="SELL",B1498,"")</f>
        <v/>
      </c>
      <c r="F1498" s="14" t="str">
        <f aca="false">IF(E1498="","",(E1498-D1498)/D1498*100)</f>
        <v/>
      </c>
      <c r="G1498" s="0" t="str">
        <f aca="false">IF(C1498="BUY","IN",IF(C1498="SELL","OUT",IF(G1497="IN","IN","OUT")))</f>
        <v>OUT</v>
      </c>
      <c r="H1498" s="14" t="n">
        <f aca="false">H1497+IF(F1498="",0,F1498)</f>
        <v>-21.8742531016473</v>
      </c>
      <c r="I1498" s="14" t="n">
        <f aca="false">MAX(I1497,H1498)</f>
        <v>43.9309628600509</v>
      </c>
      <c r="J1498" s="14" t="n">
        <f aca="false">I1498-H1498</f>
        <v>65.8052159616982</v>
      </c>
    </row>
    <row r="1499" customFormat="false" ht="15" hidden="false" customHeight="false" outlineLevel="0" collapsed="false">
      <c r="A1499" s="12" t="n">
        <f aca="false">Data!A1499</f>
        <v>44180</v>
      </c>
      <c r="B1499" s="14" t="n">
        <f aca="false">Data!B1499</f>
        <v>47.62</v>
      </c>
      <c r="C1499" s="0" t="str">
        <f aca="false">IF(Data!D1499="","HOLD",IF(AND(G1498&lt;&gt;"IN",Data!E1499&lt;-5),"BUY",IF(AND(G1498="IN",Data!E1499&gt;0),"SELL","HOLD")))</f>
        <v>HOLD</v>
      </c>
      <c r="D1499" s="14" t="str">
        <f aca="false">IF(C1499="BUY",B1499,IF(G1498="IN",D1498,""))</f>
        <v/>
      </c>
      <c r="E1499" s="14" t="str">
        <f aca="false">IF(C1499="SELL",B1499,"")</f>
        <v/>
      </c>
      <c r="F1499" s="14" t="str">
        <f aca="false">IF(E1499="","",(E1499-D1499)/D1499*100)</f>
        <v/>
      </c>
      <c r="G1499" s="0" t="str">
        <f aca="false">IF(C1499="BUY","IN",IF(C1499="SELL","OUT",IF(G1498="IN","IN","OUT")))</f>
        <v>OUT</v>
      </c>
      <c r="H1499" s="14" t="n">
        <f aca="false">H1498+IF(F1499="",0,F1499)</f>
        <v>-21.8742531016473</v>
      </c>
      <c r="I1499" s="14" t="n">
        <f aca="false">MAX(I1498,H1499)</f>
        <v>43.9309628600509</v>
      </c>
      <c r="J1499" s="14" t="n">
        <f aca="false">I1499-H1499</f>
        <v>65.8052159616982</v>
      </c>
    </row>
    <row r="1500" customFormat="false" ht="15" hidden="false" customHeight="false" outlineLevel="0" collapsed="false">
      <c r="A1500" s="12" t="n">
        <f aca="false">Data!A1500</f>
        <v>44181</v>
      </c>
      <c r="B1500" s="14" t="n">
        <f aca="false">Data!B1500</f>
        <v>47.82</v>
      </c>
      <c r="C1500" s="0" t="str">
        <f aca="false">IF(Data!D1500="","HOLD",IF(AND(G1499&lt;&gt;"IN",Data!E1500&lt;-5),"BUY",IF(AND(G1499="IN",Data!E1500&gt;0),"SELL","HOLD")))</f>
        <v>HOLD</v>
      </c>
      <c r="D1500" s="14" t="str">
        <f aca="false">IF(C1500="BUY",B1500,IF(G1499="IN",D1499,""))</f>
        <v/>
      </c>
      <c r="E1500" s="14" t="str">
        <f aca="false">IF(C1500="SELL",B1500,"")</f>
        <v/>
      </c>
      <c r="F1500" s="14" t="str">
        <f aca="false">IF(E1500="","",(E1500-D1500)/D1500*100)</f>
        <v/>
      </c>
      <c r="G1500" s="0" t="str">
        <f aca="false">IF(C1500="BUY","IN",IF(C1500="SELL","OUT",IF(G1499="IN","IN","OUT")))</f>
        <v>OUT</v>
      </c>
      <c r="H1500" s="14" t="n">
        <f aca="false">H1499+IF(F1500="",0,F1500)</f>
        <v>-21.8742531016473</v>
      </c>
      <c r="I1500" s="14" t="n">
        <f aca="false">MAX(I1499,H1500)</f>
        <v>43.9309628600509</v>
      </c>
      <c r="J1500" s="14" t="n">
        <f aca="false">I1500-H1500</f>
        <v>65.8052159616982</v>
      </c>
    </row>
    <row r="1501" customFormat="false" ht="15" hidden="false" customHeight="false" outlineLevel="0" collapsed="false">
      <c r="A1501" s="12" t="n">
        <f aca="false">Data!A1501</f>
        <v>44182</v>
      </c>
      <c r="B1501" s="14" t="n">
        <f aca="false">Data!B1501</f>
        <v>48.36</v>
      </c>
      <c r="C1501" s="0" t="str">
        <f aca="false">IF(Data!D1501="","HOLD",IF(AND(G1500&lt;&gt;"IN",Data!E1501&lt;-5),"BUY",IF(AND(G1500="IN",Data!E1501&gt;0),"SELL","HOLD")))</f>
        <v>HOLD</v>
      </c>
      <c r="D1501" s="14" t="str">
        <f aca="false">IF(C1501="BUY",B1501,IF(G1500="IN",D1500,""))</f>
        <v/>
      </c>
      <c r="E1501" s="14" t="str">
        <f aca="false">IF(C1501="SELL",B1501,"")</f>
        <v/>
      </c>
      <c r="F1501" s="14" t="str">
        <f aca="false">IF(E1501="","",(E1501-D1501)/D1501*100)</f>
        <v/>
      </c>
      <c r="G1501" s="0" t="str">
        <f aca="false">IF(C1501="BUY","IN",IF(C1501="SELL","OUT",IF(G1500="IN","IN","OUT")))</f>
        <v>OUT</v>
      </c>
      <c r="H1501" s="14" t="n">
        <f aca="false">H1500+IF(F1501="",0,F1501)</f>
        <v>-21.8742531016473</v>
      </c>
      <c r="I1501" s="14" t="n">
        <f aca="false">MAX(I1500,H1501)</f>
        <v>43.9309628600509</v>
      </c>
      <c r="J1501" s="14" t="n">
        <f aca="false">I1501-H1501</f>
        <v>65.8052159616982</v>
      </c>
    </row>
    <row r="1502" customFormat="false" ht="15" hidden="false" customHeight="false" outlineLevel="0" collapsed="false">
      <c r="A1502" s="12" t="n">
        <f aca="false">Data!A1502</f>
        <v>44183</v>
      </c>
      <c r="B1502" s="14" t="n">
        <f aca="false">Data!B1502</f>
        <v>49.1</v>
      </c>
      <c r="C1502" s="0" t="str">
        <f aca="false">IF(Data!D1502="","HOLD",IF(AND(G1501&lt;&gt;"IN",Data!E1502&lt;-5),"BUY",IF(AND(G1501="IN",Data!E1502&gt;0),"SELL","HOLD")))</f>
        <v>HOLD</v>
      </c>
      <c r="D1502" s="14" t="str">
        <f aca="false">IF(C1502="BUY",B1502,IF(G1501="IN",D1501,""))</f>
        <v/>
      </c>
      <c r="E1502" s="14" t="str">
        <f aca="false">IF(C1502="SELL",B1502,"")</f>
        <v/>
      </c>
      <c r="F1502" s="14" t="str">
        <f aca="false">IF(E1502="","",(E1502-D1502)/D1502*100)</f>
        <v/>
      </c>
      <c r="G1502" s="0" t="str">
        <f aca="false">IF(C1502="BUY","IN",IF(C1502="SELL","OUT",IF(G1501="IN","IN","OUT")))</f>
        <v>OUT</v>
      </c>
      <c r="H1502" s="14" t="n">
        <f aca="false">H1501+IF(F1502="",0,F1502)</f>
        <v>-21.8742531016473</v>
      </c>
      <c r="I1502" s="14" t="n">
        <f aca="false">MAX(I1501,H1502)</f>
        <v>43.9309628600509</v>
      </c>
      <c r="J1502" s="14" t="n">
        <f aca="false">I1502-H1502</f>
        <v>65.8052159616982</v>
      </c>
    </row>
    <row r="1503" customFormat="false" ht="15" hidden="false" customHeight="false" outlineLevel="0" collapsed="false">
      <c r="A1503" s="12" t="n">
        <f aca="false">Data!A1503</f>
        <v>44186</v>
      </c>
      <c r="B1503" s="14" t="n">
        <f aca="false">Data!B1503</f>
        <v>47.74</v>
      </c>
      <c r="C1503" s="0" t="str">
        <f aca="false">IF(Data!D1503="","HOLD",IF(AND(G1502&lt;&gt;"IN",Data!E1503&lt;-5),"BUY",IF(AND(G1502="IN",Data!E1503&gt;0),"SELL","HOLD")))</f>
        <v>HOLD</v>
      </c>
      <c r="D1503" s="14" t="str">
        <f aca="false">IF(C1503="BUY",B1503,IF(G1502="IN",D1502,""))</f>
        <v/>
      </c>
      <c r="E1503" s="14" t="str">
        <f aca="false">IF(C1503="SELL",B1503,"")</f>
        <v/>
      </c>
      <c r="F1503" s="14" t="str">
        <f aca="false">IF(E1503="","",(E1503-D1503)/D1503*100)</f>
        <v/>
      </c>
      <c r="G1503" s="0" t="str">
        <f aca="false">IF(C1503="BUY","IN",IF(C1503="SELL","OUT",IF(G1502="IN","IN","OUT")))</f>
        <v>OUT</v>
      </c>
      <c r="H1503" s="14" t="n">
        <f aca="false">H1502+IF(F1503="",0,F1503)</f>
        <v>-21.8742531016473</v>
      </c>
      <c r="I1503" s="14" t="n">
        <f aca="false">MAX(I1502,H1503)</f>
        <v>43.9309628600509</v>
      </c>
      <c r="J1503" s="14" t="n">
        <f aca="false">I1503-H1503</f>
        <v>65.8052159616982</v>
      </c>
    </row>
    <row r="1504" customFormat="false" ht="15" hidden="false" customHeight="false" outlineLevel="0" collapsed="false">
      <c r="A1504" s="12" t="n">
        <f aca="false">Data!A1504</f>
        <v>44187</v>
      </c>
      <c r="B1504" s="14" t="n">
        <f aca="false">Data!B1504</f>
        <v>47.02</v>
      </c>
      <c r="C1504" s="0" t="str">
        <f aca="false">IF(Data!D1504="","HOLD",IF(AND(G1503&lt;&gt;"IN",Data!E1504&lt;-5),"BUY",IF(AND(G1503="IN",Data!E1504&gt;0),"SELL","HOLD")))</f>
        <v>HOLD</v>
      </c>
      <c r="D1504" s="14" t="str">
        <f aca="false">IF(C1504="BUY",B1504,IF(G1503="IN",D1503,""))</f>
        <v/>
      </c>
      <c r="E1504" s="14" t="str">
        <f aca="false">IF(C1504="SELL",B1504,"")</f>
        <v/>
      </c>
      <c r="F1504" s="14" t="str">
        <f aca="false">IF(E1504="","",(E1504-D1504)/D1504*100)</f>
        <v/>
      </c>
      <c r="G1504" s="0" t="str">
        <f aca="false">IF(C1504="BUY","IN",IF(C1504="SELL","OUT",IF(G1503="IN","IN","OUT")))</f>
        <v>OUT</v>
      </c>
      <c r="H1504" s="14" t="n">
        <f aca="false">H1503+IF(F1504="",0,F1504)</f>
        <v>-21.8742531016473</v>
      </c>
      <c r="I1504" s="14" t="n">
        <f aca="false">MAX(I1503,H1504)</f>
        <v>43.9309628600509</v>
      </c>
      <c r="J1504" s="14" t="n">
        <f aca="false">I1504-H1504</f>
        <v>65.8052159616982</v>
      </c>
    </row>
    <row r="1505" customFormat="false" ht="15" hidden="false" customHeight="false" outlineLevel="0" collapsed="false">
      <c r="A1505" s="12" t="n">
        <f aca="false">Data!A1505</f>
        <v>44188</v>
      </c>
      <c r="B1505" s="14" t="n">
        <f aca="false">Data!B1505</f>
        <v>48.12</v>
      </c>
      <c r="C1505" s="0" t="str">
        <f aca="false">IF(Data!D1505="","HOLD",IF(AND(G1504&lt;&gt;"IN",Data!E1505&lt;-5),"BUY",IF(AND(G1504="IN",Data!E1505&gt;0),"SELL","HOLD")))</f>
        <v>HOLD</v>
      </c>
      <c r="D1505" s="14" t="str">
        <f aca="false">IF(C1505="BUY",B1505,IF(G1504="IN",D1504,""))</f>
        <v/>
      </c>
      <c r="E1505" s="14" t="str">
        <f aca="false">IF(C1505="SELL",B1505,"")</f>
        <v/>
      </c>
      <c r="F1505" s="14" t="str">
        <f aca="false">IF(E1505="","",(E1505-D1505)/D1505*100)</f>
        <v/>
      </c>
      <c r="G1505" s="0" t="str">
        <f aca="false">IF(C1505="BUY","IN",IF(C1505="SELL","OUT",IF(G1504="IN","IN","OUT")))</f>
        <v>OUT</v>
      </c>
      <c r="H1505" s="14" t="n">
        <f aca="false">H1504+IF(F1505="",0,F1505)</f>
        <v>-21.8742531016473</v>
      </c>
      <c r="I1505" s="14" t="n">
        <f aca="false">MAX(I1504,H1505)</f>
        <v>43.9309628600509</v>
      </c>
      <c r="J1505" s="14" t="n">
        <f aca="false">I1505-H1505</f>
        <v>65.8052159616982</v>
      </c>
    </row>
    <row r="1506" customFormat="false" ht="15" hidden="false" customHeight="false" outlineLevel="0" collapsed="false">
      <c r="A1506" s="12" t="n">
        <f aca="false">Data!A1506</f>
        <v>44189</v>
      </c>
      <c r="B1506" s="14" t="n">
        <f aca="false">Data!B1506</f>
        <v>48.23</v>
      </c>
      <c r="C1506" s="0" t="str">
        <f aca="false">IF(Data!D1506="","HOLD",IF(AND(G1505&lt;&gt;"IN",Data!E1506&lt;-5),"BUY",IF(AND(G1505="IN",Data!E1506&gt;0),"SELL","HOLD")))</f>
        <v>HOLD</v>
      </c>
      <c r="D1506" s="14" t="str">
        <f aca="false">IF(C1506="BUY",B1506,IF(G1505="IN",D1505,""))</f>
        <v/>
      </c>
      <c r="E1506" s="14" t="str">
        <f aca="false">IF(C1506="SELL",B1506,"")</f>
        <v/>
      </c>
      <c r="F1506" s="14" t="str">
        <f aca="false">IF(E1506="","",(E1506-D1506)/D1506*100)</f>
        <v/>
      </c>
      <c r="G1506" s="0" t="str">
        <f aca="false">IF(C1506="BUY","IN",IF(C1506="SELL","OUT",IF(G1505="IN","IN","OUT")))</f>
        <v>OUT</v>
      </c>
      <c r="H1506" s="14" t="n">
        <f aca="false">H1505+IF(F1506="",0,F1506)</f>
        <v>-21.8742531016473</v>
      </c>
      <c r="I1506" s="14" t="n">
        <f aca="false">MAX(I1505,H1506)</f>
        <v>43.9309628600509</v>
      </c>
      <c r="J1506" s="14" t="n">
        <f aca="false">I1506-H1506</f>
        <v>65.8052159616982</v>
      </c>
    </row>
    <row r="1507" customFormat="false" ht="15" hidden="false" customHeight="false" outlineLevel="0" collapsed="false">
      <c r="A1507" s="12" t="n">
        <f aca="false">Data!A1507</f>
        <v>44193</v>
      </c>
      <c r="B1507" s="14" t="n">
        <f aca="false">Data!B1507</f>
        <v>47.62</v>
      </c>
      <c r="C1507" s="0" t="str">
        <f aca="false">IF(Data!D1507="","HOLD",IF(AND(G1506&lt;&gt;"IN",Data!E1507&lt;-5),"BUY",IF(AND(G1506="IN",Data!E1507&gt;0),"SELL","HOLD")))</f>
        <v>HOLD</v>
      </c>
      <c r="D1507" s="14" t="str">
        <f aca="false">IF(C1507="BUY",B1507,IF(G1506="IN",D1506,""))</f>
        <v/>
      </c>
      <c r="E1507" s="14" t="str">
        <f aca="false">IF(C1507="SELL",B1507,"")</f>
        <v/>
      </c>
      <c r="F1507" s="14" t="str">
        <f aca="false">IF(E1507="","",(E1507-D1507)/D1507*100)</f>
        <v/>
      </c>
      <c r="G1507" s="0" t="str">
        <f aca="false">IF(C1507="BUY","IN",IF(C1507="SELL","OUT",IF(G1506="IN","IN","OUT")))</f>
        <v>OUT</v>
      </c>
      <c r="H1507" s="14" t="n">
        <f aca="false">H1506+IF(F1507="",0,F1507)</f>
        <v>-21.8742531016473</v>
      </c>
      <c r="I1507" s="14" t="n">
        <f aca="false">MAX(I1506,H1507)</f>
        <v>43.9309628600509</v>
      </c>
      <c r="J1507" s="14" t="n">
        <f aca="false">I1507-H1507</f>
        <v>65.8052159616982</v>
      </c>
    </row>
    <row r="1508" customFormat="false" ht="15" hidden="false" customHeight="false" outlineLevel="0" collapsed="false">
      <c r="A1508" s="12" t="n">
        <f aca="false">Data!A1508</f>
        <v>44194</v>
      </c>
      <c r="B1508" s="14" t="n">
        <f aca="false">Data!B1508</f>
        <v>48</v>
      </c>
      <c r="C1508" s="0" t="str">
        <f aca="false">IF(Data!D1508="","HOLD",IF(AND(G1507&lt;&gt;"IN",Data!E1508&lt;-5),"BUY",IF(AND(G1507="IN",Data!E1508&gt;0),"SELL","HOLD")))</f>
        <v>HOLD</v>
      </c>
      <c r="D1508" s="14" t="str">
        <f aca="false">IF(C1508="BUY",B1508,IF(G1507="IN",D1507,""))</f>
        <v/>
      </c>
      <c r="E1508" s="14" t="str">
        <f aca="false">IF(C1508="SELL",B1508,"")</f>
        <v/>
      </c>
      <c r="F1508" s="14" t="str">
        <f aca="false">IF(E1508="","",(E1508-D1508)/D1508*100)</f>
        <v/>
      </c>
      <c r="G1508" s="0" t="str">
        <f aca="false">IF(C1508="BUY","IN",IF(C1508="SELL","OUT",IF(G1507="IN","IN","OUT")))</f>
        <v>OUT</v>
      </c>
      <c r="H1508" s="14" t="n">
        <f aca="false">H1507+IF(F1508="",0,F1508)</f>
        <v>-21.8742531016473</v>
      </c>
      <c r="I1508" s="14" t="n">
        <f aca="false">MAX(I1507,H1508)</f>
        <v>43.9309628600509</v>
      </c>
      <c r="J1508" s="14" t="n">
        <f aca="false">I1508-H1508</f>
        <v>65.8052159616982</v>
      </c>
    </row>
    <row r="1509" customFormat="false" ht="15" hidden="false" customHeight="false" outlineLevel="0" collapsed="false">
      <c r="A1509" s="12" t="n">
        <f aca="false">Data!A1509</f>
        <v>44195</v>
      </c>
      <c r="B1509" s="14" t="n">
        <f aca="false">Data!B1509</f>
        <v>48.4</v>
      </c>
      <c r="C1509" s="0" t="str">
        <f aca="false">IF(Data!D1509="","HOLD",IF(AND(G1508&lt;&gt;"IN",Data!E1509&lt;-5),"BUY",IF(AND(G1508="IN",Data!E1509&gt;0),"SELL","HOLD")))</f>
        <v>HOLD</v>
      </c>
      <c r="D1509" s="14" t="str">
        <f aca="false">IF(C1509="BUY",B1509,IF(G1508="IN",D1508,""))</f>
        <v/>
      </c>
      <c r="E1509" s="14" t="str">
        <f aca="false">IF(C1509="SELL",B1509,"")</f>
        <v/>
      </c>
      <c r="F1509" s="14" t="str">
        <f aca="false">IF(E1509="","",(E1509-D1509)/D1509*100)</f>
        <v/>
      </c>
      <c r="G1509" s="0" t="str">
        <f aca="false">IF(C1509="BUY","IN",IF(C1509="SELL","OUT",IF(G1508="IN","IN","OUT")))</f>
        <v>OUT</v>
      </c>
      <c r="H1509" s="14" t="n">
        <f aca="false">H1508+IF(F1509="",0,F1509)</f>
        <v>-21.8742531016473</v>
      </c>
      <c r="I1509" s="14" t="n">
        <f aca="false">MAX(I1508,H1509)</f>
        <v>43.9309628600509</v>
      </c>
      <c r="J1509" s="14" t="n">
        <f aca="false">I1509-H1509</f>
        <v>65.8052159616982</v>
      </c>
    </row>
    <row r="1510" customFormat="false" ht="15" hidden="false" customHeight="false" outlineLevel="0" collapsed="false">
      <c r="A1510" s="12" t="n">
        <f aca="false">Data!A1510</f>
        <v>44196</v>
      </c>
      <c r="B1510" s="14" t="n">
        <f aca="false">Data!B1510</f>
        <v>48.52</v>
      </c>
      <c r="C1510" s="0" t="str">
        <f aca="false">IF(Data!D1510="","HOLD",IF(AND(G1509&lt;&gt;"IN",Data!E1510&lt;-5),"BUY",IF(AND(G1509="IN",Data!E1510&gt;0),"SELL","HOLD")))</f>
        <v>HOLD</v>
      </c>
      <c r="D1510" s="14" t="str">
        <f aca="false">IF(C1510="BUY",B1510,IF(G1509="IN",D1509,""))</f>
        <v/>
      </c>
      <c r="E1510" s="14" t="str">
        <f aca="false">IF(C1510="SELL",B1510,"")</f>
        <v/>
      </c>
      <c r="F1510" s="14" t="str">
        <f aca="false">IF(E1510="","",(E1510-D1510)/D1510*100)</f>
        <v/>
      </c>
      <c r="G1510" s="0" t="str">
        <f aca="false">IF(C1510="BUY","IN",IF(C1510="SELL","OUT",IF(G1509="IN","IN","OUT")))</f>
        <v>OUT</v>
      </c>
      <c r="H1510" s="14" t="n">
        <f aca="false">H1509+IF(F1510="",0,F1510)</f>
        <v>-21.8742531016473</v>
      </c>
      <c r="I1510" s="14" t="n">
        <f aca="false">MAX(I1509,H1510)</f>
        <v>43.9309628600509</v>
      </c>
      <c r="J1510" s="14" t="n">
        <f aca="false">I1510-H1510</f>
        <v>65.8052159616982</v>
      </c>
    </row>
    <row r="1511" customFormat="false" ht="15" hidden="false" customHeight="false" outlineLevel="0" collapsed="false">
      <c r="A1511" s="12" t="n">
        <f aca="false">Data!A1511</f>
        <v>44200</v>
      </c>
      <c r="B1511" s="14" t="n">
        <f aca="false">Data!B1511</f>
        <v>47.62</v>
      </c>
      <c r="C1511" s="0" t="str">
        <f aca="false">IF(Data!D1511="","HOLD",IF(AND(G1510&lt;&gt;"IN",Data!E1511&lt;-5),"BUY",IF(AND(G1510="IN",Data!E1511&gt;0),"SELL","HOLD")))</f>
        <v>HOLD</v>
      </c>
      <c r="D1511" s="14" t="str">
        <f aca="false">IF(C1511="BUY",B1511,IF(G1510="IN",D1510,""))</f>
        <v/>
      </c>
      <c r="E1511" s="14" t="str">
        <f aca="false">IF(C1511="SELL",B1511,"")</f>
        <v/>
      </c>
      <c r="F1511" s="14" t="str">
        <f aca="false">IF(E1511="","",(E1511-D1511)/D1511*100)</f>
        <v/>
      </c>
      <c r="G1511" s="0" t="str">
        <f aca="false">IF(C1511="BUY","IN",IF(C1511="SELL","OUT",IF(G1510="IN","IN","OUT")))</f>
        <v>OUT</v>
      </c>
      <c r="H1511" s="14" t="n">
        <f aca="false">H1510+IF(F1511="",0,F1511)</f>
        <v>-21.8742531016473</v>
      </c>
      <c r="I1511" s="14" t="n">
        <f aca="false">MAX(I1510,H1511)</f>
        <v>43.9309628600509</v>
      </c>
      <c r="J1511" s="14" t="n">
        <f aca="false">I1511-H1511</f>
        <v>65.8052159616982</v>
      </c>
    </row>
    <row r="1512" customFormat="false" ht="15" hidden="false" customHeight="false" outlineLevel="0" collapsed="false">
      <c r="A1512" s="12" t="n">
        <f aca="false">Data!A1512</f>
        <v>44201</v>
      </c>
      <c r="B1512" s="14" t="n">
        <f aca="false">Data!B1512</f>
        <v>49.93</v>
      </c>
      <c r="C1512" s="0" t="str">
        <f aca="false">IF(Data!D1512="","HOLD",IF(AND(G1511&lt;&gt;"IN",Data!E1512&lt;-5),"BUY",IF(AND(G1511="IN",Data!E1512&gt;0),"SELL","HOLD")))</f>
        <v>HOLD</v>
      </c>
      <c r="D1512" s="14" t="str">
        <f aca="false">IF(C1512="BUY",B1512,IF(G1511="IN",D1511,""))</f>
        <v/>
      </c>
      <c r="E1512" s="14" t="str">
        <f aca="false">IF(C1512="SELL",B1512,"")</f>
        <v/>
      </c>
      <c r="F1512" s="14" t="str">
        <f aca="false">IF(E1512="","",(E1512-D1512)/D1512*100)</f>
        <v/>
      </c>
      <c r="G1512" s="0" t="str">
        <f aca="false">IF(C1512="BUY","IN",IF(C1512="SELL","OUT",IF(G1511="IN","IN","OUT")))</f>
        <v>OUT</v>
      </c>
      <c r="H1512" s="14" t="n">
        <f aca="false">H1511+IF(F1512="",0,F1512)</f>
        <v>-21.8742531016473</v>
      </c>
      <c r="I1512" s="14" t="n">
        <f aca="false">MAX(I1511,H1512)</f>
        <v>43.9309628600509</v>
      </c>
      <c r="J1512" s="14" t="n">
        <f aca="false">I1512-H1512</f>
        <v>65.8052159616982</v>
      </c>
    </row>
    <row r="1513" customFormat="false" ht="15" hidden="false" customHeight="false" outlineLevel="0" collapsed="false">
      <c r="A1513" s="12" t="n">
        <f aca="false">Data!A1513</f>
        <v>44202</v>
      </c>
      <c r="B1513" s="14" t="n">
        <f aca="false">Data!B1513</f>
        <v>50.63</v>
      </c>
      <c r="C1513" s="0" t="str">
        <f aca="false">IF(Data!D1513="","HOLD",IF(AND(G1512&lt;&gt;"IN",Data!E1513&lt;-5),"BUY",IF(AND(G1512="IN",Data!E1513&gt;0),"SELL","HOLD")))</f>
        <v>HOLD</v>
      </c>
      <c r="D1513" s="14" t="str">
        <f aca="false">IF(C1513="BUY",B1513,IF(G1512="IN",D1512,""))</f>
        <v/>
      </c>
      <c r="E1513" s="14" t="str">
        <f aca="false">IF(C1513="SELL",B1513,"")</f>
        <v/>
      </c>
      <c r="F1513" s="14" t="str">
        <f aca="false">IF(E1513="","",(E1513-D1513)/D1513*100)</f>
        <v/>
      </c>
      <c r="G1513" s="0" t="str">
        <f aca="false">IF(C1513="BUY","IN",IF(C1513="SELL","OUT",IF(G1512="IN","IN","OUT")))</f>
        <v>OUT</v>
      </c>
      <c r="H1513" s="14" t="n">
        <f aca="false">H1512+IF(F1513="",0,F1513)</f>
        <v>-21.8742531016473</v>
      </c>
      <c r="I1513" s="14" t="n">
        <f aca="false">MAX(I1512,H1513)</f>
        <v>43.9309628600509</v>
      </c>
      <c r="J1513" s="14" t="n">
        <f aca="false">I1513-H1513</f>
        <v>65.8052159616982</v>
      </c>
    </row>
    <row r="1514" customFormat="false" ht="15" hidden="false" customHeight="false" outlineLevel="0" collapsed="false">
      <c r="A1514" s="12" t="n">
        <f aca="false">Data!A1514</f>
        <v>44203</v>
      </c>
      <c r="B1514" s="14" t="n">
        <f aca="false">Data!B1514</f>
        <v>50.83</v>
      </c>
      <c r="C1514" s="0" t="str">
        <f aca="false">IF(Data!D1514="","HOLD",IF(AND(G1513&lt;&gt;"IN",Data!E1514&lt;-5),"BUY",IF(AND(G1513="IN",Data!E1514&gt;0),"SELL","HOLD")))</f>
        <v>HOLD</v>
      </c>
      <c r="D1514" s="14" t="str">
        <f aca="false">IF(C1514="BUY",B1514,IF(G1513="IN",D1513,""))</f>
        <v/>
      </c>
      <c r="E1514" s="14" t="str">
        <f aca="false">IF(C1514="SELL",B1514,"")</f>
        <v/>
      </c>
      <c r="F1514" s="14" t="str">
        <f aca="false">IF(E1514="","",(E1514-D1514)/D1514*100)</f>
        <v/>
      </c>
      <c r="G1514" s="0" t="str">
        <f aca="false">IF(C1514="BUY","IN",IF(C1514="SELL","OUT",IF(G1513="IN","IN","OUT")))</f>
        <v>OUT</v>
      </c>
      <c r="H1514" s="14" t="n">
        <f aca="false">H1513+IF(F1514="",0,F1514)</f>
        <v>-21.8742531016473</v>
      </c>
      <c r="I1514" s="14" t="n">
        <f aca="false">MAX(I1513,H1514)</f>
        <v>43.9309628600509</v>
      </c>
      <c r="J1514" s="14" t="n">
        <f aca="false">I1514-H1514</f>
        <v>65.8052159616982</v>
      </c>
    </row>
    <row r="1515" customFormat="false" ht="15" hidden="false" customHeight="false" outlineLevel="0" collapsed="false">
      <c r="A1515" s="12" t="n">
        <f aca="false">Data!A1515</f>
        <v>44204</v>
      </c>
      <c r="B1515" s="14" t="n">
        <f aca="false">Data!B1515</f>
        <v>52.24</v>
      </c>
      <c r="C1515" s="0" t="str">
        <f aca="false">IF(Data!D1515="","HOLD",IF(AND(G1514&lt;&gt;"IN",Data!E1515&lt;-5),"BUY",IF(AND(G1514="IN",Data!E1515&gt;0),"SELL","HOLD")))</f>
        <v>HOLD</v>
      </c>
      <c r="D1515" s="14" t="str">
        <f aca="false">IF(C1515="BUY",B1515,IF(G1514="IN",D1514,""))</f>
        <v/>
      </c>
      <c r="E1515" s="14" t="str">
        <f aca="false">IF(C1515="SELL",B1515,"")</f>
        <v/>
      </c>
      <c r="F1515" s="14" t="str">
        <f aca="false">IF(E1515="","",(E1515-D1515)/D1515*100)</f>
        <v/>
      </c>
      <c r="G1515" s="0" t="str">
        <f aca="false">IF(C1515="BUY","IN",IF(C1515="SELL","OUT",IF(G1514="IN","IN","OUT")))</f>
        <v>OUT</v>
      </c>
      <c r="H1515" s="14" t="n">
        <f aca="false">H1514+IF(F1515="",0,F1515)</f>
        <v>-21.8742531016473</v>
      </c>
      <c r="I1515" s="14" t="n">
        <f aca="false">MAX(I1514,H1515)</f>
        <v>43.9309628600509</v>
      </c>
      <c r="J1515" s="14" t="n">
        <f aca="false">I1515-H1515</f>
        <v>65.8052159616982</v>
      </c>
    </row>
    <row r="1516" customFormat="false" ht="15" hidden="false" customHeight="false" outlineLevel="0" collapsed="false">
      <c r="A1516" s="12" t="n">
        <f aca="false">Data!A1516</f>
        <v>44207</v>
      </c>
      <c r="B1516" s="14" t="n">
        <f aca="false">Data!B1516</f>
        <v>52.25</v>
      </c>
      <c r="C1516" s="0" t="str">
        <f aca="false">IF(Data!D1516="","HOLD",IF(AND(G1515&lt;&gt;"IN",Data!E1516&lt;-5),"BUY",IF(AND(G1515="IN",Data!E1516&gt;0),"SELL","HOLD")))</f>
        <v>HOLD</v>
      </c>
      <c r="D1516" s="14" t="str">
        <f aca="false">IF(C1516="BUY",B1516,IF(G1515="IN",D1515,""))</f>
        <v/>
      </c>
      <c r="E1516" s="14" t="str">
        <f aca="false">IF(C1516="SELL",B1516,"")</f>
        <v/>
      </c>
      <c r="F1516" s="14" t="str">
        <f aca="false">IF(E1516="","",(E1516-D1516)/D1516*100)</f>
        <v/>
      </c>
      <c r="G1516" s="0" t="str">
        <f aca="false">IF(C1516="BUY","IN",IF(C1516="SELL","OUT",IF(G1515="IN","IN","OUT")))</f>
        <v>OUT</v>
      </c>
      <c r="H1516" s="14" t="n">
        <f aca="false">H1515+IF(F1516="",0,F1516)</f>
        <v>-21.8742531016473</v>
      </c>
      <c r="I1516" s="14" t="n">
        <f aca="false">MAX(I1515,H1516)</f>
        <v>43.9309628600509</v>
      </c>
      <c r="J1516" s="14" t="n">
        <f aca="false">I1516-H1516</f>
        <v>65.8052159616982</v>
      </c>
    </row>
    <row r="1517" customFormat="false" ht="15" hidden="false" customHeight="false" outlineLevel="0" collapsed="false">
      <c r="A1517" s="12" t="n">
        <f aca="false">Data!A1517</f>
        <v>44208</v>
      </c>
      <c r="B1517" s="14" t="n">
        <f aca="false">Data!B1517</f>
        <v>53.21</v>
      </c>
      <c r="C1517" s="0" t="str">
        <f aca="false">IF(Data!D1517="","HOLD",IF(AND(G1516&lt;&gt;"IN",Data!E1517&lt;-5),"BUY",IF(AND(G1516="IN",Data!E1517&gt;0),"SELL","HOLD")))</f>
        <v>HOLD</v>
      </c>
      <c r="D1517" s="14" t="str">
        <f aca="false">IF(C1517="BUY",B1517,IF(G1516="IN",D1516,""))</f>
        <v/>
      </c>
      <c r="E1517" s="14" t="str">
        <f aca="false">IF(C1517="SELL",B1517,"")</f>
        <v/>
      </c>
      <c r="F1517" s="14" t="str">
        <f aca="false">IF(E1517="","",(E1517-D1517)/D1517*100)</f>
        <v/>
      </c>
      <c r="G1517" s="0" t="str">
        <f aca="false">IF(C1517="BUY","IN",IF(C1517="SELL","OUT",IF(G1516="IN","IN","OUT")))</f>
        <v>OUT</v>
      </c>
      <c r="H1517" s="14" t="n">
        <f aca="false">H1516+IF(F1517="",0,F1517)</f>
        <v>-21.8742531016473</v>
      </c>
      <c r="I1517" s="14" t="n">
        <f aca="false">MAX(I1516,H1517)</f>
        <v>43.9309628600509</v>
      </c>
      <c r="J1517" s="14" t="n">
        <f aca="false">I1517-H1517</f>
        <v>65.8052159616982</v>
      </c>
    </row>
    <row r="1518" customFormat="false" ht="15" hidden="false" customHeight="false" outlineLevel="0" collapsed="false">
      <c r="A1518" s="12" t="n">
        <f aca="false">Data!A1518</f>
        <v>44209</v>
      </c>
      <c r="B1518" s="14" t="n">
        <f aca="false">Data!B1518</f>
        <v>52.91</v>
      </c>
      <c r="C1518" s="0" t="str">
        <f aca="false">IF(Data!D1518="","HOLD",IF(AND(G1517&lt;&gt;"IN",Data!E1518&lt;-5),"BUY",IF(AND(G1517="IN",Data!E1518&gt;0),"SELL","HOLD")))</f>
        <v>HOLD</v>
      </c>
      <c r="D1518" s="14" t="str">
        <f aca="false">IF(C1518="BUY",B1518,IF(G1517="IN",D1517,""))</f>
        <v/>
      </c>
      <c r="E1518" s="14" t="str">
        <f aca="false">IF(C1518="SELL",B1518,"")</f>
        <v/>
      </c>
      <c r="F1518" s="14" t="str">
        <f aca="false">IF(E1518="","",(E1518-D1518)/D1518*100)</f>
        <v/>
      </c>
      <c r="G1518" s="0" t="str">
        <f aca="false">IF(C1518="BUY","IN",IF(C1518="SELL","OUT",IF(G1517="IN","IN","OUT")))</f>
        <v>OUT</v>
      </c>
      <c r="H1518" s="14" t="n">
        <f aca="false">H1517+IF(F1518="",0,F1518)</f>
        <v>-21.8742531016473</v>
      </c>
      <c r="I1518" s="14" t="n">
        <f aca="false">MAX(I1517,H1518)</f>
        <v>43.9309628600509</v>
      </c>
      <c r="J1518" s="14" t="n">
        <f aca="false">I1518-H1518</f>
        <v>65.8052159616982</v>
      </c>
    </row>
    <row r="1519" customFormat="false" ht="15" hidden="false" customHeight="false" outlineLevel="0" collapsed="false">
      <c r="A1519" s="12" t="n">
        <f aca="false">Data!A1519</f>
        <v>44210</v>
      </c>
      <c r="B1519" s="14" t="n">
        <f aca="false">Data!B1519</f>
        <v>53.57</v>
      </c>
      <c r="C1519" s="0" t="str">
        <f aca="false">IF(Data!D1519="","HOLD",IF(AND(G1518&lt;&gt;"IN",Data!E1519&lt;-5),"BUY",IF(AND(G1518="IN",Data!E1519&gt;0),"SELL","HOLD")))</f>
        <v>HOLD</v>
      </c>
      <c r="D1519" s="14" t="str">
        <f aca="false">IF(C1519="BUY",B1519,IF(G1518="IN",D1518,""))</f>
        <v/>
      </c>
      <c r="E1519" s="14" t="str">
        <f aca="false">IF(C1519="SELL",B1519,"")</f>
        <v/>
      </c>
      <c r="F1519" s="14" t="str">
        <f aca="false">IF(E1519="","",(E1519-D1519)/D1519*100)</f>
        <v/>
      </c>
      <c r="G1519" s="0" t="str">
        <f aca="false">IF(C1519="BUY","IN",IF(C1519="SELL","OUT",IF(G1518="IN","IN","OUT")))</f>
        <v>OUT</v>
      </c>
      <c r="H1519" s="14" t="n">
        <f aca="false">H1518+IF(F1519="",0,F1519)</f>
        <v>-21.8742531016473</v>
      </c>
      <c r="I1519" s="14" t="n">
        <f aca="false">MAX(I1518,H1519)</f>
        <v>43.9309628600509</v>
      </c>
      <c r="J1519" s="14" t="n">
        <f aca="false">I1519-H1519</f>
        <v>65.8052159616982</v>
      </c>
    </row>
    <row r="1520" customFormat="false" ht="15" hidden="false" customHeight="false" outlineLevel="0" collapsed="false">
      <c r="A1520" s="12" t="n">
        <f aca="false">Data!A1520</f>
        <v>44211</v>
      </c>
      <c r="B1520" s="14" t="n">
        <f aca="false">Data!B1520</f>
        <v>52.36</v>
      </c>
      <c r="C1520" s="0" t="str">
        <f aca="false">IF(Data!D1520="","HOLD",IF(AND(G1519&lt;&gt;"IN",Data!E1520&lt;-5),"BUY",IF(AND(G1519="IN",Data!E1520&gt;0),"SELL","HOLD")))</f>
        <v>HOLD</v>
      </c>
      <c r="D1520" s="14" t="str">
        <f aca="false">IF(C1520="BUY",B1520,IF(G1519="IN",D1519,""))</f>
        <v/>
      </c>
      <c r="E1520" s="14" t="str">
        <f aca="false">IF(C1520="SELL",B1520,"")</f>
        <v/>
      </c>
      <c r="F1520" s="14" t="str">
        <f aca="false">IF(E1520="","",(E1520-D1520)/D1520*100)</f>
        <v/>
      </c>
      <c r="G1520" s="0" t="str">
        <f aca="false">IF(C1520="BUY","IN",IF(C1520="SELL","OUT",IF(G1519="IN","IN","OUT")))</f>
        <v>OUT</v>
      </c>
      <c r="H1520" s="14" t="n">
        <f aca="false">H1519+IF(F1520="",0,F1520)</f>
        <v>-21.8742531016473</v>
      </c>
      <c r="I1520" s="14" t="n">
        <f aca="false">MAX(I1519,H1520)</f>
        <v>43.9309628600509</v>
      </c>
      <c r="J1520" s="14" t="n">
        <f aca="false">I1520-H1520</f>
        <v>65.8052159616982</v>
      </c>
    </row>
    <row r="1521" customFormat="false" ht="15" hidden="false" customHeight="false" outlineLevel="0" collapsed="false">
      <c r="A1521" s="12" t="n">
        <f aca="false">Data!A1521</f>
        <v>44215</v>
      </c>
      <c r="B1521" s="14" t="n">
        <f aca="false">Data!B1521</f>
        <v>52.98</v>
      </c>
      <c r="C1521" s="0" t="str">
        <f aca="false">IF(Data!D1521="","HOLD",IF(AND(G1520&lt;&gt;"IN",Data!E1521&lt;-5),"BUY",IF(AND(G1520="IN",Data!E1521&gt;0),"SELL","HOLD")))</f>
        <v>HOLD</v>
      </c>
      <c r="D1521" s="14" t="str">
        <f aca="false">IF(C1521="BUY",B1521,IF(G1520="IN",D1520,""))</f>
        <v/>
      </c>
      <c r="E1521" s="14" t="str">
        <f aca="false">IF(C1521="SELL",B1521,"")</f>
        <v/>
      </c>
      <c r="F1521" s="14" t="str">
        <f aca="false">IF(E1521="","",(E1521-D1521)/D1521*100)</f>
        <v/>
      </c>
      <c r="G1521" s="0" t="str">
        <f aca="false">IF(C1521="BUY","IN",IF(C1521="SELL","OUT",IF(G1520="IN","IN","OUT")))</f>
        <v>OUT</v>
      </c>
      <c r="H1521" s="14" t="n">
        <f aca="false">H1520+IF(F1521="",0,F1521)</f>
        <v>-21.8742531016473</v>
      </c>
      <c r="I1521" s="14" t="n">
        <f aca="false">MAX(I1520,H1521)</f>
        <v>43.9309628600509</v>
      </c>
      <c r="J1521" s="14" t="n">
        <f aca="false">I1521-H1521</f>
        <v>65.8052159616982</v>
      </c>
    </row>
    <row r="1522" customFormat="false" ht="15" hidden="false" customHeight="false" outlineLevel="0" collapsed="false">
      <c r="A1522" s="12" t="n">
        <f aca="false">Data!A1522</f>
        <v>44216</v>
      </c>
      <c r="B1522" s="14" t="n">
        <f aca="false">Data!B1522</f>
        <v>53.24</v>
      </c>
      <c r="C1522" s="0" t="str">
        <f aca="false">IF(Data!D1522="","HOLD",IF(AND(G1521&lt;&gt;"IN",Data!E1522&lt;-5),"BUY",IF(AND(G1521="IN",Data!E1522&gt;0),"SELL","HOLD")))</f>
        <v>HOLD</v>
      </c>
      <c r="D1522" s="14" t="str">
        <f aca="false">IF(C1522="BUY",B1522,IF(G1521="IN",D1521,""))</f>
        <v/>
      </c>
      <c r="E1522" s="14" t="str">
        <f aca="false">IF(C1522="SELL",B1522,"")</f>
        <v/>
      </c>
      <c r="F1522" s="14" t="str">
        <f aca="false">IF(E1522="","",(E1522-D1522)/D1522*100)</f>
        <v/>
      </c>
      <c r="G1522" s="0" t="str">
        <f aca="false">IF(C1522="BUY","IN",IF(C1522="SELL","OUT",IF(G1521="IN","IN","OUT")))</f>
        <v>OUT</v>
      </c>
      <c r="H1522" s="14" t="n">
        <f aca="false">H1521+IF(F1522="",0,F1522)</f>
        <v>-21.8742531016473</v>
      </c>
      <c r="I1522" s="14" t="n">
        <f aca="false">MAX(I1521,H1522)</f>
        <v>43.9309628600509</v>
      </c>
      <c r="J1522" s="14" t="n">
        <f aca="false">I1522-H1522</f>
        <v>65.8052159616982</v>
      </c>
    </row>
    <row r="1523" customFormat="false" ht="15" hidden="false" customHeight="false" outlineLevel="0" collapsed="false">
      <c r="A1523" s="12" t="n">
        <f aca="false">Data!A1523</f>
        <v>44217</v>
      </c>
      <c r="B1523" s="14" t="n">
        <f aca="false">Data!B1523</f>
        <v>53.13</v>
      </c>
      <c r="C1523" s="0" t="str">
        <f aca="false">IF(Data!D1523="","HOLD",IF(AND(G1522&lt;&gt;"IN",Data!E1523&lt;-5),"BUY",IF(AND(G1522="IN",Data!E1523&gt;0),"SELL","HOLD")))</f>
        <v>HOLD</v>
      </c>
      <c r="D1523" s="14" t="str">
        <f aca="false">IF(C1523="BUY",B1523,IF(G1522="IN",D1522,""))</f>
        <v/>
      </c>
      <c r="E1523" s="14" t="str">
        <f aca="false">IF(C1523="SELL",B1523,"")</f>
        <v/>
      </c>
      <c r="F1523" s="14" t="str">
        <f aca="false">IF(E1523="","",(E1523-D1523)/D1523*100)</f>
        <v/>
      </c>
      <c r="G1523" s="0" t="str">
        <f aca="false">IF(C1523="BUY","IN",IF(C1523="SELL","OUT",IF(G1522="IN","IN","OUT")))</f>
        <v>OUT</v>
      </c>
      <c r="H1523" s="14" t="n">
        <f aca="false">H1522+IF(F1523="",0,F1523)</f>
        <v>-21.8742531016473</v>
      </c>
      <c r="I1523" s="14" t="n">
        <f aca="false">MAX(I1522,H1523)</f>
        <v>43.9309628600509</v>
      </c>
      <c r="J1523" s="14" t="n">
        <f aca="false">I1523-H1523</f>
        <v>65.8052159616982</v>
      </c>
    </row>
    <row r="1524" customFormat="false" ht="15" hidden="false" customHeight="false" outlineLevel="0" collapsed="false">
      <c r="A1524" s="12" t="n">
        <f aca="false">Data!A1524</f>
        <v>44218</v>
      </c>
      <c r="B1524" s="14" t="n">
        <f aca="false">Data!B1524</f>
        <v>52.27</v>
      </c>
      <c r="C1524" s="0" t="str">
        <f aca="false">IF(Data!D1524="","HOLD",IF(AND(G1523&lt;&gt;"IN",Data!E1524&lt;-5),"BUY",IF(AND(G1523="IN",Data!E1524&gt;0),"SELL","HOLD")))</f>
        <v>HOLD</v>
      </c>
      <c r="D1524" s="14" t="str">
        <f aca="false">IF(C1524="BUY",B1524,IF(G1523="IN",D1523,""))</f>
        <v/>
      </c>
      <c r="E1524" s="14" t="str">
        <f aca="false">IF(C1524="SELL",B1524,"")</f>
        <v/>
      </c>
      <c r="F1524" s="14" t="str">
        <f aca="false">IF(E1524="","",(E1524-D1524)/D1524*100)</f>
        <v/>
      </c>
      <c r="G1524" s="0" t="str">
        <f aca="false">IF(C1524="BUY","IN",IF(C1524="SELL","OUT",IF(G1523="IN","IN","OUT")))</f>
        <v>OUT</v>
      </c>
      <c r="H1524" s="14" t="n">
        <f aca="false">H1523+IF(F1524="",0,F1524)</f>
        <v>-21.8742531016473</v>
      </c>
      <c r="I1524" s="14" t="n">
        <f aca="false">MAX(I1523,H1524)</f>
        <v>43.9309628600509</v>
      </c>
      <c r="J1524" s="14" t="n">
        <f aca="false">I1524-H1524</f>
        <v>65.8052159616982</v>
      </c>
    </row>
    <row r="1525" customFormat="false" ht="15" hidden="false" customHeight="false" outlineLevel="0" collapsed="false">
      <c r="A1525" s="12" t="n">
        <f aca="false">Data!A1525</f>
        <v>44221</v>
      </c>
      <c r="B1525" s="14" t="n">
        <f aca="false">Data!B1525</f>
        <v>52.77</v>
      </c>
      <c r="C1525" s="0" t="str">
        <f aca="false">IF(Data!D1525="","HOLD",IF(AND(G1524&lt;&gt;"IN",Data!E1525&lt;-5),"BUY",IF(AND(G1524="IN",Data!E1525&gt;0),"SELL","HOLD")))</f>
        <v>HOLD</v>
      </c>
      <c r="D1525" s="14" t="str">
        <f aca="false">IF(C1525="BUY",B1525,IF(G1524="IN",D1524,""))</f>
        <v/>
      </c>
      <c r="E1525" s="14" t="str">
        <f aca="false">IF(C1525="SELL",B1525,"")</f>
        <v/>
      </c>
      <c r="F1525" s="14" t="str">
        <f aca="false">IF(E1525="","",(E1525-D1525)/D1525*100)</f>
        <v/>
      </c>
      <c r="G1525" s="0" t="str">
        <f aca="false">IF(C1525="BUY","IN",IF(C1525="SELL","OUT",IF(G1524="IN","IN","OUT")))</f>
        <v>OUT</v>
      </c>
      <c r="H1525" s="14" t="n">
        <f aca="false">H1524+IF(F1525="",0,F1525)</f>
        <v>-21.8742531016473</v>
      </c>
      <c r="I1525" s="14" t="n">
        <f aca="false">MAX(I1524,H1525)</f>
        <v>43.9309628600509</v>
      </c>
      <c r="J1525" s="14" t="n">
        <f aca="false">I1525-H1525</f>
        <v>65.8052159616982</v>
      </c>
    </row>
    <row r="1526" customFormat="false" ht="15" hidden="false" customHeight="false" outlineLevel="0" collapsed="false">
      <c r="A1526" s="12" t="n">
        <f aca="false">Data!A1526</f>
        <v>44222</v>
      </c>
      <c r="B1526" s="14" t="n">
        <f aca="false">Data!B1526</f>
        <v>52.61</v>
      </c>
      <c r="C1526" s="0" t="str">
        <f aca="false">IF(Data!D1526="","HOLD",IF(AND(G1525&lt;&gt;"IN",Data!E1526&lt;-5),"BUY",IF(AND(G1525="IN",Data!E1526&gt;0),"SELL","HOLD")))</f>
        <v>HOLD</v>
      </c>
      <c r="D1526" s="14" t="str">
        <f aca="false">IF(C1526="BUY",B1526,IF(G1525="IN",D1525,""))</f>
        <v/>
      </c>
      <c r="E1526" s="14" t="str">
        <f aca="false">IF(C1526="SELL",B1526,"")</f>
        <v/>
      </c>
      <c r="F1526" s="14" t="str">
        <f aca="false">IF(E1526="","",(E1526-D1526)/D1526*100)</f>
        <v/>
      </c>
      <c r="G1526" s="0" t="str">
        <f aca="false">IF(C1526="BUY","IN",IF(C1526="SELL","OUT",IF(G1525="IN","IN","OUT")))</f>
        <v>OUT</v>
      </c>
      <c r="H1526" s="14" t="n">
        <f aca="false">H1525+IF(F1526="",0,F1526)</f>
        <v>-21.8742531016473</v>
      </c>
      <c r="I1526" s="14" t="n">
        <f aca="false">MAX(I1525,H1526)</f>
        <v>43.9309628600509</v>
      </c>
      <c r="J1526" s="14" t="n">
        <f aca="false">I1526-H1526</f>
        <v>65.8052159616982</v>
      </c>
    </row>
    <row r="1527" customFormat="false" ht="15" hidden="false" customHeight="false" outlineLevel="0" collapsed="false">
      <c r="A1527" s="12" t="n">
        <f aca="false">Data!A1527</f>
        <v>44223</v>
      </c>
      <c r="B1527" s="14" t="n">
        <f aca="false">Data!B1527</f>
        <v>52.85</v>
      </c>
      <c r="C1527" s="0" t="str">
        <f aca="false">IF(Data!D1527="","HOLD",IF(AND(G1526&lt;&gt;"IN",Data!E1527&lt;-5),"BUY",IF(AND(G1526="IN",Data!E1527&gt;0),"SELL","HOLD")))</f>
        <v>HOLD</v>
      </c>
      <c r="D1527" s="14" t="str">
        <f aca="false">IF(C1527="BUY",B1527,IF(G1526="IN",D1526,""))</f>
        <v/>
      </c>
      <c r="E1527" s="14" t="str">
        <f aca="false">IF(C1527="SELL",B1527,"")</f>
        <v/>
      </c>
      <c r="F1527" s="14" t="str">
        <f aca="false">IF(E1527="","",(E1527-D1527)/D1527*100)</f>
        <v/>
      </c>
      <c r="G1527" s="0" t="str">
        <f aca="false">IF(C1527="BUY","IN",IF(C1527="SELL","OUT",IF(G1526="IN","IN","OUT")))</f>
        <v>OUT</v>
      </c>
      <c r="H1527" s="14" t="n">
        <f aca="false">H1526+IF(F1527="",0,F1527)</f>
        <v>-21.8742531016473</v>
      </c>
      <c r="I1527" s="14" t="n">
        <f aca="false">MAX(I1526,H1527)</f>
        <v>43.9309628600509</v>
      </c>
      <c r="J1527" s="14" t="n">
        <f aca="false">I1527-H1527</f>
        <v>65.8052159616982</v>
      </c>
    </row>
    <row r="1528" customFormat="false" ht="15" hidden="false" customHeight="false" outlineLevel="0" collapsed="false">
      <c r="A1528" s="12" t="n">
        <f aca="false">Data!A1528</f>
        <v>44224</v>
      </c>
      <c r="B1528" s="14" t="n">
        <f aca="false">Data!B1528</f>
        <v>52.34</v>
      </c>
      <c r="C1528" s="0" t="str">
        <f aca="false">IF(Data!D1528="","HOLD",IF(AND(G1527&lt;&gt;"IN",Data!E1528&lt;-5),"BUY",IF(AND(G1527="IN",Data!E1528&gt;0),"SELL","HOLD")))</f>
        <v>HOLD</v>
      </c>
      <c r="D1528" s="14" t="str">
        <f aca="false">IF(C1528="BUY",B1528,IF(G1527="IN",D1527,""))</f>
        <v/>
      </c>
      <c r="E1528" s="14" t="str">
        <f aca="false">IF(C1528="SELL",B1528,"")</f>
        <v/>
      </c>
      <c r="F1528" s="14" t="str">
        <f aca="false">IF(E1528="","",(E1528-D1528)/D1528*100)</f>
        <v/>
      </c>
      <c r="G1528" s="0" t="str">
        <f aca="false">IF(C1528="BUY","IN",IF(C1528="SELL","OUT",IF(G1527="IN","IN","OUT")))</f>
        <v>OUT</v>
      </c>
      <c r="H1528" s="14" t="n">
        <f aca="false">H1527+IF(F1528="",0,F1528)</f>
        <v>-21.8742531016473</v>
      </c>
      <c r="I1528" s="14" t="n">
        <f aca="false">MAX(I1527,H1528)</f>
        <v>43.9309628600509</v>
      </c>
      <c r="J1528" s="14" t="n">
        <f aca="false">I1528-H1528</f>
        <v>65.8052159616982</v>
      </c>
    </row>
    <row r="1529" customFormat="false" ht="15" hidden="false" customHeight="false" outlineLevel="0" collapsed="false">
      <c r="A1529" s="12" t="n">
        <f aca="false">Data!A1529</f>
        <v>44225</v>
      </c>
      <c r="B1529" s="14" t="n">
        <f aca="false">Data!B1529</f>
        <v>52.2</v>
      </c>
      <c r="C1529" s="0" t="str">
        <f aca="false">IF(Data!D1529="","HOLD",IF(AND(G1528&lt;&gt;"IN",Data!E1529&lt;-5),"BUY",IF(AND(G1528="IN",Data!E1529&gt;0),"SELL","HOLD")))</f>
        <v>HOLD</v>
      </c>
      <c r="D1529" s="14" t="str">
        <f aca="false">IF(C1529="BUY",B1529,IF(G1528="IN",D1528,""))</f>
        <v/>
      </c>
      <c r="E1529" s="14" t="str">
        <f aca="false">IF(C1529="SELL",B1529,"")</f>
        <v/>
      </c>
      <c r="F1529" s="14" t="str">
        <f aca="false">IF(E1529="","",(E1529-D1529)/D1529*100)</f>
        <v/>
      </c>
      <c r="G1529" s="0" t="str">
        <f aca="false">IF(C1529="BUY","IN",IF(C1529="SELL","OUT",IF(G1528="IN","IN","OUT")))</f>
        <v>OUT</v>
      </c>
      <c r="H1529" s="14" t="n">
        <f aca="false">H1528+IF(F1529="",0,F1529)</f>
        <v>-21.8742531016473</v>
      </c>
      <c r="I1529" s="14" t="n">
        <f aca="false">MAX(I1528,H1529)</f>
        <v>43.9309628600509</v>
      </c>
      <c r="J1529" s="14" t="n">
        <f aca="false">I1529-H1529</f>
        <v>65.8052159616982</v>
      </c>
    </row>
    <row r="1530" customFormat="false" ht="15" hidden="false" customHeight="false" outlineLevel="0" collapsed="false">
      <c r="A1530" s="12" t="n">
        <f aca="false">Data!A1530</f>
        <v>44228</v>
      </c>
      <c r="B1530" s="14" t="n">
        <f aca="false">Data!B1530</f>
        <v>53.55</v>
      </c>
      <c r="C1530" s="0" t="str">
        <f aca="false">IF(Data!D1530="","HOLD",IF(AND(G1529&lt;&gt;"IN",Data!E1530&lt;-5),"BUY",IF(AND(G1529="IN",Data!E1530&gt;0),"SELL","HOLD")))</f>
        <v>HOLD</v>
      </c>
      <c r="D1530" s="14" t="str">
        <f aca="false">IF(C1530="BUY",B1530,IF(G1529="IN",D1529,""))</f>
        <v/>
      </c>
      <c r="E1530" s="14" t="str">
        <f aca="false">IF(C1530="SELL",B1530,"")</f>
        <v/>
      </c>
      <c r="F1530" s="14" t="str">
        <f aca="false">IF(E1530="","",(E1530-D1530)/D1530*100)</f>
        <v/>
      </c>
      <c r="G1530" s="0" t="str">
        <f aca="false">IF(C1530="BUY","IN",IF(C1530="SELL","OUT",IF(G1529="IN","IN","OUT")))</f>
        <v>OUT</v>
      </c>
      <c r="H1530" s="14" t="n">
        <f aca="false">H1529+IF(F1530="",0,F1530)</f>
        <v>-21.8742531016473</v>
      </c>
      <c r="I1530" s="14" t="n">
        <f aca="false">MAX(I1529,H1530)</f>
        <v>43.9309628600509</v>
      </c>
      <c r="J1530" s="14" t="n">
        <f aca="false">I1530-H1530</f>
        <v>65.8052159616982</v>
      </c>
    </row>
    <row r="1531" customFormat="false" ht="15" hidden="false" customHeight="false" outlineLevel="0" collapsed="false">
      <c r="A1531" s="12" t="n">
        <f aca="false">Data!A1531</f>
        <v>44229</v>
      </c>
      <c r="B1531" s="14" t="n">
        <f aca="false">Data!B1531</f>
        <v>54.76</v>
      </c>
      <c r="C1531" s="0" t="str">
        <f aca="false">IF(Data!D1531="","HOLD",IF(AND(G1530&lt;&gt;"IN",Data!E1531&lt;-5),"BUY",IF(AND(G1530="IN",Data!E1531&gt;0),"SELL","HOLD")))</f>
        <v>HOLD</v>
      </c>
      <c r="D1531" s="14" t="str">
        <f aca="false">IF(C1531="BUY",B1531,IF(G1530="IN",D1530,""))</f>
        <v/>
      </c>
      <c r="E1531" s="14" t="str">
        <f aca="false">IF(C1531="SELL",B1531,"")</f>
        <v/>
      </c>
      <c r="F1531" s="14" t="str">
        <f aca="false">IF(E1531="","",(E1531-D1531)/D1531*100)</f>
        <v/>
      </c>
      <c r="G1531" s="0" t="str">
        <f aca="false">IF(C1531="BUY","IN",IF(C1531="SELL","OUT",IF(G1530="IN","IN","OUT")))</f>
        <v>OUT</v>
      </c>
      <c r="H1531" s="14" t="n">
        <f aca="false">H1530+IF(F1531="",0,F1531)</f>
        <v>-21.8742531016473</v>
      </c>
      <c r="I1531" s="14" t="n">
        <f aca="false">MAX(I1530,H1531)</f>
        <v>43.9309628600509</v>
      </c>
      <c r="J1531" s="14" t="n">
        <f aca="false">I1531-H1531</f>
        <v>65.8052159616982</v>
      </c>
    </row>
    <row r="1532" customFormat="false" ht="15" hidden="false" customHeight="false" outlineLevel="0" collapsed="false">
      <c r="A1532" s="12" t="n">
        <f aca="false">Data!A1532</f>
        <v>44230</v>
      </c>
      <c r="B1532" s="14" t="n">
        <f aca="false">Data!B1532</f>
        <v>55.69</v>
      </c>
      <c r="C1532" s="0" t="str">
        <f aca="false">IF(Data!D1532="","HOLD",IF(AND(G1531&lt;&gt;"IN",Data!E1532&lt;-5),"BUY",IF(AND(G1531="IN",Data!E1532&gt;0),"SELL","HOLD")))</f>
        <v>HOLD</v>
      </c>
      <c r="D1532" s="14" t="str">
        <f aca="false">IF(C1532="BUY",B1532,IF(G1531="IN",D1531,""))</f>
        <v/>
      </c>
      <c r="E1532" s="14" t="str">
        <f aca="false">IF(C1532="SELL",B1532,"")</f>
        <v/>
      </c>
      <c r="F1532" s="14" t="str">
        <f aca="false">IF(E1532="","",(E1532-D1532)/D1532*100)</f>
        <v/>
      </c>
      <c r="G1532" s="0" t="str">
        <f aca="false">IF(C1532="BUY","IN",IF(C1532="SELL","OUT",IF(G1531="IN","IN","OUT")))</f>
        <v>OUT</v>
      </c>
      <c r="H1532" s="14" t="n">
        <f aca="false">H1531+IF(F1532="",0,F1532)</f>
        <v>-21.8742531016473</v>
      </c>
      <c r="I1532" s="14" t="n">
        <f aca="false">MAX(I1531,H1532)</f>
        <v>43.9309628600509</v>
      </c>
      <c r="J1532" s="14" t="n">
        <f aca="false">I1532-H1532</f>
        <v>65.8052159616982</v>
      </c>
    </row>
    <row r="1533" customFormat="false" ht="15" hidden="false" customHeight="false" outlineLevel="0" collapsed="false">
      <c r="A1533" s="12" t="n">
        <f aca="false">Data!A1533</f>
        <v>44231</v>
      </c>
      <c r="B1533" s="14" t="n">
        <f aca="false">Data!B1533</f>
        <v>56.23</v>
      </c>
      <c r="C1533" s="0" t="str">
        <f aca="false">IF(Data!D1533="","HOLD",IF(AND(G1532&lt;&gt;"IN",Data!E1533&lt;-5),"BUY",IF(AND(G1532="IN",Data!E1533&gt;0),"SELL","HOLD")))</f>
        <v>HOLD</v>
      </c>
      <c r="D1533" s="14" t="str">
        <f aca="false">IF(C1533="BUY",B1533,IF(G1532="IN",D1532,""))</f>
        <v/>
      </c>
      <c r="E1533" s="14" t="str">
        <f aca="false">IF(C1533="SELL",B1533,"")</f>
        <v/>
      </c>
      <c r="F1533" s="14" t="str">
        <f aca="false">IF(E1533="","",(E1533-D1533)/D1533*100)</f>
        <v/>
      </c>
      <c r="G1533" s="0" t="str">
        <f aca="false">IF(C1533="BUY","IN",IF(C1533="SELL","OUT",IF(G1532="IN","IN","OUT")))</f>
        <v>OUT</v>
      </c>
      <c r="H1533" s="14" t="n">
        <f aca="false">H1532+IF(F1533="",0,F1533)</f>
        <v>-21.8742531016473</v>
      </c>
      <c r="I1533" s="14" t="n">
        <f aca="false">MAX(I1532,H1533)</f>
        <v>43.9309628600509</v>
      </c>
      <c r="J1533" s="14" t="n">
        <f aca="false">I1533-H1533</f>
        <v>65.8052159616982</v>
      </c>
    </row>
    <row r="1534" customFormat="false" ht="15" hidden="false" customHeight="false" outlineLevel="0" collapsed="false">
      <c r="A1534" s="12" t="n">
        <f aca="false">Data!A1534</f>
        <v>44232</v>
      </c>
      <c r="B1534" s="14" t="n">
        <f aca="false">Data!B1534</f>
        <v>56.85</v>
      </c>
      <c r="C1534" s="0" t="str">
        <f aca="false">IF(Data!D1534="","HOLD",IF(AND(G1533&lt;&gt;"IN",Data!E1534&lt;-5),"BUY",IF(AND(G1533="IN",Data!E1534&gt;0),"SELL","HOLD")))</f>
        <v>HOLD</v>
      </c>
      <c r="D1534" s="14" t="str">
        <f aca="false">IF(C1534="BUY",B1534,IF(G1533="IN",D1533,""))</f>
        <v/>
      </c>
      <c r="E1534" s="14" t="str">
        <f aca="false">IF(C1534="SELL",B1534,"")</f>
        <v/>
      </c>
      <c r="F1534" s="14" t="str">
        <f aca="false">IF(E1534="","",(E1534-D1534)/D1534*100)</f>
        <v/>
      </c>
      <c r="G1534" s="0" t="str">
        <f aca="false">IF(C1534="BUY","IN",IF(C1534="SELL","OUT",IF(G1533="IN","IN","OUT")))</f>
        <v>OUT</v>
      </c>
      <c r="H1534" s="14" t="n">
        <f aca="false">H1533+IF(F1534="",0,F1534)</f>
        <v>-21.8742531016473</v>
      </c>
      <c r="I1534" s="14" t="n">
        <f aca="false">MAX(I1533,H1534)</f>
        <v>43.9309628600509</v>
      </c>
      <c r="J1534" s="14" t="n">
        <f aca="false">I1534-H1534</f>
        <v>65.8052159616982</v>
      </c>
    </row>
    <row r="1535" customFormat="false" ht="15" hidden="false" customHeight="false" outlineLevel="0" collapsed="false">
      <c r="A1535" s="12" t="n">
        <f aca="false">Data!A1535</f>
        <v>44235</v>
      </c>
      <c r="B1535" s="14" t="n">
        <f aca="false">Data!B1535</f>
        <v>57.97</v>
      </c>
      <c r="C1535" s="0" t="str">
        <f aca="false">IF(Data!D1535="","HOLD",IF(AND(G1534&lt;&gt;"IN",Data!E1535&lt;-5),"BUY",IF(AND(G1534="IN",Data!E1535&gt;0),"SELL","HOLD")))</f>
        <v>HOLD</v>
      </c>
      <c r="D1535" s="14" t="str">
        <f aca="false">IF(C1535="BUY",B1535,IF(G1534="IN",D1534,""))</f>
        <v/>
      </c>
      <c r="E1535" s="14" t="str">
        <f aca="false">IF(C1535="SELL",B1535,"")</f>
        <v/>
      </c>
      <c r="F1535" s="14" t="str">
        <f aca="false">IF(E1535="","",(E1535-D1535)/D1535*100)</f>
        <v/>
      </c>
      <c r="G1535" s="0" t="str">
        <f aca="false">IF(C1535="BUY","IN",IF(C1535="SELL","OUT",IF(G1534="IN","IN","OUT")))</f>
        <v>OUT</v>
      </c>
      <c r="H1535" s="14" t="n">
        <f aca="false">H1534+IF(F1535="",0,F1535)</f>
        <v>-21.8742531016473</v>
      </c>
      <c r="I1535" s="14" t="n">
        <f aca="false">MAX(I1534,H1535)</f>
        <v>43.9309628600509</v>
      </c>
      <c r="J1535" s="14" t="n">
        <f aca="false">I1535-H1535</f>
        <v>65.8052159616982</v>
      </c>
    </row>
    <row r="1536" customFormat="false" ht="15" hidden="false" customHeight="false" outlineLevel="0" collapsed="false">
      <c r="A1536" s="12" t="n">
        <f aca="false">Data!A1536</f>
        <v>44236</v>
      </c>
      <c r="B1536" s="14" t="n">
        <f aca="false">Data!B1536</f>
        <v>58.36</v>
      </c>
      <c r="C1536" s="0" t="str">
        <f aca="false">IF(Data!D1536="","HOLD",IF(AND(G1535&lt;&gt;"IN",Data!E1536&lt;-5),"BUY",IF(AND(G1535="IN",Data!E1536&gt;0),"SELL","HOLD")))</f>
        <v>HOLD</v>
      </c>
      <c r="D1536" s="14" t="str">
        <f aca="false">IF(C1536="BUY",B1536,IF(G1535="IN",D1535,""))</f>
        <v/>
      </c>
      <c r="E1536" s="14" t="str">
        <f aca="false">IF(C1536="SELL",B1536,"")</f>
        <v/>
      </c>
      <c r="F1536" s="14" t="str">
        <f aca="false">IF(E1536="","",(E1536-D1536)/D1536*100)</f>
        <v/>
      </c>
      <c r="G1536" s="0" t="str">
        <f aca="false">IF(C1536="BUY","IN",IF(C1536="SELL","OUT",IF(G1535="IN","IN","OUT")))</f>
        <v>OUT</v>
      </c>
      <c r="H1536" s="14" t="n">
        <f aca="false">H1535+IF(F1536="",0,F1536)</f>
        <v>-21.8742531016473</v>
      </c>
      <c r="I1536" s="14" t="n">
        <f aca="false">MAX(I1535,H1536)</f>
        <v>43.9309628600509</v>
      </c>
      <c r="J1536" s="14" t="n">
        <f aca="false">I1536-H1536</f>
        <v>65.8052159616982</v>
      </c>
    </row>
    <row r="1537" customFormat="false" ht="15" hidden="false" customHeight="false" outlineLevel="0" collapsed="false">
      <c r="A1537" s="12" t="n">
        <f aca="false">Data!A1537</f>
        <v>44237</v>
      </c>
      <c r="B1537" s="14" t="n">
        <f aca="false">Data!B1537</f>
        <v>58.68</v>
      </c>
      <c r="C1537" s="0" t="str">
        <f aca="false">IF(Data!D1537="","HOLD",IF(AND(G1536&lt;&gt;"IN",Data!E1537&lt;-5),"BUY",IF(AND(G1536="IN",Data!E1537&gt;0),"SELL","HOLD")))</f>
        <v>HOLD</v>
      </c>
      <c r="D1537" s="14" t="str">
        <f aca="false">IF(C1537="BUY",B1537,IF(G1536="IN",D1536,""))</f>
        <v/>
      </c>
      <c r="E1537" s="14" t="str">
        <f aca="false">IF(C1537="SELL",B1537,"")</f>
        <v/>
      </c>
      <c r="F1537" s="14" t="str">
        <f aca="false">IF(E1537="","",(E1537-D1537)/D1537*100)</f>
        <v/>
      </c>
      <c r="G1537" s="0" t="str">
        <f aca="false">IF(C1537="BUY","IN",IF(C1537="SELL","OUT",IF(G1536="IN","IN","OUT")))</f>
        <v>OUT</v>
      </c>
      <c r="H1537" s="14" t="n">
        <f aca="false">H1536+IF(F1537="",0,F1537)</f>
        <v>-21.8742531016473</v>
      </c>
      <c r="I1537" s="14" t="n">
        <f aca="false">MAX(I1536,H1537)</f>
        <v>43.9309628600509</v>
      </c>
      <c r="J1537" s="14" t="n">
        <f aca="false">I1537-H1537</f>
        <v>65.8052159616982</v>
      </c>
    </row>
    <row r="1538" customFormat="false" ht="15" hidden="false" customHeight="false" outlineLevel="0" collapsed="false">
      <c r="A1538" s="12" t="n">
        <f aca="false">Data!A1538</f>
        <v>44238</v>
      </c>
      <c r="B1538" s="14" t="n">
        <f aca="false">Data!B1538</f>
        <v>58.24</v>
      </c>
      <c r="C1538" s="0" t="str">
        <f aca="false">IF(Data!D1538="","HOLD",IF(AND(G1537&lt;&gt;"IN",Data!E1538&lt;-5),"BUY",IF(AND(G1537="IN",Data!E1538&gt;0),"SELL","HOLD")))</f>
        <v>HOLD</v>
      </c>
      <c r="D1538" s="14" t="str">
        <f aca="false">IF(C1538="BUY",B1538,IF(G1537="IN",D1537,""))</f>
        <v/>
      </c>
      <c r="E1538" s="14" t="str">
        <f aca="false">IF(C1538="SELL",B1538,"")</f>
        <v/>
      </c>
      <c r="F1538" s="14" t="str">
        <f aca="false">IF(E1538="","",(E1538-D1538)/D1538*100)</f>
        <v/>
      </c>
      <c r="G1538" s="0" t="str">
        <f aca="false">IF(C1538="BUY","IN",IF(C1538="SELL","OUT",IF(G1537="IN","IN","OUT")))</f>
        <v>OUT</v>
      </c>
      <c r="H1538" s="14" t="n">
        <f aca="false">H1537+IF(F1538="",0,F1538)</f>
        <v>-21.8742531016473</v>
      </c>
      <c r="I1538" s="14" t="n">
        <f aca="false">MAX(I1537,H1538)</f>
        <v>43.9309628600509</v>
      </c>
      <c r="J1538" s="14" t="n">
        <f aca="false">I1538-H1538</f>
        <v>65.8052159616982</v>
      </c>
    </row>
    <row r="1539" customFormat="false" ht="15" hidden="false" customHeight="false" outlineLevel="0" collapsed="false">
      <c r="A1539" s="12" t="n">
        <f aca="false">Data!A1539</f>
        <v>44239</v>
      </c>
      <c r="B1539" s="14" t="n">
        <f aca="false">Data!B1539</f>
        <v>59.47</v>
      </c>
      <c r="C1539" s="0" t="str">
        <f aca="false">IF(Data!D1539="","HOLD",IF(AND(G1538&lt;&gt;"IN",Data!E1539&lt;-5),"BUY",IF(AND(G1538="IN",Data!E1539&gt;0),"SELL","HOLD")))</f>
        <v>HOLD</v>
      </c>
      <c r="D1539" s="14" t="str">
        <f aca="false">IF(C1539="BUY",B1539,IF(G1538="IN",D1538,""))</f>
        <v/>
      </c>
      <c r="E1539" s="14" t="str">
        <f aca="false">IF(C1539="SELL",B1539,"")</f>
        <v/>
      </c>
      <c r="F1539" s="14" t="str">
        <f aca="false">IF(E1539="","",(E1539-D1539)/D1539*100)</f>
        <v/>
      </c>
      <c r="G1539" s="0" t="str">
        <f aca="false">IF(C1539="BUY","IN",IF(C1539="SELL","OUT",IF(G1538="IN","IN","OUT")))</f>
        <v>OUT</v>
      </c>
      <c r="H1539" s="14" t="n">
        <f aca="false">H1538+IF(F1539="",0,F1539)</f>
        <v>-21.8742531016473</v>
      </c>
      <c r="I1539" s="14" t="n">
        <f aca="false">MAX(I1538,H1539)</f>
        <v>43.9309628600509</v>
      </c>
      <c r="J1539" s="14" t="n">
        <f aca="false">I1539-H1539</f>
        <v>65.8052159616982</v>
      </c>
    </row>
    <row r="1540" customFormat="false" ht="15" hidden="false" customHeight="false" outlineLevel="0" collapsed="false">
      <c r="A1540" s="12" t="n">
        <f aca="false">Data!A1540</f>
        <v>44243</v>
      </c>
      <c r="B1540" s="14" t="n">
        <f aca="false">Data!B1540</f>
        <v>60.05</v>
      </c>
      <c r="C1540" s="0" t="str">
        <f aca="false">IF(Data!D1540="","HOLD",IF(AND(G1539&lt;&gt;"IN",Data!E1540&lt;-5),"BUY",IF(AND(G1539="IN",Data!E1540&gt;0),"SELL","HOLD")))</f>
        <v>HOLD</v>
      </c>
      <c r="D1540" s="14" t="str">
        <f aca="false">IF(C1540="BUY",B1540,IF(G1539="IN",D1539,""))</f>
        <v/>
      </c>
      <c r="E1540" s="14" t="str">
        <f aca="false">IF(C1540="SELL",B1540,"")</f>
        <v/>
      </c>
      <c r="F1540" s="14" t="str">
        <f aca="false">IF(E1540="","",(E1540-D1540)/D1540*100)</f>
        <v/>
      </c>
      <c r="G1540" s="0" t="str">
        <f aca="false">IF(C1540="BUY","IN",IF(C1540="SELL","OUT",IF(G1539="IN","IN","OUT")))</f>
        <v>OUT</v>
      </c>
      <c r="H1540" s="14" t="n">
        <f aca="false">H1539+IF(F1540="",0,F1540)</f>
        <v>-21.8742531016473</v>
      </c>
      <c r="I1540" s="14" t="n">
        <f aca="false">MAX(I1539,H1540)</f>
        <v>43.9309628600509</v>
      </c>
      <c r="J1540" s="14" t="n">
        <f aca="false">I1540-H1540</f>
        <v>65.8052159616982</v>
      </c>
    </row>
    <row r="1541" customFormat="false" ht="15" hidden="false" customHeight="false" outlineLevel="0" collapsed="false">
      <c r="A1541" s="12" t="n">
        <f aca="false">Data!A1541</f>
        <v>44244</v>
      </c>
      <c r="B1541" s="14" t="n">
        <f aca="false">Data!B1541</f>
        <v>61.14</v>
      </c>
      <c r="C1541" s="0" t="str">
        <f aca="false">IF(Data!D1541="","HOLD",IF(AND(G1540&lt;&gt;"IN",Data!E1541&lt;-5),"BUY",IF(AND(G1540="IN",Data!E1541&gt;0),"SELL","HOLD")))</f>
        <v>HOLD</v>
      </c>
      <c r="D1541" s="14" t="str">
        <f aca="false">IF(C1541="BUY",B1541,IF(G1540="IN",D1540,""))</f>
        <v/>
      </c>
      <c r="E1541" s="14" t="str">
        <f aca="false">IF(C1541="SELL",B1541,"")</f>
        <v/>
      </c>
      <c r="F1541" s="14" t="str">
        <f aca="false">IF(E1541="","",(E1541-D1541)/D1541*100)</f>
        <v/>
      </c>
      <c r="G1541" s="0" t="str">
        <f aca="false">IF(C1541="BUY","IN",IF(C1541="SELL","OUT",IF(G1540="IN","IN","OUT")))</f>
        <v>OUT</v>
      </c>
      <c r="H1541" s="14" t="n">
        <f aca="false">H1540+IF(F1541="",0,F1541)</f>
        <v>-21.8742531016473</v>
      </c>
      <c r="I1541" s="14" t="n">
        <f aca="false">MAX(I1540,H1541)</f>
        <v>43.9309628600509</v>
      </c>
      <c r="J1541" s="14" t="n">
        <f aca="false">I1541-H1541</f>
        <v>65.8052159616982</v>
      </c>
    </row>
    <row r="1542" customFormat="false" ht="15" hidden="false" customHeight="false" outlineLevel="0" collapsed="false">
      <c r="A1542" s="12" t="n">
        <f aca="false">Data!A1542</f>
        <v>44245</v>
      </c>
      <c r="B1542" s="14" t="n">
        <f aca="false">Data!B1542</f>
        <v>60.52</v>
      </c>
      <c r="C1542" s="0" t="str">
        <f aca="false">IF(Data!D1542="","HOLD",IF(AND(G1541&lt;&gt;"IN",Data!E1542&lt;-5),"BUY",IF(AND(G1541="IN",Data!E1542&gt;0),"SELL","HOLD")))</f>
        <v>HOLD</v>
      </c>
      <c r="D1542" s="14" t="str">
        <f aca="false">IF(C1542="BUY",B1542,IF(G1541="IN",D1541,""))</f>
        <v/>
      </c>
      <c r="E1542" s="14" t="str">
        <f aca="false">IF(C1542="SELL",B1542,"")</f>
        <v/>
      </c>
      <c r="F1542" s="14" t="str">
        <f aca="false">IF(E1542="","",(E1542-D1542)/D1542*100)</f>
        <v/>
      </c>
      <c r="G1542" s="0" t="str">
        <f aca="false">IF(C1542="BUY","IN",IF(C1542="SELL","OUT",IF(G1541="IN","IN","OUT")))</f>
        <v>OUT</v>
      </c>
      <c r="H1542" s="14" t="n">
        <f aca="false">H1541+IF(F1542="",0,F1542)</f>
        <v>-21.8742531016473</v>
      </c>
      <c r="I1542" s="14" t="n">
        <f aca="false">MAX(I1541,H1542)</f>
        <v>43.9309628600509</v>
      </c>
      <c r="J1542" s="14" t="n">
        <f aca="false">I1542-H1542</f>
        <v>65.8052159616982</v>
      </c>
    </row>
    <row r="1543" customFormat="false" ht="15" hidden="false" customHeight="false" outlineLevel="0" collapsed="false">
      <c r="A1543" s="12" t="n">
        <f aca="false">Data!A1543</f>
        <v>44246</v>
      </c>
      <c r="B1543" s="14" t="n">
        <f aca="false">Data!B1543</f>
        <v>59.24</v>
      </c>
      <c r="C1543" s="0" t="str">
        <f aca="false">IF(Data!D1543="","HOLD",IF(AND(G1542&lt;&gt;"IN",Data!E1543&lt;-5),"BUY",IF(AND(G1542="IN",Data!E1543&gt;0),"SELL","HOLD")))</f>
        <v>HOLD</v>
      </c>
      <c r="D1543" s="14" t="str">
        <f aca="false">IF(C1543="BUY",B1543,IF(G1542="IN",D1542,""))</f>
        <v/>
      </c>
      <c r="E1543" s="14" t="str">
        <f aca="false">IF(C1543="SELL",B1543,"")</f>
        <v/>
      </c>
      <c r="F1543" s="14" t="str">
        <f aca="false">IF(E1543="","",(E1543-D1543)/D1543*100)</f>
        <v/>
      </c>
      <c r="G1543" s="0" t="str">
        <f aca="false">IF(C1543="BUY","IN",IF(C1543="SELL","OUT",IF(G1542="IN","IN","OUT")))</f>
        <v>OUT</v>
      </c>
      <c r="H1543" s="14" t="n">
        <f aca="false">H1542+IF(F1543="",0,F1543)</f>
        <v>-21.8742531016473</v>
      </c>
      <c r="I1543" s="14" t="n">
        <f aca="false">MAX(I1542,H1543)</f>
        <v>43.9309628600509</v>
      </c>
      <c r="J1543" s="14" t="n">
        <f aca="false">I1543-H1543</f>
        <v>65.8052159616982</v>
      </c>
    </row>
    <row r="1544" customFormat="false" ht="15" hidden="false" customHeight="false" outlineLevel="0" collapsed="false">
      <c r="A1544" s="12" t="n">
        <f aca="false">Data!A1544</f>
        <v>44249</v>
      </c>
      <c r="B1544" s="14" t="n">
        <f aca="false">Data!B1544</f>
        <v>61.49</v>
      </c>
      <c r="C1544" s="0" t="str">
        <f aca="false">IF(Data!D1544="","HOLD",IF(AND(G1543&lt;&gt;"IN",Data!E1544&lt;-5),"BUY",IF(AND(G1543="IN",Data!E1544&gt;0),"SELL","HOLD")))</f>
        <v>HOLD</v>
      </c>
      <c r="D1544" s="14" t="str">
        <f aca="false">IF(C1544="BUY",B1544,IF(G1543="IN",D1543,""))</f>
        <v/>
      </c>
      <c r="E1544" s="14" t="str">
        <f aca="false">IF(C1544="SELL",B1544,"")</f>
        <v/>
      </c>
      <c r="F1544" s="14" t="str">
        <f aca="false">IF(E1544="","",(E1544-D1544)/D1544*100)</f>
        <v/>
      </c>
      <c r="G1544" s="0" t="str">
        <f aca="false">IF(C1544="BUY","IN",IF(C1544="SELL","OUT",IF(G1543="IN","IN","OUT")))</f>
        <v>OUT</v>
      </c>
      <c r="H1544" s="14" t="n">
        <f aca="false">H1543+IF(F1544="",0,F1544)</f>
        <v>-21.8742531016473</v>
      </c>
      <c r="I1544" s="14" t="n">
        <f aca="false">MAX(I1543,H1544)</f>
        <v>43.9309628600509</v>
      </c>
      <c r="J1544" s="14" t="n">
        <f aca="false">I1544-H1544</f>
        <v>65.8052159616982</v>
      </c>
    </row>
    <row r="1545" customFormat="false" ht="15" hidden="false" customHeight="false" outlineLevel="0" collapsed="false">
      <c r="A1545" s="12" t="n">
        <f aca="false">Data!A1545</f>
        <v>44250</v>
      </c>
      <c r="B1545" s="14" t="n">
        <f aca="false">Data!B1545</f>
        <v>61.67</v>
      </c>
      <c r="C1545" s="0" t="str">
        <f aca="false">IF(Data!D1545="","HOLD",IF(AND(G1544&lt;&gt;"IN",Data!E1545&lt;-5),"BUY",IF(AND(G1544="IN",Data!E1545&gt;0),"SELL","HOLD")))</f>
        <v>HOLD</v>
      </c>
      <c r="D1545" s="14" t="str">
        <f aca="false">IF(C1545="BUY",B1545,IF(G1544="IN",D1544,""))</f>
        <v/>
      </c>
      <c r="E1545" s="14" t="str">
        <f aca="false">IF(C1545="SELL",B1545,"")</f>
        <v/>
      </c>
      <c r="F1545" s="14" t="str">
        <f aca="false">IF(E1545="","",(E1545-D1545)/D1545*100)</f>
        <v/>
      </c>
      <c r="G1545" s="0" t="str">
        <f aca="false">IF(C1545="BUY","IN",IF(C1545="SELL","OUT",IF(G1544="IN","IN","OUT")))</f>
        <v>OUT</v>
      </c>
      <c r="H1545" s="14" t="n">
        <f aca="false">H1544+IF(F1545="",0,F1545)</f>
        <v>-21.8742531016473</v>
      </c>
      <c r="I1545" s="14" t="n">
        <f aca="false">MAX(I1544,H1545)</f>
        <v>43.9309628600509</v>
      </c>
      <c r="J1545" s="14" t="n">
        <f aca="false">I1545-H1545</f>
        <v>65.8052159616982</v>
      </c>
    </row>
    <row r="1546" customFormat="false" ht="15" hidden="false" customHeight="false" outlineLevel="0" collapsed="false">
      <c r="A1546" s="12" t="n">
        <f aca="false">Data!A1546</f>
        <v>44251</v>
      </c>
      <c r="B1546" s="14" t="n">
        <f aca="false">Data!B1546</f>
        <v>63.22</v>
      </c>
      <c r="C1546" s="0" t="str">
        <f aca="false">IF(Data!D1546="","HOLD",IF(AND(G1545&lt;&gt;"IN",Data!E1546&lt;-5),"BUY",IF(AND(G1545="IN",Data!E1546&gt;0),"SELL","HOLD")))</f>
        <v>HOLD</v>
      </c>
      <c r="D1546" s="14" t="str">
        <f aca="false">IF(C1546="BUY",B1546,IF(G1545="IN",D1545,""))</f>
        <v/>
      </c>
      <c r="E1546" s="14" t="str">
        <f aca="false">IF(C1546="SELL",B1546,"")</f>
        <v/>
      </c>
      <c r="F1546" s="14" t="str">
        <f aca="false">IF(E1546="","",(E1546-D1546)/D1546*100)</f>
        <v/>
      </c>
      <c r="G1546" s="0" t="str">
        <f aca="false">IF(C1546="BUY","IN",IF(C1546="SELL","OUT",IF(G1545="IN","IN","OUT")))</f>
        <v>OUT</v>
      </c>
      <c r="H1546" s="14" t="n">
        <f aca="false">H1545+IF(F1546="",0,F1546)</f>
        <v>-21.8742531016473</v>
      </c>
      <c r="I1546" s="14" t="n">
        <f aca="false">MAX(I1545,H1546)</f>
        <v>43.9309628600509</v>
      </c>
      <c r="J1546" s="14" t="n">
        <f aca="false">I1546-H1546</f>
        <v>65.8052159616982</v>
      </c>
    </row>
    <row r="1547" customFormat="false" ht="15" hidden="false" customHeight="false" outlineLevel="0" collapsed="false">
      <c r="A1547" s="12" t="n">
        <f aca="false">Data!A1547</f>
        <v>44252</v>
      </c>
      <c r="B1547" s="14" t="n">
        <f aca="false">Data!B1547</f>
        <v>63.53</v>
      </c>
      <c r="C1547" s="0" t="str">
        <f aca="false">IF(Data!D1547="","HOLD",IF(AND(G1546&lt;&gt;"IN",Data!E1547&lt;-5),"BUY",IF(AND(G1546="IN",Data!E1547&gt;0),"SELL","HOLD")))</f>
        <v>HOLD</v>
      </c>
      <c r="D1547" s="14" t="str">
        <f aca="false">IF(C1547="BUY",B1547,IF(G1546="IN",D1546,""))</f>
        <v/>
      </c>
      <c r="E1547" s="14" t="str">
        <f aca="false">IF(C1547="SELL",B1547,"")</f>
        <v/>
      </c>
      <c r="F1547" s="14" t="str">
        <f aca="false">IF(E1547="","",(E1547-D1547)/D1547*100)</f>
        <v/>
      </c>
      <c r="G1547" s="0" t="str">
        <f aca="false">IF(C1547="BUY","IN",IF(C1547="SELL","OUT",IF(G1546="IN","IN","OUT")))</f>
        <v>OUT</v>
      </c>
      <c r="H1547" s="14" t="n">
        <f aca="false">H1546+IF(F1547="",0,F1547)</f>
        <v>-21.8742531016473</v>
      </c>
      <c r="I1547" s="14" t="n">
        <f aca="false">MAX(I1546,H1547)</f>
        <v>43.9309628600509</v>
      </c>
      <c r="J1547" s="14" t="n">
        <f aca="false">I1547-H1547</f>
        <v>65.8052159616982</v>
      </c>
    </row>
    <row r="1548" customFormat="false" ht="15" hidden="false" customHeight="false" outlineLevel="0" collapsed="false">
      <c r="A1548" s="12" t="n">
        <f aca="false">Data!A1548</f>
        <v>44253</v>
      </c>
      <c r="B1548" s="14" t="n">
        <f aca="false">Data!B1548</f>
        <v>61.5</v>
      </c>
      <c r="C1548" s="0" t="str">
        <f aca="false">IF(Data!D1548="","HOLD",IF(AND(G1547&lt;&gt;"IN",Data!E1548&lt;-5),"BUY",IF(AND(G1547="IN",Data!E1548&gt;0),"SELL","HOLD")))</f>
        <v>HOLD</v>
      </c>
      <c r="D1548" s="14" t="str">
        <f aca="false">IF(C1548="BUY",B1548,IF(G1547="IN",D1547,""))</f>
        <v/>
      </c>
      <c r="E1548" s="14" t="str">
        <f aca="false">IF(C1548="SELL",B1548,"")</f>
        <v/>
      </c>
      <c r="F1548" s="14" t="str">
        <f aca="false">IF(E1548="","",(E1548-D1548)/D1548*100)</f>
        <v/>
      </c>
      <c r="G1548" s="0" t="str">
        <f aca="false">IF(C1548="BUY","IN",IF(C1548="SELL","OUT",IF(G1547="IN","IN","OUT")))</f>
        <v>OUT</v>
      </c>
      <c r="H1548" s="14" t="n">
        <f aca="false">H1547+IF(F1548="",0,F1548)</f>
        <v>-21.8742531016473</v>
      </c>
      <c r="I1548" s="14" t="n">
        <f aca="false">MAX(I1547,H1548)</f>
        <v>43.9309628600509</v>
      </c>
      <c r="J1548" s="14" t="n">
        <f aca="false">I1548-H1548</f>
        <v>65.8052159616982</v>
      </c>
    </row>
    <row r="1549" customFormat="false" ht="15" hidden="false" customHeight="false" outlineLevel="0" collapsed="false">
      <c r="A1549" s="12" t="n">
        <f aca="false">Data!A1549</f>
        <v>44256</v>
      </c>
      <c r="B1549" s="14" t="n">
        <f aca="false">Data!B1549</f>
        <v>60.64</v>
      </c>
      <c r="C1549" s="0" t="str">
        <f aca="false">IF(Data!D1549="","HOLD",IF(AND(G1548&lt;&gt;"IN",Data!E1549&lt;-5),"BUY",IF(AND(G1548="IN",Data!E1549&gt;0),"SELL","HOLD")))</f>
        <v>HOLD</v>
      </c>
      <c r="D1549" s="14" t="str">
        <f aca="false">IF(C1549="BUY",B1549,IF(G1548="IN",D1548,""))</f>
        <v/>
      </c>
      <c r="E1549" s="14" t="str">
        <f aca="false">IF(C1549="SELL",B1549,"")</f>
        <v/>
      </c>
      <c r="F1549" s="14" t="str">
        <f aca="false">IF(E1549="","",(E1549-D1549)/D1549*100)</f>
        <v/>
      </c>
      <c r="G1549" s="0" t="str">
        <f aca="false">IF(C1549="BUY","IN",IF(C1549="SELL","OUT",IF(G1548="IN","IN","OUT")))</f>
        <v>OUT</v>
      </c>
      <c r="H1549" s="14" t="n">
        <f aca="false">H1548+IF(F1549="",0,F1549)</f>
        <v>-21.8742531016473</v>
      </c>
      <c r="I1549" s="14" t="n">
        <f aca="false">MAX(I1548,H1549)</f>
        <v>43.9309628600509</v>
      </c>
      <c r="J1549" s="14" t="n">
        <f aca="false">I1549-H1549</f>
        <v>65.8052159616982</v>
      </c>
    </row>
    <row r="1550" customFormat="false" ht="15" hidden="false" customHeight="false" outlineLevel="0" collapsed="false">
      <c r="A1550" s="12" t="n">
        <f aca="false">Data!A1550</f>
        <v>44257</v>
      </c>
      <c r="B1550" s="14" t="n">
        <f aca="false">Data!B1550</f>
        <v>59.75</v>
      </c>
      <c r="C1550" s="0" t="str">
        <f aca="false">IF(Data!D1550="","HOLD",IF(AND(G1549&lt;&gt;"IN",Data!E1550&lt;-5),"BUY",IF(AND(G1549="IN",Data!E1550&gt;0),"SELL","HOLD")))</f>
        <v>HOLD</v>
      </c>
      <c r="D1550" s="14" t="str">
        <f aca="false">IF(C1550="BUY",B1550,IF(G1549="IN",D1549,""))</f>
        <v/>
      </c>
      <c r="E1550" s="14" t="str">
        <f aca="false">IF(C1550="SELL",B1550,"")</f>
        <v/>
      </c>
      <c r="F1550" s="14" t="str">
        <f aca="false">IF(E1550="","",(E1550-D1550)/D1550*100)</f>
        <v/>
      </c>
      <c r="G1550" s="0" t="str">
        <f aca="false">IF(C1550="BUY","IN",IF(C1550="SELL","OUT",IF(G1549="IN","IN","OUT")))</f>
        <v>OUT</v>
      </c>
      <c r="H1550" s="14" t="n">
        <f aca="false">H1549+IF(F1550="",0,F1550)</f>
        <v>-21.8742531016473</v>
      </c>
      <c r="I1550" s="14" t="n">
        <f aca="false">MAX(I1549,H1550)</f>
        <v>43.9309628600509</v>
      </c>
      <c r="J1550" s="14" t="n">
        <f aca="false">I1550-H1550</f>
        <v>65.8052159616982</v>
      </c>
    </row>
    <row r="1551" customFormat="false" ht="15" hidden="false" customHeight="false" outlineLevel="0" collapsed="false">
      <c r="A1551" s="12" t="n">
        <f aca="false">Data!A1551</f>
        <v>44258</v>
      </c>
      <c r="B1551" s="14" t="n">
        <f aca="false">Data!B1551</f>
        <v>61.28</v>
      </c>
      <c r="C1551" s="0" t="str">
        <f aca="false">IF(Data!D1551="","HOLD",IF(AND(G1550&lt;&gt;"IN",Data!E1551&lt;-5),"BUY",IF(AND(G1550="IN",Data!E1551&gt;0),"SELL","HOLD")))</f>
        <v>HOLD</v>
      </c>
      <c r="D1551" s="14" t="str">
        <f aca="false">IF(C1551="BUY",B1551,IF(G1550="IN",D1550,""))</f>
        <v/>
      </c>
      <c r="E1551" s="14" t="str">
        <f aca="false">IF(C1551="SELL",B1551,"")</f>
        <v/>
      </c>
      <c r="F1551" s="14" t="str">
        <f aca="false">IF(E1551="","",(E1551-D1551)/D1551*100)</f>
        <v/>
      </c>
      <c r="G1551" s="0" t="str">
        <f aca="false">IF(C1551="BUY","IN",IF(C1551="SELL","OUT",IF(G1550="IN","IN","OUT")))</f>
        <v>OUT</v>
      </c>
      <c r="H1551" s="14" t="n">
        <f aca="false">H1550+IF(F1551="",0,F1551)</f>
        <v>-21.8742531016473</v>
      </c>
      <c r="I1551" s="14" t="n">
        <f aca="false">MAX(I1550,H1551)</f>
        <v>43.9309628600509</v>
      </c>
      <c r="J1551" s="14" t="n">
        <f aca="false">I1551-H1551</f>
        <v>65.8052159616982</v>
      </c>
    </row>
    <row r="1552" customFormat="false" ht="15" hidden="false" customHeight="false" outlineLevel="0" collapsed="false">
      <c r="A1552" s="12" t="n">
        <f aca="false">Data!A1552</f>
        <v>44259</v>
      </c>
      <c r="B1552" s="14" t="n">
        <f aca="false">Data!B1552</f>
        <v>63.83</v>
      </c>
      <c r="C1552" s="0" t="str">
        <f aca="false">IF(Data!D1552="","HOLD",IF(AND(G1551&lt;&gt;"IN",Data!E1552&lt;-5),"BUY",IF(AND(G1551="IN",Data!E1552&gt;0),"SELL","HOLD")))</f>
        <v>HOLD</v>
      </c>
      <c r="D1552" s="14" t="str">
        <f aca="false">IF(C1552="BUY",B1552,IF(G1551="IN",D1551,""))</f>
        <v/>
      </c>
      <c r="E1552" s="14" t="str">
        <f aca="false">IF(C1552="SELL",B1552,"")</f>
        <v/>
      </c>
      <c r="F1552" s="14" t="str">
        <f aca="false">IF(E1552="","",(E1552-D1552)/D1552*100)</f>
        <v/>
      </c>
      <c r="G1552" s="0" t="str">
        <f aca="false">IF(C1552="BUY","IN",IF(C1552="SELL","OUT",IF(G1551="IN","IN","OUT")))</f>
        <v>OUT</v>
      </c>
      <c r="H1552" s="14" t="n">
        <f aca="false">H1551+IF(F1552="",0,F1552)</f>
        <v>-21.8742531016473</v>
      </c>
      <c r="I1552" s="14" t="n">
        <f aca="false">MAX(I1551,H1552)</f>
        <v>43.9309628600509</v>
      </c>
      <c r="J1552" s="14" t="n">
        <f aca="false">I1552-H1552</f>
        <v>65.8052159616982</v>
      </c>
    </row>
    <row r="1553" customFormat="false" ht="15" hidden="false" customHeight="false" outlineLevel="0" collapsed="false">
      <c r="A1553" s="12" t="n">
        <f aca="false">Data!A1553</f>
        <v>44260</v>
      </c>
      <c r="B1553" s="14" t="n">
        <f aca="false">Data!B1553</f>
        <v>66.09</v>
      </c>
      <c r="C1553" s="0" t="str">
        <f aca="false">IF(Data!D1553="","HOLD",IF(AND(G1552&lt;&gt;"IN",Data!E1553&lt;-5),"BUY",IF(AND(G1552="IN",Data!E1553&gt;0),"SELL","HOLD")))</f>
        <v>HOLD</v>
      </c>
      <c r="D1553" s="14" t="str">
        <f aca="false">IF(C1553="BUY",B1553,IF(G1552="IN",D1552,""))</f>
        <v/>
      </c>
      <c r="E1553" s="14" t="str">
        <f aca="false">IF(C1553="SELL",B1553,"")</f>
        <v/>
      </c>
      <c r="F1553" s="14" t="str">
        <f aca="false">IF(E1553="","",(E1553-D1553)/D1553*100)</f>
        <v/>
      </c>
      <c r="G1553" s="0" t="str">
        <f aca="false">IF(C1553="BUY","IN",IF(C1553="SELL","OUT",IF(G1552="IN","IN","OUT")))</f>
        <v>OUT</v>
      </c>
      <c r="H1553" s="14" t="n">
        <f aca="false">H1552+IF(F1553="",0,F1553)</f>
        <v>-21.8742531016473</v>
      </c>
      <c r="I1553" s="14" t="n">
        <f aca="false">MAX(I1552,H1553)</f>
        <v>43.9309628600509</v>
      </c>
      <c r="J1553" s="14" t="n">
        <f aca="false">I1553-H1553</f>
        <v>65.8052159616982</v>
      </c>
    </row>
    <row r="1554" customFormat="false" ht="15" hidden="false" customHeight="false" outlineLevel="0" collapsed="false">
      <c r="A1554" s="12" t="n">
        <f aca="false">Data!A1554</f>
        <v>44263</v>
      </c>
      <c r="B1554" s="14" t="n">
        <f aca="false">Data!B1554</f>
        <v>65.05</v>
      </c>
      <c r="C1554" s="0" t="str">
        <f aca="false">IF(Data!D1554="","HOLD",IF(AND(G1553&lt;&gt;"IN",Data!E1554&lt;-5),"BUY",IF(AND(G1553="IN",Data!E1554&gt;0),"SELL","HOLD")))</f>
        <v>HOLD</v>
      </c>
      <c r="D1554" s="14" t="str">
        <f aca="false">IF(C1554="BUY",B1554,IF(G1553="IN",D1553,""))</f>
        <v/>
      </c>
      <c r="E1554" s="14" t="str">
        <f aca="false">IF(C1554="SELL",B1554,"")</f>
        <v/>
      </c>
      <c r="F1554" s="14" t="str">
        <f aca="false">IF(E1554="","",(E1554-D1554)/D1554*100)</f>
        <v/>
      </c>
      <c r="G1554" s="0" t="str">
        <f aca="false">IF(C1554="BUY","IN",IF(C1554="SELL","OUT",IF(G1553="IN","IN","OUT")))</f>
        <v>OUT</v>
      </c>
      <c r="H1554" s="14" t="n">
        <f aca="false">H1553+IF(F1554="",0,F1554)</f>
        <v>-21.8742531016473</v>
      </c>
      <c r="I1554" s="14" t="n">
        <f aca="false">MAX(I1553,H1554)</f>
        <v>43.9309628600509</v>
      </c>
      <c r="J1554" s="14" t="n">
        <f aca="false">I1554-H1554</f>
        <v>65.8052159616982</v>
      </c>
    </row>
    <row r="1555" customFormat="false" ht="15" hidden="false" customHeight="false" outlineLevel="0" collapsed="false">
      <c r="A1555" s="12" t="n">
        <f aca="false">Data!A1555</f>
        <v>44264</v>
      </c>
      <c r="B1555" s="14" t="n">
        <f aca="false">Data!B1555</f>
        <v>64.01</v>
      </c>
      <c r="C1555" s="0" t="str">
        <f aca="false">IF(Data!D1555="","HOLD",IF(AND(G1554&lt;&gt;"IN",Data!E1555&lt;-5),"BUY",IF(AND(G1554="IN",Data!E1555&gt;0),"SELL","HOLD")))</f>
        <v>HOLD</v>
      </c>
      <c r="D1555" s="14" t="str">
        <f aca="false">IF(C1555="BUY",B1555,IF(G1554="IN",D1554,""))</f>
        <v/>
      </c>
      <c r="E1555" s="14" t="str">
        <f aca="false">IF(C1555="SELL",B1555,"")</f>
        <v/>
      </c>
      <c r="F1555" s="14" t="str">
        <f aca="false">IF(E1555="","",(E1555-D1555)/D1555*100)</f>
        <v/>
      </c>
      <c r="G1555" s="0" t="str">
        <f aca="false">IF(C1555="BUY","IN",IF(C1555="SELL","OUT",IF(G1554="IN","IN","OUT")))</f>
        <v>OUT</v>
      </c>
      <c r="H1555" s="14" t="n">
        <f aca="false">H1554+IF(F1555="",0,F1555)</f>
        <v>-21.8742531016473</v>
      </c>
      <c r="I1555" s="14" t="n">
        <f aca="false">MAX(I1554,H1555)</f>
        <v>43.9309628600509</v>
      </c>
      <c r="J1555" s="14" t="n">
        <f aca="false">I1555-H1555</f>
        <v>65.8052159616982</v>
      </c>
    </row>
    <row r="1556" customFormat="false" ht="15" hidden="false" customHeight="false" outlineLevel="0" collapsed="false">
      <c r="A1556" s="12" t="n">
        <f aca="false">Data!A1556</f>
        <v>44265</v>
      </c>
      <c r="B1556" s="14" t="n">
        <f aca="false">Data!B1556</f>
        <v>64.44</v>
      </c>
      <c r="C1556" s="0" t="str">
        <f aca="false">IF(Data!D1556="","HOLD",IF(AND(G1555&lt;&gt;"IN",Data!E1556&lt;-5),"BUY",IF(AND(G1555="IN",Data!E1556&gt;0),"SELL","HOLD")))</f>
        <v>HOLD</v>
      </c>
      <c r="D1556" s="14" t="str">
        <f aca="false">IF(C1556="BUY",B1556,IF(G1555="IN",D1555,""))</f>
        <v/>
      </c>
      <c r="E1556" s="14" t="str">
        <f aca="false">IF(C1556="SELL",B1556,"")</f>
        <v/>
      </c>
      <c r="F1556" s="14" t="str">
        <f aca="false">IF(E1556="","",(E1556-D1556)/D1556*100)</f>
        <v/>
      </c>
      <c r="G1556" s="0" t="str">
        <f aca="false">IF(C1556="BUY","IN",IF(C1556="SELL","OUT",IF(G1555="IN","IN","OUT")))</f>
        <v>OUT</v>
      </c>
      <c r="H1556" s="14" t="n">
        <f aca="false">H1555+IF(F1556="",0,F1556)</f>
        <v>-21.8742531016473</v>
      </c>
      <c r="I1556" s="14" t="n">
        <f aca="false">MAX(I1555,H1556)</f>
        <v>43.9309628600509</v>
      </c>
      <c r="J1556" s="14" t="n">
        <f aca="false">I1556-H1556</f>
        <v>65.8052159616982</v>
      </c>
    </row>
    <row r="1557" customFormat="false" ht="15" hidden="false" customHeight="false" outlineLevel="0" collapsed="false">
      <c r="A1557" s="12" t="n">
        <f aca="false">Data!A1557</f>
        <v>44266</v>
      </c>
      <c r="B1557" s="14" t="n">
        <f aca="false">Data!B1557</f>
        <v>66.02</v>
      </c>
      <c r="C1557" s="0" t="str">
        <f aca="false">IF(Data!D1557="","HOLD",IF(AND(G1556&lt;&gt;"IN",Data!E1557&lt;-5),"BUY",IF(AND(G1556="IN",Data!E1557&gt;0),"SELL","HOLD")))</f>
        <v>HOLD</v>
      </c>
      <c r="D1557" s="14" t="str">
        <f aca="false">IF(C1557="BUY",B1557,IF(G1556="IN",D1556,""))</f>
        <v/>
      </c>
      <c r="E1557" s="14" t="str">
        <f aca="false">IF(C1557="SELL",B1557,"")</f>
        <v/>
      </c>
      <c r="F1557" s="14" t="str">
        <f aca="false">IF(E1557="","",(E1557-D1557)/D1557*100)</f>
        <v/>
      </c>
      <c r="G1557" s="0" t="str">
        <f aca="false">IF(C1557="BUY","IN",IF(C1557="SELL","OUT",IF(G1556="IN","IN","OUT")))</f>
        <v>OUT</v>
      </c>
      <c r="H1557" s="14" t="n">
        <f aca="false">H1556+IF(F1557="",0,F1557)</f>
        <v>-21.8742531016473</v>
      </c>
      <c r="I1557" s="14" t="n">
        <f aca="false">MAX(I1556,H1557)</f>
        <v>43.9309628600509</v>
      </c>
      <c r="J1557" s="14" t="n">
        <f aca="false">I1557-H1557</f>
        <v>65.8052159616982</v>
      </c>
    </row>
    <row r="1558" customFormat="false" ht="15" hidden="false" customHeight="false" outlineLevel="0" collapsed="false">
      <c r="A1558" s="12" t="n">
        <f aca="false">Data!A1558</f>
        <v>44267</v>
      </c>
      <c r="B1558" s="14" t="n">
        <f aca="false">Data!B1558</f>
        <v>65.61</v>
      </c>
      <c r="C1558" s="0" t="str">
        <f aca="false">IF(Data!D1558="","HOLD",IF(AND(G1557&lt;&gt;"IN",Data!E1558&lt;-5),"BUY",IF(AND(G1557="IN",Data!E1558&gt;0),"SELL","HOLD")))</f>
        <v>HOLD</v>
      </c>
      <c r="D1558" s="14" t="str">
        <f aca="false">IF(C1558="BUY",B1558,IF(G1557="IN",D1557,""))</f>
        <v/>
      </c>
      <c r="E1558" s="14" t="str">
        <f aca="false">IF(C1558="SELL",B1558,"")</f>
        <v/>
      </c>
      <c r="F1558" s="14" t="str">
        <f aca="false">IF(E1558="","",(E1558-D1558)/D1558*100)</f>
        <v/>
      </c>
      <c r="G1558" s="0" t="str">
        <f aca="false">IF(C1558="BUY","IN",IF(C1558="SELL","OUT",IF(G1557="IN","IN","OUT")))</f>
        <v>OUT</v>
      </c>
      <c r="H1558" s="14" t="n">
        <f aca="false">H1557+IF(F1558="",0,F1558)</f>
        <v>-21.8742531016473</v>
      </c>
      <c r="I1558" s="14" t="n">
        <f aca="false">MAX(I1557,H1558)</f>
        <v>43.9309628600509</v>
      </c>
      <c r="J1558" s="14" t="n">
        <f aca="false">I1558-H1558</f>
        <v>65.8052159616982</v>
      </c>
    </row>
    <row r="1559" customFormat="false" ht="15" hidden="false" customHeight="false" outlineLevel="0" collapsed="false">
      <c r="A1559" s="12" t="n">
        <f aca="false">Data!A1559</f>
        <v>44270</v>
      </c>
      <c r="B1559" s="14" t="n">
        <f aca="false">Data!B1559</f>
        <v>65.39</v>
      </c>
      <c r="C1559" s="0" t="str">
        <f aca="false">IF(Data!D1559="","HOLD",IF(AND(G1558&lt;&gt;"IN",Data!E1559&lt;-5),"BUY",IF(AND(G1558="IN",Data!E1559&gt;0),"SELL","HOLD")))</f>
        <v>HOLD</v>
      </c>
      <c r="D1559" s="14" t="str">
        <f aca="false">IF(C1559="BUY",B1559,IF(G1558="IN",D1558,""))</f>
        <v/>
      </c>
      <c r="E1559" s="14" t="str">
        <f aca="false">IF(C1559="SELL",B1559,"")</f>
        <v/>
      </c>
      <c r="F1559" s="14" t="str">
        <f aca="false">IF(E1559="","",(E1559-D1559)/D1559*100)</f>
        <v/>
      </c>
      <c r="G1559" s="0" t="str">
        <f aca="false">IF(C1559="BUY","IN",IF(C1559="SELL","OUT",IF(G1558="IN","IN","OUT")))</f>
        <v>OUT</v>
      </c>
      <c r="H1559" s="14" t="n">
        <f aca="false">H1558+IF(F1559="",0,F1559)</f>
        <v>-21.8742531016473</v>
      </c>
      <c r="I1559" s="14" t="n">
        <f aca="false">MAX(I1558,H1559)</f>
        <v>43.9309628600509</v>
      </c>
      <c r="J1559" s="14" t="n">
        <f aca="false">I1559-H1559</f>
        <v>65.8052159616982</v>
      </c>
    </row>
    <row r="1560" customFormat="false" ht="15" hidden="false" customHeight="false" outlineLevel="0" collapsed="false">
      <c r="A1560" s="12" t="n">
        <f aca="false">Data!A1560</f>
        <v>44271</v>
      </c>
      <c r="B1560" s="14" t="n">
        <f aca="false">Data!B1560</f>
        <v>64.8</v>
      </c>
      <c r="C1560" s="0" t="str">
        <f aca="false">IF(Data!D1560="","HOLD",IF(AND(G1559&lt;&gt;"IN",Data!E1560&lt;-5),"BUY",IF(AND(G1559="IN",Data!E1560&gt;0),"SELL","HOLD")))</f>
        <v>HOLD</v>
      </c>
      <c r="D1560" s="14" t="str">
        <f aca="false">IF(C1560="BUY",B1560,IF(G1559="IN",D1559,""))</f>
        <v/>
      </c>
      <c r="E1560" s="14" t="str">
        <f aca="false">IF(C1560="SELL",B1560,"")</f>
        <v/>
      </c>
      <c r="F1560" s="14" t="str">
        <f aca="false">IF(E1560="","",(E1560-D1560)/D1560*100)</f>
        <v/>
      </c>
      <c r="G1560" s="0" t="str">
        <f aca="false">IF(C1560="BUY","IN",IF(C1560="SELL","OUT",IF(G1559="IN","IN","OUT")))</f>
        <v>OUT</v>
      </c>
      <c r="H1560" s="14" t="n">
        <f aca="false">H1559+IF(F1560="",0,F1560)</f>
        <v>-21.8742531016473</v>
      </c>
      <c r="I1560" s="14" t="n">
        <f aca="false">MAX(I1559,H1560)</f>
        <v>43.9309628600509</v>
      </c>
      <c r="J1560" s="14" t="n">
        <f aca="false">I1560-H1560</f>
        <v>65.8052159616982</v>
      </c>
    </row>
    <row r="1561" customFormat="false" ht="15" hidden="false" customHeight="false" outlineLevel="0" collapsed="false">
      <c r="A1561" s="12" t="n">
        <f aca="false">Data!A1561</f>
        <v>44272</v>
      </c>
      <c r="B1561" s="14" t="n">
        <f aca="false">Data!B1561</f>
        <v>64.6</v>
      </c>
      <c r="C1561" s="0" t="str">
        <f aca="false">IF(Data!D1561="","HOLD",IF(AND(G1560&lt;&gt;"IN",Data!E1561&lt;-5),"BUY",IF(AND(G1560="IN",Data!E1561&gt;0),"SELL","HOLD")))</f>
        <v>HOLD</v>
      </c>
      <c r="D1561" s="14" t="str">
        <f aca="false">IF(C1561="BUY",B1561,IF(G1560="IN",D1560,""))</f>
        <v/>
      </c>
      <c r="E1561" s="14" t="str">
        <f aca="false">IF(C1561="SELL",B1561,"")</f>
        <v/>
      </c>
      <c r="F1561" s="14" t="str">
        <f aca="false">IF(E1561="","",(E1561-D1561)/D1561*100)</f>
        <v/>
      </c>
      <c r="G1561" s="0" t="str">
        <f aca="false">IF(C1561="BUY","IN",IF(C1561="SELL","OUT",IF(G1560="IN","IN","OUT")))</f>
        <v>OUT</v>
      </c>
      <c r="H1561" s="14" t="n">
        <f aca="false">H1560+IF(F1561="",0,F1561)</f>
        <v>-21.8742531016473</v>
      </c>
      <c r="I1561" s="14" t="n">
        <f aca="false">MAX(I1560,H1561)</f>
        <v>43.9309628600509</v>
      </c>
      <c r="J1561" s="14" t="n">
        <f aca="false">I1561-H1561</f>
        <v>65.8052159616982</v>
      </c>
    </row>
    <row r="1562" customFormat="false" ht="15" hidden="false" customHeight="false" outlineLevel="0" collapsed="false">
      <c r="A1562" s="12" t="n">
        <f aca="false">Data!A1562</f>
        <v>44273</v>
      </c>
      <c r="B1562" s="14" t="n">
        <f aca="false">Data!B1562</f>
        <v>60</v>
      </c>
      <c r="C1562" s="0" t="str">
        <f aca="false">IF(Data!D1562="","HOLD",IF(AND(G1561&lt;&gt;"IN",Data!E1562&lt;-5),"BUY",IF(AND(G1561="IN",Data!E1562&gt;0),"SELL","HOLD")))</f>
        <v>HOLD</v>
      </c>
      <c r="D1562" s="14" t="str">
        <f aca="false">IF(C1562="BUY",B1562,IF(G1561="IN",D1561,""))</f>
        <v/>
      </c>
      <c r="E1562" s="14" t="str">
        <f aca="false">IF(C1562="SELL",B1562,"")</f>
        <v/>
      </c>
      <c r="F1562" s="14" t="str">
        <f aca="false">IF(E1562="","",(E1562-D1562)/D1562*100)</f>
        <v/>
      </c>
      <c r="G1562" s="0" t="str">
        <f aca="false">IF(C1562="BUY","IN",IF(C1562="SELL","OUT",IF(G1561="IN","IN","OUT")))</f>
        <v>OUT</v>
      </c>
      <c r="H1562" s="14" t="n">
        <f aca="false">H1561+IF(F1562="",0,F1562)</f>
        <v>-21.8742531016473</v>
      </c>
      <c r="I1562" s="14" t="n">
        <f aca="false">MAX(I1561,H1562)</f>
        <v>43.9309628600509</v>
      </c>
      <c r="J1562" s="14" t="n">
        <f aca="false">I1562-H1562</f>
        <v>65.8052159616982</v>
      </c>
    </row>
    <row r="1563" customFormat="false" ht="15" hidden="false" customHeight="false" outlineLevel="0" collapsed="false">
      <c r="A1563" s="12" t="n">
        <f aca="false">Data!A1563</f>
        <v>44274</v>
      </c>
      <c r="B1563" s="14" t="n">
        <f aca="false">Data!B1563</f>
        <v>61.42</v>
      </c>
      <c r="C1563" s="0" t="str">
        <f aca="false">IF(Data!D1563="","HOLD",IF(AND(G1562&lt;&gt;"IN",Data!E1563&lt;-5),"BUY",IF(AND(G1562="IN",Data!E1563&gt;0),"SELL","HOLD")))</f>
        <v>HOLD</v>
      </c>
      <c r="D1563" s="14" t="str">
        <f aca="false">IF(C1563="BUY",B1563,IF(G1562="IN",D1562,""))</f>
        <v/>
      </c>
      <c r="E1563" s="14" t="str">
        <f aca="false">IF(C1563="SELL",B1563,"")</f>
        <v/>
      </c>
      <c r="F1563" s="14" t="str">
        <f aca="false">IF(E1563="","",(E1563-D1563)/D1563*100)</f>
        <v/>
      </c>
      <c r="G1563" s="0" t="str">
        <f aca="false">IF(C1563="BUY","IN",IF(C1563="SELL","OUT",IF(G1562="IN","IN","OUT")))</f>
        <v>OUT</v>
      </c>
      <c r="H1563" s="14" t="n">
        <f aca="false">H1562+IF(F1563="",0,F1563)</f>
        <v>-21.8742531016473</v>
      </c>
      <c r="I1563" s="14" t="n">
        <f aca="false">MAX(I1562,H1563)</f>
        <v>43.9309628600509</v>
      </c>
      <c r="J1563" s="14" t="n">
        <f aca="false">I1563-H1563</f>
        <v>65.8052159616982</v>
      </c>
    </row>
    <row r="1564" customFormat="false" ht="15" hidden="false" customHeight="false" outlineLevel="0" collapsed="false">
      <c r="A1564" s="12" t="n">
        <f aca="false">Data!A1564</f>
        <v>44277</v>
      </c>
      <c r="B1564" s="14" t="n">
        <f aca="false">Data!B1564</f>
        <v>61.55</v>
      </c>
      <c r="C1564" s="0" t="str">
        <f aca="false">IF(Data!D1564="","HOLD",IF(AND(G1563&lt;&gt;"IN",Data!E1564&lt;-5),"BUY",IF(AND(G1563="IN",Data!E1564&gt;0),"SELL","HOLD")))</f>
        <v>HOLD</v>
      </c>
      <c r="D1564" s="14" t="str">
        <f aca="false">IF(C1564="BUY",B1564,IF(G1563="IN",D1563,""))</f>
        <v/>
      </c>
      <c r="E1564" s="14" t="str">
        <f aca="false">IF(C1564="SELL",B1564,"")</f>
        <v/>
      </c>
      <c r="F1564" s="14" t="str">
        <f aca="false">IF(E1564="","",(E1564-D1564)/D1564*100)</f>
        <v/>
      </c>
      <c r="G1564" s="0" t="str">
        <f aca="false">IF(C1564="BUY","IN",IF(C1564="SELL","OUT",IF(G1563="IN","IN","OUT")))</f>
        <v>OUT</v>
      </c>
      <c r="H1564" s="14" t="n">
        <f aca="false">H1563+IF(F1564="",0,F1564)</f>
        <v>-21.8742531016473</v>
      </c>
      <c r="I1564" s="14" t="n">
        <f aca="false">MAX(I1563,H1564)</f>
        <v>43.9309628600509</v>
      </c>
      <c r="J1564" s="14" t="n">
        <f aca="false">I1564-H1564</f>
        <v>65.8052159616982</v>
      </c>
    </row>
    <row r="1565" customFormat="false" ht="15" hidden="false" customHeight="false" outlineLevel="0" collapsed="false">
      <c r="A1565" s="12" t="n">
        <f aca="false">Data!A1565</f>
        <v>44278</v>
      </c>
      <c r="B1565" s="14" t="n">
        <f aca="false">Data!B1565</f>
        <v>57.76</v>
      </c>
      <c r="C1565" s="0" t="str">
        <f aca="false">IF(Data!D1565="","HOLD",IF(AND(G1564&lt;&gt;"IN",Data!E1565&lt;-5),"BUY",IF(AND(G1564="IN",Data!E1565&gt;0),"SELL","HOLD")))</f>
        <v>BUY</v>
      </c>
      <c r="D1565" s="14" t="n">
        <f aca="false">IF(C1565="BUY",B1565,IF(G1564="IN",D1564,""))</f>
        <v>57.76</v>
      </c>
      <c r="E1565" s="14" t="str">
        <f aca="false">IF(C1565="SELL",B1565,"")</f>
        <v/>
      </c>
      <c r="F1565" s="14" t="str">
        <f aca="false">IF(E1565="","",(E1565-D1565)/D1565*100)</f>
        <v/>
      </c>
      <c r="G1565" s="0" t="str">
        <f aca="false">IF(C1565="BUY","IN",IF(C1565="SELL","OUT",IF(G1564="IN","IN","OUT")))</f>
        <v>IN</v>
      </c>
      <c r="H1565" s="14" t="n">
        <f aca="false">H1564+IF(F1565="",0,F1565)</f>
        <v>-21.8742531016473</v>
      </c>
      <c r="I1565" s="14" t="n">
        <f aca="false">MAX(I1564,H1565)</f>
        <v>43.9309628600509</v>
      </c>
      <c r="J1565" s="14" t="n">
        <f aca="false">I1565-H1565</f>
        <v>65.8052159616982</v>
      </c>
    </row>
    <row r="1566" customFormat="false" ht="15" hidden="false" customHeight="false" outlineLevel="0" collapsed="false">
      <c r="A1566" s="12" t="n">
        <f aca="false">Data!A1566</f>
        <v>44279</v>
      </c>
      <c r="B1566" s="14" t="n">
        <f aca="false">Data!B1566</f>
        <v>61.18</v>
      </c>
      <c r="C1566" s="0" t="str">
        <f aca="false">IF(Data!D1566="","HOLD",IF(AND(G1565&lt;&gt;"IN",Data!E1566&lt;-5),"BUY",IF(AND(G1565="IN",Data!E1566&gt;0),"SELL","HOLD")))</f>
        <v>HOLD</v>
      </c>
      <c r="D1566" s="14" t="n">
        <f aca="false">IF(C1566="BUY",B1566,IF(G1565="IN",D1565,""))</f>
        <v>57.76</v>
      </c>
      <c r="E1566" s="14" t="str">
        <f aca="false">IF(C1566="SELL",B1566,"")</f>
        <v/>
      </c>
      <c r="F1566" s="14" t="str">
        <f aca="false">IF(E1566="","",(E1566-D1566)/D1566*100)</f>
        <v/>
      </c>
      <c r="G1566" s="0" t="str">
        <f aca="false">IF(C1566="BUY","IN",IF(C1566="SELL","OUT",IF(G1565="IN","IN","OUT")))</f>
        <v>IN</v>
      </c>
      <c r="H1566" s="14" t="n">
        <f aca="false">H1565+IF(F1566="",0,F1566)</f>
        <v>-21.8742531016473</v>
      </c>
      <c r="I1566" s="14" t="n">
        <f aca="false">MAX(I1565,H1566)</f>
        <v>43.9309628600509</v>
      </c>
      <c r="J1566" s="14" t="n">
        <f aca="false">I1566-H1566</f>
        <v>65.8052159616982</v>
      </c>
    </row>
    <row r="1567" customFormat="false" ht="15" hidden="false" customHeight="false" outlineLevel="0" collapsed="false">
      <c r="A1567" s="12" t="n">
        <f aca="false">Data!A1567</f>
        <v>44280</v>
      </c>
      <c r="B1567" s="14" t="n">
        <f aca="false">Data!B1567</f>
        <v>58.56</v>
      </c>
      <c r="C1567" s="0" t="str">
        <f aca="false">IF(Data!D1567="","HOLD",IF(AND(G1566&lt;&gt;"IN",Data!E1567&lt;-5),"BUY",IF(AND(G1566="IN",Data!E1567&gt;0),"SELL","HOLD")))</f>
        <v>HOLD</v>
      </c>
      <c r="D1567" s="14" t="n">
        <f aca="false">IF(C1567="BUY",B1567,IF(G1566="IN",D1566,""))</f>
        <v>57.76</v>
      </c>
      <c r="E1567" s="14" t="str">
        <f aca="false">IF(C1567="SELL",B1567,"")</f>
        <v/>
      </c>
      <c r="F1567" s="14" t="str">
        <f aca="false">IF(E1567="","",(E1567-D1567)/D1567*100)</f>
        <v/>
      </c>
      <c r="G1567" s="0" t="str">
        <f aca="false">IF(C1567="BUY","IN",IF(C1567="SELL","OUT",IF(G1566="IN","IN","OUT")))</f>
        <v>IN</v>
      </c>
      <c r="H1567" s="14" t="n">
        <f aca="false">H1566+IF(F1567="",0,F1567)</f>
        <v>-21.8742531016473</v>
      </c>
      <c r="I1567" s="14" t="n">
        <f aca="false">MAX(I1566,H1567)</f>
        <v>43.9309628600509</v>
      </c>
      <c r="J1567" s="14" t="n">
        <f aca="false">I1567-H1567</f>
        <v>65.8052159616982</v>
      </c>
    </row>
    <row r="1568" customFormat="false" ht="15" hidden="false" customHeight="false" outlineLevel="0" collapsed="false">
      <c r="A1568" s="12" t="n">
        <f aca="false">Data!A1568</f>
        <v>44281</v>
      </c>
      <c r="B1568" s="14" t="n">
        <f aca="false">Data!B1568</f>
        <v>60.97</v>
      </c>
      <c r="C1568" s="0" t="str">
        <f aca="false">IF(Data!D1568="","HOLD",IF(AND(G1567&lt;&gt;"IN",Data!E1568&lt;-5),"BUY",IF(AND(G1567="IN",Data!E1568&gt;0),"SELL","HOLD")))</f>
        <v>HOLD</v>
      </c>
      <c r="D1568" s="14" t="n">
        <f aca="false">IF(C1568="BUY",B1568,IF(G1567="IN",D1567,""))</f>
        <v>57.76</v>
      </c>
      <c r="E1568" s="14" t="str">
        <f aca="false">IF(C1568="SELL",B1568,"")</f>
        <v/>
      </c>
      <c r="F1568" s="14" t="str">
        <f aca="false">IF(E1568="","",(E1568-D1568)/D1568*100)</f>
        <v/>
      </c>
      <c r="G1568" s="0" t="str">
        <f aca="false">IF(C1568="BUY","IN",IF(C1568="SELL","OUT",IF(G1567="IN","IN","OUT")))</f>
        <v>IN</v>
      </c>
      <c r="H1568" s="14" t="n">
        <f aca="false">H1567+IF(F1568="",0,F1568)</f>
        <v>-21.8742531016473</v>
      </c>
      <c r="I1568" s="14" t="n">
        <f aca="false">MAX(I1567,H1568)</f>
        <v>43.9309628600509</v>
      </c>
      <c r="J1568" s="14" t="n">
        <f aca="false">I1568-H1568</f>
        <v>65.8052159616982</v>
      </c>
    </row>
    <row r="1569" customFormat="false" ht="15" hidden="false" customHeight="false" outlineLevel="0" collapsed="false">
      <c r="A1569" s="12" t="n">
        <f aca="false">Data!A1569</f>
        <v>44284</v>
      </c>
      <c r="B1569" s="14" t="n">
        <f aca="false">Data!B1569</f>
        <v>61.56</v>
      </c>
      <c r="C1569" s="0" t="str">
        <f aca="false">IF(Data!D1569="","HOLD",IF(AND(G1568&lt;&gt;"IN",Data!E1569&lt;-5),"BUY",IF(AND(G1568="IN",Data!E1569&gt;0),"SELL","HOLD")))</f>
        <v>HOLD</v>
      </c>
      <c r="D1569" s="14" t="n">
        <f aca="false">IF(C1569="BUY",B1569,IF(G1568="IN",D1568,""))</f>
        <v>57.76</v>
      </c>
      <c r="E1569" s="14" t="str">
        <f aca="false">IF(C1569="SELL",B1569,"")</f>
        <v/>
      </c>
      <c r="F1569" s="14" t="str">
        <f aca="false">IF(E1569="","",(E1569-D1569)/D1569*100)</f>
        <v/>
      </c>
      <c r="G1569" s="0" t="str">
        <f aca="false">IF(C1569="BUY","IN",IF(C1569="SELL","OUT",IF(G1568="IN","IN","OUT")))</f>
        <v>IN</v>
      </c>
      <c r="H1569" s="14" t="n">
        <f aca="false">H1568+IF(F1569="",0,F1569)</f>
        <v>-21.8742531016473</v>
      </c>
      <c r="I1569" s="14" t="n">
        <f aca="false">MAX(I1568,H1569)</f>
        <v>43.9309628600509</v>
      </c>
      <c r="J1569" s="14" t="n">
        <f aca="false">I1569-H1569</f>
        <v>65.8052159616982</v>
      </c>
    </row>
    <row r="1570" customFormat="false" ht="15" hidden="false" customHeight="false" outlineLevel="0" collapsed="false">
      <c r="A1570" s="12" t="n">
        <f aca="false">Data!A1570</f>
        <v>44285</v>
      </c>
      <c r="B1570" s="14" t="n">
        <f aca="false">Data!B1570</f>
        <v>60.55</v>
      </c>
      <c r="C1570" s="0" t="str">
        <f aca="false">IF(Data!D1570="","HOLD",IF(AND(G1569&lt;&gt;"IN",Data!E1570&lt;-5),"BUY",IF(AND(G1569="IN",Data!E1570&gt;0),"SELL","HOLD")))</f>
        <v>HOLD</v>
      </c>
      <c r="D1570" s="14" t="n">
        <f aca="false">IF(C1570="BUY",B1570,IF(G1569="IN",D1569,""))</f>
        <v>57.76</v>
      </c>
      <c r="E1570" s="14" t="str">
        <f aca="false">IF(C1570="SELL",B1570,"")</f>
        <v/>
      </c>
      <c r="F1570" s="14" t="str">
        <f aca="false">IF(E1570="","",(E1570-D1570)/D1570*100)</f>
        <v/>
      </c>
      <c r="G1570" s="0" t="str">
        <f aca="false">IF(C1570="BUY","IN",IF(C1570="SELL","OUT",IF(G1569="IN","IN","OUT")))</f>
        <v>IN</v>
      </c>
      <c r="H1570" s="14" t="n">
        <f aca="false">H1569+IF(F1570="",0,F1570)</f>
        <v>-21.8742531016473</v>
      </c>
      <c r="I1570" s="14" t="n">
        <f aca="false">MAX(I1569,H1570)</f>
        <v>43.9309628600509</v>
      </c>
      <c r="J1570" s="14" t="n">
        <f aca="false">I1570-H1570</f>
        <v>65.8052159616982</v>
      </c>
    </row>
    <row r="1571" customFormat="false" ht="15" hidden="false" customHeight="false" outlineLevel="0" collapsed="false">
      <c r="A1571" s="12" t="n">
        <f aca="false">Data!A1571</f>
        <v>44286</v>
      </c>
      <c r="B1571" s="14" t="n">
        <f aca="false">Data!B1571</f>
        <v>59.16</v>
      </c>
      <c r="C1571" s="0" t="str">
        <f aca="false">IF(Data!D1571="","HOLD",IF(AND(G1570&lt;&gt;"IN",Data!E1571&lt;-5),"BUY",IF(AND(G1570="IN",Data!E1571&gt;0),"SELL","HOLD")))</f>
        <v>HOLD</v>
      </c>
      <c r="D1571" s="14" t="n">
        <f aca="false">IF(C1571="BUY",B1571,IF(G1570="IN",D1570,""))</f>
        <v>57.76</v>
      </c>
      <c r="E1571" s="14" t="str">
        <f aca="false">IF(C1571="SELL",B1571,"")</f>
        <v/>
      </c>
      <c r="F1571" s="14" t="str">
        <f aca="false">IF(E1571="","",(E1571-D1571)/D1571*100)</f>
        <v/>
      </c>
      <c r="G1571" s="0" t="str">
        <f aca="false">IF(C1571="BUY","IN",IF(C1571="SELL","OUT",IF(G1570="IN","IN","OUT")))</f>
        <v>IN</v>
      </c>
      <c r="H1571" s="14" t="n">
        <f aca="false">H1570+IF(F1571="",0,F1571)</f>
        <v>-21.8742531016473</v>
      </c>
      <c r="I1571" s="14" t="n">
        <f aca="false">MAX(I1570,H1571)</f>
        <v>43.9309628600509</v>
      </c>
      <c r="J1571" s="14" t="n">
        <f aca="false">I1571-H1571</f>
        <v>65.8052159616982</v>
      </c>
    </row>
    <row r="1572" customFormat="false" ht="15" hidden="false" customHeight="false" outlineLevel="0" collapsed="false">
      <c r="A1572" s="12" t="n">
        <f aca="false">Data!A1572</f>
        <v>44287</v>
      </c>
      <c r="B1572" s="14" t="n">
        <f aca="false">Data!B1572</f>
        <v>61.45</v>
      </c>
      <c r="C1572" s="0" t="str">
        <f aca="false">IF(Data!D1572="","HOLD",IF(AND(G1571&lt;&gt;"IN",Data!E1572&lt;-5),"BUY",IF(AND(G1571="IN",Data!E1572&gt;0),"SELL","HOLD")))</f>
        <v>HOLD</v>
      </c>
      <c r="D1572" s="14" t="n">
        <f aca="false">IF(C1572="BUY",B1572,IF(G1571="IN",D1571,""))</f>
        <v>57.76</v>
      </c>
      <c r="E1572" s="14" t="str">
        <f aca="false">IF(C1572="SELL",B1572,"")</f>
        <v/>
      </c>
      <c r="F1572" s="14" t="str">
        <f aca="false">IF(E1572="","",(E1572-D1572)/D1572*100)</f>
        <v/>
      </c>
      <c r="G1572" s="0" t="str">
        <f aca="false">IF(C1572="BUY","IN",IF(C1572="SELL","OUT",IF(G1571="IN","IN","OUT")))</f>
        <v>IN</v>
      </c>
      <c r="H1572" s="14" t="n">
        <f aca="false">H1571+IF(F1572="",0,F1572)</f>
        <v>-21.8742531016473</v>
      </c>
      <c r="I1572" s="14" t="n">
        <f aca="false">MAX(I1571,H1572)</f>
        <v>43.9309628600509</v>
      </c>
      <c r="J1572" s="14" t="n">
        <f aca="false">I1572-H1572</f>
        <v>65.8052159616982</v>
      </c>
    </row>
    <row r="1573" customFormat="false" ht="15" hidden="false" customHeight="false" outlineLevel="0" collapsed="false">
      <c r="A1573" s="12" t="n">
        <f aca="false">Data!A1573</f>
        <v>44291</v>
      </c>
      <c r="B1573" s="14" t="n">
        <f aca="false">Data!B1573</f>
        <v>58.65</v>
      </c>
      <c r="C1573" s="0" t="str">
        <f aca="false">IF(Data!D1573="","HOLD",IF(AND(G1572&lt;&gt;"IN",Data!E1573&lt;-5),"BUY",IF(AND(G1572="IN",Data!E1573&gt;0),"SELL","HOLD")))</f>
        <v>HOLD</v>
      </c>
      <c r="D1573" s="14" t="n">
        <f aca="false">IF(C1573="BUY",B1573,IF(G1572="IN",D1572,""))</f>
        <v>57.76</v>
      </c>
      <c r="E1573" s="14" t="str">
        <f aca="false">IF(C1573="SELL",B1573,"")</f>
        <v/>
      </c>
      <c r="F1573" s="14" t="str">
        <f aca="false">IF(E1573="","",(E1573-D1573)/D1573*100)</f>
        <v/>
      </c>
      <c r="G1573" s="0" t="str">
        <f aca="false">IF(C1573="BUY","IN",IF(C1573="SELL","OUT",IF(G1572="IN","IN","OUT")))</f>
        <v>IN</v>
      </c>
      <c r="H1573" s="14" t="n">
        <f aca="false">H1572+IF(F1573="",0,F1573)</f>
        <v>-21.8742531016473</v>
      </c>
      <c r="I1573" s="14" t="n">
        <f aca="false">MAX(I1572,H1573)</f>
        <v>43.9309628600509</v>
      </c>
      <c r="J1573" s="14" t="n">
        <f aca="false">I1573-H1573</f>
        <v>65.8052159616982</v>
      </c>
    </row>
    <row r="1574" customFormat="false" ht="15" hidden="false" customHeight="false" outlineLevel="0" collapsed="false">
      <c r="A1574" s="12" t="n">
        <f aca="false">Data!A1574</f>
        <v>44292</v>
      </c>
      <c r="B1574" s="14" t="n">
        <f aca="false">Data!B1574</f>
        <v>59.33</v>
      </c>
      <c r="C1574" s="0" t="str">
        <f aca="false">IF(Data!D1574="","HOLD",IF(AND(G1573&lt;&gt;"IN",Data!E1574&lt;-5),"BUY",IF(AND(G1573="IN",Data!E1574&gt;0),"SELL","HOLD")))</f>
        <v>HOLD</v>
      </c>
      <c r="D1574" s="14" t="n">
        <f aca="false">IF(C1574="BUY",B1574,IF(G1573="IN",D1573,""))</f>
        <v>57.76</v>
      </c>
      <c r="E1574" s="14" t="str">
        <f aca="false">IF(C1574="SELL",B1574,"")</f>
        <v/>
      </c>
      <c r="F1574" s="14" t="str">
        <f aca="false">IF(E1574="","",(E1574-D1574)/D1574*100)</f>
        <v/>
      </c>
      <c r="G1574" s="0" t="str">
        <f aca="false">IF(C1574="BUY","IN",IF(C1574="SELL","OUT",IF(G1573="IN","IN","OUT")))</f>
        <v>IN</v>
      </c>
      <c r="H1574" s="14" t="n">
        <f aca="false">H1573+IF(F1574="",0,F1574)</f>
        <v>-21.8742531016473</v>
      </c>
      <c r="I1574" s="14" t="n">
        <f aca="false">MAX(I1573,H1574)</f>
        <v>43.9309628600509</v>
      </c>
      <c r="J1574" s="14" t="n">
        <f aca="false">I1574-H1574</f>
        <v>65.8052159616982</v>
      </c>
    </row>
    <row r="1575" customFormat="false" ht="15" hidden="false" customHeight="false" outlineLevel="0" collapsed="false">
      <c r="A1575" s="12" t="n">
        <f aca="false">Data!A1575</f>
        <v>44293</v>
      </c>
      <c r="B1575" s="14" t="n">
        <f aca="false">Data!B1575</f>
        <v>59.77</v>
      </c>
      <c r="C1575" s="0" t="str">
        <f aca="false">IF(Data!D1575="","HOLD",IF(AND(G1574&lt;&gt;"IN",Data!E1575&lt;-5),"BUY",IF(AND(G1574="IN",Data!E1575&gt;0),"SELL","HOLD")))</f>
        <v>HOLD</v>
      </c>
      <c r="D1575" s="14" t="n">
        <f aca="false">IF(C1575="BUY",B1575,IF(G1574="IN",D1574,""))</f>
        <v>57.76</v>
      </c>
      <c r="E1575" s="14" t="str">
        <f aca="false">IF(C1575="SELL",B1575,"")</f>
        <v/>
      </c>
      <c r="F1575" s="14" t="str">
        <f aca="false">IF(E1575="","",(E1575-D1575)/D1575*100)</f>
        <v/>
      </c>
      <c r="G1575" s="0" t="str">
        <f aca="false">IF(C1575="BUY","IN",IF(C1575="SELL","OUT",IF(G1574="IN","IN","OUT")))</f>
        <v>IN</v>
      </c>
      <c r="H1575" s="14" t="n">
        <f aca="false">H1574+IF(F1575="",0,F1575)</f>
        <v>-21.8742531016473</v>
      </c>
      <c r="I1575" s="14" t="n">
        <f aca="false">MAX(I1574,H1575)</f>
        <v>43.9309628600509</v>
      </c>
      <c r="J1575" s="14" t="n">
        <f aca="false">I1575-H1575</f>
        <v>65.8052159616982</v>
      </c>
    </row>
    <row r="1576" customFormat="false" ht="15" hidden="false" customHeight="false" outlineLevel="0" collapsed="false">
      <c r="A1576" s="12" t="n">
        <f aca="false">Data!A1576</f>
        <v>44294</v>
      </c>
      <c r="B1576" s="14" t="n">
        <f aca="false">Data!B1576</f>
        <v>59.6</v>
      </c>
      <c r="C1576" s="0" t="str">
        <f aca="false">IF(Data!D1576="","HOLD",IF(AND(G1575&lt;&gt;"IN",Data!E1576&lt;-5),"BUY",IF(AND(G1575="IN",Data!E1576&gt;0),"SELL","HOLD")))</f>
        <v>HOLD</v>
      </c>
      <c r="D1576" s="14" t="n">
        <f aca="false">IF(C1576="BUY",B1576,IF(G1575="IN",D1575,""))</f>
        <v>57.76</v>
      </c>
      <c r="E1576" s="14" t="str">
        <f aca="false">IF(C1576="SELL",B1576,"")</f>
        <v/>
      </c>
      <c r="F1576" s="14" t="str">
        <f aca="false">IF(E1576="","",(E1576-D1576)/D1576*100)</f>
        <v/>
      </c>
      <c r="G1576" s="0" t="str">
        <f aca="false">IF(C1576="BUY","IN",IF(C1576="SELL","OUT",IF(G1575="IN","IN","OUT")))</f>
        <v>IN</v>
      </c>
      <c r="H1576" s="14" t="n">
        <f aca="false">H1575+IF(F1576="",0,F1576)</f>
        <v>-21.8742531016473</v>
      </c>
      <c r="I1576" s="14" t="n">
        <f aca="false">MAX(I1575,H1576)</f>
        <v>43.9309628600509</v>
      </c>
      <c r="J1576" s="14" t="n">
        <f aca="false">I1576-H1576</f>
        <v>65.8052159616982</v>
      </c>
    </row>
    <row r="1577" customFormat="false" ht="15" hidden="false" customHeight="false" outlineLevel="0" collapsed="false">
      <c r="A1577" s="12" t="n">
        <f aca="false">Data!A1577</f>
        <v>44295</v>
      </c>
      <c r="B1577" s="14" t="n">
        <f aca="false">Data!B1577</f>
        <v>59.32</v>
      </c>
      <c r="C1577" s="0" t="str">
        <f aca="false">IF(Data!D1577="","HOLD",IF(AND(G1576&lt;&gt;"IN",Data!E1577&lt;-5),"BUY",IF(AND(G1576="IN",Data!E1577&gt;0),"SELL","HOLD")))</f>
        <v>HOLD</v>
      </c>
      <c r="D1577" s="14" t="n">
        <f aca="false">IF(C1577="BUY",B1577,IF(G1576="IN",D1576,""))</f>
        <v>57.76</v>
      </c>
      <c r="E1577" s="14" t="str">
        <f aca="false">IF(C1577="SELL",B1577,"")</f>
        <v/>
      </c>
      <c r="F1577" s="14" t="str">
        <f aca="false">IF(E1577="","",(E1577-D1577)/D1577*100)</f>
        <v/>
      </c>
      <c r="G1577" s="0" t="str">
        <f aca="false">IF(C1577="BUY","IN",IF(C1577="SELL","OUT",IF(G1576="IN","IN","OUT")))</f>
        <v>IN</v>
      </c>
      <c r="H1577" s="14" t="n">
        <f aca="false">H1576+IF(F1577="",0,F1577)</f>
        <v>-21.8742531016473</v>
      </c>
      <c r="I1577" s="14" t="n">
        <f aca="false">MAX(I1576,H1577)</f>
        <v>43.9309628600509</v>
      </c>
      <c r="J1577" s="14" t="n">
        <f aca="false">I1577-H1577</f>
        <v>65.8052159616982</v>
      </c>
    </row>
    <row r="1578" customFormat="false" ht="15" hidden="false" customHeight="false" outlineLevel="0" collapsed="false">
      <c r="A1578" s="12" t="n">
        <f aca="false">Data!A1578</f>
        <v>44298</v>
      </c>
      <c r="B1578" s="14" t="n">
        <f aca="false">Data!B1578</f>
        <v>59.7</v>
      </c>
      <c r="C1578" s="0" t="str">
        <f aca="false">IF(Data!D1578="","HOLD",IF(AND(G1577&lt;&gt;"IN",Data!E1578&lt;-5),"BUY",IF(AND(G1577="IN",Data!E1578&gt;0),"SELL","HOLD")))</f>
        <v>HOLD</v>
      </c>
      <c r="D1578" s="14" t="n">
        <f aca="false">IF(C1578="BUY",B1578,IF(G1577="IN",D1577,""))</f>
        <v>57.76</v>
      </c>
      <c r="E1578" s="14" t="str">
        <f aca="false">IF(C1578="SELL",B1578,"")</f>
        <v/>
      </c>
      <c r="F1578" s="14" t="str">
        <f aca="false">IF(E1578="","",(E1578-D1578)/D1578*100)</f>
        <v/>
      </c>
      <c r="G1578" s="0" t="str">
        <f aca="false">IF(C1578="BUY","IN",IF(C1578="SELL","OUT",IF(G1577="IN","IN","OUT")))</f>
        <v>IN</v>
      </c>
      <c r="H1578" s="14" t="n">
        <f aca="false">H1577+IF(F1578="",0,F1578)</f>
        <v>-21.8742531016473</v>
      </c>
      <c r="I1578" s="14" t="n">
        <f aca="false">MAX(I1577,H1578)</f>
        <v>43.9309628600509</v>
      </c>
      <c r="J1578" s="14" t="n">
        <f aca="false">I1578-H1578</f>
        <v>65.8052159616982</v>
      </c>
    </row>
    <row r="1579" customFormat="false" ht="15" hidden="false" customHeight="false" outlineLevel="0" collapsed="false">
      <c r="A1579" s="12" t="n">
        <f aca="false">Data!A1579</f>
        <v>44299</v>
      </c>
      <c r="B1579" s="14" t="n">
        <f aca="false">Data!B1579</f>
        <v>60.18</v>
      </c>
      <c r="C1579" s="0" t="str">
        <f aca="false">IF(Data!D1579="","HOLD",IF(AND(G1578&lt;&gt;"IN",Data!E1579&lt;-5),"BUY",IF(AND(G1578="IN",Data!E1579&gt;0),"SELL","HOLD")))</f>
        <v>HOLD</v>
      </c>
      <c r="D1579" s="14" t="n">
        <f aca="false">IF(C1579="BUY",B1579,IF(G1578="IN",D1578,""))</f>
        <v>57.76</v>
      </c>
      <c r="E1579" s="14" t="str">
        <f aca="false">IF(C1579="SELL",B1579,"")</f>
        <v/>
      </c>
      <c r="F1579" s="14" t="str">
        <f aca="false">IF(E1579="","",(E1579-D1579)/D1579*100)</f>
        <v/>
      </c>
      <c r="G1579" s="0" t="str">
        <f aca="false">IF(C1579="BUY","IN",IF(C1579="SELL","OUT",IF(G1578="IN","IN","OUT")))</f>
        <v>IN</v>
      </c>
      <c r="H1579" s="14" t="n">
        <f aca="false">H1578+IF(F1579="",0,F1579)</f>
        <v>-21.8742531016473</v>
      </c>
      <c r="I1579" s="14" t="n">
        <f aca="false">MAX(I1578,H1579)</f>
        <v>43.9309628600509</v>
      </c>
      <c r="J1579" s="14" t="n">
        <f aca="false">I1579-H1579</f>
        <v>65.8052159616982</v>
      </c>
    </row>
    <row r="1580" customFormat="false" ht="15" hidden="false" customHeight="false" outlineLevel="0" collapsed="false">
      <c r="A1580" s="12" t="n">
        <f aca="false">Data!A1580</f>
        <v>44300</v>
      </c>
      <c r="B1580" s="14" t="n">
        <f aca="false">Data!B1580</f>
        <v>63.15</v>
      </c>
      <c r="C1580" s="0" t="str">
        <f aca="false">IF(Data!D1580="","HOLD",IF(AND(G1579&lt;&gt;"IN",Data!E1580&lt;-5),"BUY",IF(AND(G1579="IN",Data!E1580&gt;0),"SELL","HOLD")))</f>
        <v>SELL</v>
      </c>
      <c r="D1580" s="14" t="n">
        <f aca="false">IF(C1580="BUY",B1580,IF(G1579="IN",D1579,""))</f>
        <v>57.76</v>
      </c>
      <c r="E1580" s="14" t="n">
        <f aca="false">IF(C1580="SELL",B1580,"")</f>
        <v>63.15</v>
      </c>
      <c r="F1580" s="14" t="n">
        <f aca="false">IF(E1580="","",(E1580-D1580)/D1580*100)</f>
        <v>9.33171745152355</v>
      </c>
      <c r="G1580" s="0" t="str">
        <f aca="false">IF(C1580="BUY","IN",IF(C1580="SELL","OUT",IF(G1579="IN","IN","OUT")))</f>
        <v>OUT</v>
      </c>
      <c r="H1580" s="14" t="n">
        <f aca="false">H1579+IF(F1580="",0,F1580)</f>
        <v>-12.5425356501238</v>
      </c>
      <c r="I1580" s="14" t="n">
        <f aca="false">MAX(I1579,H1580)</f>
        <v>43.9309628600509</v>
      </c>
      <c r="J1580" s="14" t="n">
        <f aca="false">I1580-H1580</f>
        <v>56.4734985101747</v>
      </c>
    </row>
    <row r="1581" customFormat="false" ht="15" hidden="false" customHeight="false" outlineLevel="0" collapsed="false">
      <c r="A1581" s="12" t="n">
        <f aca="false">Data!A1581</f>
        <v>44301</v>
      </c>
      <c r="B1581" s="14" t="n">
        <f aca="false">Data!B1581</f>
        <v>63.46</v>
      </c>
      <c r="C1581" s="0" t="str">
        <f aca="false">IF(Data!D1581="","HOLD",IF(AND(G1580&lt;&gt;"IN",Data!E1581&lt;-5),"BUY",IF(AND(G1580="IN",Data!E1581&gt;0),"SELL","HOLD")))</f>
        <v>HOLD</v>
      </c>
      <c r="D1581" s="14" t="str">
        <f aca="false">IF(C1581="BUY",B1581,IF(G1580="IN",D1580,""))</f>
        <v/>
      </c>
      <c r="E1581" s="14" t="str">
        <f aca="false">IF(C1581="SELL",B1581,"")</f>
        <v/>
      </c>
      <c r="F1581" s="14" t="str">
        <f aca="false">IF(E1581="","",(E1581-D1581)/D1581*100)</f>
        <v/>
      </c>
      <c r="G1581" s="0" t="str">
        <f aca="false">IF(C1581="BUY","IN",IF(C1581="SELL","OUT",IF(G1580="IN","IN","OUT")))</f>
        <v>OUT</v>
      </c>
      <c r="H1581" s="14" t="n">
        <f aca="false">H1580+IF(F1581="",0,F1581)</f>
        <v>-12.5425356501238</v>
      </c>
      <c r="I1581" s="14" t="n">
        <f aca="false">MAX(I1580,H1581)</f>
        <v>43.9309628600509</v>
      </c>
      <c r="J1581" s="14" t="n">
        <f aca="false">I1581-H1581</f>
        <v>56.4734985101747</v>
      </c>
    </row>
    <row r="1582" customFormat="false" ht="15" hidden="false" customHeight="false" outlineLevel="0" collapsed="false">
      <c r="A1582" s="12" t="n">
        <f aca="false">Data!A1582</f>
        <v>44302</v>
      </c>
      <c r="B1582" s="14" t="n">
        <f aca="false">Data!B1582</f>
        <v>63.13</v>
      </c>
      <c r="C1582" s="0" t="str">
        <f aca="false">IF(Data!D1582="","HOLD",IF(AND(G1581&lt;&gt;"IN",Data!E1582&lt;-5),"BUY",IF(AND(G1581="IN",Data!E1582&gt;0),"SELL","HOLD")))</f>
        <v>HOLD</v>
      </c>
      <c r="D1582" s="14" t="str">
        <f aca="false">IF(C1582="BUY",B1582,IF(G1581="IN",D1581,""))</f>
        <v/>
      </c>
      <c r="E1582" s="14" t="str">
        <f aca="false">IF(C1582="SELL",B1582,"")</f>
        <v/>
      </c>
      <c r="F1582" s="14" t="str">
        <f aca="false">IF(E1582="","",(E1582-D1582)/D1582*100)</f>
        <v/>
      </c>
      <c r="G1582" s="0" t="str">
        <f aca="false">IF(C1582="BUY","IN",IF(C1582="SELL","OUT",IF(G1581="IN","IN","OUT")))</f>
        <v>OUT</v>
      </c>
      <c r="H1582" s="14" t="n">
        <f aca="false">H1581+IF(F1582="",0,F1582)</f>
        <v>-12.5425356501238</v>
      </c>
      <c r="I1582" s="14" t="n">
        <f aca="false">MAX(I1581,H1582)</f>
        <v>43.9309628600509</v>
      </c>
      <c r="J1582" s="14" t="n">
        <f aca="false">I1582-H1582</f>
        <v>56.4734985101747</v>
      </c>
    </row>
    <row r="1583" customFormat="false" ht="15" hidden="false" customHeight="false" outlineLevel="0" collapsed="false">
      <c r="A1583" s="12" t="n">
        <f aca="false">Data!A1583</f>
        <v>44305</v>
      </c>
      <c r="B1583" s="14" t="n">
        <f aca="false">Data!B1583</f>
        <v>63.38</v>
      </c>
      <c r="C1583" s="0" t="str">
        <f aca="false">IF(Data!D1583="","HOLD",IF(AND(G1582&lt;&gt;"IN",Data!E1583&lt;-5),"BUY",IF(AND(G1582="IN",Data!E1583&gt;0),"SELL","HOLD")))</f>
        <v>HOLD</v>
      </c>
      <c r="D1583" s="14" t="str">
        <f aca="false">IF(C1583="BUY",B1583,IF(G1582="IN",D1582,""))</f>
        <v/>
      </c>
      <c r="E1583" s="14" t="str">
        <f aca="false">IF(C1583="SELL",B1583,"")</f>
        <v/>
      </c>
      <c r="F1583" s="14" t="str">
        <f aca="false">IF(E1583="","",(E1583-D1583)/D1583*100)</f>
        <v/>
      </c>
      <c r="G1583" s="0" t="str">
        <f aca="false">IF(C1583="BUY","IN",IF(C1583="SELL","OUT",IF(G1582="IN","IN","OUT")))</f>
        <v>OUT</v>
      </c>
      <c r="H1583" s="14" t="n">
        <f aca="false">H1582+IF(F1583="",0,F1583)</f>
        <v>-12.5425356501238</v>
      </c>
      <c r="I1583" s="14" t="n">
        <f aca="false">MAX(I1582,H1583)</f>
        <v>43.9309628600509</v>
      </c>
      <c r="J1583" s="14" t="n">
        <f aca="false">I1583-H1583</f>
        <v>56.4734985101747</v>
      </c>
    </row>
    <row r="1584" customFormat="false" ht="15" hidden="false" customHeight="false" outlineLevel="0" collapsed="false">
      <c r="A1584" s="12" t="n">
        <f aca="false">Data!A1584</f>
        <v>44306</v>
      </c>
      <c r="B1584" s="14" t="n">
        <f aca="false">Data!B1584</f>
        <v>62.44</v>
      </c>
      <c r="C1584" s="0" t="str">
        <f aca="false">IF(Data!D1584="","HOLD",IF(AND(G1583&lt;&gt;"IN",Data!E1584&lt;-5),"BUY",IF(AND(G1583="IN",Data!E1584&gt;0),"SELL","HOLD")))</f>
        <v>HOLD</v>
      </c>
      <c r="D1584" s="14" t="str">
        <f aca="false">IF(C1584="BUY",B1584,IF(G1583="IN",D1583,""))</f>
        <v/>
      </c>
      <c r="E1584" s="14" t="str">
        <f aca="false">IF(C1584="SELL",B1584,"")</f>
        <v/>
      </c>
      <c r="F1584" s="14" t="str">
        <f aca="false">IF(E1584="","",(E1584-D1584)/D1584*100)</f>
        <v/>
      </c>
      <c r="G1584" s="0" t="str">
        <f aca="false">IF(C1584="BUY","IN",IF(C1584="SELL","OUT",IF(G1583="IN","IN","OUT")))</f>
        <v>OUT</v>
      </c>
      <c r="H1584" s="14" t="n">
        <f aca="false">H1583+IF(F1584="",0,F1584)</f>
        <v>-12.5425356501238</v>
      </c>
      <c r="I1584" s="14" t="n">
        <f aca="false">MAX(I1583,H1584)</f>
        <v>43.9309628600509</v>
      </c>
      <c r="J1584" s="14" t="n">
        <f aca="false">I1584-H1584</f>
        <v>56.4734985101747</v>
      </c>
    </row>
    <row r="1585" customFormat="false" ht="15" hidden="false" customHeight="false" outlineLevel="0" collapsed="false">
      <c r="A1585" s="12" t="n">
        <f aca="false">Data!A1585</f>
        <v>44307</v>
      </c>
      <c r="B1585" s="14" t="n">
        <f aca="false">Data!B1585</f>
        <v>61.35</v>
      </c>
      <c r="C1585" s="0" t="str">
        <f aca="false">IF(Data!D1585="","HOLD",IF(AND(G1584&lt;&gt;"IN",Data!E1585&lt;-5),"BUY",IF(AND(G1584="IN",Data!E1585&gt;0),"SELL","HOLD")))</f>
        <v>HOLD</v>
      </c>
      <c r="D1585" s="14" t="str">
        <f aca="false">IF(C1585="BUY",B1585,IF(G1584="IN",D1584,""))</f>
        <v/>
      </c>
      <c r="E1585" s="14" t="str">
        <f aca="false">IF(C1585="SELL",B1585,"")</f>
        <v/>
      </c>
      <c r="F1585" s="14" t="str">
        <f aca="false">IF(E1585="","",(E1585-D1585)/D1585*100)</f>
        <v/>
      </c>
      <c r="G1585" s="0" t="str">
        <f aca="false">IF(C1585="BUY","IN",IF(C1585="SELL","OUT",IF(G1584="IN","IN","OUT")))</f>
        <v>OUT</v>
      </c>
      <c r="H1585" s="14" t="n">
        <f aca="false">H1584+IF(F1585="",0,F1585)</f>
        <v>-12.5425356501238</v>
      </c>
      <c r="I1585" s="14" t="n">
        <f aca="false">MAX(I1584,H1585)</f>
        <v>43.9309628600509</v>
      </c>
      <c r="J1585" s="14" t="n">
        <f aca="false">I1585-H1585</f>
        <v>56.4734985101747</v>
      </c>
    </row>
    <row r="1586" customFormat="false" ht="15" hidden="false" customHeight="false" outlineLevel="0" collapsed="false">
      <c r="A1586" s="12" t="n">
        <f aca="false">Data!A1586</f>
        <v>44308</v>
      </c>
      <c r="B1586" s="14" t="n">
        <f aca="false">Data!B1586</f>
        <v>61.43</v>
      </c>
      <c r="C1586" s="0" t="str">
        <f aca="false">IF(Data!D1586="","HOLD",IF(AND(G1585&lt;&gt;"IN",Data!E1586&lt;-5),"BUY",IF(AND(G1585="IN",Data!E1586&gt;0),"SELL","HOLD")))</f>
        <v>HOLD</v>
      </c>
      <c r="D1586" s="14" t="str">
        <f aca="false">IF(C1586="BUY",B1586,IF(G1585="IN",D1585,""))</f>
        <v/>
      </c>
      <c r="E1586" s="14" t="str">
        <f aca="false">IF(C1586="SELL",B1586,"")</f>
        <v/>
      </c>
      <c r="F1586" s="14" t="str">
        <f aca="false">IF(E1586="","",(E1586-D1586)/D1586*100)</f>
        <v/>
      </c>
      <c r="G1586" s="0" t="str">
        <f aca="false">IF(C1586="BUY","IN",IF(C1586="SELL","OUT",IF(G1585="IN","IN","OUT")))</f>
        <v>OUT</v>
      </c>
      <c r="H1586" s="14" t="n">
        <f aca="false">H1585+IF(F1586="",0,F1586)</f>
        <v>-12.5425356501238</v>
      </c>
      <c r="I1586" s="14" t="n">
        <f aca="false">MAX(I1585,H1586)</f>
        <v>43.9309628600509</v>
      </c>
      <c r="J1586" s="14" t="n">
        <f aca="false">I1586-H1586</f>
        <v>56.4734985101747</v>
      </c>
    </row>
    <row r="1587" customFormat="false" ht="15" hidden="false" customHeight="false" outlineLevel="0" collapsed="false">
      <c r="A1587" s="12" t="n">
        <f aca="false">Data!A1587</f>
        <v>44309</v>
      </c>
      <c r="B1587" s="14" t="n">
        <f aca="false">Data!B1587</f>
        <v>62.14</v>
      </c>
      <c r="C1587" s="0" t="str">
        <f aca="false">IF(Data!D1587="","HOLD",IF(AND(G1586&lt;&gt;"IN",Data!E1587&lt;-5),"BUY",IF(AND(G1586="IN",Data!E1587&gt;0),"SELL","HOLD")))</f>
        <v>HOLD</v>
      </c>
      <c r="D1587" s="14" t="str">
        <f aca="false">IF(C1587="BUY",B1587,IF(G1586="IN",D1586,""))</f>
        <v/>
      </c>
      <c r="E1587" s="14" t="str">
        <f aca="false">IF(C1587="SELL",B1587,"")</f>
        <v/>
      </c>
      <c r="F1587" s="14" t="str">
        <f aca="false">IF(E1587="","",(E1587-D1587)/D1587*100)</f>
        <v/>
      </c>
      <c r="G1587" s="0" t="str">
        <f aca="false">IF(C1587="BUY","IN",IF(C1587="SELL","OUT",IF(G1586="IN","IN","OUT")))</f>
        <v>OUT</v>
      </c>
      <c r="H1587" s="14" t="n">
        <f aca="false">H1586+IF(F1587="",0,F1587)</f>
        <v>-12.5425356501238</v>
      </c>
      <c r="I1587" s="14" t="n">
        <f aca="false">MAX(I1586,H1587)</f>
        <v>43.9309628600509</v>
      </c>
      <c r="J1587" s="14" t="n">
        <f aca="false">I1587-H1587</f>
        <v>56.4734985101747</v>
      </c>
    </row>
    <row r="1588" customFormat="false" ht="15" hidden="false" customHeight="false" outlineLevel="0" collapsed="false">
      <c r="A1588" s="12" t="n">
        <f aca="false">Data!A1588</f>
        <v>44312</v>
      </c>
      <c r="B1588" s="14" t="n">
        <f aca="false">Data!B1588</f>
        <v>61.91</v>
      </c>
      <c r="C1588" s="0" t="str">
        <f aca="false">IF(Data!D1588="","HOLD",IF(AND(G1587&lt;&gt;"IN",Data!E1588&lt;-5),"BUY",IF(AND(G1587="IN",Data!E1588&gt;0),"SELL","HOLD")))</f>
        <v>HOLD</v>
      </c>
      <c r="D1588" s="14" t="str">
        <f aca="false">IF(C1588="BUY",B1588,IF(G1587="IN",D1587,""))</f>
        <v/>
      </c>
      <c r="E1588" s="14" t="str">
        <f aca="false">IF(C1588="SELL",B1588,"")</f>
        <v/>
      </c>
      <c r="F1588" s="14" t="str">
        <f aca="false">IF(E1588="","",(E1588-D1588)/D1588*100)</f>
        <v/>
      </c>
      <c r="G1588" s="0" t="str">
        <f aca="false">IF(C1588="BUY","IN",IF(C1588="SELL","OUT",IF(G1587="IN","IN","OUT")))</f>
        <v>OUT</v>
      </c>
      <c r="H1588" s="14" t="n">
        <f aca="false">H1587+IF(F1588="",0,F1588)</f>
        <v>-12.5425356501238</v>
      </c>
      <c r="I1588" s="14" t="n">
        <f aca="false">MAX(I1587,H1588)</f>
        <v>43.9309628600509</v>
      </c>
      <c r="J1588" s="14" t="n">
        <f aca="false">I1588-H1588</f>
        <v>56.4734985101747</v>
      </c>
    </row>
    <row r="1589" customFormat="false" ht="15" hidden="false" customHeight="false" outlineLevel="0" collapsed="false">
      <c r="A1589" s="12" t="n">
        <f aca="false">Data!A1589</f>
        <v>44313</v>
      </c>
      <c r="B1589" s="14" t="n">
        <f aca="false">Data!B1589</f>
        <v>62.94</v>
      </c>
      <c r="C1589" s="0" t="str">
        <f aca="false">IF(Data!D1589="","HOLD",IF(AND(G1588&lt;&gt;"IN",Data!E1589&lt;-5),"BUY",IF(AND(G1588="IN",Data!E1589&gt;0),"SELL","HOLD")))</f>
        <v>HOLD</v>
      </c>
      <c r="D1589" s="14" t="str">
        <f aca="false">IF(C1589="BUY",B1589,IF(G1588="IN",D1588,""))</f>
        <v/>
      </c>
      <c r="E1589" s="14" t="str">
        <f aca="false">IF(C1589="SELL",B1589,"")</f>
        <v/>
      </c>
      <c r="F1589" s="14" t="str">
        <f aca="false">IF(E1589="","",(E1589-D1589)/D1589*100)</f>
        <v/>
      </c>
      <c r="G1589" s="0" t="str">
        <f aca="false">IF(C1589="BUY","IN",IF(C1589="SELL","OUT",IF(G1588="IN","IN","OUT")))</f>
        <v>OUT</v>
      </c>
      <c r="H1589" s="14" t="n">
        <f aca="false">H1588+IF(F1589="",0,F1589)</f>
        <v>-12.5425356501238</v>
      </c>
      <c r="I1589" s="14" t="n">
        <f aca="false">MAX(I1588,H1589)</f>
        <v>43.9309628600509</v>
      </c>
      <c r="J1589" s="14" t="n">
        <f aca="false">I1589-H1589</f>
        <v>56.4734985101747</v>
      </c>
    </row>
    <row r="1590" customFormat="false" ht="15" hidden="false" customHeight="false" outlineLevel="0" collapsed="false">
      <c r="A1590" s="12" t="n">
        <f aca="false">Data!A1590</f>
        <v>44314</v>
      </c>
      <c r="B1590" s="14" t="n">
        <f aca="false">Data!B1590</f>
        <v>63.86</v>
      </c>
      <c r="C1590" s="0" t="str">
        <f aca="false">IF(Data!D1590="","HOLD",IF(AND(G1589&lt;&gt;"IN",Data!E1590&lt;-5),"BUY",IF(AND(G1589="IN",Data!E1590&gt;0),"SELL","HOLD")))</f>
        <v>HOLD</v>
      </c>
      <c r="D1590" s="14" t="str">
        <f aca="false">IF(C1590="BUY",B1590,IF(G1589="IN",D1589,""))</f>
        <v/>
      </c>
      <c r="E1590" s="14" t="str">
        <f aca="false">IF(C1590="SELL",B1590,"")</f>
        <v/>
      </c>
      <c r="F1590" s="14" t="str">
        <f aca="false">IF(E1590="","",(E1590-D1590)/D1590*100)</f>
        <v/>
      </c>
      <c r="G1590" s="0" t="str">
        <f aca="false">IF(C1590="BUY","IN",IF(C1590="SELL","OUT",IF(G1589="IN","IN","OUT")))</f>
        <v>OUT</v>
      </c>
      <c r="H1590" s="14" t="n">
        <f aca="false">H1589+IF(F1590="",0,F1590)</f>
        <v>-12.5425356501238</v>
      </c>
      <c r="I1590" s="14" t="n">
        <f aca="false">MAX(I1589,H1590)</f>
        <v>43.9309628600509</v>
      </c>
      <c r="J1590" s="14" t="n">
        <f aca="false">I1590-H1590</f>
        <v>56.4734985101747</v>
      </c>
    </row>
    <row r="1591" customFormat="false" ht="15" hidden="false" customHeight="false" outlineLevel="0" collapsed="false">
      <c r="A1591" s="12" t="n">
        <f aca="false">Data!A1591</f>
        <v>44315</v>
      </c>
      <c r="B1591" s="14" t="n">
        <f aca="false">Data!B1591</f>
        <v>65.01</v>
      </c>
      <c r="C1591" s="0" t="str">
        <f aca="false">IF(Data!D1591="","HOLD",IF(AND(G1590&lt;&gt;"IN",Data!E1591&lt;-5),"BUY",IF(AND(G1590="IN",Data!E1591&gt;0),"SELL","HOLD")))</f>
        <v>HOLD</v>
      </c>
      <c r="D1591" s="14" t="str">
        <f aca="false">IF(C1591="BUY",B1591,IF(G1590="IN",D1590,""))</f>
        <v/>
      </c>
      <c r="E1591" s="14" t="str">
        <f aca="false">IF(C1591="SELL",B1591,"")</f>
        <v/>
      </c>
      <c r="F1591" s="14" t="str">
        <f aca="false">IF(E1591="","",(E1591-D1591)/D1591*100)</f>
        <v/>
      </c>
      <c r="G1591" s="0" t="str">
        <f aca="false">IF(C1591="BUY","IN",IF(C1591="SELL","OUT",IF(G1590="IN","IN","OUT")))</f>
        <v>OUT</v>
      </c>
      <c r="H1591" s="14" t="n">
        <f aca="false">H1590+IF(F1591="",0,F1591)</f>
        <v>-12.5425356501238</v>
      </c>
      <c r="I1591" s="14" t="n">
        <f aca="false">MAX(I1590,H1591)</f>
        <v>43.9309628600509</v>
      </c>
      <c r="J1591" s="14" t="n">
        <f aca="false">I1591-H1591</f>
        <v>56.4734985101747</v>
      </c>
    </row>
    <row r="1592" customFormat="false" ht="15" hidden="false" customHeight="false" outlineLevel="0" collapsed="false">
      <c r="A1592" s="12" t="n">
        <f aca="false">Data!A1592</f>
        <v>44316</v>
      </c>
      <c r="B1592" s="14" t="n">
        <f aca="false">Data!B1592</f>
        <v>63.58</v>
      </c>
      <c r="C1592" s="0" t="str">
        <f aca="false">IF(Data!D1592="","HOLD",IF(AND(G1591&lt;&gt;"IN",Data!E1592&lt;-5),"BUY",IF(AND(G1591="IN",Data!E1592&gt;0),"SELL","HOLD")))</f>
        <v>HOLD</v>
      </c>
      <c r="D1592" s="14" t="str">
        <f aca="false">IF(C1592="BUY",B1592,IF(G1591="IN",D1591,""))</f>
        <v/>
      </c>
      <c r="E1592" s="14" t="str">
        <f aca="false">IF(C1592="SELL",B1592,"")</f>
        <v/>
      </c>
      <c r="F1592" s="14" t="str">
        <f aca="false">IF(E1592="","",(E1592-D1592)/D1592*100)</f>
        <v/>
      </c>
      <c r="G1592" s="0" t="str">
        <f aca="false">IF(C1592="BUY","IN",IF(C1592="SELL","OUT",IF(G1591="IN","IN","OUT")))</f>
        <v>OUT</v>
      </c>
      <c r="H1592" s="14" t="n">
        <f aca="false">H1591+IF(F1592="",0,F1592)</f>
        <v>-12.5425356501238</v>
      </c>
      <c r="I1592" s="14" t="n">
        <f aca="false">MAX(I1591,H1592)</f>
        <v>43.9309628600509</v>
      </c>
      <c r="J1592" s="14" t="n">
        <f aca="false">I1592-H1592</f>
        <v>56.4734985101747</v>
      </c>
    </row>
    <row r="1593" customFormat="false" ht="15" hidden="false" customHeight="false" outlineLevel="0" collapsed="false">
      <c r="A1593" s="12" t="n">
        <f aca="false">Data!A1593</f>
        <v>44319</v>
      </c>
      <c r="B1593" s="14" t="n">
        <f aca="false">Data!B1593</f>
        <v>64.49</v>
      </c>
      <c r="C1593" s="0" t="str">
        <f aca="false">IF(Data!D1593="","HOLD",IF(AND(G1592&lt;&gt;"IN",Data!E1593&lt;-5),"BUY",IF(AND(G1592="IN",Data!E1593&gt;0),"SELL","HOLD")))</f>
        <v>HOLD</v>
      </c>
      <c r="D1593" s="14" t="str">
        <f aca="false">IF(C1593="BUY",B1593,IF(G1592="IN",D1592,""))</f>
        <v/>
      </c>
      <c r="E1593" s="14" t="str">
        <f aca="false">IF(C1593="SELL",B1593,"")</f>
        <v/>
      </c>
      <c r="F1593" s="14" t="str">
        <f aca="false">IF(E1593="","",(E1593-D1593)/D1593*100)</f>
        <v/>
      </c>
      <c r="G1593" s="0" t="str">
        <f aca="false">IF(C1593="BUY","IN",IF(C1593="SELL","OUT",IF(G1592="IN","IN","OUT")))</f>
        <v>OUT</v>
      </c>
      <c r="H1593" s="14" t="n">
        <f aca="false">H1592+IF(F1593="",0,F1593)</f>
        <v>-12.5425356501238</v>
      </c>
      <c r="I1593" s="14" t="n">
        <f aca="false">MAX(I1592,H1593)</f>
        <v>43.9309628600509</v>
      </c>
      <c r="J1593" s="14" t="n">
        <f aca="false">I1593-H1593</f>
        <v>56.4734985101747</v>
      </c>
    </row>
    <row r="1594" customFormat="false" ht="15" hidden="false" customHeight="false" outlineLevel="0" collapsed="false">
      <c r="A1594" s="12" t="n">
        <f aca="false">Data!A1594</f>
        <v>44320</v>
      </c>
      <c r="B1594" s="14" t="n">
        <f aca="false">Data!B1594</f>
        <v>65.69</v>
      </c>
      <c r="C1594" s="0" t="str">
        <f aca="false">IF(Data!D1594="","HOLD",IF(AND(G1593&lt;&gt;"IN",Data!E1594&lt;-5),"BUY",IF(AND(G1593="IN",Data!E1594&gt;0),"SELL","HOLD")))</f>
        <v>HOLD</v>
      </c>
      <c r="D1594" s="14" t="str">
        <f aca="false">IF(C1594="BUY",B1594,IF(G1593="IN",D1593,""))</f>
        <v/>
      </c>
      <c r="E1594" s="14" t="str">
        <f aca="false">IF(C1594="SELL",B1594,"")</f>
        <v/>
      </c>
      <c r="F1594" s="14" t="str">
        <f aca="false">IF(E1594="","",(E1594-D1594)/D1594*100)</f>
        <v/>
      </c>
      <c r="G1594" s="0" t="str">
        <f aca="false">IF(C1594="BUY","IN",IF(C1594="SELL","OUT",IF(G1593="IN","IN","OUT")))</f>
        <v>OUT</v>
      </c>
      <c r="H1594" s="14" t="n">
        <f aca="false">H1593+IF(F1594="",0,F1594)</f>
        <v>-12.5425356501238</v>
      </c>
      <c r="I1594" s="14" t="n">
        <f aca="false">MAX(I1593,H1594)</f>
        <v>43.9309628600509</v>
      </c>
      <c r="J1594" s="14" t="n">
        <f aca="false">I1594-H1594</f>
        <v>56.4734985101747</v>
      </c>
    </row>
    <row r="1595" customFormat="false" ht="15" hidden="false" customHeight="false" outlineLevel="0" collapsed="false">
      <c r="A1595" s="12" t="n">
        <f aca="false">Data!A1595</f>
        <v>44321</v>
      </c>
      <c r="B1595" s="14" t="n">
        <f aca="false">Data!B1595</f>
        <v>65.63</v>
      </c>
      <c r="C1595" s="0" t="str">
        <f aca="false">IF(Data!D1595="","HOLD",IF(AND(G1594&lt;&gt;"IN",Data!E1595&lt;-5),"BUY",IF(AND(G1594="IN",Data!E1595&gt;0),"SELL","HOLD")))</f>
        <v>HOLD</v>
      </c>
      <c r="D1595" s="14" t="str">
        <f aca="false">IF(C1595="BUY",B1595,IF(G1594="IN",D1594,""))</f>
        <v/>
      </c>
      <c r="E1595" s="14" t="str">
        <f aca="false">IF(C1595="SELL",B1595,"")</f>
        <v/>
      </c>
      <c r="F1595" s="14" t="str">
        <f aca="false">IF(E1595="","",(E1595-D1595)/D1595*100)</f>
        <v/>
      </c>
      <c r="G1595" s="0" t="str">
        <f aca="false">IF(C1595="BUY","IN",IF(C1595="SELL","OUT",IF(G1594="IN","IN","OUT")))</f>
        <v>OUT</v>
      </c>
      <c r="H1595" s="14" t="n">
        <f aca="false">H1594+IF(F1595="",0,F1595)</f>
        <v>-12.5425356501238</v>
      </c>
      <c r="I1595" s="14" t="n">
        <f aca="false">MAX(I1594,H1595)</f>
        <v>43.9309628600509</v>
      </c>
      <c r="J1595" s="14" t="n">
        <f aca="false">I1595-H1595</f>
        <v>56.4734985101747</v>
      </c>
    </row>
    <row r="1596" customFormat="false" ht="15" hidden="false" customHeight="false" outlineLevel="0" collapsed="false">
      <c r="A1596" s="12" t="n">
        <f aca="false">Data!A1596</f>
        <v>44322</v>
      </c>
      <c r="B1596" s="14" t="n">
        <f aca="false">Data!B1596</f>
        <v>64.71</v>
      </c>
      <c r="C1596" s="0" t="str">
        <f aca="false">IF(Data!D1596="","HOLD",IF(AND(G1595&lt;&gt;"IN",Data!E1596&lt;-5),"BUY",IF(AND(G1595="IN",Data!E1596&gt;0),"SELL","HOLD")))</f>
        <v>HOLD</v>
      </c>
      <c r="D1596" s="14" t="str">
        <f aca="false">IF(C1596="BUY",B1596,IF(G1595="IN",D1595,""))</f>
        <v/>
      </c>
      <c r="E1596" s="14" t="str">
        <f aca="false">IF(C1596="SELL",B1596,"")</f>
        <v/>
      </c>
      <c r="F1596" s="14" t="str">
        <f aca="false">IF(E1596="","",(E1596-D1596)/D1596*100)</f>
        <v/>
      </c>
      <c r="G1596" s="0" t="str">
        <f aca="false">IF(C1596="BUY","IN",IF(C1596="SELL","OUT",IF(G1595="IN","IN","OUT")))</f>
        <v>OUT</v>
      </c>
      <c r="H1596" s="14" t="n">
        <f aca="false">H1595+IF(F1596="",0,F1596)</f>
        <v>-12.5425356501238</v>
      </c>
      <c r="I1596" s="14" t="n">
        <f aca="false">MAX(I1595,H1596)</f>
        <v>43.9309628600509</v>
      </c>
      <c r="J1596" s="14" t="n">
        <f aca="false">I1596-H1596</f>
        <v>56.4734985101747</v>
      </c>
    </row>
    <row r="1597" customFormat="false" ht="15" hidden="false" customHeight="false" outlineLevel="0" collapsed="false">
      <c r="A1597" s="12" t="n">
        <f aca="false">Data!A1597</f>
        <v>44323</v>
      </c>
      <c r="B1597" s="14" t="n">
        <f aca="false">Data!B1597</f>
        <v>64.9</v>
      </c>
      <c r="C1597" s="0" t="str">
        <f aca="false">IF(Data!D1597="","HOLD",IF(AND(G1596&lt;&gt;"IN",Data!E1597&lt;-5),"BUY",IF(AND(G1596="IN",Data!E1597&gt;0),"SELL","HOLD")))</f>
        <v>HOLD</v>
      </c>
      <c r="D1597" s="14" t="str">
        <f aca="false">IF(C1597="BUY",B1597,IF(G1596="IN",D1596,""))</f>
        <v/>
      </c>
      <c r="E1597" s="14" t="str">
        <f aca="false">IF(C1597="SELL",B1597,"")</f>
        <v/>
      </c>
      <c r="F1597" s="14" t="str">
        <f aca="false">IF(E1597="","",(E1597-D1597)/D1597*100)</f>
        <v/>
      </c>
      <c r="G1597" s="0" t="str">
        <f aca="false">IF(C1597="BUY","IN",IF(C1597="SELL","OUT",IF(G1596="IN","IN","OUT")))</f>
        <v>OUT</v>
      </c>
      <c r="H1597" s="14" t="n">
        <f aca="false">H1596+IF(F1597="",0,F1597)</f>
        <v>-12.5425356501238</v>
      </c>
      <c r="I1597" s="14" t="n">
        <f aca="false">MAX(I1596,H1597)</f>
        <v>43.9309628600509</v>
      </c>
      <c r="J1597" s="14" t="n">
        <f aca="false">I1597-H1597</f>
        <v>56.4734985101747</v>
      </c>
    </row>
    <row r="1598" customFormat="false" ht="15" hidden="false" customHeight="false" outlineLevel="0" collapsed="false">
      <c r="A1598" s="12" t="n">
        <f aca="false">Data!A1598</f>
        <v>44326</v>
      </c>
      <c r="B1598" s="14" t="n">
        <f aca="false">Data!B1598</f>
        <v>64.92</v>
      </c>
      <c r="C1598" s="0" t="str">
        <f aca="false">IF(Data!D1598="","HOLD",IF(AND(G1597&lt;&gt;"IN",Data!E1598&lt;-5),"BUY",IF(AND(G1597="IN",Data!E1598&gt;0),"SELL","HOLD")))</f>
        <v>HOLD</v>
      </c>
      <c r="D1598" s="14" t="str">
        <f aca="false">IF(C1598="BUY",B1598,IF(G1597="IN",D1597,""))</f>
        <v/>
      </c>
      <c r="E1598" s="14" t="str">
        <f aca="false">IF(C1598="SELL",B1598,"")</f>
        <v/>
      </c>
      <c r="F1598" s="14" t="str">
        <f aca="false">IF(E1598="","",(E1598-D1598)/D1598*100)</f>
        <v/>
      </c>
      <c r="G1598" s="0" t="str">
        <f aca="false">IF(C1598="BUY","IN",IF(C1598="SELL","OUT",IF(G1597="IN","IN","OUT")))</f>
        <v>OUT</v>
      </c>
      <c r="H1598" s="14" t="n">
        <f aca="false">H1597+IF(F1598="",0,F1598)</f>
        <v>-12.5425356501238</v>
      </c>
      <c r="I1598" s="14" t="n">
        <f aca="false">MAX(I1597,H1598)</f>
        <v>43.9309628600509</v>
      </c>
      <c r="J1598" s="14" t="n">
        <f aca="false">I1598-H1598</f>
        <v>56.4734985101747</v>
      </c>
    </row>
    <row r="1599" customFormat="false" ht="15" hidden="false" customHeight="false" outlineLevel="0" collapsed="false">
      <c r="A1599" s="12" t="n">
        <f aca="false">Data!A1599</f>
        <v>44327</v>
      </c>
      <c r="B1599" s="14" t="n">
        <f aca="false">Data!B1599</f>
        <v>65.28</v>
      </c>
      <c r="C1599" s="0" t="str">
        <f aca="false">IF(Data!D1599="","HOLD",IF(AND(G1598&lt;&gt;"IN",Data!E1599&lt;-5),"BUY",IF(AND(G1598="IN",Data!E1599&gt;0),"SELL","HOLD")))</f>
        <v>HOLD</v>
      </c>
      <c r="D1599" s="14" t="str">
        <f aca="false">IF(C1599="BUY",B1599,IF(G1598="IN",D1598,""))</f>
        <v/>
      </c>
      <c r="E1599" s="14" t="str">
        <f aca="false">IF(C1599="SELL",B1599,"")</f>
        <v/>
      </c>
      <c r="F1599" s="14" t="str">
        <f aca="false">IF(E1599="","",(E1599-D1599)/D1599*100)</f>
        <v/>
      </c>
      <c r="G1599" s="0" t="str">
        <f aca="false">IF(C1599="BUY","IN",IF(C1599="SELL","OUT",IF(G1598="IN","IN","OUT")))</f>
        <v>OUT</v>
      </c>
      <c r="H1599" s="14" t="n">
        <f aca="false">H1598+IF(F1599="",0,F1599)</f>
        <v>-12.5425356501238</v>
      </c>
      <c r="I1599" s="14" t="n">
        <f aca="false">MAX(I1598,H1599)</f>
        <v>43.9309628600509</v>
      </c>
      <c r="J1599" s="14" t="n">
        <f aca="false">I1599-H1599</f>
        <v>56.4734985101747</v>
      </c>
    </row>
    <row r="1600" customFormat="false" ht="15" hidden="false" customHeight="false" outlineLevel="0" collapsed="false">
      <c r="A1600" s="12" t="n">
        <f aca="false">Data!A1600</f>
        <v>44328</v>
      </c>
      <c r="B1600" s="14" t="n">
        <f aca="false">Data!B1600</f>
        <v>66.08</v>
      </c>
      <c r="C1600" s="0" t="str">
        <f aca="false">IF(Data!D1600="","HOLD",IF(AND(G1599&lt;&gt;"IN",Data!E1600&lt;-5),"BUY",IF(AND(G1599="IN",Data!E1600&gt;0),"SELL","HOLD")))</f>
        <v>HOLD</v>
      </c>
      <c r="D1600" s="14" t="str">
        <f aca="false">IF(C1600="BUY",B1600,IF(G1599="IN",D1599,""))</f>
        <v/>
      </c>
      <c r="E1600" s="14" t="str">
        <f aca="false">IF(C1600="SELL",B1600,"")</f>
        <v/>
      </c>
      <c r="F1600" s="14" t="str">
        <f aca="false">IF(E1600="","",(E1600-D1600)/D1600*100)</f>
        <v/>
      </c>
      <c r="G1600" s="0" t="str">
        <f aca="false">IF(C1600="BUY","IN",IF(C1600="SELL","OUT",IF(G1599="IN","IN","OUT")))</f>
        <v>OUT</v>
      </c>
      <c r="H1600" s="14" t="n">
        <f aca="false">H1599+IF(F1600="",0,F1600)</f>
        <v>-12.5425356501238</v>
      </c>
      <c r="I1600" s="14" t="n">
        <f aca="false">MAX(I1599,H1600)</f>
        <v>43.9309628600509</v>
      </c>
      <c r="J1600" s="14" t="n">
        <f aca="false">I1600-H1600</f>
        <v>56.4734985101747</v>
      </c>
    </row>
    <row r="1601" customFormat="false" ht="15" hidden="false" customHeight="false" outlineLevel="0" collapsed="false">
      <c r="A1601" s="12" t="n">
        <f aca="false">Data!A1601</f>
        <v>44329</v>
      </c>
      <c r="B1601" s="14" t="n">
        <f aca="false">Data!B1601</f>
        <v>63.82</v>
      </c>
      <c r="C1601" s="0" t="str">
        <f aca="false">IF(Data!D1601="","HOLD",IF(AND(G1600&lt;&gt;"IN",Data!E1601&lt;-5),"BUY",IF(AND(G1600="IN",Data!E1601&gt;0),"SELL","HOLD")))</f>
        <v>HOLD</v>
      </c>
      <c r="D1601" s="14" t="str">
        <f aca="false">IF(C1601="BUY",B1601,IF(G1600="IN",D1600,""))</f>
        <v/>
      </c>
      <c r="E1601" s="14" t="str">
        <f aca="false">IF(C1601="SELL",B1601,"")</f>
        <v/>
      </c>
      <c r="F1601" s="14" t="str">
        <f aca="false">IF(E1601="","",(E1601-D1601)/D1601*100)</f>
        <v/>
      </c>
      <c r="G1601" s="0" t="str">
        <f aca="false">IF(C1601="BUY","IN",IF(C1601="SELL","OUT",IF(G1600="IN","IN","OUT")))</f>
        <v>OUT</v>
      </c>
      <c r="H1601" s="14" t="n">
        <f aca="false">H1600+IF(F1601="",0,F1601)</f>
        <v>-12.5425356501238</v>
      </c>
      <c r="I1601" s="14" t="n">
        <f aca="false">MAX(I1600,H1601)</f>
        <v>43.9309628600509</v>
      </c>
      <c r="J1601" s="14" t="n">
        <f aca="false">I1601-H1601</f>
        <v>56.4734985101747</v>
      </c>
    </row>
    <row r="1602" customFormat="false" ht="15" hidden="false" customHeight="false" outlineLevel="0" collapsed="false">
      <c r="A1602" s="12" t="n">
        <f aca="false">Data!A1602</f>
        <v>44330</v>
      </c>
      <c r="B1602" s="14" t="n">
        <f aca="false">Data!B1602</f>
        <v>65.37</v>
      </c>
      <c r="C1602" s="0" t="str">
        <f aca="false">IF(Data!D1602="","HOLD",IF(AND(G1601&lt;&gt;"IN",Data!E1602&lt;-5),"BUY",IF(AND(G1601="IN",Data!E1602&gt;0),"SELL","HOLD")))</f>
        <v>HOLD</v>
      </c>
      <c r="D1602" s="14" t="str">
        <f aca="false">IF(C1602="BUY",B1602,IF(G1601="IN",D1601,""))</f>
        <v/>
      </c>
      <c r="E1602" s="14" t="str">
        <f aca="false">IF(C1602="SELL",B1602,"")</f>
        <v/>
      </c>
      <c r="F1602" s="14" t="str">
        <f aca="false">IF(E1602="","",(E1602-D1602)/D1602*100)</f>
        <v/>
      </c>
      <c r="G1602" s="0" t="str">
        <f aca="false">IF(C1602="BUY","IN",IF(C1602="SELL","OUT",IF(G1601="IN","IN","OUT")))</f>
        <v>OUT</v>
      </c>
      <c r="H1602" s="14" t="n">
        <f aca="false">H1601+IF(F1602="",0,F1602)</f>
        <v>-12.5425356501238</v>
      </c>
      <c r="I1602" s="14" t="n">
        <f aca="false">MAX(I1601,H1602)</f>
        <v>43.9309628600509</v>
      </c>
      <c r="J1602" s="14" t="n">
        <f aca="false">I1602-H1602</f>
        <v>56.4734985101747</v>
      </c>
    </row>
    <row r="1603" customFormat="false" ht="15" hidden="false" customHeight="false" outlineLevel="0" collapsed="false">
      <c r="A1603" s="12" t="n">
        <f aca="false">Data!A1603</f>
        <v>44333</v>
      </c>
      <c r="B1603" s="14" t="n">
        <f aca="false">Data!B1603</f>
        <v>66.27</v>
      </c>
      <c r="C1603" s="0" t="str">
        <f aca="false">IF(Data!D1603="","HOLD",IF(AND(G1602&lt;&gt;"IN",Data!E1603&lt;-5),"BUY",IF(AND(G1602="IN",Data!E1603&gt;0),"SELL","HOLD")))</f>
        <v>HOLD</v>
      </c>
      <c r="D1603" s="14" t="str">
        <f aca="false">IF(C1603="BUY",B1603,IF(G1602="IN",D1602,""))</f>
        <v/>
      </c>
      <c r="E1603" s="14" t="str">
        <f aca="false">IF(C1603="SELL",B1603,"")</f>
        <v/>
      </c>
      <c r="F1603" s="14" t="str">
        <f aca="false">IF(E1603="","",(E1603-D1603)/D1603*100)</f>
        <v/>
      </c>
      <c r="G1603" s="0" t="str">
        <f aca="false">IF(C1603="BUY","IN",IF(C1603="SELL","OUT",IF(G1602="IN","IN","OUT")))</f>
        <v>OUT</v>
      </c>
      <c r="H1603" s="14" t="n">
        <f aca="false">H1602+IF(F1603="",0,F1603)</f>
        <v>-12.5425356501238</v>
      </c>
      <c r="I1603" s="14" t="n">
        <f aca="false">MAX(I1602,H1603)</f>
        <v>43.9309628600509</v>
      </c>
      <c r="J1603" s="14" t="n">
        <f aca="false">I1603-H1603</f>
        <v>56.4734985101747</v>
      </c>
    </row>
    <row r="1604" customFormat="false" ht="15" hidden="false" customHeight="false" outlineLevel="0" collapsed="false">
      <c r="A1604" s="12" t="n">
        <f aca="false">Data!A1604</f>
        <v>44334</v>
      </c>
      <c r="B1604" s="14" t="n">
        <f aca="false">Data!B1604</f>
        <v>65.49</v>
      </c>
      <c r="C1604" s="0" t="str">
        <f aca="false">IF(Data!D1604="","HOLD",IF(AND(G1603&lt;&gt;"IN",Data!E1604&lt;-5),"BUY",IF(AND(G1603="IN",Data!E1604&gt;0),"SELL","HOLD")))</f>
        <v>HOLD</v>
      </c>
      <c r="D1604" s="14" t="str">
        <f aca="false">IF(C1604="BUY",B1604,IF(G1603="IN",D1603,""))</f>
        <v/>
      </c>
      <c r="E1604" s="14" t="str">
        <f aca="false">IF(C1604="SELL",B1604,"")</f>
        <v/>
      </c>
      <c r="F1604" s="14" t="str">
        <f aca="false">IF(E1604="","",(E1604-D1604)/D1604*100)</f>
        <v/>
      </c>
      <c r="G1604" s="0" t="str">
        <f aca="false">IF(C1604="BUY","IN",IF(C1604="SELL","OUT",IF(G1603="IN","IN","OUT")))</f>
        <v>OUT</v>
      </c>
      <c r="H1604" s="14" t="n">
        <f aca="false">H1603+IF(F1604="",0,F1604)</f>
        <v>-12.5425356501238</v>
      </c>
      <c r="I1604" s="14" t="n">
        <f aca="false">MAX(I1603,H1604)</f>
        <v>43.9309628600509</v>
      </c>
      <c r="J1604" s="14" t="n">
        <f aca="false">I1604-H1604</f>
        <v>56.4734985101747</v>
      </c>
    </row>
    <row r="1605" customFormat="false" ht="15" hidden="false" customHeight="false" outlineLevel="0" collapsed="false">
      <c r="A1605" s="12" t="n">
        <f aca="false">Data!A1605</f>
        <v>44335</v>
      </c>
      <c r="B1605" s="14" t="n">
        <f aca="false">Data!B1605</f>
        <v>63.36</v>
      </c>
      <c r="C1605" s="0" t="str">
        <f aca="false">IF(Data!D1605="","HOLD",IF(AND(G1604&lt;&gt;"IN",Data!E1605&lt;-5),"BUY",IF(AND(G1604="IN",Data!E1605&gt;0),"SELL","HOLD")))</f>
        <v>HOLD</v>
      </c>
      <c r="D1605" s="14" t="str">
        <f aca="false">IF(C1605="BUY",B1605,IF(G1604="IN",D1604,""))</f>
        <v/>
      </c>
      <c r="E1605" s="14" t="str">
        <f aca="false">IF(C1605="SELL",B1605,"")</f>
        <v/>
      </c>
      <c r="F1605" s="14" t="str">
        <f aca="false">IF(E1605="","",(E1605-D1605)/D1605*100)</f>
        <v/>
      </c>
      <c r="G1605" s="0" t="str">
        <f aca="false">IF(C1605="BUY","IN",IF(C1605="SELL","OUT",IF(G1604="IN","IN","OUT")))</f>
        <v>OUT</v>
      </c>
      <c r="H1605" s="14" t="n">
        <f aca="false">H1604+IF(F1605="",0,F1605)</f>
        <v>-12.5425356501238</v>
      </c>
      <c r="I1605" s="14" t="n">
        <f aca="false">MAX(I1604,H1605)</f>
        <v>43.9309628600509</v>
      </c>
      <c r="J1605" s="14" t="n">
        <f aca="false">I1605-H1605</f>
        <v>56.4734985101747</v>
      </c>
    </row>
    <row r="1606" customFormat="false" ht="15" hidden="false" customHeight="false" outlineLevel="0" collapsed="false">
      <c r="A1606" s="12" t="n">
        <f aca="false">Data!A1606</f>
        <v>44336</v>
      </c>
      <c r="B1606" s="14" t="n">
        <f aca="false">Data!B1606</f>
        <v>62.05</v>
      </c>
      <c r="C1606" s="0" t="str">
        <f aca="false">IF(Data!D1606="","HOLD",IF(AND(G1605&lt;&gt;"IN",Data!E1606&lt;-5),"BUY",IF(AND(G1605="IN",Data!E1606&gt;0),"SELL","HOLD")))</f>
        <v>HOLD</v>
      </c>
      <c r="D1606" s="14" t="str">
        <f aca="false">IF(C1606="BUY",B1606,IF(G1605="IN",D1605,""))</f>
        <v/>
      </c>
      <c r="E1606" s="14" t="str">
        <f aca="false">IF(C1606="SELL",B1606,"")</f>
        <v/>
      </c>
      <c r="F1606" s="14" t="str">
        <f aca="false">IF(E1606="","",(E1606-D1606)/D1606*100)</f>
        <v/>
      </c>
      <c r="G1606" s="0" t="str">
        <f aca="false">IF(C1606="BUY","IN",IF(C1606="SELL","OUT",IF(G1605="IN","IN","OUT")))</f>
        <v>OUT</v>
      </c>
      <c r="H1606" s="14" t="n">
        <f aca="false">H1605+IF(F1606="",0,F1606)</f>
        <v>-12.5425356501238</v>
      </c>
      <c r="I1606" s="14" t="n">
        <f aca="false">MAX(I1605,H1606)</f>
        <v>43.9309628600509</v>
      </c>
      <c r="J1606" s="14" t="n">
        <f aca="false">I1606-H1606</f>
        <v>56.4734985101747</v>
      </c>
    </row>
    <row r="1607" customFormat="false" ht="15" hidden="false" customHeight="false" outlineLevel="0" collapsed="false">
      <c r="A1607" s="12" t="n">
        <f aca="false">Data!A1607</f>
        <v>44337</v>
      </c>
      <c r="B1607" s="14" t="n">
        <f aca="false">Data!B1607</f>
        <v>63.58</v>
      </c>
      <c r="C1607" s="0" t="str">
        <f aca="false">IF(Data!D1607="","HOLD",IF(AND(G1606&lt;&gt;"IN",Data!E1607&lt;-5),"BUY",IF(AND(G1606="IN",Data!E1607&gt;0),"SELL","HOLD")))</f>
        <v>HOLD</v>
      </c>
      <c r="D1607" s="14" t="str">
        <f aca="false">IF(C1607="BUY",B1607,IF(G1606="IN",D1606,""))</f>
        <v/>
      </c>
      <c r="E1607" s="14" t="str">
        <f aca="false">IF(C1607="SELL",B1607,"")</f>
        <v/>
      </c>
      <c r="F1607" s="14" t="str">
        <f aca="false">IF(E1607="","",(E1607-D1607)/D1607*100)</f>
        <v/>
      </c>
      <c r="G1607" s="0" t="str">
        <f aca="false">IF(C1607="BUY","IN",IF(C1607="SELL","OUT",IF(G1606="IN","IN","OUT")))</f>
        <v>OUT</v>
      </c>
      <c r="H1607" s="14" t="n">
        <f aca="false">H1606+IF(F1607="",0,F1607)</f>
        <v>-12.5425356501238</v>
      </c>
      <c r="I1607" s="14" t="n">
        <f aca="false">MAX(I1606,H1607)</f>
        <v>43.9309628600509</v>
      </c>
      <c r="J1607" s="14" t="n">
        <f aca="false">I1607-H1607</f>
        <v>56.4734985101747</v>
      </c>
    </row>
    <row r="1608" customFormat="false" ht="15" hidden="false" customHeight="false" outlineLevel="0" collapsed="false">
      <c r="A1608" s="12" t="n">
        <f aca="false">Data!A1608</f>
        <v>44340</v>
      </c>
      <c r="B1608" s="14" t="n">
        <f aca="false">Data!B1608</f>
        <v>66.05</v>
      </c>
      <c r="C1608" s="0" t="str">
        <f aca="false">IF(Data!D1608="","HOLD",IF(AND(G1607&lt;&gt;"IN",Data!E1608&lt;-5),"BUY",IF(AND(G1607="IN",Data!E1608&gt;0),"SELL","HOLD")))</f>
        <v>HOLD</v>
      </c>
      <c r="D1608" s="14" t="str">
        <f aca="false">IF(C1608="BUY",B1608,IF(G1607="IN",D1607,""))</f>
        <v/>
      </c>
      <c r="E1608" s="14" t="str">
        <f aca="false">IF(C1608="SELL",B1608,"")</f>
        <v/>
      </c>
      <c r="F1608" s="14" t="str">
        <f aca="false">IF(E1608="","",(E1608-D1608)/D1608*100)</f>
        <v/>
      </c>
      <c r="G1608" s="0" t="str">
        <f aca="false">IF(C1608="BUY","IN",IF(C1608="SELL","OUT",IF(G1607="IN","IN","OUT")))</f>
        <v>OUT</v>
      </c>
      <c r="H1608" s="14" t="n">
        <f aca="false">H1607+IF(F1608="",0,F1608)</f>
        <v>-12.5425356501238</v>
      </c>
      <c r="I1608" s="14" t="n">
        <f aca="false">MAX(I1607,H1608)</f>
        <v>43.9309628600509</v>
      </c>
      <c r="J1608" s="14" t="n">
        <f aca="false">I1608-H1608</f>
        <v>56.4734985101747</v>
      </c>
    </row>
    <row r="1609" customFormat="false" ht="15" hidden="false" customHeight="false" outlineLevel="0" collapsed="false">
      <c r="A1609" s="12" t="n">
        <f aca="false">Data!A1609</f>
        <v>44341</v>
      </c>
      <c r="B1609" s="14" t="n">
        <f aca="false">Data!B1609</f>
        <v>66.07</v>
      </c>
      <c r="C1609" s="0" t="str">
        <f aca="false">IF(Data!D1609="","HOLD",IF(AND(G1608&lt;&gt;"IN",Data!E1609&lt;-5),"BUY",IF(AND(G1608="IN",Data!E1609&gt;0),"SELL","HOLD")))</f>
        <v>HOLD</v>
      </c>
      <c r="D1609" s="14" t="str">
        <f aca="false">IF(C1609="BUY",B1609,IF(G1608="IN",D1608,""))</f>
        <v/>
      </c>
      <c r="E1609" s="14" t="str">
        <f aca="false">IF(C1609="SELL",B1609,"")</f>
        <v/>
      </c>
      <c r="F1609" s="14" t="str">
        <f aca="false">IF(E1609="","",(E1609-D1609)/D1609*100)</f>
        <v/>
      </c>
      <c r="G1609" s="0" t="str">
        <f aca="false">IF(C1609="BUY","IN",IF(C1609="SELL","OUT",IF(G1608="IN","IN","OUT")))</f>
        <v>OUT</v>
      </c>
      <c r="H1609" s="14" t="n">
        <f aca="false">H1608+IF(F1609="",0,F1609)</f>
        <v>-12.5425356501238</v>
      </c>
      <c r="I1609" s="14" t="n">
        <f aca="false">MAX(I1608,H1609)</f>
        <v>43.9309628600509</v>
      </c>
      <c r="J1609" s="14" t="n">
        <f aca="false">I1609-H1609</f>
        <v>56.4734985101747</v>
      </c>
    </row>
    <row r="1610" customFormat="false" ht="15" hidden="false" customHeight="false" outlineLevel="0" collapsed="false">
      <c r="A1610" s="12" t="n">
        <f aca="false">Data!A1610</f>
        <v>44342</v>
      </c>
      <c r="B1610" s="14" t="n">
        <f aca="false">Data!B1610</f>
        <v>66.21</v>
      </c>
      <c r="C1610" s="0" t="str">
        <f aca="false">IF(Data!D1610="","HOLD",IF(AND(G1609&lt;&gt;"IN",Data!E1610&lt;-5),"BUY",IF(AND(G1609="IN",Data!E1610&gt;0),"SELL","HOLD")))</f>
        <v>HOLD</v>
      </c>
      <c r="D1610" s="14" t="str">
        <f aca="false">IF(C1610="BUY",B1610,IF(G1609="IN",D1609,""))</f>
        <v/>
      </c>
      <c r="E1610" s="14" t="str">
        <f aca="false">IF(C1610="SELL",B1610,"")</f>
        <v/>
      </c>
      <c r="F1610" s="14" t="str">
        <f aca="false">IF(E1610="","",(E1610-D1610)/D1610*100)</f>
        <v/>
      </c>
      <c r="G1610" s="0" t="str">
        <f aca="false">IF(C1610="BUY","IN",IF(C1610="SELL","OUT",IF(G1609="IN","IN","OUT")))</f>
        <v>OUT</v>
      </c>
      <c r="H1610" s="14" t="n">
        <f aca="false">H1609+IF(F1610="",0,F1610)</f>
        <v>-12.5425356501238</v>
      </c>
      <c r="I1610" s="14" t="n">
        <f aca="false">MAX(I1609,H1610)</f>
        <v>43.9309628600509</v>
      </c>
      <c r="J1610" s="14" t="n">
        <f aca="false">I1610-H1610</f>
        <v>56.4734985101747</v>
      </c>
    </row>
    <row r="1611" customFormat="false" ht="15" hidden="false" customHeight="false" outlineLevel="0" collapsed="false">
      <c r="A1611" s="12" t="n">
        <f aca="false">Data!A1611</f>
        <v>44343</v>
      </c>
      <c r="B1611" s="14" t="n">
        <f aca="false">Data!B1611</f>
        <v>66.85</v>
      </c>
      <c r="C1611" s="0" t="str">
        <f aca="false">IF(Data!D1611="","HOLD",IF(AND(G1610&lt;&gt;"IN",Data!E1611&lt;-5),"BUY",IF(AND(G1610="IN",Data!E1611&gt;0),"SELL","HOLD")))</f>
        <v>HOLD</v>
      </c>
      <c r="D1611" s="14" t="str">
        <f aca="false">IF(C1611="BUY",B1611,IF(G1610="IN",D1610,""))</f>
        <v/>
      </c>
      <c r="E1611" s="14" t="str">
        <f aca="false">IF(C1611="SELL",B1611,"")</f>
        <v/>
      </c>
      <c r="F1611" s="14" t="str">
        <f aca="false">IF(E1611="","",(E1611-D1611)/D1611*100)</f>
        <v/>
      </c>
      <c r="G1611" s="0" t="str">
        <f aca="false">IF(C1611="BUY","IN",IF(C1611="SELL","OUT",IF(G1610="IN","IN","OUT")))</f>
        <v>OUT</v>
      </c>
      <c r="H1611" s="14" t="n">
        <f aca="false">H1610+IF(F1611="",0,F1611)</f>
        <v>-12.5425356501238</v>
      </c>
      <c r="I1611" s="14" t="n">
        <f aca="false">MAX(I1610,H1611)</f>
        <v>43.9309628600509</v>
      </c>
      <c r="J1611" s="14" t="n">
        <f aca="false">I1611-H1611</f>
        <v>56.4734985101747</v>
      </c>
    </row>
    <row r="1612" customFormat="false" ht="15" hidden="false" customHeight="false" outlineLevel="0" collapsed="false">
      <c r="A1612" s="12" t="n">
        <f aca="false">Data!A1612</f>
        <v>44344</v>
      </c>
      <c r="B1612" s="14" t="n">
        <f aca="false">Data!B1612</f>
        <v>66.32</v>
      </c>
      <c r="C1612" s="0" t="str">
        <f aca="false">IF(Data!D1612="","HOLD",IF(AND(G1611&lt;&gt;"IN",Data!E1612&lt;-5),"BUY",IF(AND(G1611="IN",Data!E1612&gt;0),"SELL","HOLD")))</f>
        <v>HOLD</v>
      </c>
      <c r="D1612" s="14" t="str">
        <f aca="false">IF(C1612="BUY",B1612,IF(G1611="IN",D1611,""))</f>
        <v/>
      </c>
      <c r="E1612" s="14" t="str">
        <f aca="false">IF(C1612="SELL",B1612,"")</f>
        <v/>
      </c>
      <c r="F1612" s="14" t="str">
        <f aca="false">IF(E1612="","",(E1612-D1612)/D1612*100)</f>
        <v/>
      </c>
      <c r="G1612" s="0" t="str">
        <f aca="false">IF(C1612="BUY","IN",IF(C1612="SELL","OUT",IF(G1611="IN","IN","OUT")))</f>
        <v>OUT</v>
      </c>
      <c r="H1612" s="14" t="n">
        <f aca="false">H1611+IF(F1612="",0,F1612)</f>
        <v>-12.5425356501238</v>
      </c>
      <c r="I1612" s="14" t="n">
        <f aca="false">MAX(I1611,H1612)</f>
        <v>43.9309628600509</v>
      </c>
      <c r="J1612" s="14" t="n">
        <f aca="false">I1612-H1612</f>
        <v>56.4734985101747</v>
      </c>
    </row>
    <row r="1613" customFormat="false" ht="15" hidden="false" customHeight="false" outlineLevel="0" collapsed="false">
      <c r="A1613" s="12" t="n">
        <f aca="false">Data!A1613</f>
        <v>44348</v>
      </c>
      <c r="B1613" s="14" t="n">
        <f aca="false">Data!B1613</f>
        <v>67.72</v>
      </c>
      <c r="C1613" s="0" t="str">
        <f aca="false">IF(Data!D1613="","HOLD",IF(AND(G1612&lt;&gt;"IN",Data!E1613&lt;-5),"BUY",IF(AND(G1612="IN",Data!E1613&gt;0),"SELL","HOLD")))</f>
        <v>HOLD</v>
      </c>
      <c r="D1613" s="14" t="str">
        <f aca="false">IF(C1613="BUY",B1613,IF(G1612="IN",D1612,""))</f>
        <v/>
      </c>
      <c r="E1613" s="14" t="str">
        <f aca="false">IF(C1613="SELL",B1613,"")</f>
        <v/>
      </c>
      <c r="F1613" s="14" t="str">
        <f aca="false">IF(E1613="","",(E1613-D1613)/D1613*100)</f>
        <v/>
      </c>
      <c r="G1613" s="0" t="str">
        <f aca="false">IF(C1613="BUY","IN",IF(C1613="SELL","OUT",IF(G1612="IN","IN","OUT")))</f>
        <v>OUT</v>
      </c>
      <c r="H1613" s="14" t="n">
        <f aca="false">H1612+IF(F1613="",0,F1613)</f>
        <v>-12.5425356501238</v>
      </c>
      <c r="I1613" s="14" t="n">
        <f aca="false">MAX(I1612,H1613)</f>
        <v>43.9309628600509</v>
      </c>
      <c r="J1613" s="14" t="n">
        <f aca="false">I1613-H1613</f>
        <v>56.4734985101747</v>
      </c>
    </row>
    <row r="1614" customFormat="false" ht="15" hidden="false" customHeight="false" outlineLevel="0" collapsed="false">
      <c r="A1614" s="12" t="n">
        <f aca="false">Data!A1614</f>
        <v>44349</v>
      </c>
      <c r="B1614" s="14" t="n">
        <f aca="false">Data!B1614</f>
        <v>68.83</v>
      </c>
      <c r="C1614" s="0" t="str">
        <f aca="false">IF(Data!D1614="","HOLD",IF(AND(G1613&lt;&gt;"IN",Data!E1614&lt;-5),"BUY",IF(AND(G1613="IN",Data!E1614&gt;0),"SELL","HOLD")))</f>
        <v>HOLD</v>
      </c>
      <c r="D1614" s="14" t="str">
        <f aca="false">IF(C1614="BUY",B1614,IF(G1613="IN",D1613,""))</f>
        <v/>
      </c>
      <c r="E1614" s="14" t="str">
        <f aca="false">IF(C1614="SELL",B1614,"")</f>
        <v/>
      </c>
      <c r="F1614" s="14" t="str">
        <f aca="false">IF(E1614="","",(E1614-D1614)/D1614*100)</f>
        <v/>
      </c>
      <c r="G1614" s="0" t="str">
        <f aca="false">IF(C1614="BUY","IN",IF(C1614="SELL","OUT",IF(G1613="IN","IN","OUT")))</f>
        <v>OUT</v>
      </c>
      <c r="H1614" s="14" t="n">
        <f aca="false">H1613+IF(F1614="",0,F1614)</f>
        <v>-12.5425356501238</v>
      </c>
      <c r="I1614" s="14" t="n">
        <f aca="false">MAX(I1613,H1614)</f>
        <v>43.9309628600509</v>
      </c>
      <c r="J1614" s="14" t="n">
        <f aca="false">I1614-H1614</f>
        <v>56.4734985101747</v>
      </c>
    </row>
    <row r="1615" customFormat="false" ht="15" hidden="false" customHeight="false" outlineLevel="0" collapsed="false">
      <c r="A1615" s="12" t="n">
        <f aca="false">Data!A1615</f>
        <v>44350</v>
      </c>
      <c r="B1615" s="14" t="n">
        <f aca="false">Data!B1615</f>
        <v>68.81</v>
      </c>
      <c r="C1615" s="0" t="str">
        <f aca="false">IF(Data!D1615="","HOLD",IF(AND(G1614&lt;&gt;"IN",Data!E1615&lt;-5),"BUY",IF(AND(G1614="IN",Data!E1615&gt;0),"SELL","HOLD")))</f>
        <v>HOLD</v>
      </c>
      <c r="D1615" s="14" t="str">
        <f aca="false">IF(C1615="BUY",B1615,IF(G1614="IN",D1614,""))</f>
        <v/>
      </c>
      <c r="E1615" s="14" t="str">
        <f aca="false">IF(C1615="SELL",B1615,"")</f>
        <v/>
      </c>
      <c r="F1615" s="14" t="str">
        <f aca="false">IF(E1615="","",(E1615-D1615)/D1615*100)</f>
        <v/>
      </c>
      <c r="G1615" s="0" t="str">
        <f aca="false">IF(C1615="BUY","IN",IF(C1615="SELL","OUT",IF(G1614="IN","IN","OUT")))</f>
        <v>OUT</v>
      </c>
      <c r="H1615" s="14" t="n">
        <f aca="false">H1614+IF(F1615="",0,F1615)</f>
        <v>-12.5425356501238</v>
      </c>
      <c r="I1615" s="14" t="n">
        <f aca="false">MAX(I1614,H1615)</f>
        <v>43.9309628600509</v>
      </c>
      <c r="J1615" s="14" t="n">
        <f aca="false">I1615-H1615</f>
        <v>56.4734985101747</v>
      </c>
    </row>
    <row r="1616" customFormat="false" ht="15" hidden="false" customHeight="false" outlineLevel="0" collapsed="false">
      <c r="A1616" s="12" t="n">
        <f aca="false">Data!A1616</f>
        <v>44351</v>
      </c>
      <c r="B1616" s="14" t="n">
        <f aca="false">Data!B1616</f>
        <v>69.62</v>
      </c>
      <c r="C1616" s="0" t="str">
        <f aca="false">IF(Data!D1616="","HOLD",IF(AND(G1615&lt;&gt;"IN",Data!E1616&lt;-5),"BUY",IF(AND(G1615="IN",Data!E1616&gt;0),"SELL","HOLD")))</f>
        <v>HOLD</v>
      </c>
      <c r="D1616" s="14" t="str">
        <f aca="false">IF(C1616="BUY",B1616,IF(G1615="IN",D1615,""))</f>
        <v/>
      </c>
      <c r="E1616" s="14" t="str">
        <f aca="false">IF(C1616="SELL",B1616,"")</f>
        <v/>
      </c>
      <c r="F1616" s="14" t="str">
        <f aca="false">IF(E1616="","",(E1616-D1616)/D1616*100)</f>
        <v/>
      </c>
      <c r="G1616" s="0" t="str">
        <f aca="false">IF(C1616="BUY","IN",IF(C1616="SELL","OUT",IF(G1615="IN","IN","OUT")))</f>
        <v>OUT</v>
      </c>
      <c r="H1616" s="14" t="n">
        <f aca="false">H1615+IF(F1616="",0,F1616)</f>
        <v>-12.5425356501238</v>
      </c>
      <c r="I1616" s="14" t="n">
        <f aca="false">MAX(I1615,H1616)</f>
        <v>43.9309628600509</v>
      </c>
      <c r="J1616" s="14" t="n">
        <f aca="false">I1616-H1616</f>
        <v>56.4734985101747</v>
      </c>
    </row>
    <row r="1617" customFormat="false" ht="15" hidden="false" customHeight="false" outlineLevel="0" collapsed="false">
      <c r="A1617" s="12" t="n">
        <f aca="false">Data!A1617</f>
        <v>44354</v>
      </c>
      <c r="B1617" s="14" t="n">
        <f aca="false">Data!B1617</f>
        <v>69.23</v>
      </c>
      <c r="C1617" s="0" t="str">
        <f aca="false">IF(Data!D1617="","HOLD",IF(AND(G1616&lt;&gt;"IN",Data!E1617&lt;-5),"BUY",IF(AND(G1616="IN",Data!E1617&gt;0),"SELL","HOLD")))</f>
        <v>HOLD</v>
      </c>
      <c r="D1617" s="14" t="str">
        <f aca="false">IF(C1617="BUY",B1617,IF(G1616="IN",D1616,""))</f>
        <v/>
      </c>
      <c r="E1617" s="14" t="str">
        <f aca="false">IF(C1617="SELL",B1617,"")</f>
        <v/>
      </c>
      <c r="F1617" s="14" t="str">
        <f aca="false">IF(E1617="","",(E1617-D1617)/D1617*100)</f>
        <v/>
      </c>
      <c r="G1617" s="0" t="str">
        <f aca="false">IF(C1617="BUY","IN",IF(C1617="SELL","OUT",IF(G1616="IN","IN","OUT")))</f>
        <v>OUT</v>
      </c>
      <c r="H1617" s="14" t="n">
        <f aca="false">H1616+IF(F1617="",0,F1617)</f>
        <v>-12.5425356501238</v>
      </c>
      <c r="I1617" s="14" t="n">
        <f aca="false">MAX(I1616,H1617)</f>
        <v>43.9309628600509</v>
      </c>
      <c r="J1617" s="14" t="n">
        <f aca="false">I1617-H1617</f>
        <v>56.4734985101747</v>
      </c>
    </row>
    <row r="1618" customFormat="false" ht="15" hidden="false" customHeight="false" outlineLevel="0" collapsed="false">
      <c r="A1618" s="12" t="n">
        <f aca="false">Data!A1618</f>
        <v>44355</v>
      </c>
      <c r="B1618" s="14" t="n">
        <f aca="false">Data!B1618</f>
        <v>70.05</v>
      </c>
      <c r="C1618" s="0" t="str">
        <f aca="false">IF(Data!D1618="","HOLD",IF(AND(G1617&lt;&gt;"IN",Data!E1618&lt;-5),"BUY",IF(AND(G1617="IN",Data!E1618&gt;0),"SELL","HOLD")))</f>
        <v>HOLD</v>
      </c>
      <c r="D1618" s="14" t="str">
        <f aca="false">IF(C1618="BUY",B1618,IF(G1617="IN",D1617,""))</f>
        <v/>
      </c>
      <c r="E1618" s="14" t="str">
        <f aca="false">IF(C1618="SELL",B1618,"")</f>
        <v/>
      </c>
      <c r="F1618" s="14" t="str">
        <f aca="false">IF(E1618="","",(E1618-D1618)/D1618*100)</f>
        <v/>
      </c>
      <c r="G1618" s="0" t="str">
        <f aca="false">IF(C1618="BUY","IN",IF(C1618="SELL","OUT",IF(G1617="IN","IN","OUT")))</f>
        <v>OUT</v>
      </c>
      <c r="H1618" s="14" t="n">
        <f aca="false">H1617+IF(F1618="",0,F1618)</f>
        <v>-12.5425356501238</v>
      </c>
      <c r="I1618" s="14" t="n">
        <f aca="false">MAX(I1617,H1618)</f>
        <v>43.9309628600509</v>
      </c>
      <c r="J1618" s="14" t="n">
        <f aca="false">I1618-H1618</f>
        <v>56.4734985101747</v>
      </c>
    </row>
    <row r="1619" customFormat="false" ht="15" hidden="false" customHeight="false" outlineLevel="0" collapsed="false">
      <c r="A1619" s="12" t="n">
        <f aca="false">Data!A1619</f>
        <v>44356</v>
      </c>
      <c r="B1619" s="14" t="n">
        <f aca="false">Data!B1619</f>
        <v>69.96</v>
      </c>
      <c r="C1619" s="0" t="str">
        <f aca="false">IF(Data!D1619="","HOLD",IF(AND(G1618&lt;&gt;"IN",Data!E1619&lt;-5),"BUY",IF(AND(G1618="IN",Data!E1619&gt;0),"SELL","HOLD")))</f>
        <v>HOLD</v>
      </c>
      <c r="D1619" s="14" t="str">
        <f aca="false">IF(C1619="BUY",B1619,IF(G1618="IN",D1618,""))</f>
        <v/>
      </c>
      <c r="E1619" s="14" t="str">
        <f aca="false">IF(C1619="SELL",B1619,"")</f>
        <v/>
      </c>
      <c r="F1619" s="14" t="str">
        <f aca="false">IF(E1619="","",(E1619-D1619)/D1619*100)</f>
        <v/>
      </c>
      <c r="G1619" s="0" t="str">
        <f aca="false">IF(C1619="BUY","IN",IF(C1619="SELL","OUT",IF(G1618="IN","IN","OUT")))</f>
        <v>OUT</v>
      </c>
      <c r="H1619" s="14" t="n">
        <f aca="false">H1618+IF(F1619="",0,F1619)</f>
        <v>-12.5425356501238</v>
      </c>
      <c r="I1619" s="14" t="n">
        <f aca="false">MAX(I1618,H1619)</f>
        <v>43.9309628600509</v>
      </c>
      <c r="J1619" s="14" t="n">
        <f aca="false">I1619-H1619</f>
        <v>56.4734985101747</v>
      </c>
    </row>
    <row r="1620" customFormat="false" ht="15" hidden="false" customHeight="false" outlineLevel="0" collapsed="false">
      <c r="A1620" s="12" t="n">
        <f aca="false">Data!A1620</f>
        <v>44357</v>
      </c>
      <c r="B1620" s="14" t="n">
        <f aca="false">Data!B1620</f>
        <v>70.29</v>
      </c>
      <c r="C1620" s="0" t="str">
        <f aca="false">IF(Data!D1620="","HOLD",IF(AND(G1619&lt;&gt;"IN",Data!E1620&lt;-5),"BUY",IF(AND(G1619="IN",Data!E1620&gt;0),"SELL","HOLD")))</f>
        <v>HOLD</v>
      </c>
      <c r="D1620" s="14" t="str">
        <f aca="false">IF(C1620="BUY",B1620,IF(G1619="IN",D1619,""))</f>
        <v/>
      </c>
      <c r="E1620" s="14" t="str">
        <f aca="false">IF(C1620="SELL",B1620,"")</f>
        <v/>
      </c>
      <c r="F1620" s="14" t="str">
        <f aca="false">IF(E1620="","",(E1620-D1620)/D1620*100)</f>
        <v/>
      </c>
      <c r="G1620" s="0" t="str">
        <f aca="false">IF(C1620="BUY","IN",IF(C1620="SELL","OUT",IF(G1619="IN","IN","OUT")))</f>
        <v>OUT</v>
      </c>
      <c r="H1620" s="14" t="n">
        <f aca="false">H1619+IF(F1620="",0,F1620)</f>
        <v>-12.5425356501238</v>
      </c>
      <c r="I1620" s="14" t="n">
        <f aca="false">MAX(I1619,H1620)</f>
        <v>43.9309628600509</v>
      </c>
      <c r="J1620" s="14" t="n">
        <f aca="false">I1620-H1620</f>
        <v>56.4734985101747</v>
      </c>
    </row>
    <row r="1621" customFormat="false" ht="15" hidden="false" customHeight="false" outlineLevel="0" collapsed="false">
      <c r="A1621" s="12" t="n">
        <f aca="false">Data!A1621</f>
        <v>44358</v>
      </c>
      <c r="B1621" s="14" t="n">
        <f aca="false">Data!B1621</f>
        <v>70.91</v>
      </c>
      <c r="C1621" s="0" t="str">
        <f aca="false">IF(Data!D1621="","HOLD",IF(AND(G1620&lt;&gt;"IN",Data!E1621&lt;-5),"BUY",IF(AND(G1620="IN",Data!E1621&gt;0),"SELL","HOLD")))</f>
        <v>HOLD</v>
      </c>
      <c r="D1621" s="14" t="str">
        <f aca="false">IF(C1621="BUY",B1621,IF(G1620="IN",D1620,""))</f>
        <v/>
      </c>
      <c r="E1621" s="14" t="str">
        <f aca="false">IF(C1621="SELL",B1621,"")</f>
        <v/>
      </c>
      <c r="F1621" s="14" t="str">
        <f aca="false">IF(E1621="","",(E1621-D1621)/D1621*100)</f>
        <v/>
      </c>
      <c r="G1621" s="0" t="str">
        <f aca="false">IF(C1621="BUY","IN",IF(C1621="SELL","OUT",IF(G1620="IN","IN","OUT")))</f>
        <v>OUT</v>
      </c>
      <c r="H1621" s="14" t="n">
        <f aca="false">H1620+IF(F1621="",0,F1621)</f>
        <v>-12.5425356501238</v>
      </c>
      <c r="I1621" s="14" t="n">
        <f aca="false">MAX(I1620,H1621)</f>
        <v>43.9309628600509</v>
      </c>
      <c r="J1621" s="14" t="n">
        <f aca="false">I1621-H1621</f>
        <v>56.4734985101747</v>
      </c>
    </row>
    <row r="1622" customFormat="false" ht="15" hidden="false" customHeight="false" outlineLevel="0" collapsed="false">
      <c r="A1622" s="12" t="n">
        <f aca="false">Data!A1622</f>
        <v>44361</v>
      </c>
      <c r="B1622" s="14" t="n">
        <f aca="false">Data!B1622</f>
        <v>70.88</v>
      </c>
      <c r="C1622" s="0" t="str">
        <f aca="false">IF(Data!D1622="","HOLD",IF(AND(G1621&lt;&gt;"IN",Data!E1622&lt;-5),"BUY",IF(AND(G1621="IN",Data!E1622&gt;0),"SELL","HOLD")))</f>
        <v>HOLD</v>
      </c>
      <c r="D1622" s="14" t="str">
        <f aca="false">IF(C1622="BUY",B1622,IF(G1621="IN",D1621,""))</f>
        <v/>
      </c>
      <c r="E1622" s="14" t="str">
        <f aca="false">IF(C1622="SELL",B1622,"")</f>
        <v/>
      </c>
      <c r="F1622" s="14" t="str">
        <f aca="false">IF(E1622="","",(E1622-D1622)/D1622*100)</f>
        <v/>
      </c>
      <c r="G1622" s="0" t="str">
        <f aca="false">IF(C1622="BUY","IN",IF(C1622="SELL","OUT",IF(G1621="IN","IN","OUT")))</f>
        <v>OUT</v>
      </c>
      <c r="H1622" s="14" t="n">
        <f aca="false">H1621+IF(F1622="",0,F1622)</f>
        <v>-12.5425356501238</v>
      </c>
      <c r="I1622" s="14" t="n">
        <f aca="false">MAX(I1621,H1622)</f>
        <v>43.9309628600509</v>
      </c>
      <c r="J1622" s="14" t="n">
        <f aca="false">I1622-H1622</f>
        <v>56.4734985101747</v>
      </c>
    </row>
    <row r="1623" customFormat="false" ht="15" hidden="false" customHeight="false" outlineLevel="0" collapsed="false">
      <c r="A1623" s="12" t="n">
        <f aca="false">Data!A1623</f>
        <v>44362</v>
      </c>
      <c r="B1623" s="14" t="n">
        <f aca="false">Data!B1623</f>
        <v>72.12</v>
      </c>
      <c r="C1623" s="0" t="str">
        <f aca="false">IF(Data!D1623="","HOLD",IF(AND(G1622&lt;&gt;"IN",Data!E1623&lt;-5),"BUY",IF(AND(G1622="IN",Data!E1623&gt;0),"SELL","HOLD")))</f>
        <v>HOLD</v>
      </c>
      <c r="D1623" s="14" t="str">
        <f aca="false">IF(C1623="BUY",B1623,IF(G1622="IN",D1622,""))</f>
        <v/>
      </c>
      <c r="E1623" s="14" t="str">
        <f aca="false">IF(C1623="SELL",B1623,"")</f>
        <v/>
      </c>
      <c r="F1623" s="14" t="str">
        <f aca="false">IF(E1623="","",(E1623-D1623)/D1623*100)</f>
        <v/>
      </c>
      <c r="G1623" s="0" t="str">
        <f aca="false">IF(C1623="BUY","IN",IF(C1623="SELL","OUT",IF(G1622="IN","IN","OUT")))</f>
        <v>OUT</v>
      </c>
      <c r="H1623" s="14" t="n">
        <f aca="false">H1622+IF(F1623="",0,F1623)</f>
        <v>-12.5425356501238</v>
      </c>
      <c r="I1623" s="14" t="n">
        <f aca="false">MAX(I1622,H1623)</f>
        <v>43.9309628600509</v>
      </c>
      <c r="J1623" s="14" t="n">
        <f aca="false">I1623-H1623</f>
        <v>56.4734985101747</v>
      </c>
    </row>
    <row r="1624" customFormat="false" ht="15" hidden="false" customHeight="false" outlineLevel="0" collapsed="false">
      <c r="A1624" s="12" t="n">
        <f aca="false">Data!A1624</f>
        <v>44363</v>
      </c>
      <c r="B1624" s="14" t="n">
        <f aca="false">Data!B1624</f>
        <v>72.15</v>
      </c>
      <c r="C1624" s="0" t="str">
        <f aca="false">IF(Data!D1624="","HOLD",IF(AND(G1623&lt;&gt;"IN",Data!E1624&lt;-5),"BUY",IF(AND(G1623="IN",Data!E1624&gt;0),"SELL","HOLD")))</f>
        <v>HOLD</v>
      </c>
      <c r="D1624" s="14" t="str">
        <f aca="false">IF(C1624="BUY",B1624,IF(G1623="IN",D1623,""))</f>
        <v/>
      </c>
      <c r="E1624" s="14" t="str">
        <f aca="false">IF(C1624="SELL",B1624,"")</f>
        <v/>
      </c>
      <c r="F1624" s="14" t="str">
        <f aca="false">IF(E1624="","",(E1624-D1624)/D1624*100)</f>
        <v/>
      </c>
      <c r="G1624" s="0" t="str">
        <f aca="false">IF(C1624="BUY","IN",IF(C1624="SELL","OUT",IF(G1623="IN","IN","OUT")))</f>
        <v>OUT</v>
      </c>
      <c r="H1624" s="14" t="n">
        <f aca="false">H1623+IF(F1624="",0,F1624)</f>
        <v>-12.5425356501238</v>
      </c>
      <c r="I1624" s="14" t="n">
        <f aca="false">MAX(I1623,H1624)</f>
        <v>43.9309628600509</v>
      </c>
      <c r="J1624" s="14" t="n">
        <f aca="false">I1624-H1624</f>
        <v>56.4734985101747</v>
      </c>
    </row>
    <row r="1625" customFormat="false" ht="15" hidden="false" customHeight="false" outlineLevel="0" collapsed="false">
      <c r="A1625" s="12" t="n">
        <f aca="false">Data!A1625</f>
        <v>44364</v>
      </c>
      <c r="B1625" s="14" t="n">
        <f aca="false">Data!B1625</f>
        <v>71.04</v>
      </c>
      <c r="C1625" s="0" t="str">
        <f aca="false">IF(Data!D1625="","HOLD",IF(AND(G1624&lt;&gt;"IN",Data!E1625&lt;-5),"BUY",IF(AND(G1624="IN",Data!E1625&gt;0),"SELL","HOLD")))</f>
        <v>HOLD</v>
      </c>
      <c r="D1625" s="14" t="str">
        <f aca="false">IF(C1625="BUY",B1625,IF(G1624="IN",D1624,""))</f>
        <v/>
      </c>
      <c r="E1625" s="14" t="str">
        <f aca="false">IF(C1625="SELL",B1625,"")</f>
        <v/>
      </c>
      <c r="F1625" s="14" t="str">
        <f aca="false">IF(E1625="","",(E1625-D1625)/D1625*100)</f>
        <v/>
      </c>
      <c r="G1625" s="0" t="str">
        <f aca="false">IF(C1625="BUY","IN",IF(C1625="SELL","OUT",IF(G1624="IN","IN","OUT")))</f>
        <v>OUT</v>
      </c>
      <c r="H1625" s="14" t="n">
        <f aca="false">H1624+IF(F1625="",0,F1625)</f>
        <v>-12.5425356501238</v>
      </c>
      <c r="I1625" s="14" t="n">
        <f aca="false">MAX(I1624,H1625)</f>
        <v>43.9309628600509</v>
      </c>
      <c r="J1625" s="14" t="n">
        <f aca="false">I1625-H1625</f>
        <v>56.4734985101747</v>
      </c>
    </row>
    <row r="1626" customFormat="false" ht="15" hidden="false" customHeight="false" outlineLevel="0" collapsed="false">
      <c r="A1626" s="12" t="n">
        <f aca="false">Data!A1626</f>
        <v>44365</v>
      </c>
      <c r="B1626" s="14" t="n">
        <f aca="false">Data!B1626</f>
        <v>71.64</v>
      </c>
      <c r="C1626" s="0" t="str">
        <f aca="false">IF(Data!D1626="","HOLD",IF(AND(G1625&lt;&gt;"IN",Data!E1626&lt;-5),"BUY",IF(AND(G1625="IN",Data!E1626&gt;0),"SELL","HOLD")))</f>
        <v>HOLD</v>
      </c>
      <c r="D1626" s="14" t="str">
        <f aca="false">IF(C1626="BUY",B1626,IF(G1625="IN",D1625,""))</f>
        <v/>
      </c>
      <c r="E1626" s="14" t="str">
        <f aca="false">IF(C1626="SELL",B1626,"")</f>
        <v/>
      </c>
      <c r="F1626" s="14" t="str">
        <f aca="false">IF(E1626="","",(E1626-D1626)/D1626*100)</f>
        <v/>
      </c>
      <c r="G1626" s="0" t="str">
        <f aca="false">IF(C1626="BUY","IN",IF(C1626="SELL","OUT",IF(G1625="IN","IN","OUT")))</f>
        <v>OUT</v>
      </c>
      <c r="H1626" s="14" t="n">
        <f aca="false">H1625+IF(F1626="",0,F1626)</f>
        <v>-12.5425356501238</v>
      </c>
      <c r="I1626" s="14" t="n">
        <f aca="false">MAX(I1625,H1626)</f>
        <v>43.9309628600509</v>
      </c>
      <c r="J1626" s="14" t="n">
        <f aca="false">I1626-H1626</f>
        <v>56.4734985101747</v>
      </c>
    </row>
    <row r="1627" customFormat="false" ht="15" hidden="false" customHeight="false" outlineLevel="0" collapsed="false">
      <c r="A1627" s="12" t="n">
        <f aca="false">Data!A1627</f>
        <v>44368</v>
      </c>
      <c r="B1627" s="14" t="n">
        <f aca="false">Data!B1627</f>
        <v>73.66</v>
      </c>
      <c r="C1627" s="0" t="str">
        <f aca="false">IF(Data!D1627="","HOLD",IF(AND(G1626&lt;&gt;"IN",Data!E1627&lt;-5),"BUY",IF(AND(G1626="IN",Data!E1627&gt;0),"SELL","HOLD")))</f>
        <v>HOLD</v>
      </c>
      <c r="D1627" s="14" t="str">
        <f aca="false">IF(C1627="BUY",B1627,IF(G1626="IN",D1626,""))</f>
        <v/>
      </c>
      <c r="E1627" s="14" t="str">
        <f aca="false">IF(C1627="SELL",B1627,"")</f>
        <v/>
      </c>
      <c r="F1627" s="14" t="str">
        <f aca="false">IF(E1627="","",(E1627-D1627)/D1627*100)</f>
        <v/>
      </c>
      <c r="G1627" s="0" t="str">
        <f aca="false">IF(C1627="BUY","IN",IF(C1627="SELL","OUT",IF(G1626="IN","IN","OUT")))</f>
        <v>OUT</v>
      </c>
      <c r="H1627" s="14" t="n">
        <f aca="false">H1626+IF(F1627="",0,F1627)</f>
        <v>-12.5425356501238</v>
      </c>
      <c r="I1627" s="14" t="n">
        <f aca="false">MAX(I1626,H1627)</f>
        <v>43.9309628600509</v>
      </c>
      <c r="J1627" s="14" t="n">
        <f aca="false">I1627-H1627</f>
        <v>56.4734985101747</v>
      </c>
    </row>
    <row r="1628" customFormat="false" ht="15" hidden="false" customHeight="false" outlineLevel="0" collapsed="false">
      <c r="A1628" s="12" t="n">
        <f aca="false">Data!A1628</f>
        <v>44369</v>
      </c>
      <c r="B1628" s="14" t="n">
        <f aca="false">Data!B1628</f>
        <v>73.06</v>
      </c>
      <c r="C1628" s="0" t="str">
        <f aca="false">IF(Data!D1628="","HOLD",IF(AND(G1627&lt;&gt;"IN",Data!E1628&lt;-5),"BUY",IF(AND(G1627="IN",Data!E1628&gt;0),"SELL","HOLD")))</f>
        <v>HOLD</v>
      </c>
      <c r="D1628" s="14" t="str">
        <f aca="false">IF(C1628="BUY",B1628,IF(G1627="IN",D1627,""))</f>
        <v/>
      </c>
      <c r="E1628" s="14" t="str">
        <f aca="false">IF(C1628="SELL",B1628,"")</f>
        <v/>
      </c>
      <c r="F1628" s="14" t="str">
        <f aca="false">IF(E1628="","",(E1628-D1628)/D1628*100)</f>
        <v/>
      </c>
      <c r="G1628" s="0" t="str">
        <f aca="false">IF(C1628="BUY","IN",IF(C1628="SELL","OUT",IF(G1627="IN","IN","OUT")))</f>
        <v>OUT</v>
      </c>
      <c r="H1628" s="14" t="n">
        <f aca="false">H1627+IF(F1628="",0,F1628)</f>
        <v>-12.5425356501238</v>
      </c>
      <c r="I1628" s="14" t="n">
        <f aca="false">MAX(I1627,H1628)</f>
        <v>43.9309628600509</v>
      </c>
      <c r="J1628" s="14" t="n">
        <f aca="false">I1628-H1628</f>
        <v>56.4734985101747</v>
      </c>
    </row>
    <row r="1629" customFormat="false" ht="15" hidden="false" customHeight="false" outlineLevel="0" collapsed="false">
      <c r="A1629" s="12" t="n">
        <f aca="false">Data!A1629</f>
        <v>44370</v>
      </c>
      <c r="B1629" s="14" t="n">
        <f aca="false">Data!B1629</f>
        <v>73.08</v>
      </c>
      <c r="C1629" s="0" t="str">
        <f aca="false">IF(Data!D1629="","HOLD",IF(AND(G1628&lt;&gt;"IN",Data!E1629&lt;-5),"BUY",IF(AND(G1628="IN",Data!E1629&gt;0),"SELL","HOLD")))</f>
        <v>HOLD</v>
      </c>
      <c r="D1629" s="14" t="str">
        <f aca="false">IF(C1629="BUY",B1629,IF(G1628="IN",D1628,""))</f>
        <v/>
      </c>
      <c r="E1629" s="14" t="str">
        <f aca="false">IF(C1629="SELL",B1629,"")</f>
        <v/>
      </c>
      <c r="F1629" s="14" t="str">
        <f aca="false">IF(E1629="","",(E1629-D1629)/D1629*100)</f>
        <v/>
      </c>
      <c r="G1629" s="0" t="str">
        <f aca="false">IF(C1629="BUY","IN",IF(C1629="SELL","OUT",IF(G1628="IN","IN","OUT")))</f>
        <v>OUT</v>
      </c>
      <c r="H1629" s="14" t="n">
        <f aca="false">H1628+IF(F1629="",0,F1629)</f>
        <v>-12.5425356501238</v>
      </c>
      <c r="I1629" s="14" t="n">
        <f aca="false">MAX(I1628,H1629)</f>
        <v>43.9309628600509</v>
      </c>
      <c r="J1629" s="14" t="n">
        <f aca="false">I1629-H1629</f>
        <v>56.4734985101747</v>
      </c>
    </row>
    <row r="1630" customFormat="false" ht="15" hidden="false" customHeight="false" outlineLevel="0" collapsed="false">
      <c r="A1630" s="12" t="n">
        <f aca="false">Data!A1630</f>
        <v>44371</v>
      </c>
      <c r="B1630" s="14" t="n">
        <f aca="false">Data!B1630</f>
        <v>73.3</v>
      </c>
      <c r="C1630" s="0" t="str">
        <f aca="false">IF(Data!D1630="","HOLD",IF(AND(G1629&lt;&gt;"IN",Data!E1630&lt;-5),"BUY",IF(AND(G1629="IN",Data!E1630&gt;0),"SELL","HOLD")))</f>
        <v>HOLD</v>
      </c>
      <c r="D1630" s="14" t="str">
        <f aca="false">IF(C1630="BUY",B1630,IF(G1629="IN",D1629,""))</f>
        <v/>
      </c>
      <c r="E1630" s="14" t="str">
        <f aca="false">IF(C1630="SELL",B1630,"")</f>
        <v/>
      </c>
      <c r="F1630" s="14" t="str">
        <f aca="false">IF(E1630="","",(E1630-D1630)/D1630*100)</f>
        <v/>
      </c>
      <c r="G1630" s="0" t="str">
        <f aca="false">IF(C1630="BUY","IN",IF(C1630="SELL","OUT",IF(G1629="IN","IN","OUT")))</f>
        <v>OUT</v>
      </c>
      <c r="H1630" s="14" t="n">
        <f aca="false">H1629+IF(F1630="",0,F1630)</f>
        <v>-12.5425356501238</v>
      </c>
      <c r="I1630" s="14" t="n">
        <f aca="false">MAX(I1629,H1630)</f>
        <v>43.9309628600509</v>
      </c>
      <c r="J1630" s="14" t="n">
        <f aca="false">I1630-H1630</f>
        <v>56.4734985101747</v>
      </c>
    </row>
    <row r="1631" customFormat="false" ht="15" hidden="false" customHeight="false" outlineLevel="0" collapsed="false">
      <c r="A1631" s="12" t="n">
        <f aca="false">Data!A1631</f>
        <v>44372</v>
      </c>
      <c r="B1631" s="14" t="n">
        <f aca="false">Data!B1631</f>
        <v>74.05</v>
      </c>
      <c r="C1631" s="0" t="str">
        <f aca="false">IF(Data!D1631="","HOLD",IF(AND(G1630&lt;&gt;"IN",Data!E1631&lt;-5),"BUY",IF(AND(G1630="IN",Data!E1631&gt;0),"SELL","HOLD")))</f>
        <v>HOLD</v>
      </c>
      <c r="D1631" s="14" t="str">
        <f aca="false">IF(C1631="BUY",B1631,IF(G1630="IN",D1630,""))</f>
        <v/>
      </c>
      <c r="E1631" s="14" t="str">
        <f aca="false">IF(C1631="SELL",B1631,"")</f>
        <v/>
      </c>
      <c r="F1631" s="14" t="str">
        <f aca="false">IF(E1631="","",(E1631-D1631)/D1631*100)</f>
        <v/>
      </c>
      <c r="G1631" s="0" t="str">
        <f aca="false">IF(C1631="BUY","IN",IF(C1631="SELL","OUT",IF(G1630="IN","IN","OUT")))</f>
        <v>OUT</v>
      </c>
      <c r="H1631" s="14" t="n">
        <f aca="false">H1630+IF(F1631="",0,F1631)</f>
        <v>-12.5425356501238</v>
      </c>
      <c r="I1631" s="14" t="n">
        <f aca="false">MAX(I1630,H1631)</f>
        <v>43.9309628600509</v>
      </c>
      <c r="J1631" s="14" t="n">
        <f aca="false">I1631-H1631</f>
        <v>56.4734985101747</v>
      </c>
    </row>
    <row r="1632" customFormat="false" ht="15" hidden="false" customHeight="false" outlineLevel="0" collapsed="false">
      <c r="A1632" s="12" t="n">
        <f aca="false">Data!A1632</f>
        <v>44375</v>
      </c>
      <c r="B1632" s="14" t="n">
        <f aca="false">Data!B1632</f>
        <v>72.91</v>
      </c>
      <c r="C1632" s="0" t="str">
        <f aca="false">IF(Data!D1632="","HOLD",IF(AND(G1631&lt;&gt;"IN",Data!E1632&lt;-5),"BUY",IF(AND(G1631="IN",Data!E1632&gt;0),"SELL","HOLD")))</f>
        <v>HOLD</v>
      </c>
      <c r="D1632" s="14" t="str">
        <f aca="false">IF(C1632="BUY",B1632,IF(G1631="IN",D1631,""))</f>
        <v/>
      </c>
      <c r="E1632" s="14" t="str">
        <f aca="false">IF(C1632="SELL",B1632,"")</f>
        <v/>
      </c>
      <c r="F1632" s="14" t="str">
        <f aca="false">IF(E1632="","",(E1632-D1632)/D1632*100)</f>
        <v/>
      </c>
      <c r="G1632" s="0" t="str">
        <f aca="false">IF(C1632="BUY","IN",IF(C1632="SELL","OUT",IF(G1631="IN","IN","OUT")))</f>
        <v>OUT</v>
      </c>
      <c r="H1632" s="14" t="n">
        <f aca="false">H1631+IF(F1632="",0,F1632)</f>
        <v>-12.5425356501238</v>
      </c>
      <c r="I1632" s="14" t="n">
        <f aca="false">MAX(I1631,H1632)</f>
        <v>43.9309628600509</v>
      </c>
      <c r="J1632" s="14" t="n">
        <f aca="false">I1632-H1632</f>
        <v>56.4734985101747</v>
      </c>
    </row>
    <row r="1633" customFormat="false" ht="15" hidden="false" customHeight="false" outlineLevel="0" collapsed="false">
      <c r="A1633" s="12" t="n">
        <f aca="false">Data!A1633</f>
        <v>44376</v>
      </c>
      <c r="B1633" s="14" t="n">
        <f aca="false">Data!B1633</f>
        <v>72.98</v>
      </c>
      <c r="C1633" s="0" t="str">
        <f aca="false">IF(Data!D1633="","HOLD",IF(AND(G1632&lt;&gt;"IN",Data!E1633&lt;-5),"BUY",IF(AND(G1632="IN",Data!E1633&gt;0),"SELL","HOLD")))</f>
        <v>HOLD</v>
      </c>
      <c r="D1633" s="14" t="str">
        <f aca="false">IF(C1633="BUY",B1633,IF(G1632="IN",D1632,""))</f>
        <v/>
      </c>
      <c r="E1633" s="14" t="str">
        <f aca="false">IF(C1633="SELL",B1633,"")</f>
        <v/>
      </c>
      <c r="F1633" s="14" t="str">
        <f aca="false">IF(E1633="","",(E1633-D1633)/D1633*100)</f>
        <v/>
      </c>
      <c r="G1633" s="0" t="str">
        <f aca="false">IF(C1633="BUY","IN",IF(C1633="SELL","OUT",IF(G1632="IN","IN","OUT")))</f>
        <v>OUT</v>
      </c>
      <c r="H1633" s="14" t="n">
        <f aca="false">H1632+IF(F1633="",0,F1633)</f>
        <v>-12.5425356501238</v>
      </c>
      <c r="I1633" s="14" t="n">
        <f aca="false">MAX(I1632,H1633)</f>
        <v>43.9309628600509</v>
      </c>
      <c r="J1633" s="14" t="n">
        <f aca="false">I1633-H1633</f>
        <v>56.4734985101747</v>
      </c>
    </row>
    <row r="1634" customFormat="false" ht="15" hidden="false" customHeight="false" outlineLevel="0" collapsed="false">
      <c r="A1634" s="12" t="n">
        <f aca="false">Data!A1634</f>
        <v>44377</v>
      </c>
      <c r="B1634" s="14" t="n">
        <f aca="false">Data!B1634</f>
        <v>73.47</v>
      </c>
      <c r="C1634" s="0" t="str">
        <f aca="false">IF(Data!D1634="","HOLD",IF(AND(G1633&lt;&gt;"IN",Data!E1634&lt;-5),"BUY",IF(AND(G1633="IN",Data!E1634&gt;0),"SELL","HOLD")))</f>
        <v>HOLD</v>
      </c>
      <c r="D1634" s="14" t="str">
        <f aca="false">IF(C1634="BUY",B1634,IF(G1633="IN",D1633,""))</f>
        <v/>
      </c>
      <c r="E1634" s="14" t="str">
        <f aca="false">IF(C1634="SELL",B1634,"")</f>
        <v/>
      </c>
      <c r="F1634" s="14" t="str">
        <f aca="false">IF(E1634="","",(E1634-D1634)/D1634*100)</f>
        <v/>
      </c>
      <c r="G1634" s="0" t="str">
        <f aca="false">IF(C1634="BUY","IN",IF(C1634="SELL","OUT",IF(G1633="IN","IN","OUT")))</f>
        <v>OUT</v>
      </c>
      <c r="H1634" s="14" t="n">
        <f aca="false">H1633+IF(F1634="",0,F1634)</f>
        <v>-12.5425356501238</v>
      </c>
      <c r="I1634" s="14" t="n">
        <f aca="false">MAX(I1633,H1634)</f>
        <v>43.9309628600509</v>
      </c>
      <c r="J1634" s="14" t="n">
        <f aca="false">I1634-H1634</f>
        <v>56.4734985101747</v>
      </c>
    </row>
    <row r="1635" customFormat="false" ht="15" hidden="false" customHeight="false" outlineLevel="0" collapsed="false">
      <c r="A1635" s="12" t="n">
        <f aca="false">Data!A1635</f>
        <v>44378</v>
      </c>
      <c r="B1635" s="14" t="n">
        <f aca="false">Data!B1635</f>
        <v>75.23</v>
      </c>
      <c r="C1635" s="0" t="str">
        <f aca="false">IF(Data!D1635="","HOLD",IF(AND(G1634&lt;&gt;"IN",Data!E1635&lt;-5),"BUY",IF(AND(G1634="IN",Data!E1635&gt;0),"SELL","HOLD")))</f>
        <v>HOLD</v>
      </c>
      <c r="D1635" s="14" t="str">
        <f aca="false">IF(C1635="BUY",B1635,IF(G1634="IN",D1634,""))</f>
        <v/>
      </c>
      <c r="E1635" s="14" t="str">
        <f aca="false">IF(C1635="SELL",B1635,"")</f>
        <v/>
      </c>
      <c r="F1635" s="14" t="str">
        <f aca="false">IF(E1635="","",(E1635-D1635)/D1635*100)</f>
        <v/>
      </c>
      <c r="G1635" s="0" t="str">
        <f aca="false">IF(C1635="BUY","IN",IF(C1635="SELL","OUT",IF(G1634="IN","IN","OUT")))</f>
        <v>OUT</v>
      </c>
      <c r="H1635" s="14" t="n">
        <f aca="false">H1634+IF(F1635="",0,F1635)</f>
        <v>-12.5425356501238</v>
      </c>
      <c r="I1635" s="14" t="n">
        <f aca="false">MAX(I1634,H1635)</f>
        <v>43.9309628600509</v>
      </c>
      <c r="J1635" s="14" t="n">
        <f aca="false">I1635-H1635</f>
        <v>56.4734985101747</v>
      </c>
    </row>
    <row r="1636" customFormat="false" ht="15" hidden="false" customHeight="false" outlineLevel="0" collapsed="false">
      <c r="A1636" s="12" t="n">
        <f aca="false">Data!A1636</f>
        <v>44379</v>
      </c>
      <c r="B1636" s="14" t="n">
        <f aca="false">Data!B1636</f>
        <v>75.16</v>
      </c>
      <c r="C1636" s="0" t="str">
        <f aca="false">IF(Data!D1636="","HOLD",IF(AND(G1635&lt;&gt;"IN",Data!E1636&lt;-5),"BUY",IF(AND(G1635="IN",Data!E1636&gt;0),"SELL","HOLD")))</f>
        <v>HOLD</v>
      </c>
      <c r="D1636" s="14" t="str">
        <f aca="false">IF(C1636="BUY",B1636,IF(G1635="IN",D1635,""))</f>
        <v/>
      </c>
      <c r="E1636" s="14" t="str">
        <f aca="false">IF(C1636="SELL",B1636,"")</f>
        <v/>
      </c>
      <c r="F1636" s="14" t="str">
        <f aca="false">IF(E1636="","",(E1636-D1636)/D1636*100)</f>
        <v/>
      </c>
      <c r="G1636" s="0" t="str">
        <f aca="false">IF(C1636="BUY","IN",IF(C1636="SELL","OUT",IF(G1635="IN","IN","OUT")))</f>
        <v>OUT</v>
      </c>
      <c r="H1636" s="14" t="n">
        <f aca="false">H1635+IF(F1636="",0,F1636)</f>
        <v>-12.5425356501238</v>
      </c>
      <c r="I1636" s="14" t="n">
        <f aca="false">MAX(I1635,H1636)</f>
        <v>43.9309628600509</v>
      </c>
      <c r="J1636" s="14" t="n">
        <f aca="false">I1636-H1636</f>
        <v>56.4734985101747</v>
      </c>
    </row>
    <row r="1637" customFormat="false" ht="15" hidden="false" customHeight="false" outlineLevel="0" collapsed="false">
      <c r="A1637" s="12" t="n">
        <f aca="false">Data!A1637</f>
        <v>44383</v>
      </c>
      <c r="B1637" s="14" t="n">
        <f aca="false">Data!B1637</f>
        <v>73.37</v>
      </c>
      <c r="C1637" s="0" t="str">
        <f aca="false">IF(Data!D1637="","HOLD",IF(AND(G1636&lt;&gt;"IN",Data!E1637&lt;-5),"BUY",IF(AND(G1636="IN",Data!E1637&gt;0),"SELL","HOLD")))</f>
        <v>HOLD</v>
      </c>
      <c r="D1637" s="14" t="str">
        <f aca="false">IF(C1637="BUY",B1637,IF(G1636="IN",D1636,""))</f>
        <v/>
      </c>
      <c r="E1637" s="14" t="str">
        <f aca="false">IF(C1637="SELL",B1637,"")</f>
        <v/>
      </c>
      <c r="F1637" s="14" t="str">
        <f aca="false">IF(E1637="","",(E1637-D1637)/D1637*100)</f>
        <v/>
      </c>
      <c r="G1637" s="0" t="str">
        <f aca="false">IF(C1637="BUY","IN",IF(C1637="SELL","OUT",IF(G1636="IN","IN","OUT")))</f>
        <v>OUT</v>
      </c>
      <c r="H1637" s="14" t="n">
        <f aca="false">H1636+IF(F1637="",0,F1637)</f>
        <v>-12.5425356501238</v>
      </c>
      <c r="I1637" s="14" t="n">
        <f aca="false">MAX(I1636,H1637)</f>
        <v>43.9309628600509</v>
      </c>
      <c r="J1637" s="14" t="n">
        <f aca="false">I1637-H1637</f>
        <v>56.4734985101747</v>
      </c>
    </row>
    <row r="1638" customFormat="false" ht="15" hidden="false" customHeight="false" outlineLevel="0" collapsed="false">
      <c r="A1638" s="12" t="n">
        <f aca="false">Data!A1638</f>
        <v>44384</v>
      </c>
      <c r="B1638" s="14" t="n">
        <f aca="false">Data!B1638</f>
        <v>72.2</v>
      </c>
      <c r="C1638" s="0" t="str">
        <f aca="false">IF(Data!D1638="","HOLD",IF(AND(G1637&lt;&gt;"IN",Data!E1638&lt;-5),"BUY",IF(AND(G1637="IN",Data!E1638&gt;0),"SELL","HOLD")))</f>
        <v>HOLD</v>
      </c>
      <c r="D1638" s="14" t="str">
        <f aca="false">IF(C1638="BUY",B1638,IF(G1637="IN",D1637,""))</f>
        <v/>
      </c>
      <c r="E1638" s="14" t="str">
        <f aca="false">IF(C1638="SELL",B1638,"")</f>
        <v/>
      </c>
      <c r="F1638" s="14" t="str">
        <f aca="false">IF(E1638="","",(E1638-D1638)/D1638*100)</f>
        <v/>
      </c>
      <c r="G1638" s="0" t="str">
        <f aca="false">IF(C1638="BUY","IN",IF(C1638="SELL","OUT",IF(G1637="IN","IN","OUT")))</f>
        <v>OUT</v>
      </c>
      <c r="H1638" s="14" t="n">
        <f aca="false">H1637+IF(F1638="",0,F1638)</f>
        <v>-12.5425356501238</v>
      </c>
      <c r="I1638" s="14" t="n">
        <f aca="false">MAX(I1637,H1638)</f>
        <v>43.9309628600509</v>
      </c>
      <c r="J1638" s="14" t="n">
        <f aca="false">I1638-H1638</f>
        <v>56.4734985101747</v>
      </c>
    </row>
    <row r="1639" customFormat="false" ht="15" hidden="false" customHeight="false" outlineLevel="0" collapsed="false">
      <c r="A1639" s="12" t="n">
        <f aca="false">Data!A1639</f>
        <v>44385</v>
      </c>
      <c r="B1639" s="14" t="n">
        <f aca="false">Data!B1639</f>
        <v>72.94</v>
      </c>
      <c r="C1639" s="0" t="str">
        <f aca="false">IF(Data!D1639="","HOLD",IF(AND(G1638&lt;&gt;"IN",Data!E1639&lt;-5),"BUY",IF(AND(G1638="IN",Data!E1639&gt;0),"SELL","HOLD")))</f>
        <v>HOLD</v>
      </c>
      <c r="D1639" s="14" t="str">
        <f aca="false">IF(C1639="BUY",B1639,IF(G1638="IN",D1638,""))</f>
        <v/>
      </c>
      <c r="E1639" s="14" t="str">
        <f aca="false">IF(C1639="SELL",B1639,"")</f>
        <v/>
      </c>
      <c r="F1639" s="14" t="str">
        <f aca="false">IF(E1639="","",(E1639-D1639)/D1639*100)</f>
        <v/>
      </c>
      <c r="G1639" s="0" t="str">
        <f aca="false">IF(C1639="BUY","IN",IF(C1639="SELL","OUT",IF(G1638="IN","IN","OUT")))</f>
        <v>OUT</v>
      </c>
      <c r="H1639" s="14" t="n">
        <f aca="false">H1638+IF(F1639="",0,F1639)</f>
        <v>-12.5425356501238</v>
      </c>
      <c r="I1639" s="14" t="n">
        <f aca="false">MAX(I1638,H1639)</f>
        <v>43.9309628600509</v>
      </c>
      <c r="J1639" s="14" t="n">
        <f aca="false">I1639-H1639</f>
        <v>56.4734985101747</v>
      </c>
    </row>
    <row r="1640" customFormat="false" ht="15" hidden="false" customHeight="false" outlineLevel="0" collapsed="false">
      <c r="A1640" s="12" t="n">
        <f aca="false">Data!A1640</f>
        <v>44386</v>
      </c>
      <c r="B1640" s="14" t="n">
        <f aca="false">Data!B1640</f>
        <v>74.56</v>
      </c>
      <c r="C1640" s="0" t="str">
        <f aca="false">IF(Data!D1640="","HOLD",IF(AND(G1639&lt;&gt;"IN",Data!E1640&lt;-5),"BUY",IF(AND(G1639="IN",Data!E1640&gt;0),"SELL","HOLD")))</f>
        <v>HOLD</v>
      </c>
      <c r="D1640" s="14" t="str">
        <f aca="false">IF(C1640="BUY",B1640,IF(G1639="IN",D1639,""))</f>
        <v/>
      </c>
      <c r="E1640" s="14" t="str">
        <f aca="false">IF(C1640="SELL",B1640,"")</f>
        <v/>
      </c>
      <c r="F1640" s="14" t="str">
        <f aca="false">IF(E1640="","",(E1640-D1640)/D1640*100)</f>
        <v/>
      </c>
      <c r="G1640" s="0" t="str">
        <f aca="false">IF(C1640="BUY","IN",IF(C1640="SELL","OUT",IF(G1639="IN","IN","OUT")))</f>
        <v>OUT</v>
      </c>
      <c r="H1640" s="14" t="n">
        <f aca="false">H1639+IF(F1640="",0,F1640)</f>
        <v>-12.5425356501238</v>
      </c>
      <c r="I1640" s="14" t="n">
        <f aca="false">MAX(I1639,H1640)</f>
        <v>43.9309628600509</v>
      </c>
      <c r="J1640" s="14" t="n">
        <f aca="false">I1640-H1640</f>
        <v>56.4734985101747</v>
      </c>
    </row>
    <row r="1641" customFormat="false" ht="15" hidden="false" customHeight="false" outlineLevel="0" collapsed="false">
      <c r="A1641" s="12" t="n">
        <f aca="false">Data!A1641</f>
        <v>44389</v>
      </c>
      <c r="B1641" s="14" t="n">
        <f aca="false">Data!B1641</f>
        <v>74.1</v>
      </c>
      <c r="C1641" s="0" t="str">
        <f aca="false">IF(Data!D1641="","HOLD",IF(AND(G1640&lt;&gt;"IN",Data!E1641&lt;-5),"BUY",IF(AND(G1640="IN",Data!E1641&gt;0),"SELL","HOLD")))</f>
        <v>HOLD</v>
      </c>
      <c r="D1641" s="14" t="str">
        <f aca="false">IF(C1641="BUY",B1641,IF(G1640="IN",D1640,""))</f>
        <v/>
      </c>
      <c r="E1641" s="14" t="str">
        <f aca="false">IF(C1641="SELL",B1641,"")</f>
        <v/>
      </c>
      <c r="F1641" s="14" t="str">
        <f aca="false">IF(E1641="","",(E1641-D1641)/D1641*100)</f>
        <v/>
      </c>
      <c r="G1641" s="0" t="str">
        <f aca="false">IF(C1641="BUY","IN",IF(C1641="SELL","OUT",IF(G1640="IN","IN","OUT")))</f>
        <v>OUT</v>
      </c>
      <c r="H1641" s="14" t="n">
        <f aca="false">H1640+IF(F1641="",0,F1641)</f>
        <v>-12.5425356501238</v>
      </c>
      <c r="I1641" s="14" t="n">
        <f aca="false">MAX(I1640,H1641)</f>
        <v>43.9309628600509</v>
      </c>
      <c r="J1641" s="14" t="n">
        <f aca="false">I1641-H1641</f>
        <v>56.4734985101747</v>
      </c>
    </row>
    <row r="1642" customFormat="false" ht="15" hidden="false" customHeight="false" outlineLevel="0" collapsed="false">
      <c r="A1642" s="12" t="n">
        <f aca="false">Data!A1642</f>
        <v>44390</v>
      </c>
      <c r="B1642" s="14" t="n">
        <f aca="false">Data!B1642</f>
        <v>75.25</v>
      </c>
      <c r="C1642" s="0" t="str">
        <f aca="false">IF(Data!D1642="","HOLD",IF(AND(G1641&lt;&gt;"IN",Data!E1642&lt;-5),"BUY",IF(AND(G1641="IN",Data!E1642&gt;0),"SELL","HOLD")))</f>
        <v>HOLD</v>
      </c>
      <c r="D1642" s="14" t="str">
        <f aca="false">IF(C1642="BUY",B1642,IF(G1641="IN",D1641,""))</f>
        <v/>
      </c>
      <c r="E1642" s="14" t="str">
        <f aca="false">IF(C1642="SELL",B1642,"")</f>
        <v/>
      </c>
      <c r="F1642" s="14" t="str">
        <f aca="false">IF(E1642="","",(E1642-D1642)/D1642*100)</f>
        <v/>
      </c>
      <c r="G1642" s="0" t="str">
        <f aca="false">IF(C1642="BUY","IN",IF(C1642="SELL","OUT",IF(G1641="IN","IN","OUT")))</f>
        <v>OUT</v>
      </c>
      <c r="H1642" s="14" t="n">
        <f aca="false">H1641+IF(F1642="",0,F1642)</f>
        <v>-12.5425356501238</v>
      </c>
      <c r="I1642" s="14" t="n">
        <f aca="false">MAX(I1641,H1642)</f>
        <v>43.9309628600509</v>
      </c>
      <c r="J1642" s="14" t="n">
        <f aca="false">I1642-H1642</f>
        <v>56.4734985101747</v>
      </c>
    </row>
    <row r="1643" customFormat="false" ht="15" hidden="false" customHeight="false" outlineLevel="0" collapsed="false">
      <c r="A1643" s="12" t="n">
        <f aca="false">Data!A1643</f>
        <v>44391</v>
      </c>
      <c r="B1643" s="14" t="n">
        <f aca="false">Data!B1643</f>
        <v>73.13</v>
      </c>
      <c r="C1643" s="0" t="str">
        <f aca="false">IF(Data!D1643="","HOLD",IF(AND(G1642&lt;&gt;"IN",Data!E1643&lt;-5),"BUY",IF(AND(G1642="IN",Data!E1643&gt;0),"SELL","HOLD")))</f>
        <v>HOLD</v>
      </c>
      <c r="D1643" s="14" t="str">
        <f aca="false">IF(C1643="BUY",B1643,IF(G1642="IN",D1642,""))</f>
        <v/>
      </c>
      <c r="E1643" s="14" t="str">
        <f aca="false">IF(C1643="SELL",B1643,"")</f>
        <v/>
      </c>
      <c r="F1643" s="14" t="str">
        <f aca="false">IF(E1643="","",(E1643-D1643)/D1643*100)</f>
        <v/>
      </c>
      <c r="G1643" s="0" t="str">
        <f aca="false">IF(C1643="BUY","IN",IF(C1643="SELL","OUT",IF(G1642="IN","IN","OUT")))</f>
        <v>OUT</v>
      </c>
      <c r="H1643" s="14" t="n">
        <f aca="false">H1642+IF(F1643="",0,F1643)</f>
        <v>-12.5425356501238</v>
      </c>
      <c r="I1643" s="14" t="n">
        <f aca="false">MAX(I1642,H1643)</f>
        <v>43.9309628600509</v>
      </c>
      <c r="J1643" s="14" t="n">
        <f aca="false">I1643-H1643</f>
        <v>56.4734985101747</v>
      </c>
    </row>
    <row r="1644" customFormat="false" ht="15" hidden="false" customHeight="false" outlineLevel="0" collapsed="false">
      <c r="A1644" s="12" t="n">
        <f aca="false">Data!A1644</f>
        <v>44392</v>
      </c>
      <c r="B1644" s="14" t="n">
        <f aca="false">Data!B1644</f>
        <v>71.65</v>
      </c>
      <c r="C1644" s="0" t="str">
        <f aca="false">IF(Data!D1644="","HOLD",IF(AND(G1643&lt;&gt;"IN",Data!E1644&lt;-5),"BUY",IF(AND(G1643="IN",Data!E1644&gt;0),"SELL","HOLD")))</f>
        <v>HOLD</v>
      </c>
      <c r="D1644" s="14" t="str">
        <f aca="false">IF(C1644="BUY",B1644,IF(G1643="IN",D1643,""))</f>
        <v/>
      </c>
      <c r="E1644" s="14" t="str">
        <f aca="false">IF(C1644="SELL",B1644,"")</f>
        <v/>
      </c>
      <c r="F1644" s="14" t="str">
        <f aca="false">IF(E1644="","",(E1644-D1644)/D1644*100)</f>
        <v/>
      </c>
      <c r="G1644" s="0" t="str">
        <f aca="false">IF(C1644="BUY","IN",IF(C1644="SELL","OUT",IF(G1643="IN","IN","OUT")))</f>
        <v>OUT</v>
      </c>
      <c r="H1644" s="14" t="n">
        <f aca="false">H1643+IF(F1644="",0,F1644)</f>
        <v>-12.5425356501238</v>
      </c>
      <c r="I1644" s="14" t="n">
        <f aca="false">MAX(I1643,H1644)</f>
        <v>43.9309628600509</v>
      </c>
      <c r="J1644" s="14" t="n">
        <f aca="false">I1644-H1644</f>
        <v>56.4734985101747</v>
      </c>
    </row>
    <row r="1645" customFormat="false" ht="15" hidden="false" customHeight="false" outlineLevel="0" collapsed="false">
      <c r="A1645" s="12" t="n">
        <f aca="false">Data!A1645</f>
        <v>44393</v>
      </c>
      <c r="B1645" s="14" t="n">
        <f aca="false">Data!B1645</f>
        <v>71.81</v>
      </c>
      <c r="C1645" s="0" t="str">
        <f aca="false">IF(Data!D1645="","HOLD",IF(AND(G1644&lt;&gt;"IN",Data!E1645&lt;-5),"BUY",IF(AND(G1644="IN",Data!E1645&gt;0),"SELL","HOLD")))</f>
        <v>HOLD</v>
      </c>
      <c r="D1645" s="14" t="str">
        <f aca="false">IF(C1645="BUY",B1645,IF(G1644="IN",D1644,""))</f>
        <v/>
      </c>
      <c r="E1645" s="14" t="str">
        <f aca="false">IF(C1645="SELL",B1645,"")</f>
        <v/>
      </c>
      <c r="F1645" s="14" t="str">
        <f aca="false">IF(E1645="","",(E1645-D1645)/D1645*100)</f>
        <v/>
      </c>
      <c r="G1645" s="0" t="str">
        <f aca="false">IF(C1645="BUY","IN",IF(C1645="SELL","OUT",IF(G1644="IN","IN","OUT")))</f>
        <v>OUT</v>
      </c>
      <c r="H1645" s="14" t="n">
        <f aca="false">H1644+IF(F1645="",0,F1645)</f>
        <v>-12.5425356501238</v>
      </c>
      <c r="I1645" s="14" t="n">
        <f aca="false">MAX(I1644,H1645)</f>
        <v>43.9309628600509</v>
      </c>
      <c r="J1645" s="14" t="n">
        <f aca="false">I1645-H1645</f>
        <v>56.4734985101747</v>
      </c>
    </row>
    <row r="1646" customFormat="false" ht="15" hidden="false" customHeight="false" outlineLevel="0" collapsed="false">
      <c r="A1646" s="12" t="n">
        <f aca="false">Data!A1646</f>
        <v>44396</v>
      </c>
      <c r="B1646" s="14" t="n">
        <f aca="false">Data!B1646</f>
        <v>66.42</v>
      </c>
      <c r="C1646" s="0" t="str">
        <f aca="false">IF(Data!D1646="","HOLD",IF(AND(G1645&lt;&gt;"IN",Data!E1646&lt;-5),"BUY",IF(AND(G1645="IN",Data!E1646&gt;0),"SELL","HOLD")))</f>
        <v>BUY</v>
      </c>
      <c r="D1646" s="14" t="n">
        <f aca="false">IF(C1646="BUY",B1646,IF(G1645="IN",D1645,""))</f>
        <v>66.42</v>
      </c>
      <c r="E1646" s="14" t="str">
        <f aca="false">IF(C1646="SELL",B1646,"")</f>
        <v/>
      </c>
      <c r="F1646" s="14" t="str">
        <f aca="false">IF(E1646="","",(E1646-D1646)/D1646*100)</f>
        <v/>
      </c>
      <c r="G1646" s="0" t="str">
        <f aca="false">IF(C1646="BUY","IN",IF(C1646="SELL","OUT",IF(G1645="IN","IN","OUT")))</f>
        <v>IN</v>
      </c>
      <c r="H1646" s="14" t="n">
        <f aca="false">H1645+IF(F1646="",0,F1646)</f>
        <v>-12.5425356501238</v>
      </c>
      <c r="I1646" s="14" t="n">
        <f aca="false">MAX(I1645,H1646)</f>
        <v>43.9309628600509</v>
      </c>
      <c r="J1646" s="14" t="n">
        <f aca="false">I1646-H1646</f>
        <v>56.4734985101747</v>
      </c>
    </row>
    <row r="1647" customFormat="false" ht="15" hidden="false" customHeight="false" outlineLevel="0" collapsed="false">
      <c r="A1647" s="12" t="n">
        <f aca="false">Data!A1647</f>
        <v>44397</v>
      </c>
      <c r="B1647" s="14" t="n">
        <f aca="false">Data!B1647</f>
        <v>67.42</v>
      </c>
      <c r="C1647" s="0" t="str">
        <f aca="false">IF(Data!D1647="","HOLD",IF(AND(G1646&lt;&gt;"IN",Data!E1647&lt;-5),"BUY",IF(AND(G1646="IN",Data!E1647&gt;0),"SELL","HOLD")))</f>
        <v>HOLD</v>
      </c>
      <c r="D1647" s="14" t="n">
        <f aca="false">IF(C1647="BUY",B1647,IF(G1646="IN",D1646,""))</f>
        <v>66.42</v>
      </c>
      <c r="E1647" s="14" t="str">
        <f aca="false">IF(C1647="SELL",B1647,"")</f>
        <v/>
      </c>
      <c r="F1647" s="14" t="str">
        <f aca="false">IF(E1647="","",(E1647-D1647)/D1647*100)</f>
        <v/>
      </c>
      <c r="G1647" s="0" t="str">
        <f aca="false">IF(C1647="BUY","IN",IF(C1647="SELL","OUT",IF(G1646="IN","IN","OUT")))</f>
        <v>IN</v>
      </c>
      <c r="H1647" s="14" t="n">
        <f aca="false">H1646+IF(F1647="",0,F1647)</f>
        <v>-12.5425356501238</v>
      </c>
      <c r="I1647" s="14" t="n">
        <f aca="false">MAX(I1646,H1647)</f>
        <v>43.9309628600509</v>
      </c>
      <c r="J1647" s="14" t="n">
        <f aca="false">I1647-H1647</f>
        <v>56.4734985101747</v>
      </c>
    </row>
    <row r="1648" customFormat="false" ht="15" hidden="false" customHeight="false" outlineLevel="0" collapsed="false">
      <c r="A1648" s="12" t="n">
        <f aca="false">Data!A1648</f>
        <v>44398</v>
      </c>
      <c r="B1648" s="14" t="n">
        <f aca="false">Data!B1648</f>
        <v>70.3</v>
      </c>
      <c r="C1648" s="0" t="str">
        <f aca="false">IF(Data!D1648="","HOLD",IF(AND(G1647&lt;&gt;"IN",Data!E1648&lt;-5),"BUY",IF(AND(G1647="IN",Data!E1648&gt;0),"SELL","HOLD")))</f>
        <v>HOLD</v>
      </c>
      <c r="D1648" s="14" t="n">
        <f aca="false">IF(C1648="BUY",B1648,IF(G1647="IN",D1647,""))</f>
        <v>66.42</v>
      </c>
      <c r="E1648" s="14" t="str">
        <f aca="false">IF(C1648="SELL",B1648,"")</f>
        <v/>
      </c>
      <c r="F1648" s="14" t="str">
        <f aca="false">IF(E1648="","",(E1648-D1648)/D1648*100)</f>
        <v/>
      </c>
      <c r="G1648" s="0" t="str">
        <f aca="false">IF(C1648="BUY","IN",IF(C1648="SELL","OUT",IF(G1647="IN","IN","OUT")))</f>
        <v>IN</v>
      </c>
      <c r="H1648" s="14" t="n">
        <f aca="false">H1647+IF(F1648="",0,F1648)</f>
        <v>-12.5425356501238</v>
      </c>
      <c r="I1648" s="14" t="n">
        <f aca="false">MAX(I1647,H1648)</f>
        <v>43.9309628600509</v>
      </c>
      <c r="J1648" s="14" t="n">
        <f aca="false">I1648-H1648</f>
        <v>56.4734985101747</v>
      </c>
    </row>
    <row r="1649" customFormat="false" ht="15" hidden="false" customHeight="false" outlineLevel="0" collapsed="false">
      <c r="A1649" s="12" t="n">
        <f aca="false">Data!A1649</f>
        <v>44399</v>
      </c>
      <c r="B1649" s="14" t="n">
        <f aca="false">Data!B1649</f>
        <v>71.91</v>
      </c>
      <c r="C1649" s="0" t="str">
        <f aca="false">IF(Data!D1649="","HOLD",IF(AND(G1648&lt;&gt;"IN",Data!E1649&lt;-5),"BUY",IF(AND(G1648="IN",Data!E1649&gt;0),"SELL","HOLD")))</f>
        <v>HOLD</v>
      </c>
      <c r="D1649" s="14" t="n">
        <f aca="false">IF(C1649="BUY",B1649,IF(G1648="IN",D1648,""))</f>
        <v>66.42</v>
      </c>
      <c r="E1649" s="14" t="str">
        <f aca="false">IF(C1649="SELL",B1649,"")</f>
        <v/>
      </c>
      <c r="F1649" s="14" t="str">
        <f aca="false">IF(E1649="","",(E1649-D1649)/D1649*100)</f>
        <v/>
      </c>
      <c r="G1649" s="0" t="str">
        <f aca="false">IF(C1649="BUY","IN",IF(C1649="SELL","OUT",IF(G1648="IN","IN","OUT")))</f>
        <v>IN</v>
      </c>
      <c r="H1649" s="14" t="n">
        <f aca="false">H1648+IF(F1649="",0,F1649)</f>
        <v>-12.5425356501238</v>
      </c>
      <c r="I1649" s="14" t="n">
        <f aca="false">MAX(I1648,H1649)</f>
        <v>43.9309628600509</v>
      </c>
      <c r="J1649" s="14" t="n">
        <f aca="false">I1649-H1649</f>
        <v>56.4734985101747</v>
      </c>
    </row>
    <row r="1650" customFormat="false" ht="15" hidden="false" customHeight="false" outlineLevel="0" collapsed="false">
      <c r="A1650" s="12" t="n">
        <f aca="false">Data!A1650</f>
        <v>44400</v>
      </c>
      <c r="B1650" s="14" t="n">
        <f aca="false">Data!B1650</f>
        <v>72.07</v>
      </c>
      <c r="C1650" s="0" t="str">
        <f aca="false">IF(Data!D1650="","HOLD",IF(AND(G1649&lt;&gt;"IN",Data!E1650&lt;-5),"BUY",IF(AND(G1649="IN",Data!E1650&gt;0),"SELL","HOLD")))</f>
        <v>HOLD</v>
      </c>
      <c r="D1650" s="14" t="n">
        <f aca="false">IF(C1650="BUY",B1650,IF(G1649="IN",D1649,""))</f>
        <v>66.42</v>
      </c>
      <c r="E1650" s="14" t="str">
        <f aca="false">IF(C1650="SELL",B1650,"")</f>
        <v/>
      </c>
      <c r="F1650" s="14" t="str">
        <f aca="false">IF(E1650="","",(E1650-D1650)/D1650*100)</f>
        <v/>
      </c>
      <c r="G1650" s="0" t="str">
        <f aca="false">IF(C1650="BUY","IN",IF(C1650="SELL","OUT",IF(G1649="IN","IN","OUT")))</f>
        <v>IN</v>
      </c>
      <c r="H1650" s="14" t="n">
        <f aca="false">H1649+IF(F1650="",0,F1650)</f>
        <v>-12.5425356501238</v>
      </c>
      <c r="I1650" s="14" t="n">
        <f aca="false">MAX(I1649,H1650)</f>
        <v>43.9309628600509</v>
      </c>
      <c r="J1650" s="14" t="n">
        <f aca="false">I1650-H1650</f>
        <v>56.4734985101747</v>
      </c>
    </row>
    <row r="1651" customFormat="false" ht="15" hidden="false" customHeight="false" outlineLevel="0" collapsed="false">
      <c r="A1651" s="12" t="n">
        <f aca="false">Data!A1651</f>
        <v>44403</v>
      </c>
      <c r="B1651" s="14" t="n">
        <f aca="false">Data!B1651</f>
        <v>71.91</v>
      </c>
      <c r="C1651" s="0" t="str">
        <f aca="false">IF(Data!D1651="","HOLD",IF(AND(G1650&lt;&gt;"IN",Data!E1651&lt;-5),"BUY",IF(AND(G1650="IN",Data!E1651&gt;0),"SELL","HOLD")))</f>
        <v>HOLD</v>
      </c>
      <c r="D1651" s="14" t="n">
        <f aca="false">IF(C1651="BUY",B1651,IF(G1650="IN",D1650,""))</f>
        <v>66.42</v>
      </c>
      <c r="E1651" s="14" t="str">
        <f aca="false">IF(C1651="SELL",B1651,"")</f>
        <v/>
      </c>
      <c r="F1651" s="14" t="str">
        <f aca="false">IF(E1651="","",(E1651-D1651)/D1651*100)</f>
        <v/>
      </c>
      <c r="G1651" s="0" t="str">
        <f aca="false">IF(C1651="BUY","IN",IF(C1651="SELL","OUT",IF(G1650="IN","IN","OUT")))</f>
        <v>IN</v>
      </c>
      <c r="H1651" s="14" t="n">
        <f aca="false">H1650+IF(F1651="",0,F1651)</f>
        <v>-12.5425356501238</v>
      </c>
      <c r="I1651" s="14" t="n">
        <f aca="false">MAX(I1650,H1651)</f>
        <v>43.9309628600509</v>
      </c>
      <c r="J1651" s="14" t="n">
        <f aca="false">I1651-H1651</f>
        <v>56.4734985101747</v>
      </c>
    </row>
    <row r="1652" customFormat="false" ht="15" hidden="false" customHeight="false" outlineLevel="0" collapsed="false">
      <c r="A1652" s="12" t="n">
        <f aca="false">Data!A1652</f>
        <v>44404</v>
      </c>
      <c r="B1652" s="14" t="n">
        <f aca="false">Data!B1652</f>
        <v>71.65</v>
      </c>
      <c r="C1652" s="0" t="str">
        <f aca="false">IF(Data!D1652="","HOLD",IF(AND(G1651&lt;&gt;"IN",Data!E1652&lt;-5),"BUY",IF(AND(G1651="IN",Data!E1652&gt;0),"SELL","HOLD")))</f>
        <v>HOLD</v>
      </c>
      <c r="D1652" s="14" t="n">
        <f aca="false">IF(C1652="BUY",B1652,IF(G1651="IN",D1651,""))</f>
        <v>66.42</v>
      </c>
      <c r="E1652" s="14" t="str">
        <f aca="false">IF(C1652="SELL",B1652,"")</f>
        <v/>
      </c>
      <c r="F1652" s="14" t="str">
        <f aca="false">IF(E1652="","",(E1652-D1652)/D1652*100)</f>
        <v/>
      </c>
      <c r="G1652" s="0" t="str">
        <f aca="false">IF(C1652="BUY","IN",IF(C1652="SELL","OUT",IF(G1651="IN","IN","OUT")))</f>
        <v>IN</v>
      </c>
      <c r="H1652" s="14" t="n">
        <f aca="false">H1651+IF(F1652="",0,F1652)</f>
        <v>-12.5425356501238</v>
      </c>
      <c r="I1652" s="14" t="n">
        <f aca="false">MAX(I1651,H1652)</f>
        <v>43.9309628600509</v>
      </c>
      <c r="J1652" s="14" t="n">
        <f aca="false">I1652-H1652</f>
        <v>56.4734985101747</v>
      </c>
    </row>
    <row r="1653" customFormat="false" ht="15" hidden="false" customHeight="false" outlineLevel="0" collapsed="false">
      <c r="A1653" s="12" t="n">
        <f aca="false">Data!A1653</f>
        <v>44405</v>
      </c>
      <c r="B1653" s="14" t="n">
        <f aca="false">Data!B1653</f>
        <v>72.39</v>
      </c>
      <c r="C1653" s="0" t="str">
        <f aca="false">IF(Data!D1653="","HOLD",IF(AND(G1652&lt;&gt;"IN",Data!E1653&lt;-5),"BUY",IF(AND(G1652="IN",Data!E1653&gt;0),"SELL","HOLD")))</f>
        <v>SELL</v>
      </c>
      <c r="D1653" s="14" t="n">
        <f aca="false">IF(C1653="BUY",B1653,IF(G1652="IN",D1652,""))</f>
        <v>66.42</v>
      </c>
      <c r="E1653" s="14" t="n">
        <f aca="false">IF(C1653="SELL",B1653,"")</f>
        <v>72.39</v>
      </c>
      <c r="F1653" s="14" t="n">
        <f aca="false">IF(E1653="","",(E1653-D1653)/D1653*100)</f>
        <v>8.98825654923216</v>
      </c>
      <c r="G1653" s="0" t="str">
        <f aca="false">IF(C1653="BUY","IN",IF(C1653="SELL","OUT",IF(G1652="IN","IN","OUT")))</f>
        <v>OUT</v>
      </c>
      <c r="H1653" s="14" t="n">
        <f aca="false">H1652+IF(F1653="",0,F1653)</f>
        <v>-3.55427910089164</v>
      </c>
      <c r="I1653" s="14" t="n">
        <f aca="false">MAX(I1652,H1653)</f>
        <v>43.9309628600509</v>
      </c>
      <c r="J1653" s="14" t="n">
        <f aca="false">I1653-H1653</f>
        <v>47.4852419609425</v>
      </c>
    </row>
    <row r="1654" customFormat="false" ht="15" hidden="false" customHeight="false" outlineLevel="0" collapsed="false">
      <c r="A1654" s="12" t="n">
        <f aca="false">Data!A1654</f>
        <v>44406</v>
      </c>
      <c r="B1654" s="14" t="n">
        <f aca="false">Data!B1654</f>
        <v>73.62</v>
      </c>
      <c r="C1654" s="0" t="str">
        <f aca="false">IF(Data!D1654="","HOLD",IF(AND(G1653&lt;&gt;"IN",Data!E1654&lt;-5),"BUY",IF(AND(G1653="IN",Data!E1654&gt;0),"SELL","HOLD")))</f>
        <v>HOLD</v>
      </c>
      <c r="D1654" s="14" t="str">
        <f aca="false">IF(C1654="BUY",B1654,IF(G1653="IN",D1653,""))</f>
        <v/>
      </c>
      <c r="E1654" s="14" t="str">
        <f aca="false">IF(C1654="SELL",B1654,"")</f>
        <v/>
      </c>
      <c r="F1654" s="14" t="str">
        <f aca="false">IF(E1654="","",(E1654-D1654)/D1654*100)</f>
        <v/>
      </c>
      <c r="G1654" s="0" t="str">
        <f aca="false">IF(C1654="BUY","IN",IF(C1654="SELL","OUT",IF(G1653="IN","IN","OUT")))</f>
        <v>OUT</v>
      </c>
      <c r="H1654" s="14" t="n">
        <f aca="false">H1653+IF(F1654="",0,F1654)</f>
        <v>-3.55427910089164</v>
      </c>
      <c r="I1654" s="14" t="n">
        <f aca="false">MAX(I1653,H1654)</f>
        <v>43.9309628600509</v>
      </c>
      <c r="J1654" s="14" t="n">
        <f aca="false">I1654-H1654</f>
        <v>47.4852419609425</v>
      </c>
    </row>
    <row r="1655" customFormat="false" ht="15" hidden="false" customHeight="false" outlineLevel="0" collapsed="false">
      <c r="A1655" s="12" t="n">
        <f aca="false">Data!A1655</f>
        <v>44407</v>
      </c>
      <c r="B1655" s="14" t="n">
        <f aca="false">Data!B1655</f>
        <v>73.95</v>
      </c>
      <c r="C1655" s="0" t="str">
        <f aca="false">IF(Data!D1655="","HOLD",IF(AND(G1654&lt;&gt;"IN",Data!E1655&lt;-5),"BUY",IF(AND(G1654="IN",Data!E1655&gt;0),"SELL","HOLD")))</f>
        <v>HOLD</v>
      </c>
      <c r="D1655" s="14" t="str">
        <f aca="false">IF(C1655="BUY",B1655,IF(G1654="IN",D1654,""))</f>
        <v/>
      </c>
      <c r="E1655" s="14" t="str">
        <f aca="false">IF(C1655="SELL",B1655,"")</f>
        <v/>
      </c>
      <c r="F1655" s="14" t="str">
        <f aca="false">IF(E1655="","",(E1655-D1655)/D1655*100)</f>
        <v/>
      </c>
      <c r="G1655" s="0" t="str">
        <f aca="false">IF(C1655="BUY","IN",IF(C1655="SELL","OUT",IF(G1654="IN","IN","OUT")))</f>
        <v>OUT</v>
      </c>
      <c r="H1655" s="14" t="n">
        <f aca="false">H1654+IF(F1655="",0,F1655)</f>
        <v>-3.55427910089164</v>
      </c>
      <c r="I1655" s="14" t="n">
        <f aca="false">MAX(I1654,H1655)</f>
        <v>43.9309628600509</v>
      </c>
      <c r="J1655" s="14" t="n">
        <f aca="false">I1655-H1655</f>
        <v>47.4852419609425</v>
      </c>
    </row>
    <row r="1656" customFormat="false" ht="15" hidden="false" customHeight="false" outlineLevel="0" collapsed="false">
      <c r="A1656" s="12" t="n">
        <f aca="false">Data!A1656</f>
        <v>44410</v>
      </c>
      <c r="B1656" s="14" t="n">
        <f aca="false">Data!B1656</f>
        <v>71.26</v>
      </c>
      <c r="C1656" s="0" t="str">
        <f aca="false">IF(Data!D1656="","HOLD",IF(AND(G1655&lt;&gt;"IN",Data!E1656&lt;-5),"BUY",IF(AND(G1655="IN",Data!E1656&gt;0),"SELL","HOLD")))</f>
        <v>HOLD</v>
      </c>
      <c r="D1656" s="14" t="str">
        <f aca="false">IF(C1656="BUY",B1656,IF(G1655="IN",D1655,""))</f>
        <v/>
      </c>
      <c r="E1656" s="14" t="str">
        <f aca="false">IF(C1656="SELL",B1656,"")</f>
        <v/>
      </c>
      <c r="F1656" s="14" t="str">
        <f aca="false">IF(E1656="","",(E1656-D1656)/D1656*100)</f>
        <v/>
      </c>
      <c r="G1656" s="0" t="str">
        <f aca="false">IF(C1656="BUY","IN",IF(C1656="SELL","OUT",IF(G1655="IN","IN","OUT")))</f>
        <v>OUT</v>
      </c>
      <c r="H1656" s="14" t="n">
        <f aca="false">H1655+IF(F1656="",0,F1656)</f>
        <v>-3.55427910089164</v>
      </c>
      <c r="I1656" s="14" t="n">
        <f aca="false">MAX(I1655,H1656)</f>
        <v>43.9309628600509</v>
      </c>
      <c r="J1656" s="14" t="n">
        <f aca="false">I1656-H1656</f>
        <v>47.4852419609425</v>
      </c>
    </row>
    <row r="1657" customFormat="false" ht="15" hidden="false" customHeight="false" outlineLevel="0" collapsed="false">
      <c r="A1657" s="12" t="n">
        <f aca="false">Data!A1657</f>
        <v>44411</v>
      </c>
      <c r="B1657" s="14" t="n">
        <f aca="false">Data!B1657</f>
        <v>70.56</v>
      </c>
      <c r="C1657" s="0" t="str">
        <f aca="false">IF(Data!D1657="","HOLD",IF(AND(G1656&lt;&gt;"IN",Data!E1657&lt;-5),"BUY",IF(AND(G1656="IN",Data!E1657&gt;0),"SELL","HOLD")))</f>
        <v>HOLD</v>
      </c>
      <c r="D1657" s="14" t="str">
        <f aca="false">IF(C1657="BUY",B1657,IF(G1656="IN",D1656,""))</f>
        <v/>
      </c>
      <c r="E1657" s="14" t="str">
        <f aca="false">IF(C1657="SELL",B1657,"")</f>
        <v/>
      </c>
      <c r="F1657" s="14" t="str">
        <f aca="false">IF(E1657="","",(E1657-D1657)/D1657*100)</f>
        <v/>
      </c>
      <c r="G1657" s="0" t="str">
        <f aca="false">IF(C1657="BUY","IN",IF(C1657="SELL","OUT",IF(G1656="IN","IN","OUT")))</f>
        <v>OUT</v>
      </c>
      <c r="H1657" s="14" t="n">
        <f aca="false">H1656+IF(F1657="",0,F1657)</f>
        <v>-3.55427910089164</v>
      </c>
      <c r="I1657" s="14" t="n">
        <f aca="false">MAX(I1656,H1657)</f>
        <v>43.9309628600509</v>
      </c>
      <c r="J1657" s="14" t="n">
        <f aca="false">I1657-H1657</f>
        <v>47.4852419609425</v>
      </c>
    </row>
    <row r="1658" customFormat="false" ht="15" hidden="false" customHeight="false" outlineLevel="0" collapsed="false">
      <c r="A1658" s="12" t="n">
        <f aca="false">Data!A1658</f>
        <v>44412</v>
      </c>
      <c r="B1658" s="14" t="n">
        <f aca="false">Data!B1658</f>
        <v>68.15</v>
      </c>
      <c r="C1658" s="0" t="str">
        <f aca="false">IF(Data!D1658="","HOLD",IF(AND(G1657&lt;&gt;"IN",Data!E1658&lt;-5),"BUY",IF(AND(G1657="IN",Data!E1658&gt;0),"SELL","HOLD")))</f>
        <v>BUY</v>
      </c>
      <c r="D1658" s="14" t="n">
        <f aca="false">IF(C1658="BUY",B1658,IF(G1657="IN",D1657,""))</f>
        <v>68.15</v>
      </c>
      <c r="E1658" s="14" t="str">
        <f aca="false">IF(C1658="SELL",B1658,"")</f>
        <v/>
      </c>
      <c r="F1658" s="14" t="str">
        <f aca="false">IF(E1658="","",(E1658-D1658)/D1658*100)</f>
        <v/>
      </c>
      <c r="G1658" s="0" t="str">
        <f aca="false">IF(C1658="BUY","IN",IF(C1658="SELL","OUT",IF(G1657="IN","IN","OUT")))</f>
        <v>IN</v>
      </c>
      <c r="H1658" s="14" t="n">
        <f aca="false">H1657+IF(F1658="",0,F1658)</f>
        <v>-3.55427910089164</v>
      </c>
      <c r="I1658" s="14" t="n">
        <f aca="false">MAX(I1657,H1658)</f>
        <v>43.9309628600509</v>
      </c>
      <c r="J1658" s="14" t="n">
        <f aca="false">I1658-H1658</f>
        <v>47.4852419609425</v>
      </c>
    </row>
    <row r="1659" customFormat="false" ht="15" hidden="false" customHeight="false" outlineLevel="0" collapsed="false">
      <c r="A1659" s="12" t="n">
        <f aca="false">Data!A1659</f>
        <v>44413</v>
      </c>
      <c r="B1659" s="14" t="n">
        <f aca="false">Data!B1659</f>
        <v>69.09</v>
      </c>
      <c r="C1659" s="0" t="str">
        <f aca="false">IF(Data!D1659="","HOLD",IF(AND(G1658&lt;&gt;"IN",Data!E1659&lt;-5),"BUY",IF(AND(G1658="IN",Data!E1659&gt;0),"SELL","HOLD")))</f>
        <v>HOLD</v>
      </c>
      <c r="D1659" s="14" t="n">
        <f aca="false">IF(C1659="BUY",B1659,IF(G1658="IN",D1658,""))</f>
        <v>68.15</v>
      </c>
      <c r="E1659" s="14" t="str">
        <f aca="false">IF(C1659="SELL",B1659,"")</f>
        <v/>
      </c>
      <c r="F1659" s="14" t="str">
        <f aca="false">IF(E1659="","",(E1659-D1659)/D1659*100)</f>
        <v/>
      </c>
      <c r="G1659" s="0" t="str">
        <f aca="false">IF(C1659="BUY","IN",IF(C1659="SELL","OUT",IF(G1658="IN","IN","OUT")))</f>
        <v>IN</v>
      </c>
      <c r="H1659" s="14" t="n">
        <f aca="false">H1658+IF(F1659="",0,F1659)</f>
        <v>-3.55427910089164</v>
      </c>
      <c r="I1659" s="14" t="n">
        <f aca="false">MAX(I1658,H1659)</f>
        <v>43.9309628600509</v>
      </c>
      <c r="J1659" s="14" t="n">
        <f aca="false">I1659-H1659</f>
        <v>47.4852419609425</v>
      </c>
    </row>
    <row r="1660" customFormat="false" ht="15" hidden="false" customHeight="false" outlineLevel="0" collapsed="false">
      <c r="A1660" s="12" t="n">
        <f aca="false">Data!A1660</f>
        <v>44414</v>
      </c>
      <c r="B1660" s="14" t="n">
        <f aca="false">Data!B1660</f>
        <v>68.28</v>
      </c>
      <c r="C1660" s="0" t="str">
        <f aca="false">IF(Data!D1660="","HOLD",IF(AND(G1659&lt;&gt;"IN",Data!E1660&lt;-5),"BUY",IF(AND(G1659="IN",Data!E1660&gt;0),"SELL","HOLD")))</f>
        <v>HOLD</v>
      </c>
      <c r="D1660" s="14" t="n">
        <f aca="false">IF(C1660="BUY",B1660,IF(G1659="IN",D1659,""))</f>
        <v>68.15</v>
      </c>
      <c r="E1660" s="14" t="str">
        <f aca="false">IF(C1660="SELL",B1660,"")</f>
        <v/>
      </c>
      <c r="F1660" s="14" t="str">
        <f aca="false">IF(E1660="","",(E1660-D1660)/D1660*100)</f>
        <v/>
      </c>
      <c r="G1660" s="0" t="str">
        <f aca="false">IF(C1660="BUY","IN",IF(C1660="SELL","OUT",IF(G1659="IN","IN","OUT")))</f>
        <v>IN</v>
      </c>
      <c r="H1660" s="14" t="n">
        <f aca="false">H1659+IF(F1660="",0,F1660)</f>
        <v>-3.55427910089164</v>
      </c>
      <c r="I1660" s="14" t="n">
        <f aca="false">MAX(I1659,H1660)</f>
        <v>43.9309628600509</v>
      </c>
      <c r="J1660" s="14" t="n">
        <f aca="false">I1660-H1660</f>
        <v>47.4852419609425</v>
      </c>
    </row>
    <row r="1661" customFormat="false" ht="15" hidden="false" customHeight="false" outlineLevel="0" collapsed="false">
      <c r="A1661" s="12" t="n">
        <f aca="false">Data!A1661</f>
        <v>44417</v>
      </c>
      <c r="B1661" s="14" t="n">
        <f aca="false">Data!B1661</f>
        <v>66.48</v>
      </c>
      <c r="C1661" s="0" t="str">
        <f aca="false">IF(Data!D1661="","HOLD",IF(AND(G1660&lt;&gt;"IN",Data!E1661&lt;-5),"BUY",IF(AND(G1660="IN",Data!E1661&gt;0),"SELL","HOLD")))</f>
        <v>HOLD</v>
      </c>
      <c r="D1661" s="14" t="n">
        <f aca="false">IF(C1661="BUY",B1661,IF(G1660="IN",D1660,""))</f>
        <v>68.15</v>
      </c>
      <c r="E1661" s="14" t="str">
        <f aca="false">IF(C1661="SELL",B1661,"")</f>
        <v/>
      </c>
      <c r="F1661" s="14" t="str">
        <f aca="false">IF(E1661="","",(E1661-D1661)/D1661*100)</f>
        <v/>
      </c>
      <c r="G1661" s="0" t="str">
        <f aca="false">IF(C1661="BUY","IN",IF(C1661="SELL","OUT",IF(G1660="IN","IN","OUT")))</f>
        <v>IN</v>
      </c>
      <c r="H1661" s="14" t="n">
        <f aca="false">H1660+IF(F1661="",0,F1661)</f>
        <v>-3.55427910089164</v>
      </c>
      <c r="I1661" s="14" t="n">
        <f aca="false">MAX(I1660,H1661)</f>
        <v>43.9309628600509</v>
      </c>
      <c r="J1661" s="14" t="n">
        <f aca="false">I1661-H1661</f>
        <v>47.4852419609425</v>
      </c>
    </row>
    <row r="1662" customFormat="false" ht="15" hidden="false" customHeight="false" outlineLevel="0" collapsed="false">
      <c r="A1662" s="12" t="n">
        <f aca="false">Data!A1662</f>
        <v>44418</v>
      </c>
      <c r="B1662" s="14" t="n">
        <f aca="false">Data!B1662</f>
        <v>68.29</v>
      </c>
      <c r="C1662" s="0" t="str">
        <f aca="false">IF(Data!D1662="","HOLD",IF(AND(G1661&lt;&gt;"IN",Data!E1662&lt;-5),"BUY",IF(AND(G1661="IN",Data!E1662&gt;0),"SELL","HOLD")))</f>
        <v>HOLD</v>
      </c>
      <c r="D1662" s="14" t="n">
        <f aca="false">IF(C1662="BUY",B1662,IF(G1661="IN",D1661,""))</f>
        <v>68.15</v>
      </c>
      <c r="E1662" s="14" t="str">
        <f aca="false">IF(C1662="SELL",B1662,"")</f>
        <v/>
      </c>
      <c r="F1662" s="14" t="str">
        <f aca="false">IF(E1662="","",(E1662-D1662)/D1662*100)</f>
        <v/>
      </c>
      <c r="G1662" s="0" t="str">
        <f aca="false">IF(C1662="BUY","IN",IF(C1662="SELL","OUT",IF(G1661="IN","IN","OUT")))</f>
        <v>IN</v>
      </c>
      <c r="H1662" s="14" t="n">
        <f aca="false">H1661+IF(F1662="",0,F1662)</f>
        <v>-3.55427910089164</v>
      </c>
      <c r="I1662" s="14" t="n">
        <f aca="false">MAX(I1661,H1662)</f>
        <v>43.9309628600509</v>
      </c>
      <c r="J1662" s="14" t="n">
        <f aca="false">I1662-H1662</f>
        <v>47.4852419609425</v>
      </c>
    </row>
    <row r="1663" customFormat="false" ht="15" hidden="false" customHeight="false" outlineLevel="0" collapsed="false">
      <c r="A1663" s="12" t="n">
        <f aca="false">Data!A1663</f>
        <v>44419</v>
      </c>
      <c r="B1663" s="14" t="n">
        <f aca="false">Data!B1663</f>
        <v>69.25</v>
      </c>
      <c r="C1663" s="0" t="str">
        <f aca="false">IF(Data!D1663="","HOLD",IF(AND(G1662&lt;&gt;"IN",Data!E1663&lt;-5),"BUY",IF(AND(G1662="IN",Data!E1663&gt;0),"SELL","HOLD")))</f>
        <v>HOLD</v>
      </c>
      <c r="D1663" s="14" t="n">
        <f aca="false">IF(C1663="BUY",B1663,IF(G1662="IN",D1662,""))</f>
        <v>68.15</v>
      </c>
      <c r="E1663" s="14" t="str">
        <f aca="false">IF(C1663="SELL",B1663,"")</f>
        <v/>
      </c>
      <c r="F1663" s="14" t="str">
        <f aca="false">IF(E1663="","",(E1663-D1663)/D1663*100)</f>
        <v/>
      </c>
      <c r="G1663" s="0" t="str">
        <f aca="false">IF(C1663="BUY","IN",IF(C1663="SELL","OUT",IF(G1662="IN","IN","OUT")))</f>
        <v>IN</v>
      </c>
      <c r="H1663" s="14" t="n">
        <f aca="false">H1662+IF(F1663="",0,F1663)</f>
        <v>-3.55427910089164</v>
      </c>
      <c r="I1663" s="14" t="n">
        <f aca="false">MAX(I1662,H1663)</f>
        <v>43.9309628600509</v>
      </c>
      <c r="J1663" s="14" t="n">
        <f aca="false">I1663-H1663</f>
        <v>47.4852419609425</v>
      </c>
    </row>
    <row r="1664" customFormat="false" ht="15" hidden="false" customHeight="false" outlineLevel="0" collapsed="false">
      <c r="A1664" s="12" t="n">
        <f aca="false">Data!A1664</f>
        <v>44420</v>
      </c>
      <c r="B1664" s="14" t="n">
        <f aca="false">Data!B1664</f>
        <v>69.09</v>
      </c>
      <c r="C1664" s="0" t="str">
        <f aca="false">IF(Data!D1664="","HOLD",IF(AND(G1663&lt;&gt;"IN",Data!E1664&lt;-5),"BUY",IF(AND(G1663="IN",Data!E1664&gt;0),"SELL","HOLD")))</f>
        <v>HOLD</v>
      </c>
      <c r="D1664" s="14" t="n">
        <f aca="false">IF(C1664="BUY",B1664,IF(G1663="IN",D1663,""))</f>
        <v>68.15</v>
      </c>
      <c r="E1664" s="14" t="str">
        <f aca="false">IF(C1664="SELL",B1664,"")</f>
        <v/>
      </c>
      <c r="F1664" s="14" t="str">
        <f aca="false">IF(E1664="","",(E1664-D1664)/D1664*100)</f>
        <v/>
      </c>
      <c r="G1664" s="0" t="str">
        <f aca="false">IF(C1664="BUY","IN",IF(C1664="SELL","OUT",IF(G1663="IN","IN","OUT")))</f>
        <v>IN</v>
      </c>
      <c r="H1664" s="14" t="n">
        <f aca="false">H1663+IF(F1664="",0,F1664)</f>
        <v>-3.55427910089164</v>
      </c>
      <c r="I1664" s="14" t="n">
        <f aca="false">MAX(I1663,H1664)</f>
        <v>43.9309628600509</v>
      </c>
      <c r="J1664" s="14" t="n">
        <f aca="false">I1664-H1664</f>
        <v>47.4852419609425</v>
      </c>
    </row>
    <row r="1665" customFormat="false" ht="15" hidden="false" customHeight="false" outlineLevel="0" collapsed="false">
      <c r="A1665" s="12" t="n">
        <f aca="false">Data!A1665</f>
        <v>44421</v>
      </c>
      <c r="B1665" s="14" t="n">
        <f aca="false">Data!B1665</f>
        <v>68.44</v>
      </c>
      <c r="C1665" s="0" t="str">
        <f aca="false">IF(Data!D1665="","HOLD",IF(AND(G1664&lt;&gt;"IN",Data!E1665&lt;-5),"BUY",IF(AND(G1664="IN",Data!E1665&gt;0),"SELL","HOLD")))</f>
        <v>HOLD</v>
      </c>
      <c r="D1665" s="14" t="n">
        <f aca="false">IF(C1665="BUY",B1665,IF(G1664="IN",D1664,""))</f>
        <v>68.15</v>
      </c>
      <c r="E1665" s="14" t="str">
        <f aca="false">IF(C1665="SELL",B1665,"")</f>
        <v/>
      </c>
      <c r="F1665" s="14" t="str">
        <f aca="false">IF(E1665="","",(E1665-D1665)/D1665*100)</f>
        <v/>
      </c>
      <c r="G1665" s="0" t="str">
        <f aca="false">IF(C1665="BUY","IN",IF(C1665="SELL","OUT",IF(G1664="IN","IN","OUT")))</f>
        <v>IN</v>
      </c>
      <c r="H1665" s="14" t="n">
        <f aca="false">H1664+IF(F1665="",0,F1665)</f>
        <v>-3.55427910089164</v>
      </c>
      <c r="I1665" s="14" t="n">
        <f aca="false">MAX(I1664,H1665)</f>
        <v>43.9309628600509</v>
      </c>
      <c r="J1665" s="14" t="n">
        <f aca="false">I1665-H1665</f>
        <v>47.4852419609425</v>
      </c>
    </row>
    <row r="1666" customFormat="false" ht="15" hidden="false" customHeight="false" outlineLevel="0" collapsed="false">
      <c r="A1666" s="12" t="n">
        <f aca="false">Data!A1666</f>
        <v>44424</v>
      </c>
      <c r="B1666" s="14" t="n">
        <f aca="false">Data!B1666</f>
        <v>67.29</v>
      </c>
      <c r="C1666" s="0" t="str">
        <f aca="false">IF(Data!D1666="","HOLD",IF(AND(G1665&lt;&gt;"IN",Data!E1666&lt;-5),"BUY",IF(AND(G1665="IN",Data!E1666&gt;0),"SELL","HOLD")))</f>
        <v>HOLD</v>
      </c>
      <c r="D1666" s="14" t="n">
        <f aca="false">IF(C1666="BUY",B1666,IF(G1665="IN",D1665,""))</f>
        <v>68.15</v>
      </c>
      <c r="E1666" s="14" t="str">
        <f aca="false">IF(C1666="SELL",B1666,"")</f>
        <v/>
      </c>
      <c r="F1666" s="14" t="str">
        <f aca="false">IF(E1666="","",(E1666-D1666)/D1666*100)</f>
        <v/>
      </c>
      <c r="G1666" s="0" t="str">
        <f aca="false">IF(C1666="BUY","IN",IF(C1666="SELL","OUT",IF(G1665="IN","IN","OUT")))</f>
        <v>IN</v>
      </c>
      <c r="H1666" s="14" t="n">
        <f aca="false">H1665+IF(F1666="",0,F1666)</f>
        <v>-3.55427910089164</v>
      </c>
      <c r="I1666" s="14" t="n">
        <f aca="false">MAX(I1665,H1666)</f>
        <v>43.9309628600509</v>
      </c>
      <c r="J1666" s="14" t="n">
        <f aca="false">I1666-H1666</f>
        <v>47.4852419609425</v>
      </c>
    </row>
    <row r="1667" customFormat="false" ht="15" hidden="false" customHeight="false" outlineLevel="0" collapsed="false">
      <c r="A1667" s="12" t="n">
        <f aca="false">Data!A1667</f>
        <v>44425</v>
      </c>
      <c r="B1667" s="14" t="n">
        <f aca="false">Data!B1667</f>
        <v>66.59</v>
      </c>
      <c r="C1667" s="0" t="str">
        <f aca="false">IF(Data!D1667="","HOLD",IF(AND(G1666&lt;&gt;"IN",Data!E1667&lt;-5),"BUY",IF(AND(G1666="IN",Data!E1667&gt;0),"SELL","HOLD")))</f>
        <v>HOLD</v>
      </c>
      <c r="D1667" s="14" t="n">
        <f aca="false">IF(C1667="BUY",B1667,IF(G1666="IN",D1666,""))</f>
        <v>68.15</v>
      </c>
      <c r="E1667" s="14" t="str">
        <f aca="false">IF(C1667="SELL",B1667,"")</f>
        <v/>
      </c>
      <c r="F1667" s="14" t="str">
        <f aca="false">IF(E1667="","",(E1667-D1667)/D1667*100)</f>
        <v/>
      </c>
      <c r="G1667" s="0" t="str">
        <f aca="false">IF(C1667="BUY","IN",IF(C1667="SELL","OUT",IF(G1666="IN","IN","OUT")))</f>
        <v>IN</v>
      </c>
      <c r="H1667" s="14" t="n">
        <f aca="false">H1666+IF(F1667="",0,F1667)</f>
        <v>-3.55427910089164</v>
      </c>
      <c r="I1667" s="14" t="n">
        <f aca="false">MAX(I1666,H1667)</f>
        <v>43.9309628600509</v>
      </c>
      <c r="J1667" s="14" t="n">
        <f aca="false">I1667-H1667</f>
        <v>47.4852419609425</v>
      </c>
    </row>
    <row r="1668" customFormat="false" ht="15" hidden="false" customHeight="false" outlineLevel="0" collapsed="false">
      <c r="A1668" s="12" t="n">
        <f aca="false">Data!A1668</f>
        <v>44426</v>
      </c>
      <c r="B1668" s="14" t="n">
        <f aca="false">Data!B1668</f>
        <v>65.46</v>
      </c>
      <c r="C1668" s="0" t="str">
        <f aca="false">IF(Data!D1668="","HOLD",IF(AND(G1667&lt;&gt;"IN",Data!E1668&lt;-5),"BUY",IF(AND(G1667="IN",Data!E1668&gt;0),"SELL","HOLD")))</f>
        <v>HOLD</v>
      </c>
      <c r="D1668" s="14" t="n">
        <f aca="false">IF(C1668="BUY",B1668,IF(G1667="IN",D1667,""))</f>
        <v>68.15</v>
      </c>
      <c r="E1668" s="14" t="str">
        <f aca="false">IF(C1668="SELL",B1668,"")</f>
        <v/>
      </c>
      <c r="F1668" s="14" t="str">
        <f aca="false">IF(E1668="","",(E1668-D1668)/D1668*100)</f>
        <v/>
      </c>
      <c r="G1668" s="0" t="str">
        <f aca="false">IF(C1668="BUY","IN",IF(C1668="SELL","OUT",IF(G1667="IN","IN","OUT")))</f>
        <v>IN</v>
      </c>
      <c r="H1668" s="14" t="n">
        <f aca="false">H1667+IF(F1668="",0,F1668)</f>
        <v>-3.55427910089164</v>
      </c>
      <c r="I1668" s="14" t="n">
        <f aca="false">MAX(I1667,H1668)</f>
        <v>43.9309628600509</v>
      </c>
      <c r="J1668" s="14" t="n">
        <f aca="false">I1668-H1668</f>
        <v>47.4852419609425</v>
      </c>
    </row>
    <row r="1669" customFormat="false" ht="15" hidden="false" customHeight="false" outlineLevel="0" collapsed="false">
      <c r="A1669" s="12" t="n">
        <f aca="false">Data!A1669</f>
        <v>44427</v>
      </c>
      <c r="B1669" s="14" t="n">
        <f aca="false">Data!B1669</f>
        <v>63.69</v>
      </c>
      <c r="C1669" s="0" t="str">
        <f aca="false">IF(Data!D1669="","HOLD",IF(AND(G1668&lt;&gt;"IN",Data!E1669&lt;-5),"BUY",IF(AND(G1668="IN",Data!E1669&gt;0),"SELL","HOLD")))</f>
        <v>HOLD</v>
      </c>
      <c r="D1669" s="14" t="n">
        <f aca="false">IF(C1669="BUY",B1669,IF(G1668="IN",D1668,""))</f>
        <v>68.15</v>
      </c>
      <c r="E1669" s="14" t="str">
        <f aca="false">IF(C1669="SELL",B1669,"")</f>
        <v/>
      </c>
      <c r="F1669" s="14" t="str">
        <f aca="false">IF(E1669="","",(E1669-D1669)/D1669*100)</f>
        <v/>
      </c>
      <c r="G1669" s="0" t="str">
        <f aca="false">IF(C1669="BUY","IN",IF(C1669="SELL","OUT",IF(G1668="IN","IN","OUT")))</f>
        <v>IN</v>
      </c>
      <c r="H1669" s="14" t="n">
        <f aca="false">H1668+IF(F1669="",0,F1669)</f>
        <v>-3.55427910089164</v>
      </c>
      <c r="I1669" s="14" t="n">
        <f aca="false">MAX(I1668,H1669)</f>
        <v>43.9309628600509</v>
      </c>
      <c r="J1669" s="14" t="n">
        <f aca="false">I1669-H1669</f>
        <v>47.4852419609425</v>
      </c>
    </row>
    <row r="1670" customFormat="false" ht="15" hidden="false" customHeight="false" outlineLevel="0" collapsed="false">
      <c r="A1670" s="12" t="n">
        <f aca="false">Data!A1670</f>
        <v>44428</v>
      </c>
      <c r="B1670" s="14" t="n">
        <f aca="false">Data!B1670</f>
        <v>62.32</v>
      </c>
      <c r="C1670" s="0" t="str">
        <f aca="false">IF(Data!D1670="","HOLD",IF(AND(G1669&lt;&gt;"IN",Data!E1670&lt;-5),"BUY",IF(AND(G1669="IN",Data!E1670&gt;0),"SELL","HOLD")))</f>
        <v>HOLD</v>
      </c>
      <c r="D1670" s="14" t="n">
        <f aca="false">IF(C1670="BUY",B1670,IF(G1669="IN",D1669,""))</f>
        <v>68.15</v>
      </c>
      <c r="E1670" s="14" t="str">
        <f aca="false">IF(C1670="SELL",B1670,"")</f>
        <v/>
      </c>
      <c r="F1670" s="14" t="str">
        <f aca="false">IF(E1670="","",(E1670-D1670)/D1670*100)</f>
        <v/>
      </c>
      <c r="G1670" s="0" t="str">
        <f aca="false">IF(C1670="BUY","IN",IF(C1670="SELL","OUT",IF(G1669="IN","IN","OUT")))</f>
        <v>IN</v>
      </c>
      <c r="H1670" s="14" t="n">
        <f aca="false">H1669+IF(F1670="",0,F1670)</f>
        <v>-3.55427910089164</v>
      </c>
      <c r="I1670" s="14" t="n">
        <f aca="false">MAX(I1669,H1670)</f>
        <v>43.9309628600509</v>
      </c>
      <c r="J1670" s="14" t="n">
        <f aca="false">I1670-H1670</f>
        <v>47.4852419609425</v>
      </c>
    </row>
    <row r="1671" customFormat="false" ht="15" hidden="false" customHeight="false" outlineLevel="0" collapsed="false">
      <c r="A1671" s="12" t="n">
        <f aca="false">Data!A1671</f>
        <v>44431</v>
      </c>
      <c r="B1671" s="14" t="n">
        <f aca="false">Data!B1671</f>
        <v>65.64</v>
      </c>
      <c r="C1671" s="0" t="str">
        <f aca="false">IF(Data!D1671="","HOLD",IF(AND(G1670&lt;&gt;"IN",Data!E1671&lt;-5),"BUY",IF(AND(G1670="IN",Data!E1671&gt;0),"SELL","HOLD")))</f>
        <v>HOLD</v>
      </c>
      <c r="D1671" s="14" t="n">
        <f aca="false">IF(C1671="BUY",B1671,IF(G1670="IN",D1670,""))</f>
        <v>68.15</v>
      </c>
      <c r="E1671" s="14" t="str">
        <f aca="false">IF(C1671="SELL",B1671,"")</f>
        <v/>
      </c>
      <c r="F1671" s="14" t="str">
        <f aca="false">IF(E1671="","",(E1671-D1671)/D1671*100)</f>
        <v/>
      </c>
      <c r="G1671" s="0" t="str">
        <f aca="false">IF(C1671="BUY","IN",IF(C1671="SELL","OUT",IF(G1670="IN","IN","OUT")))</f>
        <v>IN</v>
      </c>
      <c r="H1671" s="14" t="n">
        <f aca="false">H1670+IF(F1671="",0,F1671)</f>
        <v>-3.55427910089164</v>
      </c>
      <c r="I1671" s="14" t="n">
        <f aca="false">MAX(I1670,H1671)</f>
        <v>43.9309628600509</v>
      </c>
      <c r="J1671" s="14" t="n">
        <f aca="false">I1671-H1671</f>
        <v>47.4852419609425</v>
      </c>
    </row>
    <row r="1672" customFormat="false" ht="15" hidden="false" customHeight="false" outlineLevel="0" collapsed="false">
      <c r="A1672" s="12" t="n">
        <f aca="false">Data!A1672</f>
        <v>44432</v>
      </c>
      <c r="B1672" s="14" t="n">
        <f aca="false">Data!B1672</f>
        <v>67.54</v>
      </c>
      <c r="C1672" s="0" t="str">
        <f aca="false">IF(Data!D1672="","HOLD",IF(AND(G1671&lt;&gt;"IN",Data!E1672&lt;-5),"BUY",IF(AND(G1671="IN",Data!E1672&gt;0),"SELL","HOLD")))</f>
        <v>HOLD</v>
      </c>
      <c r="D1672" s="14" t="n">
        <f aca="false">IF(C1672="BUY",B1672,IF(G1671="IN",D1671,""))</f>
        <v>68.15</v>
      </c>
      <c r="E1672" s="14" t="str">
        <f aca="false">IF(C1672="SELL",B1672,"")</f>
        <v/>
      </c>
      <c r="F1672" s="14" t="str">
        <f aca="false">IF(E1672="","",(E1672-D1672)/D1672*100)</f>
        <v/>
      </c>
      <c r="G1672" s="0" t="str">
        <f aca="false">IF(C1672="BUY","IN",IF(C1672="SELL","OUT",IF(G1671="IN","IN","OUT")))</f>
        <v>IN</v>
      </c>
      <c r="H1672" s="14" t="n">
        <f aca="false">H1671+IF(F1672="",0,F1672)</f>
        <v>-3.55427910089164</v>
      </c>
      <c r="I1672" s="14" t="n">
        <f aca="false">MAX(I1671,H1672)</f>
        <v>43.9309628600509</v>
      </c>
      <c r="J1672" s="14" t="n">
        <f aca="false">I1672-H1672</f>
        <v>47.4852419609425</v>
      </c>
    </row>
    <row r="1673" customFormat="false" ht="15" hidden="false" customHeight="false" outlineLevel="0" collapsed="false">
      <c r="A1673" s="12" t="n">
        <f aca="false">Data!A1673</f>
        <v>44433</v>
      </c>
      <c r="B1673" s="14" t="n">
        <f aca="false">Data!B1673</f>
        <v>68.36</v>
      </c>
      <c r="C1673" s="0" t="str">
        <f aca="false">IF(Data!D1673="","HOLD",IF(AND(G1672&lt;&gt;"IN",Data!E1673&lt;-5),"BUY",IF(AND(G1672="IN",Data!E1673&gt;0),"SELL","HOLD")))</f>
        <v>SELL</v>
      </c>
      <c r="D1673" s="14" t="n">
        <f aca="false">IF(C1673="BUY",B1673,IF(G1672="IN",D1672,""))</f>
        <v>68.15</v>
      </c>
      <c r="E1673" s="14" t="n">
        <f aca="false">IF(C1673="SELL",B1673,"")</f>
        <v>68.36</v>
      </c>
      <c r="F1673" s="14" t="n">
        <f aca="false">IF(E1673="","",(E1673-D1673)/D1673*100)</f>
        <v>0.308143800440196</v>
      </c>
      <c r="G1673" s="0" t="str">
        <f aca="false">IF(C1673="BUY","IN",IF(C1673="SELL","OUT",IF(G1672="IN","IN","OUT")))</f>
        <v>OUT</v>
      </c>
      <c r="H1673" s="14" t="n">
        <f aca="false">H1672+IF(F1673="",0,F1673)</f>
        <v>-3.24613530045144</v>
      </c>
      <c r="I1673" s="14" t="n">
        <f aca="false">MAX(I1672,H1673)</f>
        <v>43.9309628600509</v>
      </c>
      <c r="J1673" s="14" t="n">
        <f aca="false">I1673-H1673</f>
        <v>47.1770981605023</v>
      </c>
    </row>
    <row r="1674" customFormat="false" ht="15" hidden="false" customHeight="false" outlineLevel="0" collapsed="false">
      <c r="A1674" s="12" t="n">
        <f aca="false">Data!A1674</f>
        <v>44434</v>
      </c>
      <c r="B1674" s="14" t="n">
        <f aca="false">Data!B1674</f>
        <v>67.42</v>
      </c>
      <c r="C1674" s="0" t="str">
        <f aca="false">IF(Data!D1674="","HOLD",IF(AND(G1673&lt;&gt;"IN",Data!E1674&lt;-5),"BUY",IF(AND(G1673="IN",Data!E1674&gt;0),"SELL","HOLD")))</f>
        <v>HOLD</v>
      </c>
      <c r="D1674" s="14" t="str">
        <f aca="false">IF(C1674="BUY",B1674,IF(G1673="IN",D1673,""))</f>
        <v/>
      </c>
      <c r="E1674" s="14" t="str">
        <f aca="false">IF(C1674="SELL",B1674,"")</f>
        <v/>
      </c>
      <c r="F1674" s="14" t="str">
        <f aca="false">IF(E1674="","",(E1674-D1674)/D1674*100)</f>
        <v/>
      </c>
      <c r="G1674" s="0" t="str">
        <f aca="false">IF(C1674="BUY","IN",IF(C1674="SELL","OUT",IF(G1673="IN","IN","OUT")))</f>
        <v>OUT</v>
      </c>
      <c r="H1674" s="14" t="n">
        <f aca="false">H1673+IF(F1674="",0,F1674)</f>
        <v>-3.24613530045144</v>
      </c>
      <c r="I1674" s="14" t="n">
        <f aca="false">MAX(I1673,H1674)</f>
        <v>43.9309628600509</v>
      </c>
      <c r="J1674" s="14" t="n">
        <f aca="false">I1674-H1674</f>
        <v>47.1770981605023</v>
      </c>
    </row>
    <row r="1675" customFormat="false" ht="15" hidden="false" customHeight="false" outlineLevel="0" collapsed="false">
      <c r="A1675" s="12" t="n">
        <f aca="false">Data!A1675</f>
        <v>44435</v>
      </c>
      <c r="B1675" s="14" t="n">
        <f aca="false">Data!B1675</f>
        <v>68.74</v>
      </c>
      <c r="C1675" s="0" t="str">
        <f aca="false">IF(Data!D1675="","HOLD",IF(AND(G1674&lt;&gt;"IN",Data!E1675&lt;-5),"BUY",IF(AND(G1674="IN",Data!E1675&gt;0),"SELL","HOLD")))</f>
        <v>HOLD</v>
      </c>
      <c r="D1675" s="14" t="str">
        <f aca="false">IF(C1675="BUY",B1675,IF(G1674="IN",D1674,""))</f>
        <v/>
      </c>
      <c r="E1675" s="14" t="str">
        <f aca="false">IF(C1675="SELL",B1675,"")</f>
        <v/>
      </c>
      <c r="F1675" s="14" t="str">
        <f aca="false">IF(E1675="","",(E1675-D1675)/D1675*100)</f>
        <v/>
      </c>
      <c r="G1675" s="0" t="str">
        <f aca="false">IF(C1675="BUY","IN",IF(C1675="SELL","OUT",IF(G1674="IN","IN","OUT")))</f>
        <v>OUT</v>
      </c>
      <c r="H1675" s="14" t="n">
        <f aca="false">H1674+IF(F1675="",0,F1675)</f>
        <v>-3.24613530045144</v>
      </c>
      <c r="I1675" s="14" t="n">
        <f aca="false">MAX(I1674,H1675)</f>
        <v>43.9309628600509</v>
      </c>
      <c r="J1675" s="14" t="n">
        <f aca="false">I1675-H1675</f>
        <v>47.1770981605023</v>
      </c>
    </row>
    <row r="1676" customFormat="false" ht="15" hidden="false" customHeight="false" outlineLevel="0" collapsed="false">
      <c r="A1676" s="12" t="n">
        <f aca="false">Data!A1676</f>
        <v>44438</v>
      </c>
      <c r="B1676" s="14" t="n">
        <f aca="false">Data!B1676</f>
        <v>69.21</v>
      </c>
      <c r="C1676" s="0" t="str">
        <f aca="false">IF(Data!D1676="","HOLD",IF(AND(G1675&lt;&gt;"IN",Data!E1676&lt;-5),"BUY",IF(AND(G1675="IN",Data!E1676&gt;0),"SELL","HOLD")))</f>
        <v>HOLD</v>
      </c>
      <c r="D1676" s="14" t="str">
        <f aca="false">IF(C1676="BUY",B1676,IF(G1675="IN",D1675,""))</f>
        <v/>
      </c>
      <c r="E1676" s="14" t="str">
        <f aca="false">IF(C1676="SELL",B1676,"")</f>
        <v/>
      </c>
      <c r="F1676" s="14" t="str">
        <f aca="false">IF(E1676="","",(E1676-D1676)/D1676*100)</f>
        <v/>
      </c>
      <c r="G1676" s="0" t="str">
        <f aca="false">IF(C1676="BUY","IN",IF(C1676="SELL","OUT",IF(G1675="IN","IN","OUT")))</f>
        <v>OUT</v>
      </c>
      <c r="H1676" s="14" t="n">
        <f aca="false">H1675+IF(F1676="",0,F1676)</f>
        <v>-3.24613530045144</v>
      </c>
      <c r="I1676" s="14" t="n">
        <f aca="false">MAX(I1675,H1676)</f>
        <v>43.9309628600509</v>
      </c>
      <c r="J1676" s="14" t="n">
        <f aca="false">I1676-H1676</f>
        <v>47.1770981605023</v>
      </c>
    </row>
    <row r="1677" customFormat="false" ht="15" hidden="false" customHeight="false" outlineLevel="0" collapsed="false">
      <c r="A1677" s="12" t="n">
        <f aca="false">Data!A1677</f>
        <v>44439</v>
      </c>
      <c r="B1677" s="14" t="n">
        <f aca="false">Data!B1677</f>
        <v>68.5</v>
      </c>
      <c r="C1677" s="0" t="str">
        <f aca="false">IF(Data!D1677="","HOLD",IF(AND(G1676&lt;&gt;"IN",Data!E1677&lt;-5),"BUY",IF(AND(G1676="IN",Data!E1677&gt;0),"SELL","HOLD")))</f>
        <v>HOLD</v>
      </c>
      <c r="D1677" s="14" t="str">
        <f aca="false">IF(C1677="BUY",B1677,IF(G1676="IN",D1676,""))</f>
        <v/>
      </c>
      <c r="E1677" s="14" t="str">
        <f aca="false">IF(C1677="SELL",B1677,"")</f>
        <v/>
      </c>
      <c r="F1677" s="14" t="str">
        <f aca="false">IF(E1677="","",(E1677-D1677)/D1677*100)</f>
        <v/>
      </c>
      <c r="G1677" s="0" t="str">
        <f aca="false">IF(C1677="BUY","IN",IF(C1677="SELL","OUT",IF(G1676="IN","IN","OUT")))</f>
        <v>OUT</v>
      </c>
      <c r="H1677" s="14" t="n">
        <f aca="false">H1676+IF(F1677="",0,F1677)</f>
        <v>-3.24613530045144</v>
      </c>
      <c r="I1677" s="14" t="n">
        <f aca="false">MAX(I1676,H1677)</f>
        <v>43.9309628600509</v>
      </c>
      <c r="J1677" s="14" t="n">
        <f aca="false">I1677-H1677</f>
        <v>47.1770981605023</v>
      </c>
    </row>
    <row r="1678" customFormat="false" ht="15" hidden="false" customHeight="false" outlineLevel="0" collapsed="false">
      <c r="A1678" s="12" t="n">
        <f aca="false">Data!A1678</f>
        <v>44440</v>
      </c>
      <c r="B1678" s="14" t="n">
        <f aca="false">Data!B1678</f>
        <v>68.59</v>
      </c>
      <c r="C1678" s="0" t="str">
        <f aca="false">IF(Data!D1678="","HOLD",IF(AND(G1677&lt;&gt;"IN",Data!E1678&lt;-5),"BUY",IF(AND(G1677="IN",Data!E1678&gt;0),"SELL","HOLD")))</f>
        <v>HOLD</v>
      </c>
      <c r="D1678" s="14" t="str">
        <f aca="false">IF(C1678="BUY",B1678,IF(G1677="IN",D1677,""))</f>
        <v/>
      </c>
      <c r="E1678" s="14" t="str">
        <f aca="false">IF(C1678="SELL",B1678,"")</f>
        <v/>
      </c>
      <c r="F1678" s="14" t="str">
        <f aca="false">IF(E1678="","",(E1678-D1678)/D1678*100)</f>
        <v/>
      </c>
      <c r="G1678" s="0" t="str">
        <f aca="false">IF(C1678="BUY","IN",IF(C1678="SELL","OUT",IF(G1677="IN","IN","OUT")))</f>
        <v>OUT</v>
      </c>
      <c r="H1678" s="14" t="n">
        <f aca="false">H1677+IF(F1678="",0,F1678)</f>
        <v>-3.24613530045144</v>
      </c>
      <c r="I1678" s="14" t="n">
        <f aca="false">MAX(I1677,H1678)</f>
        <v>43.9309628600509</v>
      </c>
      <c r="J1678" s="14" t="n">
        <f aca="false">I1678-H1678</f>
        <v>47.1770981605023</v>
      </c>
    </row>
    <row r="1679" customFormat="false" ht="15" hidden="false" customHeight="false" outlineLevel="0" collapsed="false">
      <c r="A1679" s="12" t="n">
        <f aca="false">Data!A1679</f>
        <v>44441</v>
      </c>
      <c r="B1679" s="14" t="n">
        <f aca="false">Data!B1679</f>
        <v>69.99</v>
      </c>
      <c r="C1679" s="0" t="str">
        <f aca="false">IF(Data!D1679="","HOLD",IF(AND(G1678&lt;&gt;"IN",Data!E1679&lt;-5),"BUY",IF(AND(G1678="IN",Data!E1679&gt;0),"SELL","HOLD")))</f>
        <v>HOLD</v>
      </c>
      <c r="D1679" s="14" t="str">
        <f aca="false">IF(C1679="BUY",B1679,IF(G1678="IN",D1678,""))</f>
        <v/>
      </c>
      <c r="E1679" s="14" t="str">
        <f aca="false">IF(C1679="SELL",B1679,"")</f>
        <v/>
      </c>
      <c r="F1679" s="14" t="str">
        <f aca="false">IF(E1679="","",(E1679-D1679)/D1679*100)</f>
        <v/>
      </c>
      <c r="G1679" s="0" t="str">
        <f aca="false">IF(C1679="BUY","IN",IF(C1679="SELL","OUT",IF(G1678="IN","IN","OUT")))</f>
        <v>OUT</v>
      </c>
      <c r="H1679" s="14" t="n">
        <f aca="false">H1678+IF(F1679="",0,F1679)</f>
        <v>-3.24613530045144</v>
      </c>
      <c r="I1679" s="14" t="n">
        <f aca="false">MAX(I1678,H1679)</f>
        <v>43.9309628600509</v>
      </c>
      <c r="J1679" s="14" t="n">
        <f aca="false">I1679-H1679</f>
        <v>47.1770981605023</v>
      </c>
    </row>
    <row r="1680" customFormat="false" ht="15" hidden="false" customHeight="false" outlineLevel="0" collapsed="false">
      <c r="A1680" s="12" t="n">
        <f aca="false">Data!A1680</f>
        <v>44442</v>
      </c>
      <c r="B1680" s="14" t="n">
        <f aca="false">Data!B1680</f>
        <v>69.29</v>
      </c>
      <c r="C1680" s="0" t="str">
        <f aca="false">IF(Data!D1680="","HOLD",IF(AND(G1679&lt;&gt;"IN",Data!E1680&lt;-5),"BUY",IF(AND(G1679="IN",Data!E1680&gt;0),"SELL","HOLD")))</f>
        <v>HOLD</v>
      </c>
      <c r="D1680" s="14" t="str">
        <f aca="false">IF(C1680="BUY",B1680,IF(G1679="IN",D1679,""))</f>
        <v/>
      </c>
      <c r="E1680" s="14" t="str">
        <f aca="false">IF(C1680="SELL",B1680,"")</f>
        <v/>
      </c>
      <c r="F1680" s="14" t="str">
        <f aca="false">IF(E1680="","",(E1680-D1680)/D1680*100)</f>
        <v/>
      </c>
      <c r="G1680" s="0" t="str">
        <f aca="false">IF(C1680="BUY","IN",IF(C1680="SELL","OUT",IF(G1679="IN","IN","OUT")))</f>
        <v>OUT</v>
      </c>
      <c r="H1680" s="14" t="n">
        <f aca="false">H1679+IF(F1680="",0,F1680)</f>
        <v>-3.24613530045144</v>
      </c>
      <c r="I1680" s="14" t="n">
        <f aca="false">MAX(I1679,H1680)</f>
        <v>43.9309628600509</v>
      </c>
      <c r="J1680" s="14" t="n">
        <f aca="false">I1680-H1680</f>
        <v>47.1770981605023</v>
      </c>
    </row>
    <row r="1681" customFormat="false" ht="15" hidden="false" customHeight="false" outlineLevel="0" collapsed="false">
      <c r="A1681" s="12" t="n">
        <f aca="false">Data!A1681</f>
        <v>44446</v>
      </c>
      <c r="B1681" s="14" t="n">
        <f aca="false">Data!B1681</f>
        <v>68.35</v>
      </c>
      <c r="C1681" s="0" t="str">
        <f aca="false">IF(Data!D1681="","HOLD",IF(AND(G1680&lt;&gt;"IN",Data!E1681&lt;-5),"BUY",IF(AND(G1680="IN",Data!E1681&gt;0),"SELL","HOLD")))</f>
        <v>HOLD</v>
      </c>
      <c r="D1681" s="14" t="str">
        <f aca="false">IF(C1681="BUY",B1681,IF(G1680="IN",D1680,""))</f>
        <v/>
      </c>
      <c r="E1681" s="14" t="str">
        <f aca="false">IF(C1681="SELL",B1681,"")</f>
        <v/>
      </c>
      <c r="F1681" s="14" t="str">
        <f aca="false">IF(E1681="","",(E1681-D1681)/D1681*100)</f>
        <v/>
      </c>
      <c r="G1681" s="0" t="str">
        <f aca="false">IF(C1681="BUY","IN",IF(C1681="SELL","OUT",IF(G1680="IN","IN","OUT")))</f>
        <v>OUT</v>
      </c>
      <c r="H1681" s="14" t="n">
        <f aca="false">H1680+IF(F1681="",0,F1681)</f>
        <v>-3.24613530045144</v>
      </c>
      <c r="I1681" s="14" t="n">
        <f aca="false">MAX(I1680,H1681)</f>
        <v>43.9309628600509</v>
      </c>
      <c r="J1681" s="14" t="n">
        <f aca="false">I1681-H1681</f>
        <v>47.1770981605023</v>
      </c>
    </row>
    <row r="1682" customFormat="false" ht="15" hidden="false" customHeight="false" outlineLevel="0" collapsed="false">
      <c r="A1682" s="12" t="n">
        <f aca="false">Data!A1682</f>
        <v>44447</v>
      </c>
      <c r="B1682" s="14" t="n">
        <f aca="false">Data!B1682</f>
        <v>69.3</v>
      </c>
      <c r="C1682" s="0" t="str">
        <f aca="false">IF(Data!D1682="","HOLD",IF(AND(G1681&lt;&gt;"IN",Data!E1682&lt;-5),"BUY",IF(AND(G1681="IN",Data!E1682&gt;0),"SELL","HOLD")))</f>
        <v>HOLD</v>
      </c>
      <c r="D1682" s="14" t="str">
        <f aca="false">IF(C1682="BUY",B1682,IF(G1681="IN",D1681,""))</f>
        <v/>
      </c>
      <c r="E1682" s="14" t="str">
        <f aca="false">IF(C1682="SELL",B1682,"")</f>
        <v/>
      </c>
      <c r="F1682" s="14" t="str">
        <f aca="false">IF(E1682="","",(E1682-D1682)/D1682*100)</f>
        <v/>
      </c>
      <c r="G1682" s="0" t="str">
        <f aca="false">IF(C1682="BUY","IN",IF(C1682="SELL","OUT",IF(G1681="IN","IN","OUT")))</f>
        <v>OUT</v>
      </c>
      <c r="H1682" s="14" t="n">
        <f aca="false">H1681+IF(F1682="",0,F1682)</f>
        <v>-3.24613530045144</v>
      </c>
      <c r="I1682" s="14" t="n">
        <f aca="false">MAX(I1681,H1682)</f>
        <v>43.9309628600509</v>
      </c>
      <c r="J1682" s="14" t="n">
        <f aca="false">I1682-H1682</f>
        <v>47.1770981605023</v>
      </c>
    </row>
    <row r="1683" customFormat="false" ht="15" hidden="false" customHeight="false" outlineLevel="0" collapsed="false">
      <c r="A1683" s="12" t="n">
        <f aca="false">Data!A1683</f>
        <v>44448</v>
      </c>
      <c r="B1683" s="14" t="n">
        <f aca="false">Data!B1683</f>
        <v>68.14</v>
      </c>
      <c r="C1683" s="0" t="str">
        <f aca="false">IF(Data!D1683="","HOLD",IF(AND(G1682&lt;&gt;"IN",Data!E1683&lt;-5),"BUY",IF(AND(G1682="IN",Data!E1683&gt;0),"SELL","HOLD")))</f>
        <v>HOLD</v>
      </c>
      <c r="D1683" s="14" t="str">
        <f aca="false">IF(C1683="BUY",B1683,IF(G1682="IN",D1682,""))</f>
        <v/>
      </c>
      <c r="E1683" s="14" t="str">
        <f aca="false">IF(C1683="SELL",B1683,"")</f>
        <v/>
      </c>
      <c r="F1683" s="14" t="str">
        <f aca="false">IF(E1683="","",(E1683-D1683)/D1683*100)</f>
        <v/>
      </c>
      <c r="G1683" s="0" t="str">
        <f aca="false">IF(C1683="BUY","IN",IF(C1683="SELL","OUT",IF(G1682="IN","IN","OUT")))</f>
        <v>OUT</v>
      </c>
      <c r="H1683" s="14" t="n">
        <f aca="false">H1682+IF(F1683="",0,F1683)</f>
        <v>-3.24613530045144</v>
      </c>
      <c r="I1683" s="14" t="n">
        <f aca="false">MAX(I1682,H1683)</f>
        <v>43.9309628600509</v>
      </c>
      <c r="J1683" s="14" t="n">
        <f aca="false">I1683-H1683</f>
        <v>47.1770981605023</v>
      </c>
    </row>
    <row r="1684" customFormat="false" ht="15" hidden="false" customHeight="false" outlineLevel="0" collapsed="false">
      <c r="A1684" s="12" t="n">
        <f aca="false">Data!A1684</f>
        <v>44449</v>
      </c>
      <c r="B1684" s="14" t="n">
        <f aca="false">Data!B1684</f>
        <v>69.72</v>
      </c>
      <c r="C1684" s="0" t="str">
        <f aca="false">IF(Data!D1684="","HOLD",IF(AND(G1683&lt;&gt;"IN",Data!E1684&lt;-5),"BUY",IF(AND(G1683="IN",Data!E1684&gt;0),"SELL","HOLD")))</f>
        <v>HOLD</v>
      </c>
      <c r="D1684" s="14" t="str">
        <f aca="false">IF(C1684="BUY",B1684,IF(G1683="IN",D1683,""))</f>
        <v/>
      </c>
      <c r="E1684" s="14" t="str">
        <f aca="false">IF(C1684="SELL",B1684,"")</f>
        <v/>
      </c>
      <c r="F1684" s="14" t="str">
        <f aca="false">IF(E1684="","",(E1684-D1684)/D1684*100)</f>
        <v/>
      </c>
      <c r="G1684" s="0" t="str">
        <f aca="false">IF(C1684="BUY","IN",IF(C1684="SELL","OUT",IF(G1683="IN","IN","OUT")))</f>
        <v>OUT</v>
      </c>
      <c r="H1684" s="14" t="n">
        <f aca="false">H1683+IF(F1684="",0,F1684)</f>
        <v>-3.24613530045144</v>
      </c>
      <c r="I1684" s="14" t="n">
        <f aca="false">MAX(I1683,H1684)</f>
        <v>43.9309628600509</v>
      </c>
      <c r="J1684" s="14" t="n">
        <f aca="false">I1684-H1684</f>
        <v>47.1770981605023</v>
      </c>
    </row>
    <row r="1685" customFormat="false" ht="15" hidden="false" customHeight="false" outlineLevel="0" collapsed="false">
      <c r="A1685" s="12" t="n">
        <f aca="false">Data!A1685</f>
        <v>44452</v>
      </c>
      <c r="B1685" s="14" t="n">
        <f aca="false">Data!B1685</f>
        <v>70.45</v>
      </c>
      <c r="C1685" s="0" t="str">
        <f aca="false">IF(Data!D1685="","HOLD",IF(AND(G1684&lt;&gt;"IN",Data!E1685&lt;-5),"BUY",IF(AND(G1684="IN",Data!E1685&gt;0),"SELL","HOLD")))</f>
        <v>HOLD</v>
      </c>
      <c r="D1685" s="14" t="str">
        <f aca="false">IF(C1685="BUY",B1685,IF(G1684="IN",D1684,""))</f>
        <v/>
      </c>
      <c r="E1685" s="14" t="str">
        <f aca="false">IF(C1685="SELL",B1685,"")</f>
        <v/>
      </c>
      <c r="F1685" s="14" t="str">
        <f aca="false">IF(E1685="","",(E1685-D1685)/D1685*100)</f>
        <v/>
      </c>
      <c r="G1685" s="0" t="str">
        <f aca="false">IF(C1685="BUY","IN",IF(C1685="SELL","OUT",IF(G1684="IN","IN","OUT")))</f>
        <v>OUT</v>
      </c>
      <c r="H1685" s="14" t="n">
        <f aca="false">H1684+IF(F1685="",0,F1685)</f>
        <v>-3.24613530045144</v>
      </c>
      <c r="I1685" s="14" t="n">
        <f aca="false">MAX(I1684,H1685)</f>
        <v>43.9309628600509</v>
      </c>
      <c r="J1685" s="14" t="n">
        <f aca="false">I1685-H1685</f>
        <v>47.1770981605023</v>
      </c>
    </row>
    <row r="1686" customFormat="false" ht="15" hidden="false" customHeight="false" outlineLevel="0" collapsed="false">
      <c r="A1686" s="12" t="n">
        <f aca="false">Data!A1686</f>
        <v>44453</v>
      </c>
      <c r="B1686" s="14" t="n">
        <f aca="false">Data!B1686</f>
        <v>70.46</v>
      </c>
      <c r="C1686" s="0" t="str">
        <f aca="false">IF(Data!D1686="","HOLD",IF(AND(G1685&lt;&gt;"IN",Data!E1686&lt;-5),"BUY",IF(AND(G1685="IN",Data!E1686&gt;0),"SELL","HOLD")))</f>
        <v>HOLD</v>
      </c>
      <c r="D1686" s="14" t="str">
        <f aca="false">IF(C1686="BUY",B1686,IF(G1685="IN",D1685,""))</f>
        <v/>
      </c>
      <c r="E1686" s="14" t="str">
        <f aca="false">IF(C1686="SELL",B1686,"")</f>
        <v/>
      </c>
      <c r="F1686" s="14" t="str">
        <f aca="false">IF(E1686="","",(E1686-D1686)/D1686*100)</f>
        <v/>
      </c>
      <c r="G1686" s="0" t="str">
        <f aca="false">IF(C1686="BUY","IN",IF(C1686="SELL","OUT",IF(G1685="IN","IN","OUT")))</f>
        <v>OUT</v>
      </c>
      <c r="H1686" s="14" t="n">
        <f aca="false">H1685+IF(F1686="",0,F1686)</f>
        <v>-3.24613530045144</v>
      </c>
      <c r="I1686" s="14" t="n">
        <f aca="false">MAX(I1685,H1686)</f>
        <v>43.9309628600509</v>
      </c>
      <c r="J1686" s="14" t="n">
        <f aca="false">I1686-H1686</f>
        <v>47.1770981605023</v>
      </c>
    </row>
    <row r="1687" customFormat="false" ht="15" hidden="false" customHeight="false" outlineLevel="0" collapsed="false">
      <c r="A1687" s="12" t="n">
        <f aca="false">Data!A1687</f>
        <v>44454</v>
      </c>
      <c r="B1687" s="14" t="n">
        <f aca="false">Data!B1687</f>
        <v>72.61</v>
      </c>
      <c r="C1687" s="0" t="str">
        <f aca="false">IF(Data!D1687="","HOLD",IF(AND(G1686&lt;&gt;"IN",Data!E1687&lt;-5),"BUY",IF(AND(G1686="IN",Data!E1687&gt;0),"SELL","HOLD")))</f>
        <v>HOLD</v>
      </c>
      <c r="D1687" s="14" t="str">
        <f aca="false">IF(C1687="BUY",B1687,IF(G1686="IN",D1686,""))</f>
        <v/>
      </c>
      <c r="E1687" s="14" t="str">
        <f aca="false">IF(C1687="SELL",B1687,"")</f>
        <v/>
      </c>
      <c r="F1687" s="14" t="str">
        <f aca="false">IF(E1687="","",(E1687-D1687)/D1687*100)</f>
        <v/>
      </c>
      <c r="G1687" s="0" t="str">
        <f aca="false">IF(C1687="BUY","IN",IF(C1687="SELL","OUT",IF(G1686="IN","IN","OUT")))</f>
        <v>OUT</v>
      </c>
      <c r="H1687" s="14" t="n">
        <f aca="false">H1686+IF(F1687="",0,F1687)</f>
        <v>-3.24613530045144</v>
      </c>
      <c r="I1687" s="14" t="n">
        <f aca="false">MAX(I1686,H1687)</f>
        <v>43.9309628600509</v>
      </c>
      <c r="J1687" s="14" t="n">
        <f aca="false">I1687-H1687</f>
        <v>47.1770981605023</v>
      </c>
    </row>
    <row r="1688" customFormat="false" ht="15" hidden="false" customHeight="false" outlineLevel="0" collapsed="false">
      <c r="A1688" s="12" t="n">
        <f aca="false">Data!A1688</f>
        <v>44455</v>
      </c>
      <c r="B1688" s="14" t="n">
        <f aca="false">Data!B1688</f>
        <v>72.61</v>
      </c>
      <c r="C1688" s="0" t="str">
        <f aca="false">IF(Data!D1688="","HOLD",IF(AND(G1687&lt;&gt;"IN",Data!E1688&lt;-5),"BUY",IF(AND(G1687="IN",Data!E1688&gt;0),"SELL","HOLD")))</f>
        <v>HOLD</v>
      </c>
      <c r="D1688" s="14" t="str">
        <f aca="false">IF(C1688="BUY",B1688,IF(G1687="IN",D1687,""))</f>
        <v/>
      </c>
      <c r="E1688" s="14" t="str">
        <f aca="false">IF(C1688="SELL",B1688,"")</f>
        <v/>
      </c>
      <c r="F1688" s="14" t="str">
        <f aca="false">IF(E1688="","",(E1688-D1688)/D1688*100)</f>
        <v/>
      </c>
      <c r="G1688" s="0" t="str">
        <f aca="false">IF(C1688="BUY","IN",IF(C1688="SELL","OUT",IF(G1687="IN","IN","OUT")))</f>
        <v>OUT</v>
      </c>
      <c r="H1688" s="14" t="n">
        <f aca="false">H1687+IF(F1688="",0,F1688)</f>
        <v>-3.24613530045144</v>
      </c>
      <c r="I1688" s="14" t="n">
        <f aca="false">MAX(I1687,H1688)</f>
        <v>43.9309628600509</v>
      </c>
      <c r="J1688" s="14" t="n">
        <f aca="false">I1688-H1688</f>
        <v>47.1770981605023</v>
      </c>
    </row>
    <row r="1689" customFormat="false" ht="15" hidden="false" customHeight="false" outlineLevel="0" collapsed="false">
      <c r="A1689" s="12" t="n">
        <f aca="false">Data!A1689</f>
        <v>44456</v>
      </c>
      <c r="B1689" s="14" t="n">
        <f aca="false">Data!B1689</f>
        <v>71.97</v>
      </c>
      <c r="C1689" s="0" t="str">
        <f aca="false">IF(Data!D1689="","HOLD",IF(AND(G1688&lt;&gt;"IN",Data!E1689&lt;-5),"BUY",IF(AND(G1688="IN",Data!E1689&gt;0),"SELL","HOLD")))</f>
        <v>HOLD</v>
      </c>
      <c r="D1689" s="14" t="str">
        <f aca="false">IF(C1689="BUY",B1689,IF(G1688="IN",D1688,""))</f>
        <v/>
      </c>
      <c r="E1689" s="14" t="str">
        <f aca="false">IF(C1689="SELL",B1689,"")</f>
        <v/>
      </c>
      <c r="F1689" s="14" t="str">
        <f aca="false">IF(E1689="","",(E1689-D1689)/D1689*100)</f>
        <v/>
      </c>
      <c r="G1689" s="0" t="str">
        <f aca="false">IF(C1689="BUY","IN",IF(C1689="SELL","OUT",IF(G1688="IN","IN","OUT")))</f>
        <v>OUT</v>
      </c>
      <c r="H1689" s="14" t="n">
        <f aca="false">H1688+IF(F1689="",0,F1689)</f>
        <v>-3.24613530045144</v>
      </c>
      <c r="I1689" s="14" t="n">
        <f aca="false">MAX(I1688,H1689)</f>
        <v>43.9309628600509</v>
      </c>
      <c r="J1689" s="14" t="n">
        <f aca="false">I1689-H1689</f>
        <v>47.1770981605023</v>
      </c>
    </row>
    <row r="1690" customFormat="false" ht="15" hidden="false" customHeight="false" outlineLevel="0" collapsed="false">
      <c r="A1690" s="12" t="n">
        <f aca="false">Data!A1690</f>
        <v>44459</v>
      </c>
      <c r="B1690" s="14" t="n">
        <f aca="false">Data!B1690</f>
        <v>70.29</v>
      </c>
      <c r="C1690" s="0" t="str">
        <f aca="false">IF(Data!D1690="","HOLD",IF(AND(G1689&lt;&gt;"IN",Data!E1690&lt;-5),"BUY",IF(AND(G1689="IN",Data!E1690&gt;0),"SELL","HOLD")))</f>
        <v>HOLD</v>
      </c>
      <c r="D1690" s="14" t="str">
        <f aca="false">IF(C1690="BUY",B1690,IF(G1689="IN",D1689,""))</f>
        <v/>
      </c>
      <c r="E1690" s="14" t="str">
        <f aca="false">IF(C1690="SELL",B1690,"")</f>
        <v/>
      </c>
      <c r="F1690" s="14" t="str">
        <f aca="false">IF(E1690="","",(E1690-D1690)/D1690*100)</f>
        <v/>
      </c>
      <c r="G1690" s="0" t="str">
        <f aca="false">IF(C1690="BUY","IN",IF(C1690="SELL","OUT",IF(G1689="IN","IN","OUT")))</f>
        <v>OUT</v>
      </c>
      <c r="H1690" s="14" t="n">
        <f aca="false">H1689+IF(F1690="",0,F1690)</f>
        <v>-3.24613530045144</v>
      </c>
      <c r="I1690" s="14" t="n">
        <f aca="false">MAX(I1689,H1690)</f>
        <v>43.9309628600509</v>
      </c>
      <c r="J1690" s="14" t="n">
        <f aca="false">I1690-H1690</f>
        <v>47.1770981605023</v>
      </c>
    </row>
    <row r="1691" customFormat="false" ht="15" hidden="false" customHeight="false" outlineLevel="0" collapsed="false">
      <c r="A1691" s="12" t="n">
        <f aca="false">Data!A1691</f>
        <v>44460</v>
      </c>
      <c r="B1691" s="14" t="n">
        <f aca="false">Data!B1691</f>
        <v>70.56</v>
      </c>
      <c r="C1691" s="0" t="str">
        <f aca="false">IF(Data!D1691="","HOLD",IF(AND(G1690&lt;&gt;"IN",Data!E1691&lt;-5),"BUY",IF(AND(G1690="IN",Data!E1691&gt;0),"SELL","HOLD")))</f>
        <v>HOLD</v>
      </c>
      <c r="D1691" s="14" t="str">
        <f aca="false">IF(C1691="BUY",B1691,IF(G1690="IN",D1690,""))</f>
        <v/>
      </c>
      <c r="E1691" s="14" t="str">
        <f aca="false">IF(C1691="SELL",B1691,"")</f>
        <v/>
      </c>
      <c r="F1691" s="14" t="str">
        <f aca="false">IF(E1691="","",(E1691-D1691)/D1691*100)</f>
        <v/>
      </c>
      <c r="G1691" s="0" t="str">
        <f aca="false">IF(C1691="BUY","IN",IF(C1691="SELL","OUT",IF(G1690="IN","IN","OUT")))</f>
        <v>OUT</v>
      </c>
      <c r="H1691" s="14" t="n">
        <f aca="false">H1690+IF(F1691="",0,F1691)</f>
        <v>-3.24613530045144</v>
      </c>
      <c r="I1691" s="14" t="n">
        <f aca="false">MAX(I1690,H1691)</f>
        <v>43.9309628600509</v>
      </c>
      <c r="J1691" s="14" t="n">
        <f aca="false">I1691-H1691</f>
        <v>47.1770981605023</v>
      </c>
    </row>
    <row r="1692" customFormat="false" ht="15" hidden="false" customHeight="false" outlineLevel="0" collapsed="false">
      <c r="A1692" s="12" t="n">
        <f aca="false">Data!A1692</f>
        <v>44461</v>
      </c>
      <c r="B1692" s="14" t="n">
        <f aca="false">Data!B1692</f>
        <v>72.23</v>
      </c>
      <c r="C1692" s="0" t="str">
        <f aca="false">IF(Data!D1692="","HOLD",IF(AND(G1691&lt;&gt;"IN",Data!E1692&lt;-5),"BUY",IF(AND(G1691="IN",Data!E1692&gt;0),"SELL","HOLD")))</f>
        <v>HOLD</v>
      </c>
      <c r="D1692" s="14" t="str">
        <f aca="false">IF(C1692="BUY",B1692,IF(G1691="IN",D1691,""))</f>
        <v/>
      </c>
      <c r="E1692" s="14" t="str">
        <f aca="false">IF(C1692="SELL",B1692,"")</f>
        <v/>
      </c>
      <c r="F1692" s="14" t="str">
        <f aca="false">IF(E1692="","",(E1692-D1692)/D1692*100)</f>
        <v/>
      </c>
      <c r="G1692" s="0" t="str">
        <f aca="false">IF(C1692="BUY","IN",IF(C1692="SELL","OUT",IF(G1691="IN","IN","OUT")))</f>
        <v>OUT</v>
      </c>
      <c r="H1692" s="14" t="n">
        <f aca="false">H1691+IF(F1692="",0,F1692)</f>
        <v>-3.24613530045144</v>
      </c>
      <c r="I1692" s="14" t="n">
        <f aca="false">MAX(I1691,H1692)</f>
        <v>43.9309628600509</v>
      </c>
      <c r="J1692" s="14" t="n">
        <f aca="false">I1692-H1692</f>
        <v>47.1770981605023</v>
      </c>
    </row>
    <row r="1693" customFormat="false" ht="15" hidden="false" customHeight="false" outlineLevel="0" collapsed="false">
      <c r="A1693" s="12" t="n">
        <f aca="false">Data!A1693</f>
        <v>44462</v>
      </c>
      <c r="B1693" s="14" t="n">
        <f aca="false">Data!B1693</f>
        <v>73.3</v>
      </c>
      <c r="C1693" s="0" t="str">
        <f aca="false">IF(Data!D1693="","HOLD",IF(AND(G1692&lt;&gt;"IN",Data!E1693&lt;-5),"BUY",IF(AND(G1692="IN",Data!E1693&gt;0),"SELL","HOLD")))</f>
        <v>HOLD</v>
      </c>
      <c r="D1693" s="14" t="str">
        <f aca="false">IF(C1693="BUY",B1693,IF(G1692="IN",D1692,""))</f>
        <v/>
      </c>
      <c r="E1693" s="14" t="str">
        <f aca="false">IF(C1693="SELL",B1693,"")</f>
        <v/>
      </c>
      <c r="F1693" s="14" t="str">
        <f aca="false">IF(E1693="","",(E1693-D1693)/D1693*100)</f>
        <v/>
      </c>
      <c r="G1693" s="0" t="str">
        <f aca="false">IF(C1693="BUY","IN",IF(C1693="SELL","OUT",IF(G1692="IN","IN","OUT")))</f>
        <v>OUT</v>
      </c>
      <c r="H1693" s="14" t="n">
        <f aca="false">H1692+IF(F1693="",0,F1693)</f>
        <v>-3.24613530045144</v>
      </c>
      <c r="I1693" s="14" t="n">
        <f aca="false">MAX(I1692,H1693)</f>
        <v>43.9309628600509</v>
      </c>
      <c r="J1693" s="14" t="n">
        <f aca="false">I1693-H1693</f>
        <v>47.1770981605023</v>
      </c>
    </row>
    <row r="1694" customFormat="false" ht="15" hidden="false" customHeight="false" outlineLevel="0" collapsed="false">
      <c r="A1694" s="12" t="n">
        <f aca="false">Data!A1694</f>
        <v>44463</v>
      </c>
      <c r="B1694" s="14" t="n">
        <f aca="false">Data!B1694</f>
        <v>73.98</v>
      </c>
      <c r="C1694" s="0" t="str">
        <f aca="false">IF(Data!D1694="","HOLD",IF(AND(G1693&lt;&gt;"IN",Data!E1694&lt;-5),"BUY",IF(AND(G1693="IN",Data!E1694&gt;0),"SELL","HOLD")))</f>
        <v>HOLD</v>
      </c>
      <c r="D1694" s="14" t="str">
        <f aca="false">IF(C1694="BUY",B1694,IF(G1693="IN",D1693,""))</f>
        <v/>
      </c>
      <c r="E1694" s="14" t="str">
        <f aca="false">IF(C1694="SELL",B1694,"")</f>
        <v/>
      </c>
      <c r="F1694" s="14" t="str">
        <f aca="false">IF(E1694="","",(E1694-D1694)/D1694*100)</f>
        <v/>
      </c>
      <c r="G1694" s="0" t="str">
        <f aca="false">IF(C1694="BUY","IN",IF(C1694="SELL","OUT",IF(G1693="IN","IN","OUT")))</f>
        <v>OUT</v>
      </c>
      <c r="H1694" s="14" t="n">
        <f aca="false">H1693+IF(F1694="",0,F1694)</f>
        <v>-3.24613530045144</v>
      </c>
      <c r="I1694" s="14" t="n">
        <f aca="false">MAX(I1693,H1694)</f>
        <v>43.9309628600509</v>
      </c>
      <c r="J1694" s="14" t="n">
        <f aca="false">I1694-H1694</f>
        <v>47.1770981605023</v>
      </c>
    </row>
    <row r="1695" customFormat="false" ht="15" hidden="false" customHeight="false" outlineLevel="0" collapsed="false">
      <c r="A1695" s="12" t="n">
        <f aca="false">Data!A1695</f>
        <v>44466</v>
      </c>
      <c r="B1695" s="14" t="n">
        <f aca="false">Data!B1695</f>
        <v>75.45</v>
      </c>
      <c r="C1695" s="0" t="str">
        <f aca="false">IF(Data!D1695="","HOLD",IF(AND(G1694&lt;&gt;"IN",Data!E1695&lt;-5),"BUY",IF(AND(G1694="IN",Data!E1695&gt;0),"SELL","HOLD")))</f>
        <v>HOLD</v>
      </c>
      <c r="D1695" s="14" t="str">
        <f aca="false">IF(C1695="BUY",B1695,IF(G1694="IN",D1694,""))</f>
        <v/>
      </c>
      <c r="E1695" s="14" t="str">
        <f aca="false">IF(C1695="SELL",B1695,"")</f>
        <v/>
      </c>
      <c r="F1695" s="14" t="str">
        <f aca="false">IF(E1695="","",(E1695-D1695)/D1695*100)</f>
        <v/>
      </c>
      <c r="G1695" s="0" t="str">
        <f aca="false">IF(C1695="BUY","IN",IF(C1695="SELL","OUT",IF(G1694="IN","IN","OUT")))</f>
        <v>OUT</v>
      </c>
      <c r="H1695" s="14" t="n">
        <f aca="false">H1694+IF(F1695="",0,F1695)</f>
        <v>-3.24613530045144</v>
      </c>
      <c r="I1695" s="14" t="n">
        <f aca="false">MAX(I1694,H1695)</f>
        <v>43.9309628600509</v>
      </c>
      <c r="J1695" s="14" t="n">
        <f aca="false">I1695-H1695</f>
        <v>47.1770981605023</v>
      </c>
    </row>
    <row r="1696" customFormat="false" ht="15" hidden="false" customHeight="false" outlineLevel="0" collapsed="false">
      <c r="A1696" s="12" t="n">
        <f aca="false">Data!A1696</f>
        <v>44467</v>
      </c>
      <c r="B1696" s="14" t="n">
        <f aca="false">Data!B1696</f>
        <v>75.29</v>
      </c>
      <c r="C1696" s="0" t="str">
        <f aca="false">IF(Data!D1696="","HOLD",IF(AND(G1695&lt;&gt;"IN",Data!E1696&lt;-5),"BUY",IF(AND(G1695="IN",Data!E1696&gt;0),"SELL","HOLD")))</f>
        <v>HOLD</v>
      </c>
      <c r="D1696" s="14" t="str">
        <f aca="false">IF(C1696="BUY",B1696,IF(G1695="IN",D1695,""))</f>
        <v/>
      </c>
      <c r="E1696" s="14" t="str">
        <f aca="false">IF(C1696="SELL",B1696,"")</f>
        <v/>
      </c>
      <c r="F1696" s="14" t="str">
        <f aca="false">IF(E1696="","",(E1696-D1696)/D1696*100)</f>
        <v/>
      </c>
      <c r="G1696" s="0" t="str">
        <f aca="false">IF(C1696="BUY","IN",IF(C1696="SELL","OUT",IF(G1695="IN","IN","OUT")))</f>
        <v>OUT</v>
      </c>
      <c r="H1696" s="14" t="n">
        <f aca="false">H1695+IF(F1696="",0,F1696)</f>
        <v>-3.24613530045144</v>
      </c>
      <c r="I1696" s="14" t="n">
        <f aca="false">MAX(I1695,H1696)</f>
        <v>43.9309628600509</v>
      </c>
      <c r="J1696" s="14" t="n">
        <f aca="false">I1696-H1696</f>
        <v>47.1770981605023</v>
      </c>
    </row>
    <row r="1697" customFormat="false" ht="15" hidden="false" customHeight="false" outlineLevel="0" collapsed="false">
      <c r="A1697" s="12" t="n">
        <f aca="false">Data!A1697</f>
        <v>44468</v>
      </c>
      <c r="B1697" s="14" t="n">
        <f aca="false">Data!B1697</f>
        <v>74.83</v>
      </c>
      <c r="C1697" s="0" t="str">
        <f aca="false">IF(Data!D1697="","HOLD",IF(AND(G1696&lt;&gt;"IN",Data!E1697&lt;-5),"BUY",IF(AND(G1696="IN",Data!E1697&gt;0),"SELL","HOLD")))</f>
        <v>HOLD</v>
      </c>
      <c r="D1697" s="14" t="str">
        <f aca="false">IF(C1697="BUY",B1697,IF(G1696="IN",D1696,""))</f>
        <v/>
      </c>
      <c r="E1697" s="14" t="str">
        <f aca="false">IF(C1697="SELL",B1697,"")</f>
        <v/>
      </c>
      <c r="F1697" s="14" t="str">
        <f aca="false">IF(E1697="","",(E1697-D1697)/D1697*100)</f>
        <v/>
      </c>
      <c r="G1697" s="0" t="str">
        <f aca="false">IF(C1697="BUY","IN",IF(C1697="SELL","OUT",IF(G1696="IN","IN","OUT")))</f>
        <v>OUT</v>
      </c>
      <c r="H1697" s="14" t="n">
        <f aca="false">H1696+IF(F1697="",0,F1697)</f>
        <v>-3.24613530045144</v>
      </c>
      <c r="I1697" s="14" t="n">
        <f aca="false">MAX(I1696,H1697)</f>
        <v>43.9309628600509</v>
      </c>
      <c r="J1697" s="14" t="n">
        <f aca="false">I1697-H1697</f>
        <v>47.1770981605023</v>
      </c>
    </row>
    <row r="1698" customFormat="false" ht="15" hidden="false" customHeight="false" outlineLevel="0" collapsed="false">
      <c r="A1698" s="12" t="n">
        <f aca="false">Data!A1698</f>
        <v>44469</v>
      </c>
      <c r="B1698" s="14" t="n">
        <f aca="false">Data!B1698</f>
        <v>75.03</v>
      </c>
      <c r="C1698" s="0" t="str">
        <f aca="false">IF(Data!D1698="","HOLD",IF(AND(G1697&lt;&gt;"IN",Data!E1698&lt;-5),"BUY",IF(AND(G1697="IN",Data!E1698&gt;0),"SELL","HOLD")))</f>
        <v>HOLD</v>
      </c>
      <c r="D1698" s="14" t="str">
        <f aca="false">IF(C1698="BUY",B1698,IF(G1697="IN",D1697,""))</f>
        <v/>
      </c>
      <c r="E1698" s="14" t="str">
        <f aca="false">IF(C1698="SELL",B1698,"")</f>
        <v/>
      </c>
      <c r="F1698" s="14" t="str">
        <f aca="false">IF(E1698="","",(E1698-D1698)/D1698*100)</f>
        <v/>
      </c>
      <c r="G1698" s="0" t="str">
        <f aca="false">IF(C1698="BUY","IN",IF(C1698="SELL","OUT",IF(G1697="IN","IN","OUT")))</f>
        <v>OUT</v>
      </c>
      <c r="H1698" s="14" t="n">
        <f aca="false">H1697+IF(F1698="",0,F1698)</f>
        <v>-3.24613530045144</v>
      </c>
      <c r="I1698" s="14" t="n">
        <f aca="false">MAX(I1697,H1698)</f>
        <v>43.9309628600509</v>
      </c>
      <c r="J1698" s="14" t="n">
        <f aca="false">I1698-H1698</f>
        <v>47.1770981605023</v>
      </c>
    </row>
    <row r="1699" customFormat="false" ht="15" hidden="false" customHeight="false" outlineLevel="0" collapsed="false">
      <c r="A1699" s="12" t="n">
        <f aca="false">Data!A1699</f>
        <v>44470</v>
      </c>
      <c r="B1699" s="14" t="n">
        <f aca="false">Data!B1699</f>
        <v>75.88</v>
      </c>
      <c r="C1699" s="0" t="str">
        <f aca="false">IF(Data!D1699="","HOLD",IF(AND(G1698&lt;&gt;"IN",Data!E1699&lt;-5),"BUY",IF(AND(G1698="IN",Data!E1699&gt;0),"SELL","HOLD")))</f>
        <v>HOLD</v>
      </c>
      <c r="D1699" s="14" t="str">
        <f aca="false">IF(C1699="BUY",B1699,IF(G1698="IN",D1698,""))</f>
        <v/>
      </c>
      <c r="E1699" s="14" t="str">
        <f aca="false">IF(C1699="SELL",B1699,"")</f>
        <v/>
      </c>
      <c r="F1699" s="14" t="str">
        <f aca="false">IF(E1699="","",(E1699-D1699)/D1699*100)</f>
        <v/>
      </c>
      <c r="G1699" s="0" t="str">
        <f aca="false">IF(C1699="BUY","IN",IF(C1699="SELL","OUT",IF(G1698="IN","IN","OUT")))</f>
        <v>OUT</v>
      </c>
      <c r="H1699" s="14" t="n">
        <f aca="false">H1698+IF(F1699="",0,F1699)</f>
        <v>-3.24613530045144</v>
      </c>
      <c r="I1699" s="14" t="n">
        <f aca="false">MAX(I1698,H1699)</f>
        <v>43.9309628600509</v>
      </c>
      <c r="J1699" s="14" t="n">
        <f aca="false">I1699-H1699</f>
        <v>47.1770981605023</v>
      </c>
    </row>
    <row r="1700" customFormat="false" ht="15" hidden="false" customHeight="false" outlineLevel="0" collapsed="false">
      <c r="A1700" s="12" t="n">
        <f aca="false">Data!A1700</f>
        <v>44473</v>
      </c>
      <c r="B1700" s="14" t="n">
        <f aca="false">Data!B1700</f>
        <v>77.62</v>
      </c>
      <c r="C1700" s="0" t="str">
        <f aca="false">IF(Data!D1700="","HOLD",IF(AND(G1699&lt;&gt;"IN",Data!E1700&lt;-5),"BUY",IF(AND(G1699="IN",Data!E1700&gt;0),"SELL","HOLD")))</f>
        <v>HOLD</v>
      </c>
      <c r="D1700" s="14" t="str">
        <f aca="false">IF(C1700="BUY",B1700,IF(G1699="IN",D1699,""))</f>
        <v/>
      </c>
      <c r="E1700" s="14" t="str">
        <f aca="false">IF(C1700="SELL",B1700,"")</f>
        <v/>
      </c>
      <c r="F1700" s="14" t="str">
        <f aca="false">IF(E1700="","",(E1700-D1700)/D1700*100)</f>
        <v/>
      </c>
      <c r="G1700" s="0" t="str">
        <f aca="false">IF(C1700="BUY","IN",IF(C1700="SELL","OUT",IF(G1699="IN","IN","OUT")))</f>
        <v>OUT</v>
      </c>
      <c r="H1700" s="14" t="n">
        <f aca="false">H1699+IF(F1700="",0,F1700)</f>
        <v>-3.24613530045144</v>
      </c>
      <c r="I1700" s="14" t="n">
        <f aca="false">MAX(I1699,H1700)</f>
        <v>43.9309628600509</v>
      </c>
      <c r="J1700" s="14" t="n">
        <f aca="false">I1700-H1700</f>
        <v>47.1770981605023</v>
      </c>
    </row>
    <row r="1701" customFormat="false" ht="15" hidden="false" customHeight="false" outlineLevel="0" collapsed="false">
      <c r="A1701" s="12" t="n">
        <f aca="false">Data!A1701</f>
        <v>44474</v>
      </c>
      <c r="B1701" s="14" t="n">
        <f aca="false">Data!B1701</f>
        <v>78.93</v>
      </c>
      <c r="C1701" s="0" t="str">
        <f aca="false">IF(Data!D1701="","HOLD",IF(AND(G1700&lt;&gt;"IN",Data!E1701&lt;-5),"BUY",IF(AND(G1700="IN",Data!E1701&gt;0),"SELL","HOLD")))</f>
        <v>HOLD</v>
      </c>
      <c r="D1701" s="14" t="str">
        <f aca="false">IF(C1701="BUY",B1701,IF(G1700="IN",D1700,""))</f>
        <v/>
      </c>
      <c r="E1701" s="14" t="str">
        <f aca="false">IF(C1701="SELL",B1701,"")</f>
        <v/>
      </c>
      <c r="F1701" s="14" t="str">
        <f aca="false">IF(E1701="","",(E1701-D1701)/D1701*100)</f>
        <v/>
      </c>
      <c r="G1701" s="0" t="str">
        <f aca="false">IF(C1701="BUY","IN",IF(C1701="SELL","OUT",IF(G1700="IN","IN","OUT")))</f>
        <v>OUT</v>
      </c>
      <c r="H1701" s="14" t="n">
        <f aca="false">H1700+IF(F1701="",0,F1701)</f>
        <v>-3.24613530045144</v>
      </c>
      <c r="I1701" s="14" t="n">
        <f aca="false">MAX(I1700,H1701)</f>
        <v>43.9309628600509</v>
      </c>
      <c r="J1701" s="14" t="n">
        <f aca="false">I1701-H1701</f>
        <v>47.1770981605023</v>
      </c>
    </row>
    <row r="1702" customFormat="false" ht="15" hidden="false" customHeight="false" outlineLevel="0" collapsed="false">
      <c r="A1702" s="12" t="n">
        <f aca="false">Data!A1702</f>
        <v>44475</v>
      </c>
      <c r="B1702" s="14" t="n">
        <f aca="false">Data!B1702</f>
        <v>77.43</v>
      </c>
      <c r="C1702" s="0" t="str">
        <f aca="false">IF(Data!D1702="","HOLD",IF(AND(G1701&lt;&gt;"IN",Data!E1702&lt;-5),"BUY",IF(AND(G1701="IN",Data!E1702&gt;0),"SELL","HOLD")))</f>
        <v>HOLD</v>
      </c>
      <c r="D1702" s="14" t="str">
        <f aca="false">IF(C1702="BUY",B1702,IF(G1701="IN",D1701,""))</f>
        <v/>
      </c>
      <c r="E1702" s="14" t="str">
        <f aca="false">IF(C1702="SELL",B1702,"")</f>
        <v/>
      </c>
      <c r="F1702" s="14" t="str">
        <f aca="false">IF(E1702="","",(E1702-D1702)/D1702*100)</f>
        <v/>
      </c>
      <c r="G1702" s="0" t="str">
        <f aca="false">IF(C1702="BUY","IN",IF(C1702="SELL","OUT",IF(G1701="IN","IN","OUT")))</f>
        <v>OUT</v>
      </c>
      <c r="H1702" s="14" t="n">
        <f aca="false">H1701+IF(F1702="",0,F1702)</f>
        <v>-3.24613530045144</v>
      </c>
      <c r="I1702" s="14" t="n">
        <f aca="false">MAX(I1701,H1702)</f>
        <v>43.9309628600509</v>
      </c>
      <c r="J1702" s="14" t="n">
        <f aca="false">I1702-H1702</f>
        <v>47.1770981605023</v>
      </c>
    </row>
    <row r="1703" customFormat="false" ht="15" hidden="false" customHeight="false" outlineLevel="0" collapsed="false">
      <c r="A1703" s="12" t="n">
        <f aca="false">Data!A1703</f>
        <v>44476</v>
      </c>
      <c r="B1703" s="14" t="n">
        <f aca="false">Data!B1703</f>
        <v>78.3</v>
      </c>
      <c r="C1703" s="0" t="str">
        <f aca="false">IF(Data!D1703="","HOLD",IF(AND(G1702&lt;&gt;"IN",Data!E1703&lt;-5),"BUY",IF(AND(G1702="IN",Data!E1703&gt;0),"SELL","HOLD")))</f>
        <v>HOLD</v>
      </c>
      <c r="D1703" s="14" t="str">
        <f aca="false">IF(C1703="BUY",B1703,IF(G1702="IN",D1702,""))</f>
        <v/>
      </c>
      <c r="E1703" s="14" t="str">
        <f aca="false">IF(C1703="SELL",B1703,"")</f>
        <v/>
      </c>
      <c r="F1703" s="14" t="str">
        <f aca="false">IF(E1703="","",(E1703-D1703)/D1703*100)</f>
        <v/>
      </c>
      <c r="G1703" s="0" t="str">
        <f aca="false">IF(C1703="BUY","IN",IF(C1703="SELL","OUT",IF(G1702="IN","IN","OUT")))</f>
        <v>OUT</v>
      </c>
      <c r="H1703" s="14" t="n">
        <f aca="false">H1702+IF(F1703="",0,F1703)</f>
        <v>-3.24613530045144</v>
      </c>
      <c r="I1703" s="14" t="n">
        <f aca="false">MAX(I1702,H1703)</f>
        <v>43.9309628600509</v>
      </c>
      <c r="J1703" s="14" t="n">
        <f aca="false">I1703-H1703</f>
        <v>47.1770981605023</v>
      </c>
    </row>
    <row r="1704" customFormat="false" ht="15" hidden="false" customHeight="false" outlineLevel="0" collapsed="false">
      <c r="A1704" s="12" t="n">
        <f aca="false">Data!A1704</f>
        <v>44477</v>
      </c>
      <c r="B1704" s="14" t="n">
        <f aca="false">Data!B1704</f>
        <v>79.35</v>
      </c>
      <c r="C1704" s="0" t="str">
        <f aca="false">IF(Data!D1704="","HOLD",IF(AND(G1703&lt;&gt;"IN",Data!E1704&lt;-5),"BUY",IF(AND(G1703="IN",Data!E1704&gt;0),"SELL","HOLD")))</f>
        <v>HOLD</v>
      </c>
      <c r="D1704" s="14" t="str">
        <f aca="false">IF(C1704="BUY",B1704,IF(G1703="IN",D1703,""))</f>
        <v/>
      </c>
      <c r="E1704" s="14" t="str">
        <f aca="false">IF(C1704="SELL",B1704,"")</f>
        <v/>
      </c>
      <c r="F1704" s="14" t="str">
        <f aca="false">IF(E1704="","",(E1704-D1704)/D1704*100)</f>
        <v/>
      </c>
      <c r="G1704" s="0" t="str">
        <f aca="false">IF(C1704="BUY","IN",IF(C1704="SELL","OUT",IF(G1703="IN","IN","OUT")))</f>
        <v>OUT</v>
      </c>
      <c r="H1704" s="14" t="n">
        <f aca="false">H1703+IF(F1704="",0,F1704)</f>
        <v>-3.24613530045144</v>
      </c>
      <c r="I1704" s="14" t="n">
        <f aca="false">MAX(I1703,H1704)</f>
        <v>43.9309628600509</v>
      </c>
      <c r="J1704" s="14" t="n">
        <f aca="false">I1704-H1704</f>
        <v>47.1770981605023</v>
      </c>
    </row>
    <row r="1705" customFormat="false" ht="15" hidden="false" customHeight="false" outlineLevel="0" collapsed="false">
      <c r="A1705" s="12" t="n">
        <f aca="false">Data!A1705</f>
        <v>44480</v>
      </c>
      <c r="B1705" s="14" t="n">
        <f aca="false">Data!B1705</f>
        <v>80.52</v>
      </c>
      <c r="C1705" s="0" t="str">
        <f aca="false">IF(Data!D1705="","HOLD",IF(AND(G1704&lt;&gt;"IN",Data!E1705&lt;-5),"BUY",IF(AND(G1704="IN",Data!E1705&gt;0),"SELL","HOLD")))</f>
        <v>HOLD</v>
      </c>
      <c r="D1705" s="14" t="str">
        <f aca="false">IF(C1705="BUY",B1705,IF(G1704="IN",D1704,""))</f>
        <v/>
      </c>
      <c r="E1705" s="14" t="str">
        <f aca="false">IF(C1705="SELL",B1705,"")</f>
        <v/>
      </c>
      <c r="F1705" s="14" t="str">
        <f aca="false">IF(E1705="","",(E1705-D1705)/D1705*100)</f>
        <v/>
      </c>
      <c r="G1705" s="0" t="str">
        <f aca="false">IF(C1705="BUY","IN",IF(C1705="SELL","OUT",IF(G1704="IN","IN","OUT")))</f>
        <v>OUT</v>
      </c>
      <c r="H1705" s="14" t="n">
        <f aca="false">H1704+IF(F1705="",0,F1705)</f>
        <v>-3.24613530045144</v>
      </c>
      <c r="I1705" s="14" t="n">
        <f aca="false">MAX(I1704,H1705)</f>
        <v>43.9309628600509</v>
      </c>
      <c r="J1705" s="14" t="n">
        <f aca="false">I1705-H1705</f>
        <v>47.1770981605023</v>
      </c>
    </row>
    <row r="1706" customFormat="false" ht="15" hidden="false" customHeight="false" outlineLevel="0" collapsed="false">
      <c r="A1706" s="12" t="n">
        <f aca="false">Data!A1706</f>
        <v>44481</v>
      </c>
      <c r="B1706" s="14" t="n">
        <f aca="false">Data!B1706</f>
        <v>80.64</v>
      </c>
      <c r="C1706" s="0" t="str">
        <f aca="false">IF(Data!D1706="","HOLD",IF(AND(G1705&lt;&gt;"IN",Data!E1706&lt;-5),"BUY",IF(AND(G1705="IN",Data!E1706&gt;0),"SELL","HOLD")))</f>
        <v>HOLD</v>
      </c>
      <c r="D1706" s="14" t="str">
        <f aca="false">IF(C1706="BUY",B1706,IF(G1705="IN",D1705,""))</f>
        <v/>
      </c>
      <c r="E1706" s="14" t="str">
        <f aca="false">IF(C1706="SELL",B1706,"")</f>
        <v/>
      </c>
      <c r="F1706" s="14" t="str">
        <f aca="false">IF(E1706="","",(E1706-D1706)/D1706*100)</f>
        <v/>
      </c>
      <c r="G1706" s="0" t="str">
        <f aca="false">IF(C1706="BUY","IN",IF(C1706="SELL","OUT",IF(G1705="IN","IN","OUT")))</f>
        <v>OUT</v>
      </c>
      <c r="H1706" s="14" t="n">
        <f aca="false">H1705+IF(F1706="",0,F1706)</f>
        <v>-3.24613530045144</v>
      </c>
      <c r="I1706" s="14" t="n">
        <f aca="false">MAX(I1705,H1706)</f>
        <v>43.9309628600509</v>
      </c>
      <c r="J1706" s="14" t="n">
        <f aca="false">I1706-H1706</f>
        <v>47.1770981605023</v>
      </c>
    </row>
    <row r="1707" customFormat="false" ht="15" hidden="false" customHeight="false" outlineLevel="0" collapsed="false">
      <c r="A1707" s="12" t="n">
        <f aca="false">Data!A1707</f>
        <v>44482</v>
      </c>
      <c r="B1707" s="14" t="n">
        <f aca="false">Data!B1707</f>
        <v>80.44</v>
      </c>
      <c r="C1707" s="0" t="str">
        <f aca="false">IF(Data!D1707="","HOLD",IF(AND(G1706&lt;&gt;"IN",Data!E1707&lt;-5),"BUY",IF(AND(G1706="IN",Data!E1707&gt;0),"SELL","HOLD")))</f>
        <v>HOLD</v>
      </c>
      <c r="D1707" s="14" t="str">
        <f aca="false">IF(C1707="BUY",B1707,IF(G1706="IN",D1706,""))</f>
        <v/>
      </c>
      <c r="E1707" s="14" t="str">
        <f aca="false">IF(C1707="SELL",B1707,"")</f>
        <v/>
      </c>
      <c r="F1707" s="14" t="str">
        <f aca="false">IF(E1707="","",(E1707-D1707)/D1707*100)</f>
        <v/>
      </c>
      <c r="G1707" s="0" t="str">
        <f aca="false">IF(C1707="BUY","IN",IF(C1707="SELL","OUT",IF(G1706="IN","IN","OUT")))</f>
        <v>OUT</v>
      </c>
      <c r="H1707" s="14" t="n">
        <f aca="false">H1706+IF(F1707="",0,F1707)</f>
        <v>-3.24613530045144</v>
      </c>
      <c r="I1707" s="14" t="n">
        <f aca="false">MAX(I1706,H1707)</f>
        <v>43.9309628600509</v>
      </c>
      <c r="J1707" s="14" t="n">
        <f aca="false">I1707-H1707</f>
        <v>47.1770981605023</v>
      </c>
    </row>
    <row r="1708" customFormat="false" ht="15" hidden="false" customHeight="false" outlineLevel="0" collapsed="false">
      <c r="A1708" s="12" t="n">
        <f aca="false">Data!A1708</f>
        <v>44483</v>
      </c>
      <c r="B1708" s="14" t="n">
        <f aca="false">Data!B1708</f>
        <v>81.31</v>
      </c>
      <c r="C1708" s="0" t="str">
        <f aca="false">IF(Data!D1708="","HOLD",IF(AND(G1707&lt;&gt;"IN",Data!E1708&lt;-5),"BUY",IF(AND(G1707="IN",Data!E1708&gt;0),"SELL","HOLD")))</f>
        <v>HOLD</v>
      </c>
      <c r="D1708" s="14" t="str">
        <f aca="false">IF(C1708="BUY",B1708,IF(G1707="IN",D1707,""))</f>
        <v/>
      </c>
      <c r="E1708" s="14" t="str">
        <f aca="false">IF(C1708="SELL",B1708,"")</f>
        <v/>
      </c>
      <c r="F1708" s="14" t="str">
        <f aca="false">IF(E1708="","",(E1708-D1708)/D1708*100)</f>
        <v/>
      </c>
      <c r="G1708" s="0" t="str">
        <f aca="false">IF(C1708="BUY","IN",IF(C1708="SELL","OUT",IF(G1707="IN","IN","OUT")))</f>
        <v>OUT</v>
      </c>
      <c r="H1708" s="14" t="n">
        <f aca="false">H1707+IF(F1708="",0,F1708)</f>
        <v>-3.24613530045144</v>
      </c>
      <c r="I1708" s="14" t="n">
        <f aca="false">MAX(I1707,H1708)</f>
        <v>43.9309628600509</v>
      </c>
      <c r="J1708" s="14" t="n">
        <f aca="false">I1708-H1708</f>
        <v>47.1770981605023</v>
      </c>
    </row>
    <row r="1709" customFormat="false" ht="15" hidden="false" customHeight="false" outlineLevel="0" collapsed="false">
      <c r="A1709" s="12" t="n">
        <f aca="false">Data!A1709</f>
        <v>44484</v>
      </c>
      <c r="B1709" s="14" t="n">
        <f aca="false">Data!B1709</f>
        <v>82.28</v>
      </c>
      <c r="C1709" s="0" t="str">
        <f aca="false">IF(Data!D1709="","HOLD",IF(AND(G1708&lt;&gt;"IN",Data!E1709&lt;-5),"BUY",IF(AND(G1708="IN",Data!E1709&gt;0),"SELL","HOLD")))</f>
        <v>HOLD</v>
      </c>
      <c r="D1709" s="14" t="str">
        <f aca="false">IF(C1709="BUY",B1709,IF(G1708="IN",D1708,""))</f>
        <v/>
      </c>
      <c r="E1709" s="14" t="str">
        <f aca="false">IF(C1709="SELL",B1709,"")</f>
        <v/>
      </c>
      <c r="F1709" s="14" t="str">
        <f aca="false">IF(E1709="","",(E1709-D1709)/D1709*100)</f>
        <v/>
      </c>
      <c r="G1709" s="0" t="str">
        <f aca="false">IF(C1709="BUY","IN",IF(C1709="SELL","OUT",IF(G1708="IN","IN","OUT")))</f>
        <v>OUT</v>
      </c>
      <c r="H1709" s="14" t="n">
        <f aca="false">H1708+IF(F1709="",0,F1709)</f>
        <v>-3.24613530045144</v>
      </c>
      <c r="I1709" s="14" t="n">
        <f aca="false">MAX(I1708,H1709)</f>
        <v>43.9309628600509</v>
      </c>
      <c r="J1709" s="14" t="n">
        <f aca="false">I1709-H1709</f>
        <v>47.1770981605023</v>
      </c>
    </row>
    <row r="1710" customFormat="false" ht="15" hidden="false" customHeight="false" outlineLevel="0" collapsed="false">
      <c r="A1710" s="12" t="n">
        <f aca="false">Data!A1710</f>
        <v>44487</v>
      </c>
      <c r="B1710" s="14" t="n">
        <f aca="false">Data!B1710</f>
        <v>82.44</v>
      </c>
      <c r="C1710" s="0" t="str">
        <f aca="false">IF(Data!D1710="","HOLD",IF(AND(G1709&lt;&gt;"IN",Data!E1710&lt;-5),"BUY",IF(AND(G1709="IN",Data!E1710&gt;0),"SELL","HOLD")))</f>
        <v>HOLD</v>
      </c>
      <c r="D1710" s="14" t="str">
        <f aca="false">IF(C1710="BUY",B1710,IF(G1709="IN",D1709,""))</f>
        <v/>
      </c>
      <c r="E1710" s="14" t="str">
        <f aca="false">IF(C1710="SELL",B1710,"")</f>
        <v/>
      </c>
      <c r="F1710" s="14" t="str">
        <f aca="false">IF(E1710="","",(E1710-D1710)/D1710*100)</f>
        <v/>
      </c>
      <c r="G1710" s="0" t="str">
        <f aca="false">IF(C1710="BUY","IN",IF(C1710="SELL","OUT",IF(G1709="IN","IN","OUT")))</f>
        <v>OUT</v>
      </c>
      <c r="H1710" s="14" t="n">
        <f aca="false">H1709+IF(F1710="",0,F1710)</f>
        <v>-3.24613530045144</v>
      </c>
      <c r="I1710" s="14" t="n">
        <f aca="false">MAX(I1709,H1710)</f>
        <v>43.9309628600509</v>
      </c>
      <c r="J1710" s="14" t="n">
        <f aca="false">I1710-H1710</f>
        <v>47.1770981605023</v>
      </c>
    </row>
    <row r="1711" customFormat="false" ht="15" hidden="false" customHeight="false" outlineLevel="0" collapsed="false">
      <c r="A1711" s="12" t="n">
        <f aca="false">Data!A1711</f>
        <v>44488</v>
      </c>
      <c r="B1711" s="14" t="n">
        <f aca="false">Data!B1711</f>
        <v>82.96</v>
      </c>
      <c r="C1711" s="0" t="str">
        <f aca="false">IF(Data!D1711="","HOLD",IF(AND(G1710&lt;&gt;"IN",Data!E1711&lt;-5),"BUY",IF(AND(G1710="IN",Data!E1711&gt;0),"SELL","HOLD")))</f>
        <v>HOLD</v>
      </c>
      <c r="D1711" s="14" t="str">
        <f aca="false">IF(C1711="BUY",B1711,IF(G1710="IN",D1710,""))</f>
        <v/>
      </c>
      <c r="E1711" s="14" t="str">
        <f aca="false">IF(C1711="SELL",B1711,"")</f>
        <v/>
      </c>
      <c r="F1711" s="14" t="str">
        <f aca="false">IF(E1711="","",(E1711-D1711)/D1711*100)</f>
        <v/>
      </c>
      <c r="G1711" s="0" t="str">
        <f aca="false">IF(C1711="BUY","IN",IF(C1711="SELL","OUT",IF(G1710="IN","IN","OUT")))</f>
        <v>OUT</v>
      </c>
      <c r="H1711" s="14" t="n">
        <f aca="false">H1710+IF(F1711="",0,F1711)</f>
        <v>-3.24613530045144</v>
      </c>
      <c r="I1711" s="14" t="n">
        <f aca="false">MAX(I1710,H1711)</f>
        <v>43.9309628600509</v>
      </c>
      <c r="J1711" s="14" t="n">
        <f aca="false">I1711-H1711</f>
        <v>47.1770981605023</v>
      </c>
    </row>
    <row r="1712" customFormat="false" ht="15" hidden="false" customHeight="false" outlineLevel="0" collapsed="false">
      <c r="A1712" s="12" t="n">
        <f aca="false">Data!A1712</f>
        <v>44489</v>
      </c>
      <c r="B1712" s="14" t="n">
        <f aca="false">Data!B1712</f>
        <v>83.87</v>
      </c>
      <c r="C1712" s="0" t="str">
        <f aca="false">IF(Data!D1712="","HOLD",IF(AND(G1711&lt;&gt;"IN",Data!E1712&lt;-5),"BUY",IF(AND(G1711="IN",Data!E1712&gt;0),"SELL","HOLD")))</f>
        <v>HOLD</v>
      </c>
      <c r="D1712" s="14" t="str">
        <f aca="false">IF(C1712="BUY",B1712,IF(G1711="IN",D1711,""))</f>
        <v/>
      </c>
      <c r="E1712" s="14" t="str">
        <f aca="false">IF(C1712="SELL",B1712,"")</f>
        <v/>
      </c>
      <c r="F1712" s="14" t="str">
        <f aca="false">IF(E1712="","",(E1712-D1712)/D1712*100)</f>
        <v/>
      </c>
      <c r="G1712" s="0" t="str">
        <f aca="false">IF(C1712="BUY","IN",IF(C1712="SELL","OUT",IF(G1711="IN","IN","OUT")))</f>
        <v>OUT</v>
      </c>
      <c r="H1712" s="14" t="n">
        <f aca="false">H1711+IF(F1712="",0,F1712)</f>
        <v>-3.24613530045144</v>
      </c>
      <c r="I1712" s="14" t="n">
        <f aca="false">MAX(I1711,H1712)</f>
        <v>43.9309628600509</v>
      </c>
      <c r="J1712" s="14" t="n">
        <f aca="false">I1712-H1712</f>
        <v>47.1770981605023</v>
      </c>
    </row>
    <row r="1713" customFormat="false" ht="15" hidden="false" customHeight="false" outlineLevel="0" collapsed="false">
      <c r="A1713" s="12" t="n">
        <f aca="false">Data!A1713</f>
        <v>44490</v>
      </c>
      <c r="B1713" s="14" t="n">
        <f aca="false">Data!B1713</f>
        <v>82.5</v>
      </c>
      <c r="C1713" s="0" t="str">
        <f aca="false">IF(Data!D1713="","HOLD",IF(AND(G1712&lt;&gt;"IN",Data!E1713&lt;-5),"BUY",IF(AND(G1712="IN",Data!E1713&gt;0),"SELL","HOLD")))</f>
        <v>HOLD</v>
      </c>
      <c r="D1713" s="14" t="str">
        <f aca="false">IF(C1713="BUY",B1713,IF(G1712="IN",D1712,""))</f>
        <v/>
      </c>
      <c r="E1713" s="14" t="str">
        <f aca="false">IF(C1713="SELL",B1713,"")</f>
        <v/>
      </c>
      <c r="F1713" s="14" t="str">
        <f aca="false">IF(E1713="","",(E1713-D1713)/D1713*100)</f>
        <v/>
      </c>
      <c r="G1713" s="0" t="str">
        <f aca="false">IF(C1713="BUY","IN",IF(C1713="SELL","OUT",IF(G1712="IN","IN","OUT")))</f>
        <v>OUT</v>
      </c>
      <c r="H1713" s="14" t="n">
        <f aca="false">H1712+IF(F1713="",0,F1713)</f>
        <v>-3.24613530045144</v>
      </c>
      <c r="I1713" s="14" t="n">
        <f aca="false">MAX(I1712,H1713)</f>
        <v>43.9309628600509</v>
      </c>
      <c r="J1713" s="14" t="n">
        <f aca="false">I1713-H1713</f>
        <v>47.1770981605023</v>
      </c>
    </row>
    <row r="1714" customFormat="false" ht="15" hidden="false" customHeight="false" outlineLevel="0" collapsed="false">
      <c r="A1714" s="12" t="n">
        <f aca="false">Data!A1714</f>
        <v>44491</v>
      </c>
      <c r="B1714" s="14" t="n">
        <f aca="false">Data!B1714</f>
        <v>83.76</v>
      </c>
      <c r="C1714" s="0" t="str">
        <f aca="false">IF(Data!D1714="","HOLD",IF(AND(G1713&lt;&gt;"IN",Data!E1714&lt;-5),"BUY",IF(AND(G1713="IN",Data!E1714&gt;0),"SELL","HOLD")))</f>
        <v>HOLD</v>
      </c>
      <c r="D1714" s="14" t="str">
        <f aca="false">IF(C1714="BUY",B1714,IF(G1713="IN",D1713,""))</f>
        <v/>
      </c>
      <c r="E1714" s="14" t="str">
        <f aca="false">IF(C1714="SELL",B1714,"")</f>
        <v/>
      </c>
      <c r="F1714" s="14" t="str">
        <f aca="false">IF(E1714="","",(E1714-D1714)/D1714*100)</f>
        <v/>
      </c>
      <c r="G1714" s="0" t="str">
        <f aca="false">IF(C1714="BUY","IN",IF(C1714="SELL","OUT",IF(G1713="IN","IN","OUT")))</f>
        <v>OUT</v>
      </c>
      <c r="H1714" s="14" t="n">
        <f aca="false">H1713+IF(F1714="",0,F1714)</f>
        <v>-3.24613530045144</v>
      </c>
      <c r="I1714" s="14" t="n">
        <f aca="false">MAX(I1713,H1714)</f>
        <v>43.9309628600509</v>
      </c>
      <c r="J1714" s="14" t="n">
        <f aca="false">I1714-H1714</f>
        <v>47.1770981605023</v>
      </c>
    </row>
    <row r="1715" customFormat="false" ht="15" hidden="false" customHeight="false" outlineLevel="0" collapsed="false">
      <c r="A1715" s="12" t="n">
        <f aca="false">Data!A1715</f>
        <v>44494</v>
      </c>
      <c r="B1715" s="14" t="n">
        <f aca="false">Data!B1715</f>
        <v>83.76</v>
      </c>
      <c r="C1715" s="0" t="str">
        <f aca="false">IF(Data!D1715="","HOLD",IF(AND(G1714&lt;&gt;"IN",Data!E1715&lt;-5),"BUY",IF(AND(G1714="IN",Data!E1715&gt;0),"SELL","HOLD")))</f>
        <v>HOLD</v>
      </c>
      <c r="D1715" s="14" t="str">
        <f aca="false">IF(C1715="BUY",B1715,IF(G1714="IN",D1714,""))</f>
        <v/>
      </c>
      <c r="E1715" s="14" t="str">
        <f aca="false">IF(C1715="SELL",B1715,"")</f>
        <v/>
      </c>
      <c r="F1715" s="14" t="str">
        <f aca="false">IF(E1715="","",(E1715-D1715)/D1715*100)</f>
        <v/>
      </c>
      <c r="G1715" s="0" t="str">
        <f aca="false">IF(C1715="BUY","IN",IF(C1715="SELL","OUT",IF(G1714="IN","IN","OUT")))</f>
        <v>OUT</v>
      </c>
      <c r="H1715" s="14" t="n">
        <f aca="false">H1714+IF(F1715="",0,F1715)</f>
        <v>-3.24613530045144</v>
      </c>
      <c r="I1715" s="14" t="n">
        <f aca="false">MAX(I1714,H1715)</f>
        <v>43.9309628600509</v>
      </c>
      <c r="J1715" s="14" t="n">
        <f aca="false">I1715-H1715</f>
        <v>47.1770981605023</v>
      </c>
    </row>
    <row r="1716" customFormat="false" ht="15" hidden="false" customHeight="false" outlineLevel="0" collapsed="false">
      <c r="A1716" s="12" t="n">
        <f aca="false">Data!A1716</f>
        <v>44495</v>
      </c>
      <c r="B1716" s="14" t="n">
        <f aca="false">Data!B1716</f>
        <v>84.65</v>
      </c>
      <c r="C1716" s="0" t="str">
        <f aca="false">IF(Data!D1716="","HOLD",IF(AND(G1715&lt;&gt;"IN",Data!E1716&lt;-5),"BUY",IF(AND(G1715="IN",Data!E1716&gt;0),"SELL","HOLD")))</f>
        <v>HOLD</v>
      </c>
      <c r="D1716" s="14" t="str">
        <f aca="false">IF(C1716="BUY",B1716,IF(G1715="IN",D1715,""))</f>
        <v/>
      </c>
      <c r="E1716" s="14" t="str">
        <f aca="false">IF(C1716="SELL",B1716,"")</f>
        <v/>
      </c>
      <c r="F1716" s="14" t="str">
        <f aca="false">IF(E1716="","",(E1716-D1716)/D1716*100)</f>
        <v/>
      </c>
      <c r="G1716" s="0" t="str">
        <f aca="false">IF(C1716="BUY","IN",IF(C1716="SELL","OUT",IF(G1715="IN","IN","OUT")))</f>
        <v>OUT</v>
      </c>
      <c r="H1716" s="14" t="n">
        <f aca="false">H1715+IF(F1716="",0,F1716)</f>
        <v>-3.24613530045144</v>
      </c>
      <c r="I1716" s="14" t="n">
        <f aca="false">MAX(I1715,H1716)</f>
        <v>43.9309628600509</v>
      </c>
      <c r="J1716" s="14" t="n">
        <f aca="false">I1716-H1716</f>
        <v>47.1770981605023</v>
      </c>
    </row>
    <row r="1717" customFormat="false" ht="15" hidden="false" customHeight="false" outlineLevel="0" collapsed="false">
      <c r="A1717" s="12" t="n">
        <f aca="false">Data!A1717</f>
        <v>44496</v>
      </c>
      <c r="B1717" s="14" t="n">
        <f aca="false">Data!B1717</f>
        <v>82.66</v>
      </c>
      <c r="C1717" s="0" t="str">
        <f aca="false">IF(Data!D1717="","HOLD",IF(AND(G1716&lt;&gt;"IN",Data!E1717&lt;-5),"BUY",IF(AND(G1716="IN",Data!E1717&gt;0),"SELL","HOLD")))</f>
        <v>HOLD</v>
      </c>
      <c r="D1717" s="14" t="str">
        <f aca="false">IF(C1717="BUY",B1717,IF(G1716="IN",D1716,""))</f>
        <v/>
      </c>
      <c r="E1717" s="14" t="str">
        <f aca="false">IF(C1717="SELL",B1717,"")</f>
        <v/>
      </c>
      <c r="F1717" s="14" t="str">
        <f aca="false">IF(E1717="","",(E1717-D1717)/D1717*100)</f>
        <v/>
      </c>
      <c r="G1717" s="0" t="str">
        <f aca="false">IF(C1717="BUY","IN",IF(C1717="SELL","OUT",IF(G1716="IN","IN","OUT")))</f>
        <v>OUT</v>
      </c>
      <c r="H1717" s="14" t="n">
        <f aca="false">H1716+IF(F1717="",0,F1717)</f>
        <v>-3.24613530045144</v>
      </c>
      <c r="I1717" s="14" t="n">
        <f aca="false">MAX(I1716,H1717)</f>
        <v>43.9309628600509</v>
      </c>
      <c r="J1717" s="14" t="n">
        <f aca="false">I1717-H1717</f>
        <v>47.1770981605023</v>
      </c>
    </row>
    <row r="1718" customFormat="false" ht="15" hidden="false" customHeight="false" outlineLevel="0" collapsed="false">
      <c r="A1718" s="12" t="n">
        <f aca="false">Data!A1718</f>
        <v>44497</v>
      </c>
      <c r="B1718" s="14" t="n">
        <f aca="false">Data!B1718</f>
        <v>82.81</v>
      </c>
      <c r="C1718" s="0" t="str">
        <f aca="false">IF(Data!D1718="","HOLD",IF(AND(G1717&lt;&gt;"IN",Data!E1718&lt;-5),"BUY",IF(AND(G1717="IN",Data!E1718&gt;0),"SELL","HOLD")))</f>
        <v>HOLD</v>
      </c>
      <c r="D1718" s="14" t="str">
        <f aca="false">IF(C1718="BUY",B1718,IF(G1717="IN",D1717,""))</f>
        <v/>
      </c>
      <c r="E1718" s="14" t="str">
        <f aca="false">IF(C1718="SELL",B1718,"")</f>
        <v/>
      </c>
      <c r="F1718" s="14" t="str">
        <f aca="false">IF(E1718="","",(E1718-D1718)/D1718*100)</f>
        <v/>
      </c>
      <c r="G1718" s="0" t="str">
        <f aca="false">IF(C1718="BUY","IN",IF(C1718="SELL","OUT",IF(G1717="IN","IN","OUT")))</f>
        <v>OUT</v>
      </c>
      <c r="H1718" s="14" t="n">
        <f aca="false">H1717+IF(F1718="",0,F1718)</f>
        <v>-3.24613530045144</v>
      </c>
      <c r="I1718" s="14" t="n">
        <f aca="false">MAX(I1717,H1718)</f>
        <v>43.9309628600509</v>
      </c>
      <c r="J1718" s="14" t="n">
        <f aca="false">I1718-H1718</f>
        <v>47.1770981605023</v>
      </c>
    </row>
    <row r="1719" customFormat="false" ht="15" hidden="false" customHeight="false" outlineLevel="0" collapsed="false">
      <c r="A1719" s="12" t="n">
        <f aca="false">Data!A1719</f>
        <v>44498</v>
      </c>
      <c r="B1719" s="14" t="n">
        <f aca="false">Data!B1719</f>
        <v>83.57</v>
      </c>
      <c r="C1719" s="0" t="str">
        <f aca="false">IF(Data!D1719="","HOLD",IF(AND(G1718&lt;&gt;"IN",Data!E1719&lt;-5),"BUY",IF(AND(G1718="IN",Data!E1719&gt;0),"SELL","HOLD")))</f>
        <v>HOLD</v>
      </c>
      <c r="D1719" s="14" t="str">
        <f aca="false">IF(C1719="BUY",B1719,IF(G1718="IN",D1718,""))</f>
        <v/>
      </c>
      <c r="E1719" s="14" t="str">
        <f aca="false">IF(C1719="SELL",B1719,"")</f>
        <v/>
      </c>
      <c r="F1719" s="14" t="str">
        <f aca="false">IF(E1719="","",(E1719-D1719)/D1719*100)</f>
        <v/>
      </c>
      <c r="G1719" s="0" t="str">
        <f aca="false">IF(C1719="BUY","IN",IF(C1719="SELL","OUT",IF(G1718="IN","IN","OUT")))</f>
        <v>OUT</v>
      </c>
      <c r="H1719" s="14" t="n">
        <f aca="false">H1718+IF(F1719="",0,F1719)</f>
        <v>-3.24613530045144</v>
      </c>
      <c r="I1719" s="14" t="n">
        <f aca="false">MAX(I1718,H1719)</f>
        <v>43.9309628600509</v>
      </c>
      <c r="J1719" s="14" t="n">
        <f aca="false">I1719-H1719</f>
        <v>47.1770981605023</v>
      </c>
    </row>
    <row r="1720" customFormat="false" ht="15" hidden="false" customHeight="false" outlineLevel="0" collapsed="false">
      <c r="A1720" s="12" t="n">
        <f aca="false">Data!A1720</f>
        <v>44501</v>
      </c>
      <c r="B1720" s="14" t="n">
        <f aca="false">Data!B1720</f>
        <v>84.05</v>
      </c>
      <c r="C1720" s="0" t="str">
        <f aca="false">IF(Data!D1720="","HOLD",IF(AND(G1719&lt;&gt;"IN",Data!E1720&lt;-5),"BUY",IF(AND(G1719="IN",Data!E1720&gt;0),"SELL","HOLD")))</f>
        <v>HOLD</v>
      </c>
      <c r="D1720" s="14" t="str">
        <f aca="false">IF(C1720="BUY",B1720,IF(G1719="IN",D1719,""))</f>
        <v/>
      </c>
      <c r="E1720" s="14" t="str">
        <f aca="false">IF(C1720="SELL",B1720,"")</f>
        <v/>
      </c>
      <c r="F1720" s="14" t="str">
        <f aca="false">IF(E1720="","",(E1720-D1720)/D1720*100)</f>
        <v/>
      </c>
      <c r="G1720" s="0" t="str">
        <f aca="false">IF(C1720="BUY","IN",IF(C1720="SELL","OUT",IF(G1719="IN","IN","OUT")))</f>
        <v>OUT</v>
      </c>
      <c r="H1720" s="14" t="n">
        <f aca="false">H1719+IF(F1720="",0,F1720)</f>
        <v>-3.24613530045144</v>
      </c>
      <c r="I1720" s="14" t="n">
        <f aca="false">MAX(I1719,H1720)</f>
        <v>43.9309628600509</v>
      </c>
      <c r="J1720" s="14" t="n">
        <f aca="false">I1720-H1720</f>
        <v>47.1770981605023</v>
      </c>
    </row>
    <row r="1721" customFormat="false" ht="15" hidden="false" customHeight="false" outlineLevel="0" collapsed="false">
      <c r="A1721" s="12" t="n">
        <f aca="false">Data!A1721</f>
        <v>44502</v>
      </c>
      <c r="B1721" s="14" t="n">
        <f aca="false">Data!B1721</f>
        <v>83.91</v>
      </c>
      <c r="C1721" s="0" t="str">
        <f aca="false">IF(Data!D1721="","HOLD",IF(AND(G1720&lt;&gt;"IN",Data!E1721&lt;-5),"BUY",IF(AND(G1720="IN",Data!E1721&gt;0),"SELL","HOLD")))</f>
        <v>HOLD</v>
      </c>
      <c r="D1721" s="14" t="str">
        <f aca="false">IF(C1721="BUY",B1721,IF(G1720="IN",D1720,""))</f>
        <v/>
      </c>
      <c r="E1721" s="14" t="str">
        <f aca="false">IF(C1721="SELL",B1721,"")</f>
        <v/>
      </c>
      <c r="F1721" s="14" t="str">
        <f aca="false">IF(E1721="","",(E1721-D1721)/D1721*100)</f>
        <v/>
      </c>
      <c r="G1721" s="0" t="str">
        <f aca="false">IF(C1721="BUY","IN",IF(C1721="SELL","OUT",IF(G1720="IN","IN","OUT")))</f>
        <v>OUT</v>
      </c>
      <c r="H1721" s="14" t="n">
        <f aca="false">H1720+IF(F1721="",0,F1721)</f>
        <v>-3.24613530045144</v>
      </c>
      <c r="I1721" s="14" t="n">
        <f aca="false">MAX(I1720,H1721)</f>
        <v>43.9309628600509</v>
      </c>
      <c r="J1721" s="14" t="n">
        <f aca="false">I1721-H1721</f>
        <v>47.1770981605023</v>
      </c>
    </row>
    <row r="1722" customFormat="false" ht="15" hidden="false" customHeight="false" outlineLevel="0" collapsed="false">
      <c r="A1722" s="12" t="n">
        <f aca="false">Data!A1722</f>
        <v>44503</v>
      </c>
      <c r="B1722" s="14" t="n">
        <f aca="false">Data!B1722</f>
        <v>80.86</v>
      </c>
      <c r="C1722" s="0" t="str">
        <f aca="false">IF(Data!D1722="","HOLD",IF(AND(G1721&lt;&gt;"IN",Data!E1722&lt;-5),"BUY",IF(AND(G1721="IN",Data!E1722&gt;0),"SELL","HOLD")))</f>
        <v>HOLD</v>
      </c>
      <c r="D1722" s="14" t="str">
        <f aca="false">IF(C1722="BUY",B1722,IF(G1721="IN",D1721,""))</f>
        <v/>
      </c>
      <c r="E1722" s="14" t="str">
        <f aca="false">IF(C1722="SELL",B1722,"")</f>
        <v/>
      </c>
      <c r="F1722" s="14" t="str">
        <f aca="false">IF(E1722="","",(E1722-D1722)/D1722*100)</f>
        <v/>
      </c>
      <c r="G1722" s="0" t="str">
        <f aca="false">IF(C1722="BUY","IN",IF(C1722="SELL","OUT",IF(G1721="IN","IN","OUT")))</f>
        <v>OUT</v>
      </c>
      <c r="H1722" s="14" t="n">
        <f aca="false">H1721+IF(F1722="",0,F1722)</f>
        <v>-3.24613530045144</v>
      </c>
      <c r="I1722" s="14" t="n">
        <f aca="false">MAX(I1721,H1722)</f>
        <v>43.9309628600509</v>
      </c>
      <c r="J1722" s="14" t="n">
        <f aca="false">I1722-H1722</f>
        <v>47.1770981605023</v>
      </c>
    </row>
    <row r="1723" customFormat="false" ht="15" hidden="false" customHeight="false" outlineLevel="0" collapsed="false">
      <c r="A1723" s="12" t="n">
        <f aca="false">Data!A1723</f>
        <v>44504</v>
      </c>
      <c r="B1723" s="14" t="n">
        <f aca="false">Data!B1723</f>
        <v>78.81</v>
      </c>
      <c r="C1723" s="0" t="str">
        <f aca="false">IF(Data!D1723="","HOLD",IF(AND(G1722&lt;&gt;"IN",Data!E1723&lt;-5),"BUY",IF(AND(G1722="IN",Data!E1723&gt;0),"SELL","HOLD")))</f>
        <v>HOLD</v>
      </c>
      <c r="D1723" s="14" t="str">
        <f aca="false">IF(C1723="BUY",B1723,IF(G1722="IN",D1722,""))</f>
        <v/>
      </c>
      <c r="E1723" s="14" t="str">
        <f aca="false">IF(C1723="SELL",B1723,"")</f>
        <v/>
      </c>
      <c r="F1723" s="14" t="str">
        <f aca="false">IF(E1723="","",(E1723-D1723)/D1723*100)</f>
        <v/>
      </c>
      <c r="G1723" s="0" t="str">
        <f aca="false">IF(C1723="BUY","IN",IF(C1723="SELL","OUT",IF(G1722="IN","IN","OUT")))</f>
        <v>OUT</v>
      </c>
      <c r="H1723" s="14" t="n">
        <f aca="false">H1722+IF(F1723="",0,F1723)</f>
        <v>-3.24613530045144</v>
      </c>
      <c r="I1723" s="14" t="n">
        <f aca="false">MAX(I1722,H1723)</f>
        <v>43.9309628600509</v>
      </c>
      <c r="J1723" s="14" t="n">
        <f aca="false">I1723-H1723</f>
        <v>47.1770981605023</v>
      </c>
    </row>
    <row r="1724" customFormat="false" ht="15" hidden="false" customHeight="false" outlineLevel="0" collapsed="false">
      <c r="A1724" s="12" t="n">
        <f aca="false">Data!A1724</f>
        <v>44505</v>
      </c>
      <c r="B1724" s="14" t="n">
        <f aca="false">Data!B1724</f>
        <v>81.27</v>
      </c>
      <c r="C1724" s="0" t="str">
        <f aca="false">IF(Data!D1724="","HOLD",IF(AND(G1723&lt;&gt;"IN",Data!E1724&lt;-5),"BUY",IF(AND(G1723="IN",Data!E1724&gt;0),"SELL","HOLD")))</f>
        <v>HOLD</v>
      </c>
      <c r="D1724" s="14" t="str">
        <f aca="false">IF(C1724="BUY",B1724,IF(G1723="IN",D1723,""))</f>
        <v/>
      </c>
      <c r="E1724" s="14" t="str">
        <f aca="false">IF(C1724="SELL",B1724,"")</f>
        <v/>
      </c>
      <c r="F1724" s="14" t="str">
        <f aca="false">IF(E1724="","",(E1724-D1724)/D1724*100)</f>
        <v/>
      </c>
      <c r="G1724" s="0" t="str">
        <f aca="false">IF(C1724="BUY","IN",IF(C1724="SELL","OUT",IF(G1723="IN","IN","OUT")))</f>
        <v>OUT</v>
      </c>
      <c r="H1724" s="14" t="n">
        <f aca="false">H1723+IF(F1724="",0,F1724)</f>
        <v>-3.24613530045144</v>
      </c>
      <c r="I1724" s="14" t="n">
        <f aca="false">MAX(I1723,H1724)</f>
        <v>43.9309628600509</v>
      </c>
      <c r="J1724" s="14" t="n">
        <f aca="false">I1724-H1724</f>
        <v>47.1770981605023</v>
      </c>
    </row>
    <row r="1725" customFormat="false" ht="15" hidden="false" customHeight="false" outlineLevel="0" collapsed="false">
      <c r="A1725" s="12" t="n">
        <f aca="false">Data!A1725</f>
        <v>44508</v>
      </c>
      <c r="B1725" s="14" t="n">
        <f aca="false">Data!B1725</f>
        <v>81.93</v>
      </c>
      <c r="C1725" s="0" t="str">
        <f aca="false">IF(Data!D1725="","HOLD",IF(AND(G1724&lt;&gt;"IN",Data!E1725&lt;-5),"BUY",IF(AND(G1724="IN",Data!E1725&gt;0),"SELL","HOLD")))</f>
        <v>HOLD</v>
      </c>
      <c r="D1725" s="14" t="str">
        <f aca="false">IF(C1725="BUY",B1725,IF(G1724="IN",D1724,""))</f>
        <v/>
      </c>
      <c r="E1725" s="14" t="str">
        <f aca="false">IF(C1725="SELL",B1725,"")</f>
        <v/>
      </c>
      <c r="F1725" s="14" t="str">
        <f aca="false">IF(E1725="","",(E1725-D1725)/D1725*100)</f>
        <v/>
      </c>
      <c r="G1725" s="0" t="str">
        <f aca="false">IF(C1725="BUY","IN",IF(C1725="SELL","OUT",IF(G1724="IN","IN","OUT")))</f>
        <v>OUT</v>
      </c>
      <c r="H1725" s="14" t="n">
        <f aca="false">H1724+IF(F1725="",0,F1725)</f>
        <v>-3.24613530045144</v>
      </c>
      <c r="I1725" s="14" t="n">
        <f aca="false">MAX(I1724,H1725)</f>
        <v>43.9309628600509</v>
      </c>
      <c r="J1725" s="14" t="n">
        <f aca="false">I1725-H1725</f>
        <v>47.1770981605023</v>
      </c>
    </row>
    <row r="1726" customFormat="false" ht="15" hidden="false" customHeight="false" outlineLevel="0" collapsed="false">
      <c r="A1726" s="12" t="n">
        <f aca="false">Data!A1726</f>
        <v>44509</v>
      </c>
      <c r="B1726" s="14" t="n">
        <f aca="false">Data!B1726</f>
        <v>84.15</v>
      </c>
      <c r="C1726" s="0" t="str">
        <f aca="false">IF(Data!D1726="","HOLD",IF(AND(G1725&lt;&gt;"IN",Data!E1726&lt;-5),"BUY",IF(AND(G1725="IN",Data!E1726&gt;0),"SELL","HOLD")))</f>
        <v>HOLD</v>
      </c>
      <c r="D1726" s="14" t="str">
        <f aca="false">IF(C1726="BUY",B1726,IF(G1725="IN",D1725,""))</f>
        <v/>
      </c>
      <c r="E1726" s="14" t="str">
        <f aca="false">IF(C1726="SELL",B1726,"")</f>
        <v/>
      </c>
      <c r="F1726" s="14" t="str">
        <f aca="false">IF(E1726="","",(E1726-D1726)/D1726*100)</f>
        <v/>
      </c>
      <c r="G1726" s="0" t="str">
        <f aca="false">IF(C1726="BUY","IN",IF(C1726="SELL","OUT",IF(G1725="IN","IN","OUT")))</f>
        <v>OUT</v>
      </c>
      <c r="H1726" s="14" t="n">
        <f aca="false">H1725+IF(F1726="",0,F1726)</f>
        <v>-3.24613530045144</v>
      </c>
      <c r="I1726" s="14" t="n">
        <f aca="false">MAX(I1725,H1726)</f>
        <v>43.9309628600509</v>
      </c>
      <c r="J1726" s="14" t="n">
        <f aca="false">I1726-H1726</f>
        <v>47.1770981605023</v>
      </c>
    </row>
    <row r="1727" customFormat="false" ht="15" hidden="false" customHeight="false" outlineLevel="0" collapsed="false">
      <c r="A1727" s="12" t="n">
        <f aca="false">Data!A1727</f>
        <v>44510</v>
      </c>
      <c r="B1727" s="14" t="n">
        <f aca="false">Data!B1727</f>
        <v>81.34</v>
      </c>
      <c r="C1727" s="0" t="str">
        <f aca="false">IF(Data!D1727="","HOLD",IF(AND(G1726&lt;&gt;"IN",Data!E1727&lt;-5),"BUY",IF(AND(G1726="IN",Data!E1727&gt;0),"SELL","HOLD")))</f>
        <v>HOLD</v>
      </c>
      <c r="D1727" s="14" t="str">
        <f aca="false">IF(C1727="BUY",B1727,IF(G1726="IN",D1726,""))</f>
        <v/>
      </c>
      <c r="E1727" s="14" t="str">
        <f aca="false">IF(C1727="SELL",B1727,"")</f>
        <v/>
      </c>
      <c r="F1727" s="14" t="str">
        <f aca="false">IF(E1727="","",(E1727-D1727)/D1727*100)</f>
        <v/>
      </c>
      <c r="G1727" s="0" t="str">
        <f aca="false">IF(C1727="BUY","IN",IF(C1727="SELL","OUT",IF(G1726="IN","IN","OUT")))</f>
        <v>OUT</v>
      </c>
      <c r="H1727" s="14" t="n">
        <f aca="false">H1726+IF(F1727="",0,F1727)</f>
        <v>-3.24613530045144</v>
      </c>
      <c r="I1727" s="14" t="n">
        <f aca="false">MAX(I1726,H1727)</f>
        <v>43.9309628600509</v>
      </c>
      <c r="J1727" s="14" t="n">
        <f aca="false">I1727-H1727</f>
        <v>47.1770981605023</v>
      </c>
    </row>
    <row r="1728" customFormat="false" ht="15" hidden="false" customHeight="false" outlineLevel="0" collapsed="false">
      <c r="A1728" s="12" t="n">
        <f aca="false">Data!A1728</f>
        <v>44511</v>
      </c>
      <c r="B1728" s="14" t="n">
        <f aca="false">Data!B1728</f>
        <v>81.59</v>
      </c>
      <c r="C1728" s="0" t="str">
        <f aca="false">IF(Data!D1728="","HOLD",IF(AND(G1727&lt;&gt;"IN",Data!E1728&lt;-5),"BUY",IF(AND(G1727="IN",Data!E1728&gt;0),"SELL","HOLD")))</f>
        <v>HOLD</v>
      </c>
      <c r="D1728" s="14" t="str">
        <f aca="false">IF(C1728="BUY",B1728,IF(G1727="IN",D1727,""))</f>
        <v/>
      </c>
      <c r="E1728" s="14" t="str">
        <f aca="false">IF(C1728="SELL",B1728,"")</f>
        <v/>
      </c>
      <c r="F1728" s="14" t="str">
        <f aca="false">IF(E1728="","",(E1728-D1728)/D1728*100)</f>
        <v/>
      </c>
      <c r="G1728" s="0" t="str">
        <f aca="false">IF(C1728="BUY","IN",IF(C1728="SELL","OUT",IF(G1727="IN","IN","OUT")))</f>
        <v>OUT</v>
      </c>
      <c r="H1728" s="14" t="n">
        <f aca="false">H1727+IF(F1728="",0,F1728)</f>
        <v>-3.24613530045144</v>
      </c>
      <c r="I1728" s="14" t="n">
        <f aca="false">MAX(I1727,H1728)</f>
        <v>43.9309628600509</v>
      </c>
      <c r="J1728" s="14" t="n">
        <f aca="false">I1728-H1728</f>
        <v>47.1770981605023</v>
      </c>
    </row>
    <row r="1729" customFormat="false" ht="15" hidden="false" customHeight="false" outlineLevel="0" collapsed="false">
      <c r="A1729" s="12" t="n">
        <f aca="false">Data!A1729</f>
        <v>44512</v>
      </c>
      <c r="B1729" s="14" t="n">
        <f aca="false">Data!B1729</f>
        <v>80.79</v>
      </c>
      <c r="C1729" s="0" t="str">
        <f aca="false">IF(Data!D1729="","HOLD",IF(AND(G1728&lt;&gt;"IN",Data!E1729&lt;-5),"BUY",IF(AND(G1728="IN",Data!E1729&gt;0),"SELL","HOLD")))</f>
        <v>HOLD</v>
      </c>
      <c r="D1729" s="14" t="str">
        <f aca="false">IF(C1729="BUY",B1729,IF(G1728="IN",D1728,""))</f>
        <v/>
      </c>
      <c r="E1729" s="14" t="str">
        <f aca="false">IF(C1729="SELL",B1729,"")</f>
        <v/>
      </c>
      <c r="F1729" s="14" t="str">
        <f aca="false">IF(E1729="","",(E1729-D1729)/D1729*100)</f>
        <v/>
      </c>
      <c r="G1729" s="0" t="str">
        <f aca="false">IF(C1729="BUY","IN",IF(C1729="SELL","OUT",IF(G1728="IN","IN","OUT")))</f>
        <v>OUT</v>
      </c>
      <c r="H1729" s="14" t="n">
        <f aca="false">H1728+IF(F1729="",0,F1729)</f>
        <v>-3.24613530045144</v>
      </c>
      <c r="I1729" s="14" t="n">
        <f aca="false">MAX(I1728,H1729)</f>
        <v>43.9309628600509</v>
      </c>
      <c r="J1729" s="14" t="n">
        <f aca="false">I1729-H1729</f>
        <v>47.1770981605023</v>
      </c>
    </row>
    <row r="1730" customFormat="false" ht="15" hidden="false" customHeight="false" outlineLevel="0" collapsed="false">
      <c r="A1730" s="12" t="n">
        <f aca="false">Data!A1730</f>
        <v>44515</v>
      </c>
      <c r="B1730" s="14" t="n">
        <f aca="false">Data!B1730</f>
        <v>80.88</v>
      </c>
      <c r="C1730" s="0" t="str">
        <f aca="false">IF(Data!D1730="","HOLD",IF(AND(G1729&lt;&gt;"IN",Data!E1730&lt;-5),"BUY",IF(AND(G1729="IN",Data!E1730&gt;0),"SELL","HOLD")))</f>
        <v>HOLD</v>
      </c>
      <c r="D1730" s="14" t="str">
        <f aca="false">IF(C1730="BUY",B1730,IF(G1729="IN",D1729,""))</f>
        <v/>
      </c>
      <c r="E1730" s="14" t="str">
        <f aca="false">IF(C1730="SELL",B1730,"")</f>
        <v/>
      </c>
      <c r="F1730" s="14" t="str">
        <f aca="false">IF(E1730="","",(E1730-D1730)/D1730*100)</f>
        <v/>
      </c>
      <c r="G1730" s="0" t="str">
        <f aca="false">IF(C1730="BUY","IN",IF(C1730="SELL","OUT",IF(G1729="IN","IN","OUT")))</f>
        <v>OUT</v>
      </c>
      <c r="H1730" s="14" t="n">
        <f aca="false">H1729+IF(F1730="",0,F1730)</f>
        <v>-3.24613530045144</v>
      </c>
      <c r="I1730" s="14" t="n">
        <f aca="false">MAX(I1729,H1730)</f>
        <v>43.9309628600509</v>
      </c>
      <c r="J1730" s="14" t="n">
        <f aca="false">I1730-H1730</f>
        <v>47.1770981605023</v>
      </c>
    </row>
    <row r="1731" customFormat="false" ht="15" hidden="false" customHeight="false" outlineLevel="0" collapsed="false">
      <c r="A1731" s="12" t="n">
        <f aca="false">Data!A1731</f>
        <v>44516</v>
      </c>
      <c r="B1731" s="14" t="n">
        <f aca="false">Data!B1731</f>
        <v>80.76</v>
      </c>
      <c r="C1731" s="0" t="str">
        <f aca="false">IF(Data!D1731="","HOLD",IF(AND(G1730&lt;&gt;"IN",Data!E1731&lt;-5),"BUY",IF(AND(G1730="IN",Data!E1731&gt;0),"SELL","HOLD")))</f>
        <v>HOLD</v>
      </c>
      <c r="D1731" s="14" t="str">
        <f aca="false">IF(C1731="BUY",B1731,IF(G1730="IN",D1730,""))</f>
        <v/>
      </c>
      <c r="E1731" s="14" t="str">
        <f aca="false">IF(C1731="SELL",B1731,"")</f>
        <v/>
      </c>
      <c r="F1731" s="14" t="str">
        <f aca="false">IF(E1731="","",(E1731-D1731)/D1731*100)</f>
        <v/>
      </c>
      <c r="G1731" s="0" t="str">
        <f aca="false">IF(C1731="BUY","IN",IF(C1731="SELL","OUT",IF(G1730="IN","IN","OUT")))</f>
        <v>OUT</v>
      </c>
      <c r="H1731" s="14" t="n">
        <f aca="false">H1730+IF(F1731="",0,F1731)</f>
        <v>-3.24613530045144</v>
      </c>
      <c r="I1731" s="14" t="n">
        <f aca="false">MAX(I1730,H1731)</f>
        <v>43.9309628600509</v>
      </c>
      <c r="J1731" s="14" t="n">
        <f aca="false">I1731-H1731</f>
        <v>47.1770981605023</v>
      </c>
    </row>
    <row r="1732" customFormat="false" ht="15" hidden="false" customHeight="false" outlineLevel="0" collapsed="false">
      <c r="A1732" s="12" t="n">
        <f aca="false">Data!A1732</f>
        <v>44517</v>
      </c>
      <c r="B1732" s="14" t="n">
        <f aca="false">Data!B1732</f>
        <v>78.36</v>
      </c>
      <c r="C1732" s="0" t="str">
        <f aca="false">IF(Data!D1732="","HOLD",IF(AND(G1731&lt;&gt;"IN",Data!E1732&lt;-5),"BUY",IF(AND(G1731="IN",Data!E1732&gt;0),"SELL","HOLD")))</f>
        <v>HOLD</v>
      </c>
      <c r="D1732" s="14" t="str">
        <f aca="false">IF(C1732="BUY",B1732,IF(G1731="IN",D1731,""))</f>
        <v/>
      </c>
      <c r="E1732" s="14" t="str">
        <f aca="false">IF(C1732="SELL",B1732,"")</f>
        <v/>
      </c>
      <c r="F1732" s="14" t="str">
        <f aca="false">IF(E1732="","",(E1732-D1732)/D1732*100)</f>
        <v/>
      </c>
      <c r="G1732" s="0" t="str">
        <f aca="false">IF(C1732="BUY","IN",IF(C1732="SELL","OUT",IF(G1731="IN","IN","OUT")))</f>
        <v>OUT</v>
      </c>
      <c r="H1732" s="14" t="n">
        <f aca="false">H1731+IF(F1732="",0,F1732)</f>
        <v>-3.24613530045144</v>
      </c>
      <c r="I1732" s="14" t="n">
        <f aca="false">MAX(I1731,H1732)</f>
        <v>43.9309628600509</v>
      </c>
      <c r="J1732" s="14" t="n">
        <f aca="false">I1732-H1732</f>
        <v>47.1770981605023</v>
      </c>
    </row>
    <row r="1733" customFormat="false" ht="15" hidden="false" customHeight="false" outlineLevel="0" collapsed="false">
      <c r="A1733" s="12" t="n">
        <f aca="false">Data!A1733</f>
        <v>44518</v>
      </c>
      <c r="B1733" s="14" t="n">
        <f aca="false">Data!B1733</f>
        <v>79.01</v>
      </c>
      <c r="C1733" s="0" t="str">
        <f aca="false">IF(Data!D1733="","HOLD",IF(AND(G1732&lt;&gt;"IN",Data!E1733&lt;-5),"BUY",IF(AND(G1732="IN",Data!E1733&gt;0),"SELL","HOLD")))</f>
        <v>HOLD</v>
      </c>
      <c r="D1733" s="14" t="str">
        <f aca="false">IF(C1733="BUY",B1733,IF(G1732="IN",D1732,""))</f>
        <v/>
      </c>
      <c r="E1733" s="14" t="str">
        <f aca="false">IF(C1733="SELL",B1733,"")</f>
        <v/>
      </c>
      <c r="F1733" s="14" t="str">
        <f aca="false">IF(E1733="","",(E1733-D1733)/D1733*100)</f>
        <v/>
      </c>
      <c r="G1733" s="0" t="str">
        <f aca="false">IF(C1733="BUY","IN",IF(C1733="SELL","OUT",IF(G1732="IN","IN","OUT")))</f>
        <v>OUT</v>
      </c>
      <c r="H1733" s="14" t="n">
        <f aca="false">H1732+IF(F1733="",0,F1733)</f>
        <v>-3.24613530045144</v>
      </c>
      <c r="I1733" s="14" t="n">
        <f aca="false">MAX(I1732,H1733)</f>
        <v>43.9309628600509</v>
      </c>
      <c r="J1733" s="14" t="n">
        <f aca="false">I1733-H1733</f>
        <v>47.1770981605023</v>
      </c>
    </row>
    <row r="1734" customFormat="false" ht="15" hidden="false" customHeight="false" outlineLevel="0" collapsed="false">
      <c r="A1734" s="12" t="n">
        <f aca="false">Data!A1734</f>
        <v>44519</v>
      </c>
      <c r="B1734" s="14" t="n">
        <f aca="false">Data!B1734</f>
        <v>76.1</v>
      </c>
      <c r="C1734" s="0" t="str">
        <f aca="false">IF(Data!D1734="","HOLD",IF(AND(G1733&lt;&gt;"IN",Data!E1734&lt;-5),"BUY",IF(AND(G1733="IN",Data!E1734&gt;0),"SELL","HOLD")))</f>
        <v>BUY</v>
      </c>
      <c r="D1734" s="14" t="n">
        <f aca="false">IF(C1734="BUY",B1734,IF(G1733="IN",D1733,""))</f>
        <v>76.1</v>
      </c>
      <c r="E1734" s="14" t="str">
        <f aca="false">IF(C1734="SELL",B1734,"")</f>
        <v/>
      </c>
      <c r="F1734" s="14" t="str">
        <f aca="false">IF(E1734="","",(E1734-D1734)/D1734*100)</f>
        <v/>
      </c>
      <c r="G1734" s="0" t="str">
        <f aca="false">IF(C1734="BUY","IN",IF(C1734="SELL","OUT",IF(G1733="IN","IN","OUT")))</f>
        <v>IN</v>
      </c>
      <c r="H1734" s="14" t="n">
        <f aca="false">H1733+IF(F1734="",0,F1734)</f>
        <v>-3.24613530045144</v>
      </c>
      <c r="I1734" s="14" t="n">
        <f aca="false">MAX(I1733,H1734)</f>
        <v>43.9309628600509</v>
      </c>
      <c r="J1734" s="14" t="n">
        <f aca="false">I1734-H1734</f>
        <v>47.1770981605023</v>
      </c>
    </row>
    <row r="1735" customFormat="false" ht="15" hidden="false" customHeight="false" outlineLevel="0" collapsed="false">
      <c r="A1735" s="12" t="n">
        <f aca="false">Data!A1735</f>
        <v>44522</v>
      </c>
      <c r="B1735" s="14" t="n">
        <f aca="false">Data!B1735</f>
        <v>76.75</v>
      </c>
      <c r="C1735" s="0" t="str">
        <f aca="false">IF(Data!D1735="","HOLD",IF(AND(G1734&lt;&gt;"IN",Data!E1735&lt;-5),"BUY",IF(AND(G1734="IN",Data!E1735&gt;0),"SELL","HOLD")))</f>
        <v>HOLD</v>
      </c>
      <c r="D1735" s="14" t="n">
        <f aca="false">IF(C1735="BUY",B1735,IF(G1734="IN",D1734,""))</f>
        <v>76.1</v>
      </c>
      <c r="E1735" s="14" t="str">
        <f aca="false">IF(C1735="SELL",B1735,"")</f>
        <v/>
      </c>
      <c r="F1735" s="14" t="str">
        <f aca="false">IF(E1735="","",(E1735-D1735)/D1735*100)</f>
        <v/>
      </c>
      <c r="G1735" s="0" t="str">
        <f aca="false">IF(C1735="BUY","IN",IF(C1735="SELL","OUT",IF(G1734="IN","IN","OUT")))</f>
        <v>IN</v>
      </c>
      <c r="H1735" s="14" t="n">
        <f aca="false">H1734+IF(F1735="",0,F1735)</f>
        <v>-3.24613530045144</v>
      </c>
      <c r="I1735" s="14" t="n">
        <f aca="false">MAX(I1734,H1735)</f>
        <v>43.9309628600509</v>
      </c>
      <c r="J1735" s="14" t="n">
        <f aca="false">I1735-H1735</f>
        <v>47.1770981605023</v>
      </c>
    </row>
    <row r="1736" customFormat="false" ht="15" hidden="false" customHeight="false" outlineLevel="0" collapsed="false">
      <c r="A1736" s="12" t="n">
        <f aca="false">Data!A1736</f>
        <v>44523</v>
      </c>
      <c r="B1736" s="14" t="n">
        <f aca="false">Data!B1736</f>
        <v>78.5</v>
      </c>
      <c r="C1736" s="0" t="str">
        <f aca="false">IF(Data!D1736="","HOLD",IF(AND(G1735&lt;&gt;"IN",Data!E1736&lt;-5),"BUY",IF(AND(G1735="IN",Data!E1736&gt;0),"SELL","HOLD")))</f>
        <v>HOLD</v>
      </c>
      <c r="D1736" s="14" t="n">
        <f aca="false">IF(C1736="BUY",B1736,IF(G1735="IN",D1735,""))</f>
        <v>76.1</v>
      </c>
      <c r="E1736" s="14" t="str">
        <f aca="false">IF(C1736="SELL",B1736,"")</f>
        <v/>
      </c>
      <c r="F1736" s="14" t="str">
        <f aca="false">IF(E1736="","",(E1736-D1736)/D1736*100)</f>
        <v/>
      </c>
      <c r="G1736" s="0" t="str">
        <f aca="false">IF(C1736="BUY","IN",IF(C1736="SELL","OUT",IF(G1735="IN","IN","OUT")))</f>
        <v>IN</v>
      </c>
      <c r="H1736" s="14" t="n">
        <f aca="false">H1735+IF(F1736="",0,F1736)</f>
        <v>-3.24613530045144</v>
      </c>
      <c r="I1736" s="14" t="n">
        <f aca="false">MAX(I1735,H1736)</f>
        <v>43.9309628600509</v>
      </c>
      <c r="J1736" s="14" t="n">
        <f aca="false">I1736-H1736</f>
        <v>47.1770981605023</v>
      </c>
    </row>
    <row r="1737" customFormat="false" ht="15" hidden="false" customHeight="false" outlineLevel="0" collapsed="false">
      <c r="A1737" s="12" t="n">
        <f aca="false">Data!A1737</f>
        <v>44524</v>
      </c>
      <c r="B1737" s="14" t="n">
        <f aca="false">Data!B1737</f>
        <v>78.39</v>
      </c>
      <c r="C1737" s="0" t="str">
        <f aca="false">IF(Data!D1737="","HOLD",IF(AND(G1736&lt;&gt;"IN",Data!E1737&lt;-5),"BUY",IF(AND(G1736="IN",Data!E1737&gt;0),"SELL","HOLD")))</f>
        <v>HOLD</v>
      </c>
      <c r="D1737" s="14" t="n">
        <f aca="false">IF(C1737="BUY",B1737,IF(G1736="IN",D1736,""))</f>
        <v>76.1</v>
      </c>
      <c r="E1737" s="14" t="str">
        <f aca="false">IF(C1737="SELL",B1737,"")</f>
        <v/>
      </c>
      <c r="F1737" s="14" t="str">
        <f aca="false">IF(E1737="","",(E1737-D1737)/D1737*100)</f>
        <v/>
      </c>
      <c r="G1737" s="0" t="str">
        <f aca="false">IF(C1737="BUY","IN",IF(C1737="SELL","OUT",IF(G1736="IN","IN","OUT")))</f>
        <v>IN</v>
      </c>
      <c r="H1737" s="14" t="n">
        <f aca="false">H1736+IF(F1737="",0,F1737)</f>
        <v>-3.24613530045144</v>
      </c>
      <c r="I1737" s="14" t="n">
        <f aca="false">MAX(I1736,H1737)</f>
        <v>43.9309628600509</v>
      </c>
      <c r="J1737" s="14" t="n">
        <f aca="false">I1737-H1737</f>
        <v>47.1770981605023</v>
      </c>
    </row>
    <row r="1738" customFormat="false" ht="15" hidden="false" customHeight="false" outlineLevel="0" collapsed="false">
      <c r="A1738" s="12" t="n">
        <f aca="false">Data!A1738</f>
        <v>44526</v>
      </c>
      <c r="B1738" s="14" t="n">
        <f aca="false">Data!B1738</f>
        <v>68.15</v>
      </c>
      <c r="C1738" s="0" t="str">
        <f aca="false">IF(Data!D1738="","HOLD",IF(AND(G1737&lt;&gt;"IN",Data!E1738&lt;-5),"BUY",IF(AND(G1737="IN",Data!E1738&gt;0),"SELL","HOLD")))</f>
        <v>HOLD</v>
      </c>
      <c r="D1738" s="14" t="n">
        <f aca="false">IF(C1738="BUY",B1738,IF(G1737="IN",D1737,""))</f>
        <v>76.1</v>
      </c>
      <c r="E1738" s="14" t="str">
        <f aca="false">IF(C1738="SELL",B1738,"")</f>
        <v/>
      </c>
      <c r="F1738" s="14" t="str">
        <f aca="false">IF(E1738="","",(E1738-D1738)/D1738*100)</f>
        <v/>
      </c>
      <c r="G1738" s="0" t="str">
        <f aca="false">IF(C1738="BUY","IN",IF(C1738="SELL","OUT",IF(G1737="IN","IN","OUT")))</f>
        <v>IN</v>
      </c>
      <c r="H1738" s="14" t="n">
        <f aca="false">H1737+IF(F1738="",0,F1738)</f>
        <v>-3.24613530045144</v>
      </c>
      <c r="I1738" s="14" t="n">
        <f aca="false">MAX(I1737,H1738)</f>
        <v>43.9309628600509</v>
      </c>
      <c r="J1738" s="14" t="n">
        <f aca="false">I1738-H1738</f>
        <v>47.1770981605023</v>
      </c>
    </row>
    <row r="1739" customFormat="false" ht="15" hidden="false" customHeight="false" outlineLevel="0" collapsed="false">
      <c r="A1739" s="12" t="n">
        <f aca="false">Data!A1739</f>
        <v>44529</v>
      </c>
      <c r="B1739" s="14" t="n">
        <f aca="false">Data!B1739</f>
        <v>69.95</v>
      </c>
      <c r="C1739" s="0" t="str">
        <f aca="false">IF(Data!D1739="","HOLD",IF(AND(G1738&lt;&gt;"IN",Data!E1739&lt;-5),"BUY",IF(AND(G1738="IN",Data!E1739&gt;0),"SELL","HOLD")))</f>
        <v>HOLD</v>
      </c>
      <c r="D1739" s="14" t="n">
        <f aca="false">IF(C1739="BUY",B1739,IF(G1738="IN",D1738,""))</f>
        <v>76.1</v>
      </c>
      <c r="E1739" s="14" t="str">
        <f aca="false">IF(C1739="SELL",B1739,"")</f>
        <v/>
      </c>
      <c r="F1739" s="14" t="str">
        <f aca="false">IF(E1739="","",(E1739-D1739)/D1739*100)</f>
        <v/>
      </c>
      <c r="G1739" s="0" t="str">
        <f aca="false">IF(C1739="BUY","IN",IF(C1739="SELL","OUT",IF(G1738="IN","IN","OUT")))</f>
        <v>IN</v>
      </c>
      <c r="H1739" s="14" t="n">
        <f aca="false">H1738+IF(F1739="",0,F1739)</f>
        <v>-3.24613530045144</v>
      </c>
      <c r="I1739" s="14" t="n">
        <f aca="false">MAX(I1738,H1739)</f>
        <v>43.9309628600509</v>
      </c>
      <c r="J1739" s="14" t="n">
        <f aca="false">I1739-H1739</f>
        <v>47.1770981605023</v>
      </c>
    </row>
    <row r="1740" customFormat="false" ht="15" hidden="false" customHeight="false" outlineLevel="0" collapsed="false">
      <c r="A1740" s="12" t="n">
        <f aca="false">Data!A1740</f>
        <v>44530</v>
      </c>
      <c r="B1740" s="14" t="n">
        <f aca="false">Data!B1740</f>
        <v>66.18</v>
      </c>
      <c r="C1740" s="0" t="str">
        <f aca="false">IF(Data!D1740="","HOLD",IF(AND(G1739&lt;&gt;"IN",Data!E1740&lt;-5),"BUY",IF(AND(G1739="IN",Data!E1740&gt;0),"SELL","HOLD")))</f>
        <v>HOLD</v>
      </c>
      <c r="D1740" s="14" t="n">
        <f aca="false">IF(C1740="BUY",B1740,IF(G1739="IN",D1739,""))</f>
        <v>76.1</v>
      </c>
      <c r="E1740" s="14" t="str">
        <f aca="false">IF(C1740="SELL",B1740,"")</f>
        <v/>
      </c>
      <c r="F1740" s="14" t="str">
        <f aca="false">IF(E1740="","",(E1740-D1740)/D1740*100)</f>
        <v/>
      </c>
      <c r="G1740" s="0" t="str">
        <f aca="false">IF(C1740="BUY","IN",IF(C1740="SELL","OUT",IF(G1739="IN","IN","OUT")))</f>
        <v>IN</v>
      </c>
      <c r="H1740" s="14" t="n">
        <f aca="false">H1739+IF(F1740="",0,F1740)</f>
        <v>-3.24613530045144</v>
      </c>
      <c r="I1740" s="14" t="n">
        <f aca="false">MAX(I1739,H1740)</f>
        <v>43.9309628600509</v>
      </c>
      <c r="J1740" s="14" t="n">
        <f aca="false">I1740-H1740</f>
        <v>47.1770981605023</v>
      </c>
    </row>
    <row r="1741" customFormat="false" ht="15" hidden="false" customHeight="false" outlineLevel="0" collapsed="false">
      <c r="A1741" s="12" t="n">
        <f aca="false">Data!A1741</f>
        <v>44531</v>
      </c>
      <c r="B1741" s="14" t="n">
        <f aca="false">Data!B1741</f>
        <v>65.57</v>
      </c>
      <c r="C1741" s="0" t="str">
        <f aca="false">IF(Data!D1741="","HOLD",IF(AND(G1740&lt;&gt;"IN",Data!E1741&lt;-5),"BUY",IF(AND(G1740="IN",Data!E1741&gt;0),"SELL","HOLD")))</f>
        <v>HOLD</v>
      </c>
      <c r="D1741" s="14" t="n">
        <f aca="false">IF(C1741="BUY",B1741,IF(G1740="IN",D1740,""))</f>
        <v>76.1</v>
      </c>
      <c r="E1741" s="14" t="str">
        <f aca="false">IF(C1741="SELL",B1741,"")</f>
        <v/>
      </c>
      <c r="F1741" s="14" t="str">
        <f aca="false">IF(E1741="","",(E1741-D1741)/D1741*100)</f>
        <v/>
      </c>
      <c r="G1741" s="0" t="str">
        <f aca="false">IF(C1741="BUY","IN",IF(C1741="SELL","OUT",IF(G1740="IN","IN","OUT")))</f>
        <v>IN</v>
      </c>
      <c r="H1741" s="14" t="n">
        <f aca="false">H1740+IF(F1741="",0,F1741)</f>
        <v>-3.24613530045144</v>
      </c>
      <c r="I1741" s="14" t="n">
        <f aca="false">MAX(I1740,H1741)</f>
        <v>43.9309628600509</v>
      </c>
      <c r="J1741" s="14" t="n">
        <f aca="false">I1741-H1741</f>
        <v>47.1770981605023</v>
      </c>
    </row>
    <row r="1742" customFormat="false" ht="15" hidden="false" customHeight="false" outlineLevel="0" collapsed="false">
      <c r="A1742" s="12" t="n">
        <f aca="false">Data!A1742</f>
        <v>44532</v>
      </c>
      <c r="B1742" s="14" t="n">
        <f aca="false">Data!B1742</f>
        <v>66.5</v>
      </c>
      <c r="C1742" s="0" t="str">
        <f aca="false">IF(Data!D1742="","HOLD",IF(AND(G1741&lt;&gt;"IN",Data!E1742&lt;-5),"BUY",IF(AND(G1741="IN",Data!E1742&gt;0),"SELL","HOLD")))</f>
        <v>HOLD</v>
      </c>
      <c r="D1742" s="14" t="n">
        <f aca="false">IF(C1742="BUY",B1742,IF(G1741="IN",D1741,""))</f>
        <v>76.1</v>
      </c>
      <c r="E1742" s="14" t="str">
        <f aca="false">IF(C1742="SELL",B1742,"")</f>
        <v/>
      </c>
      <c r="F1742" s="14" t="str">
        <f aca="false">IF(E1742="","",(E1742-D1742)/D1742*100)</f>
        <v/>
      </c>
      <c r="G1742" s="0" t="str">
        <f aca="false">IF(C1742="BUY","IN",IF(C1742="SELL","OUT",IF(G1741="IN","IN","OUT")))</f>
        <v>IN</v>
      </c>
      <c r="H1742" s="14" t="n">
        <f aca="false">H1741+IF(F1742="",0,F1742)</f>
        <v>-3.24613530045144</v>
      </c>
      <c r="I1742" s="14" t="n">
        <f aca="false">MAX(I1741,H1742)</f>
        <v>43.9309628600509</v>
      </c>
      <c r="J1742" s="14" t="n">
        <f aca="false">I1742-H1742</f>
        <v>47.1770981605023</v>
      </c>
    </row>
    <row r="1743" customFormat="false" ht="15" hidden="false" customHeight="false" outlineLevel="0" collapsed="false">
      <c r="A1743" s="12" t="n">
        <f aca="false">Data!A1743</f>
        <v>44533</v>
      </c>
      <c r="B1743" s="14" t="n">
        <f aca="false">Data!B1743</f>
        <v>66.26</v>
      </c>
      <c r="C1743" s="0" t="str">
        <f aca="false">IF(Data!D1743="","HOLD",IF(AND(G1742&lt;&gt;"IN",Data!E1743&lt;-5),"BUY",IF(AND(G1742="IN",Data!E1743&gt;0),"SELL","HOLD")))</f>
        <v>HOLD</v>
      </c>
      <c r="D1743" s="14" t="n">
        <f aca="false">IF(C1743="BUY",B1743,IF(G1742="IN",D1742,""))</f>
        <v>76.1</v>
      </c>
      <c r="E1743" s="14" t="str">
        <f aca="false">IF(C1743="SELL",B1743,"")</f>
        <v/>
      </c>
      <c r="F1743" s="14" t="str">
        <f aca="false">IF(E1743="","",(E1743-D1743)/D1743*100)</f>
        <v/>
      </c>
      <c r="G1743" s="0" t="str">
        <f aca="false">IF(C1743="BUY","IN",IF(C1743="SELL","OUT",IF(G1742="IN","IN","OUT")))</f>
        <v>IN</v>
      </c>
      <c r="H1743" s="14" t="n">
        <f aca="false">H1742+IF(F1743="",0,F1743)</f>
        <v>-3.24613530045144</v>
      </c>
      <c r="I1743" s="14" t="n">
        <f aca="false">MAX(I1742,H1743)</f>
        <v>43.9309628600509</v>
      </c>
      <c r="J1743" s="14" t="n">
        <f aca="false">I1743-H1743</f>
        <v>47.1770981605023</v>
      </c>
    </row>
    <row r="1744" customFormat="false" ht="15" hidden="false" customHeight="false" outlineLevel="0" collapsed="false">
      <c r="A1744" s="12" t="n">
        <f aca="false">Data!A1744</f>
        <v>44536</v>
      </c>
      <c r="B1744" s="14" t="n">
        <f aca="false">Data!B1744</f>
        <v>69.49</v>
      </c>
      <c r="C1744" s="0" t="str">
        <f aca="false">IF(Data!D1744="","HOLD",IF(AND(G1743&lt;&gt;"IN",Data!E1744&lt;-5),"BUY",IF(AND(G1743="IN",Data!E1744&gt;0),"SELL","HOLD")))</f>
        <v>HOLD</v>
      </c>
      <c r="D1744" s="14" t="n">
        <f aca="false">IF(C1744="BUY",B1744,IF(G1743="IN",D1743,""))</f>
        <v>76.1</v>
      </c>
      <c r="E1744" s="14" t="str">
        <f aca="false">IF(C1744="SELL",B1744,"")</f>
        <v/>
      </c>
      <c r="F1744" s="14" t="str">
        <f aca="false">IF(E1744="","",(E1744-D1744)/D1744*100)</f>
        <v/>
      </c>
      <c r="G1744" s="0" t="str">
        <f aca="false">IF(C1744="BUY","IN",IF(C1744="SELL","OUT",IF(G1743="IN","IN","OUT")))</f>
        <v>IN</v>
      </c>
      <c r="H1744" s="14" t="n">
        <f aca="false">H1743+IF(F1744="",0,F1744)</f>
        <v>-3.24613530045144</v>
      </c>
      <c r="I1744" s="14" t="n">
        <f aca="false">MAX(I1743,H1744)</f>
        <v>43.9309628600509</v>
      </c>
      <c r="J1744" s="14" t="n">
        <f aca="false">I1744-H1744</f>
        <v>47.1770981605023</v>
      </c>
    </row>
    <row r="1745" customFormat="false" ht="15" hidden="false" customHeight="false" outlineLevel="0" collapsed="false">
      <c r="A1745" s="12" t="n">
        <f aca="false">Data!A1745</f>
        <v>44537</v>
      </c>
      <c r="B1745" s="14" t="n">
        <f aca="false">Data!B1745</f>
        <v>72.05</v>
      </c>
      <c r="C1745" s="0" t="str">
        <f aca="false">IF(Data!D1745="","HOLD",IF(AND(G1744&lt;&gt;"IN",Data!E1745&lt;-5),"BUY",IF(AND(G1744="IN",Data!E1745&gt;0),"SELL","HOLD")))</f>
        <v>HOLD</v>
      </c>
      <c r="D1745" s="14" t="n">
        <f aca="false">IF(C1745="BUY",B1745,IF(G1744="IN",D1744,""))</f>
        <v>76.1</v>
      </c>
      <c r="E1745" s="14" t="str">
        <f aca="false">IF(C1745="SELL",B1745,"")</f>
        <v/>
      </c>
      <c r="F1745" s="14" t="str">
        <f aca="false">IF(E1745="","",(E1745-D1745)/D1745*100)</f>
        <v/>
      </c>
      <c r="G1745" s="0" t="str">
        <f aca="false">IF(C1745="BUY","IN",IF(C1745="SELL","OUT",IF(G1744="IN","IN","OUT")))</f>
        <v>IN</v>
      </c>
      <c r="H1745" s="14" t="n">
        <f aca="false">H1744+IF(F1745="",0,F1745)</f>
        <v>-3.24613530045144</v>
      </c>
      <c r="I1745" s="14" t="n">
        <f aca="false">MAX(I1744,H1745)</f>
        <v>43.9309628600509</v>
      </c>
      <c r="J1745" s="14" t="n">
        <f aca="false">I1745-H1745</f>
        <v>47.1770981605023</v>
      </c>
    </row>
    <row r="1746" customFormat="false" ht="15" hidden="false" customHeight="false" outlineLevel="0" collapsed="false">
      <c r="A1746" s="12" t="n">
        <f aca="false">Data!A1746</f>
        <v>44538</v>
      </c>
      <c r="B1746" s="14" t="n">
        <f aca="false">Data!B1746</f>
        <v>72.36</v>
      </c>
      <c r="C1746" s="0" t="str">
        <f aca="false">IF(Data!D1746="","HOLD",IF(AND(G1745&lt;&gt;"IN",Data!E1746&lt;-5),"BUY",IF(AND(G1745="IN",Data!E1746&gt;0),"SELL","HOLD")))</f>
        <v>HOLD</v>
      </c>
      <c r="D1746" s="14" t="n">
        <f aca="false">IF(C1746="BUY",B1746,IF(G1745="IN",D1745,""))</f>
        <v>76.1</v>
      </c>
      <c r="E1746" s="14" t="str">
        <f aca="false">IF(C1746="SELL",B1746,"")</f>
        <v/>
      </c>
      <c r="F1746" s="14" t="str">
        <f aca="false">IF(E1746="","",(E1746-D1746)/D1746*100)</f>
        <v/>
      </c>
      <c r="G1746" s="0" t="str">
        <f aca="false">IF(C1746="BUY","IN",IF(C1746="SELL","OUT",IF(G1745="IN","IN","OUT")))</f>
        <v>IN</v>
      </c>
      <c r="H1746" s="14" t="n">
        <f aca="false">H1745+IF(F1746="",0,F1746)</f>
        <v>-3.24613530045144</v>
      </c>
      <c r="I1746" s="14" t="n">
        <f aca="false">MAX(I1745,H1746)</f>
        <v>43.9309628600509</v>
      </c>
      <c r="J1746" s="14" t="n">
        <f aca="false">I1746-H1746</f>
        <v>47.1770981605023</v>
      </c>
    </row>
    <row r="1747" customFormat="false" ht="15" hidden="false" customHeight="false" outlineLevel="0" collapsed="false">
      <c r="A1747" s="12" t="n">
        <f aca="false">Data!A1747</f>
        <v>44539</v>
      </c>
      <c r="B1747" s="14" t="n">
        <f aca="false">Data!B1747</f>
        <v>70.94</v>
      </c>
      <c r="C1747" s="0" t="str">
        <f aca="false">IF(Data!D1747="","HOLD",IF(AND(G1746&lt;&gt;"IN",Data!E1747&lt;-5),"BUY",IF(AND(G1746="IN",Data!E1747&gt;0),"SELL","HOLD")))</f>
        <v>HOLD</v>
      </c>
      <c r="D1747" s="14" t="n">
        <f aca="false">IF(C1747="BUY",B1747,IF(G1746="IN",D1746,""))</f>
        <v>76.1</v>
      </c>
      <c r="E1747" s="14" t="str">
        <f aca="false">IF(C1747="SELL",B1747,"")</f>
        <v/>
      </c>
      <c r="F1747" s="14" t="str">
        <f aca="false">IF(E1747="","",(E1747-D1747)/D1747*100)</f>
        <v/>
      </c>
      <c r="G1747" s="0" t="str">
        <f aca="false">IF(C1747="BUY","IN",IF(C1747="SELL","OUT",IF(G1746="IN","IN","OUT")))</f>
        <v>IN</v>
      </c>
      <c r="H1747" s="14" t="n">
        <f aca="false">H1746+IF(F1747="",0,F1747)</f>
        <v>-3.24613530045144</v>
      </c>
      <c r="I1747" s="14" t="n">
        <f aca="false">MAX(I1746,H1747)</f>
        <v>43.9309628600509</v>
      </c>
      <c r="J1747" s="14" t="n">
        <f aca="false">I1747-H1747</f>
        <v>47.1770981605023</v>
      </c>
    </row>
    <row r="1748" customFormat="false" ht="15" hidden="false" customHeight="false" outlineLevel="0" collapsed="false">
      <c r="A1748" s="12" t="n">
        <f aca="false">Data!A1748</f>
        <v>44540</v>
      </c>
      <c r="B1748" s="14" t="n">
        <f aca="false">Data!B1748</f>
        <v>71.67</v>
      </c>
      <c r="C1748" s="0" t="str">
        <f aca="false">IF(Data!D1748="","HOLD",IF(AND(G1747&lt;&gt;"IN",Data!E1748&lt;-5),"BUY",IF(AND(G1747="IN",Data!E1748&gt;0),"SELL","HOLD")))</f>
        <v>HOLD</v>
      </c>
      <c r="D1748" s="14" t="n">
        <f aca="false">IF(C1748="BUY",B1748,IF(G1747="IN",D1747,""))</f>
        <v>76.1</v>
      </c>
      <c r="E1748" s="14" t="str">
        <f aca="false">IF(C1748="SELL",B1748,"")</f>
        <v/>
      </c>
      <c r="F1748" s="14" t="str">
        <f aca="false">IF(E1748="","",(E1748-D1748)/D1748*100)</f>
        <v/>
      </c>
      <c r="G1748" s="0" t="str">
        <f aca="false">IF(C1748="BUY","IN",IF(C1748="SELL","OUT",IF(G1747="IN","IN","OUT")))</f>
        <v>IN</v>
      </c>
      <c r="H1748" s="14" t="n">
        <f aca="false">H1747+IF(F1748="",0,F1748)</f>
        <v>-3.24613530045144</v>
      </c>
      <c r="I1748" s="14" t="n">
        <f aca="false">MAX(I1747,H1748)</f>
        <v>43.9309628600509</v>
      </c>
      <c r="J1748" s="14" t="n">
        <f aca="false">I1748-H1748</f>
        <v>47.1770981605023</v>
      </c>
    </row>
    <row r="1749" customFormat="false" ht="15" hidden="false" customHeight="false" outlineLevel="0" collapsed="false">
      <c r="A1749" s="12" t="n">
        <f aca="false">Data!A1749</f>
        <v>44543</v>
      </c>
      <c r="B1749" s="14" t="n">
        <f aca="false">Data!B1749</f>
        <v>71.29</v>
      </c>
      <c r="C1749" s="0" t="str">
        <f aca="false">IF(Data!D1749="","HOLD",IF(AND(G1748&lt;&gt;"IN",Data!E1749&lt;-5),"BUY",IF(AND(G1748="IN",Data!E1749&gt;0),"SELL","HOLD")))</f>
        <v>HOLD</v>
      </c>
      <c r="D1749" s="14" t="n">
        <f aca="false">IF(C1749="BUY",B1749,IF(G1748="IN",D1748,""))</f>
        <v>76.1</v>
      </c>
      <c r="E1749" s="14" t="str">
        <f aca="false">IF(C1749="SELL",B1749,"")</f>
        <v/>
      </c>
      <c r="F1749" s="14" t="str">
        <f aca="false">IF(E1749="","",(E1749-D1749)/D1749*100)</f>
        <v/>
      </c>
      <c r="G1749" s="0" t="str">
        <f aca="false">IF(C1749="BUY","IN",IF(C1749="SELL","OUT",IF(G1748="IN","IN","OUT")))</f>
        <v>IN</v>
      </c>
      <c r="H1749" s="14" t="n">
        <f aca="false">H1748+IF(F1749="",0,F1749)</f>
        <v>-3.24613530045144</v>
      </c>
      <c r="I1749" s="14" t="n">
        <f aca="false">MAX(I1748,H1749)</f>
        <v>43.9309628600509</v>
      </c>
      <c r="J1749" s="14" t="n">
        <f aca="false">I1749-H1749</f>
        <v>47.1770981605023</v>
      </c>
    </row>
    <row r="1750" customFormat="false" ht="15" hidden="false" customHeight="false" outlineLevel="0" collapsed="false">
      <c r="A1750" s="12" t="n">
        <f aca="false">Data!A1750</f>
        <v>44544</v>
      </c>
      <c r="B1750" s="14" t="n">
        <f aca="false">Data!B1750</f>
        <v>70.73</v>
      </c>
      <c r="C1750" s="0" t="str">
        <f aca="false">IF(Data!D1750="","HOLD",IF(AND(G1749&lt;&gt;"IN",Data!E1750&lt;-5),"BUY",IF(AND(G1749="IN",Data!E1750&gt;0),"SELL","HOLD")))</f>
        <v>HOLD</v>
      </c>
      <c r="D1750" s="14" t="n">
        <f aca="false">IF(C1750="BUY",B1750,IF(G1749="IN",D1749,""))</f>
        <v>76.1</v>
      </c>
      <c r="E1750" s="14" t="str">
        <f aca="false">IF(C1750="SELL",B1750,"")</f>
        <v/>
      </c>
      <c r="F1750" s="14" t="str">
        <f aca="false">IF(E1750="","",(E1750-D1750)/D1750*100)</f>
        <v/>
      </c>
      <c r="G1750" s="0" t="str">
        <f aca="false">IF(C1750="BUY","IN",IF(C1750="SELL","OUT",IF(G1749="IN","IN","OUT")))</f>
        <v>IN</v>
      </c>
      <c r="H1750" s="14" t="n">
        <f aca="false">H1749+IF(F1750="",0,F1750)</f>
        <v>-3.24613530045144</v>
      </c>
      <c r="I1750" s="14" t="n">
        <f aca="false">MAX(I1749,H1750)</f>
        <v>43.9309628600509</v>
      </c>
      <c r="J1750" s="14" t="n">
        <f aca="false">I1750-H1750</f>
        <v>47.1770981605023</v>
      </c>
    </row>
    <row r="1751" customFormat="false" ht="15" hidden="false" customHeight="false" outlineLevel="0" collapsed="false">
      <c r="A1751" s="12" t="n">
        <f aca="false">Data!A1751</f>
        <v>44545</v>
      </c>
      <c r="B1751" s="14" t="n">
        <f aca="false">Data!B1751</f>
        <v>70.87</v>
      </c>
      <c r="C1751" s="0" t="str">
        <f aca="false">IF(Data!D1751="","HOLD",IF(AND(G1750&lt;&gt;"IN",Data!E1751&lt;-5),"BUY",IF(AND(G1750="IN",Data!E1751&gt;0),"SELL","HOLD")))</f>
        <v>HOLD</v>
      </c>
      <c r="D1751" s="14" t="n">
        <f aca="false">IF(C1751="BUY",B1751,IF(G1750="IN",D1750,""))</f>
        <v>76.1</v>
      </c>
      <c r="E1751" s="14" t="str">
        <f aca="false">IF(C1751="SELL",B1751,"")</f>
        <v/>
      </c>
      <c r="F1751" s="14" t="str">
        <f aca="false">IF(E1751="","",(E1751-D1751)/D1751*100)</f>
        <v/>
      </c>
      <c r="G1751" s="0" t="str">
        <f aca="false">IF(C1751="BUY","IN",IF(C1751="SELL","OUT",IF(G1750="IN","IN","OUT")))</f>
        <v>IN</v>
      </c>
      <c r="H1751" s="14" t="n">
        <f aca="false">H1750+IF(F1751="",0,F1751)</f>
        <v>-3.24613530045144</v>
      </c>
      <c r="I1751" s="14" t="n">
        <f aca="false">MAX(I1750,H1751)</f>
        <v>43.9309628600509</v>
      </c>
      <c r="J1751" s="14" t="n">
        <f aca="false">I1751-H1751</f>
        <v>47.1770981605023</v>
      </c>
    </row>
    <row r="1752" customFormat="false" ht="15" hidden="false" customHeight="false" outlineLevel="0" collapsed="false">
      <c r="A1752" s="12" t="n">
        <f aca="false">Data!A1752</f>
        <v>44546</v>
      </c>
      <c r="B1752" s="14" t="n">
        <f aca="false">Data!B1752</f>
        <v>72.38</v>
      </c>
      <c r="C1752" s="0" t="str">
        <f aca="false">IF(Data!D1752="","HOLD",IF(AND(G1751&lt;&gt;"IN",Data!E1752&lt;-5),"BUY",IF(AND(G1751="IN",Data!E1752&gt;0),"SELL","HOLD")))</f>
        <v>SELL</v>
      </c>
      <c r="D1752" s="14" t="n">
        <f aca="false">IF(C1752="BUY",B1752,IF(G1751="IN",D1751,""))</f>
        <v>76.1</v>
      </c>
      <c r="E1752" s="14" t="n">
        <f aca="false">IF(C1752="SELL",B1752,"")</f>
        <v>72.38</v>
      </c>
      <c r="F1752" s="14" t="n">
        <f aca="false">IF(E1752="","",(E1752-D1752)/D1752*100)</f>
        <v>-4.88830486202365</v>
      </c>
      <c r="G1752" s="0" t="str">
        <f aca="false">IF(C1752="BUY","IN",IF(C1752="SELL","OUT",IF(G1751="IN","IN","OUT")))</f>
        <v>OUT</v>
      </c>
      <c r="H1752" s="14" t="n">
        <f aca="false">H1751+IF(F1752="",0,F1752)</f>
        <v>-8.13444016247509</v>
      </c>
      <c r="I1752" s="14" t="n">
        <f aca="false">MAX(I1751,H1752)</f>
        <v>43.9309628600509</v>
      </c>
      <c r="J1752" s="14" t="n">
        <f aca="false">I1752-H1752</f>
        <v>52.065403022526</v>
      </c>
    </row>
    <row r="1753" customFormat="false" ht="15" hidden="false" customHeight="false" outlineLevel="0" collapsed="false">
      <c r="A1753" s="12" t="n">
        <f aca="false">Data!A1753</f>
        <v>44547</v>
      </c>
      <c r="B1753" s="14" t="n">
        <f aca="false">Data!B1753</f>
        <v>70.86</v>
      </c>
      <c r="C1753" s="0" t="str">
        <f aca="false">IF(Data!D1753="","HOLD",IF(AND(G1752&lt;&gt;"IN",Data!E1753&lt;-5),"BUY",IF(AND(G1752="IN",Data!E1753&gt;0),"SELL","HOLD")))</f>
        <v>HOLD</v>
      </c>
      <c r="D1753" s="14" t="str">
        <f aca="false">IF(C1753="BUY",B1753,IF(G1752="IN",D1752,""))</f>
        <v/>
      </c>
      <c r="E1753" s="14" t="str">
        <f aca="false">IF(C1753="SELL",B1753,"")</f>
        <v/>
      </c>
      <c r="F1753" s="14" t="str">
        <f aca="false">IF(E1753="","",(E1753-D1753)/D1753*100)</f>
        <v/>
      </c>
      <c r="G1753" s="0" t="str">
        <f aca="false">IF(C1753="BUY","IN",IF(C1753="SELL","OUT",IF(G1752="IN","IN","OUT")))</f>
        <v>OUT</v>
      </c>
      <c r="H1753" s="14" t="n">
        <f aca="false">H1752+IF(F1753="",0,F1753)</f>
        <v>-8.13444016247509</v>
      </c>
      <c r="I1753" s="14" t="n">
        <f aca="false">MAX(I1752,H1753)</f>
        <v>43.9309628600509</v>
      </c>
      <c r="J1753" s="14" t="n">
        <f aca="false">I1753-H1753</f>
        <v>52.065403022526</v>
      </c>
    </row>
    <row r="1754" customFormat="false" ht="15" hidden="false" customHeight="false" outlineLevel="0" collapsed="false">
      <c r="A1754" s="12" t="n">
        <f aca="false">Data!A1754</f>
        <v>44550</v>
      </c>
      <c r="B1754" s="14" t="n">
        <f aca="false">Data!B1754</f>
        <v>68.23</v>
      </c>
      <c r="C1754" s="0" t="str">
        <f aca="false">IF(Data!D1754="","HOLD",IF(AND(G1753&lt;&gt;"IN",Data!E1754&lt;-5),"BUY",IF(AND(G1753="IN",Data!E1754&gt;0),"SELL","HOLD")))</f>
        <v>HOLD</v>
      </c>
      <c r="D1754" s="14" t="str">
        <f aca="false">IF(C1754="BUY",B1754,IF(G1753="IN",D1753,""))</f>
        <v/>
      </c>
      <c r="E1754" s="14" t="str">
        <f aca="false">IF(C1754="SELL",B1754,"")</f>
        <v/>
      </c>
      <c r="F1754" s="14" t="str">
        <f aca="false">IF(E1754="","",(E1754-D1754)/D1754*100)</f>
        <v/>
      </c>
      <c r="G1754" s="0" t="str">
        <f aca="false">IF(C1754="BUY","IN",IF(C1754="SELL","OUT",IF(G1753="IN","IN","OUT")))</f>
        <v>OUT</v>
      </c>
      <c r="H1754" s="14" t="n">
        <f aca="false">H1753+IF(F1754="",0,F1754)</f>
        <v>-8.13444016247509</v>
      </c>
      <c r="I1754" s="14" t="n">
        <f aca="false">MAX(I1753,H1754)</f>
        <v>43.9309628600509</v>
      </c>
      <c r="J1754" s="14" t="n">
        <f aca="false">I1754-H1754</f>
        <v>52.065403022526</v>
      </c>
    </row>
    <row r="1755" customFormat="false" ht="15" hidden="false" customHeight="false" outlineLevel="0" collapsed="false">
      <c r="A1755" s="12" t="n">
        <f aca="false">Data!A1755</f>
        <v>44551</v>
      </c>
      <c r="B1755" s="14" t="n">
        <f aca="false">Data!B1755</f>
        <v>71.12</v>
      </c>
      <c r="C1755" s="0" t="str">
        <f aca="false">IF(Data!D1755="","HOLD",IF(AND(G1754&lt;&gt;"IN",Data!E1755&lt;-5),"BUY",IF(AND(G1754="IN",Data!E1755&gt;0),"SELL","HOLD")))</f>
        <v>HOLD</v>
      </c>
      <c r="D1755" s="14" t="str">
        <f aca="false">IF(C1755="BUY",B1755,IF(G1754="IN",D1754,""))</f>
        <v/>
      </c>
      <c r="E1755" s="14" t="str">
        <f aca="false">IF(C1755="SELL",B1755,"")</f>
        <v/>
      </c>
      <c r="F1755" s="14" t="str">
        <f aca="false">IF(E1755="","",(E1755-D1755)/D1755*100)</f>
        <v/>
      </c>
      <c r="G1755" s="0" t="str">
        <f aca="false">IF(C1755="BUY","IN",IF(C1755="SELL","OUT",IF(G1754="IN","IN","OUT")))</f>
        <v>OUT</v>
      </c>
      <c r="H1755" s="14" t="n">
        <f aca="false">H1754+IF(F1755="",0,F1755)</f>
        <v>-8.13444016247509</v>
      </c>
      <c r="I1755" s="14" t="n">
        <f aca="false">MAX(I1754,H1755)</f>
        <v>43.9309628600509</v>
      </c>
      <c r="J1755" s="14" t="n">
        <f aca="false">I1755-H1755</f>
        <v>52.065403022526</v>
      </c>
    </row>
    <row r="1756" customFormat="false" ht="15" hidden="false" customHeight="false" outlineLevel="0" collapsed="false">
      <c r="A1756" s="12" t="n">
        <f aca="false">Data!A1756</f>
        <v>44552</v>
      </c>
      <c r="B1756" s="14" t="n">
        <f aca="false">Data!B1756</f>
        <v>72.76</v>
      </c>
      <c r="C1756" s="0" t="str">
        <f aca="false">IF(Data!D1756="","HOLD",IF(AND(G1755&lt;&gt;"IN",Data!E1756&lt;-5),"BUY",IF(AND(G1755="IN",Data!E1756&gt;0),"SELL","HOLD")))</f>
        <v>HOLD</v>
      </c>
      <c r="D1756" s="14" t="str">
        <f aca="false">IF(C1756="BUY",B1756,IF(G1755="IN",D1755,""))</f>
        <v/>
      </c>
      <c r="E1756" s="14" t="str">
        <f aca="false">IF(C1756="SELL",B1756,"")</f>
        <v/>
      </c>
      <c r="F1756" s="14" t="str">
        <f aca="false">IF(E1756="","",(E1756-D1756)/D1756*100)</f>
        <v/>
      </c>
      <c r="G1756" s="0" t="str">
        <f aca="false">IF(C1756="BUY","IN",IF(C1756="SELL","OUT",IF(G1755="IN","IN","OUT")))</f>
        <v>OUT</v>
      </c>
      <c r="H1756" s="14" t="n">
        <f aca="false">H1755+IF(F1756="",0,F1756)</f>
        <v>-8.13444016247509</v>
      </c>
      <c r="I1756" s="14" t="n">
        <f aca="false">MAX(I1755,H1756)</f>
        <v>43.9309628600509</v>
      </c>
      <c r="J1756" s="14" t="n">
        <f aca="false">I1756-H1756</f>
        <v>52.065403022526</v>
      </c>
    </row>
    <row r="1757" customFormat="false" ht="15" hidden="false" customHeight="false" outlineLevel="0" collapsed="false">
      <c r="A1757" s="12" t="n">
        <f aca="false">Data!A1757</f>
        <v>44553</v>
      </c>
      <c r="B1757" s="14" t="n">
        <f aca="false">Data!B1757</f>
        <v>73.79</v>
      </c>
      <c r="C1757" s="0" t="str">
        <f aca="false">IF(Data!D1757="","HOLD",IF(AND(G1756&lt;&gt;"IN",Data!E1757&lt;-5),"BUY",IF(AND(G1756="IN",Data!E1757&gt;0),"SELL","HOLD")))</f>
        <v>HOLD</v>
      </c>
      <c r="D1757" s="14" t="str">
        <f aca="false">IF(C1757="BUY",B1757,IF(G1756="IN",D1756,""))</f>
        <v/>
      </c>
      <c r="E1757" s="14" t="str">
        <f aca="false">IF(C1757="SELL",B1757,"")</f>
        <v/>
      </c>
      <c r="F1757" s="14" t="str">
        <f aca="false">IF(E1757="","",(E1757-D1757)/D1757*100)</f>
        <v/>
      </c>
      <c r="G1757" s="0" t="str">
        <f aca="false">IF(C1757="BUY","IN",IF(C1757="SELL","OUT",IF(G1756="IN","IN","OUT")))</f>
        <v>OUT</v>
      </c>
      <c r="H1757" s="14" t="n">
        <f aca="false">H1756+IF(F1757="",0,F1757)</f>
        <v>-8.13444016247509</v>
      </c>
      <c r="I1757" s="14" t="n">
        <f aca="false">MAX(I1756,H1757)</f>
        <v>43.9309628600509</v>
      </c>
      <c r="J1757" s="14" t="n">
        <f aca="false">I1757-H1757</f>
        <v>52.065403022526</v>
      </c>
    </row>
    <row r="1758" customFormat="false" ht="15" hidden="false" customHeight="false" outlineLevel="0" collapsed="false">
      <c r="A1758" s="12" t="n">
        <f aca="false">Data!A1758</f>
        <v>44557</v>
      </c>
      <c r="B1758" s="14" t="n">
        <f aca="false">Data!B1758</f>
        <v>75.57</v>
      </c>
      <c r="C1758" s="0" t="str">
        <f aca="false">IF(Data!D1758="","HOLD",IF(AND(G1757&lt;&gt;"IN",Data!E1758&lt;-5),"BUY",IF(AND(G1757="IN",Data!E1758&gt;0),"SELL","HOLD")))</f>
        <v>HOLD</v>
      </c>
      <c r="D1758" s="14" t="str">
        <f aca="false">IF(C1758="BUY",B1758,IF(G1757="IN",D1757,""))</f>
        <v/>
      </c>
      <c r="E1758" s="14" t="str">
        <f aca="false">IF(C1758="SELL",B1758,"")</f>
        <v/>
      </c>
      <c r="F1758" s="14" t="str">
        <f aca="false">IF(E1758="","",(E1758-D1758)/D1758*100)</f>
        <v/>
      </c>
      <c r="G1758" s="0" t="str">
        <f aca="false">IF(C1758="BUY","IN",IF(C1758="SELL","OUT",IF(G1757="IN","IN","OUT")))</f>
        <v>OUT</v>
      </c>
      <c r="H1758" s="14" t="n">
        <f aca="false">H1757+IF(F1758="",0,F1758)</f>
        <v>-8.13444016247509</v>
      </c>
      <c r="I1758" s="14" t="n">
        <f aca="false">MAX(I1757,H1758)</f>
        <v>43.9309628600509</v>
      </c>
      <c r="J1758" s="14" t="n">
        <f aca="false">I1758-H1758</f>
        <v>52.065403022526</v>
      </c>
    </row>
    <row r="1759" customFormat="false" ht="15" hidden="false" customHeight="false" outlineLevel="0" collapsed="false">
      <c r="A1759" s="12" t="n">
        <f aca="false">Data!A1759</f>
        <v>44558</v>
      </c>
      <c r="B1759" s="14" t="n">
        <f aca="false">Data!B1759</f>
        <v>75.98</v>
      </c>
      <c r="C1759" s="0" t="str">
        <f aca="false">IF(Data!D1759="","HOLD",IF(AND(G1758&lt;&gt;"IN",Data!E1759&lt;-5),"BUY",IF(AND(G1758="IN",Data!E1759&gt;0),"SELL","HOLD")))</f>
        <v>HOLD</v>
      </c>
      <c r="D1759" s="14" t="str">
        <f aca="false">IF(C1759="BUY",B1759,IF(G1758="IN",D1758,""))</f>
        <v/>
      </c>
      <c r="E1759" s="14" t="str">
        <f aca="false">IF(C1759="SELL",B1759,"")</f>
        <v/>
      </c>
      <c r="F1759" s="14" t="str">
        <f aca="false">IF(E1759="","",(E1759-D1759)/D1759*100)</f>
        <v/>
      </c>
      <c r="G1759" s="0" t="str">
        <f aca="false">IF(C1759="BUY","IN",IF(C1759="SELL","OUT",IF(G1758="IN","IN","OUT")))</f>
        <v>OUT</v>
      </c>
      <c r="H1759" s="14" t="n">
        <f aca="false">H1758+IF(F1759="",0,F1759)</f>
        <v>-8.13444016247509</v>
      </c>
      <c r="I1759" s="14" t="n">
        <f aca="false">MAX(I1758,H1759)</f>
        <v>43.9309628600509</v>
      </c>
      <c r="J1759" s="14" t="n">
        <f aca="false">I1759-H1759</f>
        <v>52.065403022526</v>
      </c>
    </row>
    <row r="1760" customFormat="false" ht="15" hidden="false" customHeight="false" outlineLevel="0" collapsed="false">
      <c r="A1760" s="12" t="n">
        <f aca="false">Data!A1760</f>
        <v>44559</v>
      </c>
      <c r="B1760" s="14" t="n">
        <f aca="false">Data!B1760</f>
        <v>76.56</v>
      </c>
      <c r="C1760" s="0" t="str">
        <f aca="false">IF(Data!D1760="","HOLD",IF(AND(G1759&lt;&gt;"IN",Data!E1760&lt;-5),"BUY",IF(AND(G1759="IN",Data!E1760&gt;0),"SELL","HOLD")))</f>
        <v>HOLD</v>
      </c>
      <c r="D1760" s="14" t="str">
        <f aca="false">IF(C1760="BUY",B1760,IF(G1759="IN",D1759,""))</f>
        <v/>
      </c>
      <c r="E1760" s="14" t="str">
        <f aca="false">IF(C1760="SELL",B1760,"")</f>
        <v/>
      </c>
      <c r="F1760" s="14" t="str">
        <f aca="false">IF(E1760="","",(E1760-D1760)/D1760*100)</f>
        <v/>
      </c>
      <c r="G1760" s="0" t="str">
        <f aca="false">IF(C1760="BUY","IN",IF(C1760="SELL","OUT",IF(G1759="IN","IN","OUT")))</f>
        <v>OUT</v>
      </c>
      <c r="H1760" s="14" t="n">
        <f aca="false">H1759+IF(F1760="",0,F1760)</f>
        <v>-8.13444016247509</v>
      </c>
      <c r="I1760" s="14" t="n">
        <f aca="false">MAX(I1759,H1760)</f>
        <v>43.9309628600509</v>
      </c>
      <c r="J1760" s="14" t="n">
        <f aca="false">I1760-H1760</f>
        <v>52.065403022526</v>
      </c>
    </row>
    <row r="1761" customFormat="false" ht="15" hidden="false" customHeight="false" outlineLevel="0" collapsed="false">
      <c r="A1761" s="12" t="n">
        <f aca="false">Data!A1761</f>
        <v>44560</v>
      </c>
      <c r="B1761" s="14" t="n">
        <f aca="false">Data!B1761</f>
        <v>76.99</v>
      </c>
      <c r="C1761" s="0" t="str">
        <f aca="false">IF(Data!D1761="","HOLD",IF(AND(G1760&lt;&gt;"IN",Data!E1761&lt;-5),"BUY",IF(AND(G1760="IN",Data!E1761&gt;0),"SELL","HOLD")))</f>
        <v>HOLD</v>
      </c>
      <c r="D1761" s="14" t="str">
        <f aca="false">IF(C1761="BUY",B1761,IF(G1760="IN",D1760,""))</f>
        <v/>
      </c>
      <c r="E1761" s="14" t="str">
        <f aca="false">IF(C1761="SELL",B1761,"")</f>
        <v/>
      </c>
      <c r="F1761" s="14" t="str">
        <f aca="false">IF(E1761="","",(E1761-D1761)/D1761*100)</f>
        <v/>
      </c>
      <c r="G1761" s="0" t="str">
        <f aca="false">IF(C1761="BUY","IN",IF(C1761="SELL","OUT",IF(G1760="IN","IN","OUT")))</f>
        <v>OUT</v>
      </c>
      <c r="H1761" s="14" t="n">
        <f aca="false">H1760+IF(F1761="",0,F1761)</f>
        <v>-8.13444016247509</v>
      </c>
      <c r="I1761" s="14" t="n">
        <f aca="false">MAX(I1760,H1761)</f>
        <v>43.9309628600509</v>
      </c>
      <c r="J1761" s="14" t="n">
        <f aca="false">I1761-H1761</f>
        <v>52.065403022526</v>
      </c>
    </row>
    <row r="1762" customFormat="false" ht="15" hidden="false" customHeight="false" outlineLevel="0" collapsed="false">
      <c r="A1762" s="12" t="n">
        <f aca="false">Data!A1762</f>
        <v>44561</v>
      </c>
      <c r="B1762" s="14" t="n">
        <f aca="false">Data!B1762</f>
        <v>75.21</v>
      </c>
      <c r="C1762" s="0" t="str">
        <f aca="false">IF(Data!D1762="","HOLD",IF(AND(G1761&lt;&gt;"IN",Data!E1762&lt;-5),"BUY",IF(AND(G1761="IN",Data!E1762&gt;0),"SELL","HOLD")))</f>
        <v>HOLD</v>
      </c>
      <c r="D1762" s="14" t="str">
        <f aca="false">IF(C1762="BUY",B1762,IF(G1761="IN",D1761,""))</f>
        <v/>
      </c>
      <c r="E1762" s="14" t="str">
        <f aca="false">IF(C1762="SELL",B1762,"")</f>
        <v/>
      </c>
      <c r="F1762" s="14" t="str">
        <f aca="false">IF(E1762="","",(E1762-D1762)/D1762*100)</f>
        <v/>
      </c>
      <c r="G1762" s="0" t="str">
        <f aca="false">IF(C1762="BUY","IN",IF(C1762="SELL","OUT",IF(G1761="IN","IN","OUT")))</f>
        <v>OUT</v>
      </c>
      <c r="H1762" s="14" t="n">
        <f aca="false">H1761+IF(F1762="",0,F1762)</f>
        <v>-8.13444016247509</v>
      </c>
      <c r="I1762" s="14" t="n">
        <f aca="false">MAX(I1761,H1762)</f>
        <v>43.9309628600509</v>
      </c>
      <c r="J1762" s="14" t="n">
        <f aca="false">I1762-H1762</f>
        <v>52.065403022526</v>
      </c>
    </row>
    <row r="1763" customFormat="false" ht="15" hidden="false" customHeight="false" outlineLevel="0" collapsed="false">
      <c r="A1763" s="12" t="n">
        <f aca="false">Data!A1763</f>
        <v>44564</v>
      </c>
      <c r="B1763" s="14" t="n">
        <f aca="false">Data!B1763</f>
        <v>76.08</v>
      </c>
      <c r="C1763" s="0" t="str">
        <f aca="false">IF(Data!D1763="","HOLD",IF(AND(G1762&lt;&gt;"IN",Data!E1763&lt;-5),"BUY",IF(AND(G1762="IN",Data!E1763&gt;0),"SELL","HOLD")))</f>
        <v>HOLD</v>
      </c>
      <c r="D1763" s="14" t="str">
        <f aca="false">IF(C1763="BUY",B1763,IF(G1762="IN",D1762,""))</f>
        <v/>
      </c>
      <c r="E1763" s="14" t="str">
        <f aca="false">IF(C1763="SELL",B1763,"")</f>
        <v/>
      </c>
      <c r="F1763" s="14" t="str">
        <f aca="false">IF(E1763="","",(E1763-D1763)/D1763*100)</f>
        <v/>
      </c>
      <c r="G1763" s="0" t="str">
        <f aca="false">IF(C1763="BUY","IN",IF(C1763="SELL","OUT",IF(G1762="IN","IN","OUT")))</f>
        <v>OUT</v>
      </c>
      <c r="H1763" s="14" t="n">
        <f aca="false">H1762+IF(F1763="",0,F1763)</f>
        <v>-8.13444016247509</v>
      </c>
      <c r="I1763" s="14" t="n">
        <f aca="false">MAX(I1762,H1763)</f>
        <v>43.9309628600509</v>
      </c>
      <c r="J1763" s="14" t="n">
        <f aca="false">I1763-H1763</f>
        <v>52.065403022526</v>
      </c>
    </row>
    <row r="1764" customFormat="false" ht="15" hidden="false" customHeight="false" outlineLevel="0" collapsed="false">
      <c r="A1764" s="12" t="n">
        <f aca="false">Data!A1764</f>
        <v>44565</v>
      </c>
      <c r="B1764" s="14" t="n">
        <f aca="false">Data!B1764</f>
        <v>76.99</v>
      </c>
      <c r="C1764" s="0" t="str">
        <f aca="false">IF(Data!D1764="","HOLD",IF(AND(G1763&lt;&gt;"IN",Data!E1764&lt;-5),"BUY",IF(AND(G1763="IN",Data!E1764&gt;0),"SELL","HOLD")))</f>
        <v>HOLD</v>
      </c>
      <c r="D1764" s="14" t="str">
        <f aca="false">IF(C1764="BUY",B1764,IF(G1763="IN",D1763,""))</f>
        <v/>
      </c>
      <c r="E1764" s="14" t="str">
        <f aca="false">IF(C1764="SELL",B1764,"")</f>
        <v/>
      </c>
      <c r="F1764" s="14" t="str">
        <f aca="false">IF(E1764="","",(E1764-D1764)/D1764*100)</f>
        <v/>
      </c>
      <c r="G1764" s="0" t="str">
        <f aca="false">IF(C1764="BUY","IN",IF(C1764="SELL","OUT",IF(G1763="IN","IN","OUT")))</f>
        <v>OUT</v>
      </c>
      <c r="H1764" s="14" t="n">
        <f aca="false">H1763+IF(F1764="",0,F1764)</f>
        <v>-8.13444016247509</v>
      </c>
      <c r="I1764" s="14" t="n">
        <f aca="false">MAX(I1763,H1764)</f>
        <v>43.9309628600509</v>
      </c>
      <c r="J1764" s="14" t="n">
        <f aca="false">I1764-H1764</f>
        <v>52.065403022526</v>
      </c>
    </row>
    <row r="1765" customFormat="false" ht="15" hidden="false" customHeight="false" outlineLevel="0" collapsed="false">
      <c r="A1765" s="12" t="n">
        <f aca="false">Data!A1765</f>
        <v>44566</v>
      </c>
      <c r="B1765" s="14" t="n">
        <f aca="false">Data!B1765</f>
        <v>77.85</v>
      </c>
      <c r="C1765" s="0" t="str">
        <f aca="false">IF(Data!D1765="","HOLD",IF(AND(G1764&lt;&gt;"IN",Data!E1765&lt;-5),"BUY",IF(AND(G1764="IN",Data!E1765&gt;0),"SELL","HOLD")))</f>
        <v>HOLD</v>
      </c>
      <c r="D1765" s="14" t="str">
        <f aca="false">IF(C1765="BUY",B1765,IF(G1764="IN",D1764,""))</f>
        <v/>
      </c>
      <c r="E1765" s="14" t="str">
        <f aca="false">IF(C1765="SELL",B1765,"")</f>
        <v/>
      </c>
      <c r="F1765" s="14" t="str">
        <f aca="false">IF(E1765="","",(E1765-D1765)/D1765*100)</f>
        <v/>
      </c>
      <c r="G1765" s="0" t="str">
        <f aca="false">IF(C1765="BUY","IN",IF(C1765="SELL","OUT",IF(G1764="IN","IN","OUT")))</f>
        <v>OUT</v>
      </c>
      <c r="H1765" s="14" t="n">
        <f aca="false">H1764+IF(F1765="",0,F1765)</f>
        <v>-8.13444016247509</v>
      </c>
      <c r="I1765" s="14" t="n">
        <f aca="false">MAX(I1764,H1765)</f>
        <v>43.9309628600509</v>
      </c>
      <c r="J1765" s="14" t="n">
        <f aca="false">I1765-H1765</f>
        <v>52.065403022526</v>
      </c>
    </row>
    <row r="1766" customFormat="false" ht="15" hidden="false" customHeight="false" outlineLevel="0" collapsed="false">
      <c r="A1766" s="12" t="n">
        <f aca="false">Data!A1766</f>
        <v>44567</v>
      </c>
      <c r="B1766" s="14" t="n">
        <f aca="false">Data!B1766</f>
        <v>79.46</v>
      </c>
      <c r="C1766" s="0" t="str">
        <f aca="false">IF(Data!D1766="","HOLD",IF(AND(G1765&lt;&gt;"IN",Data!E1766&lt;-5),"BUY",IF(AND(G1765="IN",Data!E1766&gt;0),"SELL","HOLD")))</f>
        <v>HOLD</v>
      </c>
      <c r="D1766" s="14" t="str">
        <f aca="false">IF(C1766="BUY",B1766,IF(G1765="IN",D1765,""))</f>
        <v/>
      </c>
      <c r="E1766" s="14" t="str">
        <f aca="false">IF(C1766="SELL",B1766,"")</f>
        <v/>
      </c>
      <c r="F1766" s="14" t="str">
        <f aca="false">IF(E1766="","",(E1766-D1766)/D1766*100)</f>
        <v/>
      </c>
      <c r="G1766" s="0" t="str">
        <f aca="false">IF(C1766="BUY","IN",IF(C1766="SELL","OUT",IF(G1765="IN","IN","OUT")))</f>
        <v>OUT</v>
      </c>
      <c r="H1766" s="14" t="n">
        <f aca="false">H1765+IF(F1766="",0,F1766)</f>
        <v>-8.13444016247509</v>
      </c>
      <c r="I1766" s="14" t="n">
        <f aca="false">MAX(I1765,H1766)</f>
        <v>43.9309628600509</v>
      </c>
      <c r="J1766" s="14" t="n">
        <f aca="false">I1766-H1766</f>
        <v>52.065403022526</v>
      </c>
    </row>
    <row r="1767" customFormat="false" ht="15" hidden="false" customHeight="false" outlineLevel="0" collapsed="false">
      <c r="A1767" s="12" t="n">
        <f aca="false">Data!A1767</f>
        <v>44568</v>
      </c>
      <c r="B1767" s="14" t="n">
        <f aca="false">Data!B1767</f>
        <v>78.9</v>
      </c>
      <c r="C1767" s="0" t="str">
        <f aca="false">IF(Data!D1767="","HOLD",IF(AND(G1766&lt;&gt;"IN",Data!E1767&lt;-5),"BUY",IF(AND(G1766="IN",Data!E1767&gt;0),"SELL","HOLD")))</f>
        <v>HOLD</v>
      </c>
      <c r="D1767" s="14" t="str">
        <f aca="false">IF(C1767="BUY",B1767,IF(G1766="IN",D1766,""))</f>
        <v/>
      </c>
      <c r="E1767" s="14" t="str">
        <f aca="false">IF(C1767="SELL",B1767,"")</f>
        <v/>
      </c>
      <c r="F1767" s="14" t="str">
        <f aca="false">IF(E1767="","",(E1767-D1767)/D1767*100)</f>
        <v/>
      </c>
      <c r="G1767" s="0" t="str">
        <f aca="false">IF(C1767="BUY","IN",IF(C1767="SELL","OUT",IF(G1766="IN","IN","OUT")))</f>
        <v>OUT</v>
      </c>
      <c r="H1767" s="14" t="n">
        <f aca="false">H1766+IF(F1767="",0,F1767)</f>
        <v>-8.13444016247509</v>
      </c>
      <c r="I1767" s="14" t="n">
        <f aca="false">MAX(I1766,H1767)</f>
        <v>43.9309628600509</v>
      </c>
      <c r="J1767" s="14" t="n">
        <f aca="false">I1767-H1767</f>
        <v>52.065403022526</v>
      </c>
    </row>
    <row r="1768" customFormat="false" ht="15" hidden="false" customHeight="false" outlineLevel="0" collapsed="false">
      <c r="A1768" s="12" t="n">
        <f aca="false">Data!A1768</f>
        <v>44571</v>
      </c>
      <c r="B1768" s="14" t="n">
        <f aca="false">Data!B1768</f>
        <v>78.23</v>
      </c>
      <c r="C1768" s="0" t="str">
        <f aca="false">IF(Data!D1768="","HOLD",IF(AND(G1767&lt;&gt;"IN",Data!E1768&lt;-5),"BUY",IF(AND(G1767="IN",Data!E1768&gt;0),"SELL","HOLD")))</f>
        <v>HOLD</v>
      </c>
      <c r="D1768" s="14" t="str">
        <f aca="false">IF(C1768="BUY",B1768,IF(G1767="IN",D1767,""))</f>
        <v/>
      </c>
      <c r="E1768" s="14" t="str">
        <f aca="false">IF(C1768="SELL",B1768,"")</f>
        <v/>
      </c>
      <c r="F1768" s="14" t="str">
        <f aca="false">IF(E1768="","",(E1768-D1768)/D1768*100)</f>
        <v/>
      </c>
      <c r="G1768" s="0" t="str">
        <f aca="false">IF(C1768="BUY","IN",IF(C1768="SELL","OUT",IF(G1767="IN","IN","OUT")))</f>
        <v>OUT</v>
      </c>
      <c r="H1768" s="14" t="n">
        <f aca="false">H1767+IF(F1768="",0,F1768)</f>
        <v>-8.13444016247509</v>
      </c>
      <c r="I1768" s="14" t="n">
        <f aca="false">MAX(I1767,H1768)</f>
        <v>43.9309628600509</v>
      </c>
      <c r="J1768" s="14" t="n">
        <f aca="false">I1768-H1768</f>
        <v>52.065403022526</v>
      </c>
    </row>
    <row r="1769" customFormat="false" ht="15" hidden="false" customHeight="false" outlineLevel="0" collapsed="false">
      <c r="A1769" s="12" t="n">
        <f aca="false">Data!A1769</f>
        <v>44572</v>
      </c>
      <c r="B1769" s="14" t="n">
        <f aca="false">Data!B1769</f>
        <v>81.22</v>
      </c>
      <c r="C1769" s="0" t="str">
        <f aca="false">IF(Data!D1769="","HOLD",IF(AND(G1768&lt;&gt;"IN",Data!E1769&lt;-5),"BUY",IF(AND(G1768="IN",Data!E1769&gt;0),"SELL","HOLD")))</f>
        <v>HOLD</v>
      </c>
      <c r="D1769" s="14" t="str">
        <f aca="false">IF(C1769="BUY",B1769,IF(G1768="IN",D1768,""))</f>
        <v/>
      </c>
      <c r="E1769" s="14" t="str">
        <f aca="false">IF(C1769="SELL",B1769,"")</f>
        <v/>
      </c>
      <c r="F1769" s="14" t="str">
        <f aca="false">IF(E1769="","",(E1769-D1769)/D1769*100)</f>
        <v/>
      </c>
      <c r="G1769" s="0" t="str">
        <f aca="false">IF(C1769="BUY","IN",IF(C1769="SELL","OUT",IF(G1768="IN","IN","OUT")))</f>
        <v>OUT</v>
      </c>
      <c r="H1769" s="14" t="n">
        <f aca="false">H1768+IF(F1769="",0,F1769)</f>
        <v>-8.13444016247509</v>
      </c>
      <c r="I1769" s="14" t="n">
        <f aca="false">MAX(I1768,H1769)</f>
        <v>43.9309628600509</v>
      </c>
      <c r="J1769" s="14" t="n">
        <f aca="false">I1769-H1769</f>
        <v>52.065403022526</v>
      </c>
    </row>
    <row r="1770" customFormat="false" ht="15" hidden="false" customHeight="false" outlineLevel="0" collapsed="false">
      <c r="A1770" s="12" t="n">
        <f aca="false">Data!A1770</f>
        <v>44573</v>
      </c>
      <c r="B1770" s="14" t="n">
        <f aca="false">Data!B1770</f>
        <v>82.64</v>
      </c>
      <c r="C1770" s="0" t="str">
        <f aca="false">IF(Data!D1770="","HOLD",IF(AND(G1769&lt;&gt;"IN",Data!E1770&lt;-5),"BUY",IF(AND(G1769="IN",Data!E1770&gt;0),"SELL","HOLD")))</f>
        <v>HOLD</v>
      </c>
      <c r="D1770" s="14" t="str">
        <f aca="false">IF(C1770="BUY",B1770,IF(G1769="IN",D1769,""))</f>
        <v/>
      </c>
      <c r="E1770" s="14" t="str">
        <f aca="false">IF(C1770="SELL",B1770,"")</f>
        <v/>
      </c>
      <c r="F1770" s="14" t="str">
        <f aca="false">IF(E1770="","",(E1770-D1770)/D1770*100)</f>
        <v/>
      </c>
      <c r="G1770" s="0" t="str">
        <f aca="false">IF(C1770="BUY","IN",IF(C1770="SELL","OUT",IF(G1769="IN","IN","OUT")))</f>
        <v>OUT</v>
      </c>
      <c r="H1770" s="14" t="n">
        <f aca="false">H1769+IF(F1770="",0,F1770)</f>
        <v>-8.13444016247509</v>
      </c>
      <c r="I1770" s="14" t="n">
        <f aca="false">MAX(I1769,H1770)</f>
        <v>43.9309628600509</v>
      </c>
      <c r="J1770" s="14" t="n">
        <f aca="false">I1770-H1770</f>
        <v>52.065403022526</v>
      </c>
    </row>
    <row r="1771" customFormat="false" ht="15" hidden="false" customHeight="false" outlineLevel="0" collapsed="false">
      <c r="A1771" s="12" t="n">
        <f aca="false">Data!A1771</f>
        <v>44574</v>
      </c>
      <c r="B1771" s="14" t="n">
        <f aca="false">Data!B1771</f>
        <v>82.12</v>
      </c>
      <c r="C1771" s="0" t="str">
        <f aca="false">IF(Data!D1771="","HOLD",IF(AND(G1770&lt;&gt;"IN",Data!E1771&lt;-5),"BUY",IF(AND(G1770="IN",Data!E1771&gt;0),"SELL","HOLD")))</f>
        <v>HOLD</v>
      </c>
      <c r="D1771" s="14" t="str">
        <f aca="false">IF(C1771="BUY",B1771,IF(G1770="IN",D1770,""))</f>
        <v/>
      </c>
      <c r="E1771" s="14" t="str">
        <f aca="false">IF(C1771="SELL",B1771,"")</f>
        <v/>
      </c>
      <c r="F1771" s="14" t="str">
        <f aca="false">IF(E1771="","",(E1771-D1771)/D1771*100)</f>
        <v/>
      </c>
      <c r="G1771" s="0" t="str">
        <f aca="false">IF(C1771="BUY","IN",IF(C1771="SELL","OUT",IF(G1770="IN","IN","OUT")))</f>
        <v>OUT</v>
      </c>
      <c r="H1771" s="14" t="n">
        <f aca="false">H1770+IF(F1771="",0,F1771)</f>
        <v>-8.13444016247509</v>
      </c>
      <c r="I1771" s="14" t="n">
        <f aca="false">MAX(I1770,H1771)</f>
        <v>43.9309628600509</v>
      </c>
      <c r="J1771" s="14" t="n">
        <f aca="false">I1771-H1771</f>
        <v>52.065403022526</v>
      </c>
    </row>
    <row r="1772" customFormat="false" ht="15" hidden="false" customHeight="false" outlineLevel="0" collapsed="false">
      <c r="A1772" s="12" t="n">
        <f aca="false">Data!A1772</f>
        <v>44575</v>
      </c>
      <c r="B1772" s="14" t="n">
        <f aca="false">Data!B1772</f>
        <v>83.82</v>
      </c>
      <c r="C1772" s="0" t="str">
        <f aca="false">IF(Data!D1772="","HOLD",IF(AND(G1771&lt;&gt;"IN",Data!E1772&lt;-5),"BUY",IF(AND(G1771="IN",Data!E1772&gt;0),"SELL","HOLD")))</f>
        <v>HOLD</v>
      </c>
      <c r="D1772" s="14" t="str">
        <f aca="false">IF(C1772="BUY",B1772,IF(G1771="IN",D1771,""))</f>
        <v/>
      </c>
      <c r="E1772" s="14" t="str">
        <f aca="false">IF(C1772="SELL",B1772,"")</f>
        <v/>
      </c>
      <c r="F1772" s="14" t="str">
        <f aca="false">IF(E1772="","",(E1772-D1772)/D1772*100)</f>
        <v/>
      </c>
      <c r="G1772" s="0" t="str">
        <f aca="false">IF(C1772="BUY","IN",IF(C1772="SELL","OUT",IF(G1771="IN","IN","OUT")))</f>
        <v>OUT</v>
      </c>
      <c r="H1772" s="14" t="n">
        <f aca="false">H1771+IF(F1772="",0,F1772)</f>
        <v>-8.13444016247509</v>
      </c>
      <c r="I1772" s="14" t="n">
        <f aca="false">MAX(I1771,H1772)</f>
        <v>43.9309628600509</v>
      </c>
      <c r="J1772" s="14" t="n">
        <f aca="false">I1772-H1772</f>
        <v>52.065403022526</v>
      </c>
    </row>
    <row r="1773" customFormat="false" ht="15" hidden="false" customHeight="false" outlineLevel="0" collapsed="false">
      <c r="A1773" s="12" t="n">
        <f aca="false">Data!A1773</f>
        <v>44579</v>
      </c>
      <c r="B1773" s="14" t="n">
        <f aca="false">Data!B1773</f>
        <v>85.43</v>
      </c>
      <c r="C1773" s="0" t="str">
        <f aca="false">IF(Data!D1773="","HOLD",IF(AND(G1772&lt;&gt;"IN",Data!E1773&lt;-5),"BUY",IF(AND(G1772="IN",Data!E1773&gt;0),"SELL","HOLD")))</f>
        <v>HOLD</v>
      </c>
      <c r="D1773" s="14" t="str">
        <f aca="false">IF(C1773="BUY",B1773,IF(G1772="IN",D1772,""))</f>
        <v/>
      </c>
      <c r="E1773" s="14" t="str">
        <f aca="false">IF(C1773="SELL",B1773,"")</f>
        <v/>
      </c>
      <c r="F1773" s="14" t="str">
        <f aca="false">IF(E1773="","",(E1773-D1773)/D1773*100)</f>
        <v/>
      </c>
      <c r="G1773" s="0" t="str">
        <f aca="false">IF(C1773="BUY","IN",IF(C1773="SELL","OUT",IF(G1772="IN","IN","OUT")))</f>
        <v>OUT</v>
      </c>
      <c r="H1773" s="14" t="n">
        <f aca="false">H1772+IF(F1773="",0,F1773)</f>
        <v>-8.13444016247509</v>
      </c>
      <c r="I1773" s="14" t="n">
        <f aca="false">MAX(I1772,H1773)</f>
        <v>43.9309628600509</v>
      </c>
      <c r="J1773" s="14" t="n">
        <f aca="false">I1773-H1773</f>
        <v>52.065403022526</v>
      </c>
    </row>
    <row r="1774" customFormat="false" ht="15" hidden="false" customHeight="false" outlineLevel="0" collapsed="false">
      <c r="A1774" s="12" t="n">
        <f aca="false">Data!A1774</f>
        <v>44580</v>
      </c>
      <c r="B1774" s="14" t="n">
        <f aca="false">Data!B1774</f>
        <v>86.96</v>
      </c>
      <c r="C1774" s="0" t="str">
        <f aca="false">IF(Data!D1774="","HOLD",IF(AND(G1773&lt;&gt;"IN",Data!E1774&lt;-5),"BUY",IF(AND(G1773="IN",Data!E1774&gt;0),"SELL","HOLD")))</f>
        <v>HOLD</v>
      </c>
      <c r="D1774" s="14" t="str">
        <f aca="false">IF(C1774="BUY",B1774,IF(G1773="IN",D1773,""))</f>
        <v/>
      </c>
      <c r="E1774" s="14" t="str">
        <f aca="false">IF(C1774="SELL",B1774,"")</f>
        <v/>
      </c>
      <c r="F1774" s="14" t="str">
        <f aca="false">IF(E1774="","",(E1774-D1774)/D1774*100)</f>
        <v/>
      </c>
      <c r="G1774" s="0" t="str">
        <f aca="false">IF(C1774="BUY","IN",IF(C1774="SELL","OUT",IF(G1773="IN","IN","OUT")))</f>
        <v>OUT</v>
      </c>
      <c r="H1774" s="14" t="n">
        <f aca="false">H1773+IF(F1774="",0,F1774)</f>
        <v>-8.13444016247509</v>
      </c>
      <c r="I1774" s="14" t="n">
        <f aca="false">MAX(I1773,H1774)</f>
        <v>43.9309628600509</v>
      </c>
      <c r="J1774" s="14" t="n">
        <f aca="false">I1774-H1774</f>
        <v>52.065403022526</v>
      </c>
    </row>
    <row r="1775" customFormat="false" ht="15" hidden="false" customHeight="false" outlineLevel="0" collapsed="false">
      <c r="A1775" s="12" t="n">
        <f aca="false">Data!A1775</f>
        <v>44581</v>
      </c>
      <c r="B1775" s="14" t="n">
        <f aca="false">Data!B1775</f>
        <v>86.9</v>
      </c>
      <c r="C1775" s="0" t="str">
        <f aca="false">IF(Data!D1775="","HOLD",IF(AND(G1774&lt;&gt;"IN",Data!E1775&lt;-5),"BUY",IF(AND(G1774="IN",Data!E1775&gt;0),"SELL","HOLD")))</f>
        <v>HOLD</v>
      </c>
      <c r="D1775" s="14" t="str">
        <f aca="false">IF(C1775="BUY",B1775,IF(G1774="IN",D1774,""))</f>
        <v/>
      </c>
      <c r="E1775" s="14" t="str">
        <f aca="false">IF(C1775="SELL",B1775,"")</f>
        <v/>
      </c>
      <c r="F1775" s="14" t="str">
        <f aca="false">IF(E1775="","",(E1775-D1775)/D1775*100)</f>
        <v/>
      </c>
      <c r="G1775" s="0" t="str">
        <f aca="false">IF(C1775="BUY","IN",IF(C1775="SELL","OUT",IF(G1774="IN","IN","OUT")))</f>
        <v>OUT</v>
      </c>
      <c r="H1775" s="14" t="n">
        <f aca="false">H1774+IF(F1775="",0,F1775)</f>
        <v>-8.13444016247509</v>
      </c>
      <c r="I1775" s="14" t="n">
        <f aca="false">MAX(I1774,H1775)</f>
        <v>43.9309628600509</v>
      </c>
      <c r="J1775" s="14" t="n">
        <f aca="false">I1775-H1775</f>
        <v>52.065403022526</v>
      </c>
    </row>
    <row r="1776" customFormat="false" ht="15" hidden="false" customHeight="false" outlineLevel="0" collapsed="false">
      <c r="A1776" s="12" t="n">
        <f aca="false">Data!A1776</f>
        <v>44582</v>
      </c>
      <c r="B1776" s="14" t="n">
        <f aca="false">Data!B1776</f>
        <v>85.14</v>
      </c>
      <c r="C1776" s="0" t="str">
        <f aca="false">IF(Data!D1776="","HOLD",IF(AND(G1775&lt;&gt;"IN",Data!E1776&lt;-5),"BUY",IF(AND(G1775="IN",Data!E1776&gt;0),"SELL","HOLD")))</f>
        <v>HOLD</v>
      </c>
      <c r="D1776" s="14" t="str">
        <f aca="false">IF(C1776="BUY",B1776,IF(G1775="IN",D1775,""))</f>
        <v/>
      </c>
      <c r="E1776" s="14" t="str">
        <f aca="false">IF(C1776="SELL",B1776,"")</f>
        <v/>
      </c>
      <c r="F1776" s="14" t="str">
        <f aca="false">IF(E1776="","",(E1776-D1776)/D1776*100)</f>
        <v/>
      </c>
      <c r="G1776" s="0" t="str">
        <f aca="false">IF(C1776="BUY","IN",IF(C1776="SELL","OUT",IF(G1775="IN","IN","OUT")))</f>
        <v>OUT</v>
      </c>
      <c r="H1776" s="14" t="n">
        <f aca="false">H1775+IF(F1776="",0,F1776)</f>
        <v>-8.13444016247509</v>
      </c>
      <c r="I1776" s="14" t="n">
        <f aca="false">MAX(I1775,H1776)</f>
        <v>43.9309628600509</v>
      </c>
      <c r="J1776" s="14" t="n">
        <f aca="false">I1776-H1776</f>
        <v>52.065403022526</v>
      </c>
    </row>
    <row r="1777" customFormat="false" ht="15" hidden="false" customHeight="false" outlineLevel="0" collapsed="false">
      <c r="A1777" s="12" t="n">
        <f aca="false">Data!A1777</f>
        <v>44585</v>
      </c>
      <c r="B1777" s="14" t="n">
        <f aca="false">Data!B1777</f>
        <v>83.31</v>
      </c>
      <c r="C1777" s="0" t="str">
        <f aca="false">IF(Data!D1777="","HOLD",IF(AND(G1776&lt;&gt;"IN",Data!E1777&lt;-5),"BUY",IF(AND(G1776="IN",Data!E1777&gt;0),"SELL","HOLD")))</f>
        <v>HOLD</v>
      </c>
      <c r="D1777" s="14" t="str">
        <f aca="false">IF(C1777="BUY",B1777,IF(G1776="IN",D1776,""))</f>
        <v/>
      </c>
      <c r="E1777" s="14" t="str">
        <f aca="false">IF(C1777="SELL",B1777,"")</f>
        <v/>
      </c>
      <c r="F1777" s="14" t="str">
        <f aca="false">IF(E1777="","",(E1777-D1777)/D1777*100)</f>
        <v/>
      </c>
      <c r="G1777" s="0" t="str">
        <f aca="false">IF(C1777="BUY","IN",IF(C1777="SELL","OUT",IF(G1776="IN","IN","OUT")))</f>
        <v>OUT</v>
      </c>
      <c r="H1777" s="14" t="n">
        <f aca="false">H1776+IF(F1777="",0,F1777)</f>
        <v>-8.13444016247509</v>
      </c>
      <c r="I1777" s="14" t="n">
        <f aca="false">MAX(I1776,H1777)</f>
        <v>43.9309628600509</v>
      </c>
      <c r="J1777" s="14" t="n">
        <f aca="false">I1777-H1777</f>
        <v>52.065403022526</v>
      </c>
    </row>
    <row r="1778" customFormat="false" ht="15" hidden="false" customHeight="false" outlineLevel="0" collapsed="false">
      <c r="A1778" s="12" t="n">
        <f aca="false">Data!A1778</f>
        <v>44586</v>
      </c>
      <c r="B1778" s="14" t="n">
        <f aca="false">Data!B1778</f>
        <v>85.6</v>
      </c>
      <c r="C1778" s="0" t="str">
        <f aca="false">IF(Data!D1778="","HOLD",IF(AND(G1777&lt;&gt;"IN",Data!E1778&lt;-5),"BUY",IF(AND(G1777="IN",Data!E1778&gt;0),"SELL","HOLD")))</f>
        <v>HOLD</v>
      </c>
      <c r="D1778" s="14" t="str">
        <f aca="false">IF(C1778="BUY",B1778,IF(G1777="IN",D1777,""))</f>
        <v/>
      </c>
      <c r="E1778" s="14" t="str">
        <f aca="false">IF(C1778="SELL",B1778,"")</f>
        <v/>
      </c>
      <c r="F1778" s="14" t="str">
        <f aca="false">IF(E1778="","",(E1778-D1778)/D1778*100)</f>
        <v/>
      </c>
      <c r="G1778" s="0" t="str">
        <f aca="false">IF(C1778="BUY","IN",IF(C1778="SELL","OUT",IF(G1777="IN","IN","OUT")))</f>
        <v>OUT</v>
      </c>
      <c r="H1778" s="14" t="n">
        <f aca="false">H1777+IF(F1778="",0,F1778)</f>
        <v>-8.13444016247509</v>
      </c>
      <c r="I1778" s="14" t="n">
        <f aca="false">MAX(I1777,H1778)</f>
        <v>43.9309628600509</v>
      </c>
      <c r="J1778" s="14" t="n">
        <f aca="false">I1778-H1778</f>
        <v>52.065403022526</v>
      </c>
    </row>
    <row r="1779" customFormat="false" ht="15" hidden="false" customHeight="false" outlineLevel="0" collapsed="false">
      <c r="A1779" s="12" t="n">
        <f aca="false">Data!A1779</f>
        <v>44587</v>
      </c>
      <c r="B1779" s="14" t="n">
        <f aca="false">Data!B1779</f>
        <v>87.35</v>
      </c>
      <c r="C1779" s="0" t="str">
        <f aca="false">IF(Data!D1779="","HOLD",IF(AND(G1778&lt;&gt;"IN",Data!E1779&lt;-5),"BUY",IF(AND(G1778="IN",Data!E1779&gt;0),"SELL","HOLD")))</f>
        <v>HOLD</v>
      </c>
      <c r="D1779" s="14" t="str">
        <f aca="false">IF(C1779="BUY",B1779,IF(G1778="IN",D1778,""))</f>
        <v/>
      </c>
      <c r="E1779" s="14" t="str">
        <f aca="false">IF(C1779="SELL",B1779,"")</f>
        <v/>
      </c>
      <c r="F1779" s="14" t="str">
        <f aca="false">IF(E1779="","",(E1779-D1779)/D1779*100)</f>
        <v/>
      </c>
      <c r="G1779" s="0" t="str">
        <f aca="false">IF(C1779="BUY","IN",IF(C1779="SELL","OUT",IF(G1778="IN","IN","OUT")))</f>
        <v>OUT</v>
      </c>
      <c r="H1779" s="14" t="n">
        <f aca="false">H1778+IF(F1779="",0,F1779)</f>
        <v>-8.13444016247509</v>
      </c>
      <c r="I1779" s="14" t="n">
        <f aca="false">MAX(I1778,H1779)</f>
        <v>43.9309628600509</v>
      </c>
      <c r="J1779" s="14" t="n">
        <f aca="false">I1779-H1779</f>
        <v>52.065403022526</v>
      </c>
    </row>
    <row r="1780" customFormat="false" ht="15" hidden="false" customHeight="false" outlineLevel="0" collapsed="false">
      <c r="A1780" s="12" t="n">
        <f aca="false">Data!A1780</f>
        <v>44588</v>
      </c>
      <c r="B1780" s="14" t="n">
        <f aca="false">Data!B1780</f>
        <v>86.61</v>
      </c>
      <c r="C1780" s="0" t="str">
        <f aca="false">IF(Data!D1780="","HOLD",IF(AND(G1779&lt;&gt;"IN",Data!E1780&lt;-5),"BUY",IF(AND(G1779="IN",Data!E1780&gt;0),"SELL","HOLD")))</f>
        <v>HOLD</v>
      </c>
      <c r="D1780" s="14" t="str">
        <f aca="false">IF(C1780="BUY",B1780,IF(G1779="IN",D1779,""))</f>
        <v/>
      </c>
      <c r="E1780" s="14" t="str">
        <f aca="false">IF(C1780="SELL",B1780,"")</f>
        <v/>
      </c>
      <c r="F1780" s="14" t="str">
        <f aca="false">IF(E1780="","",(E1780-D1780)/D1780*100)</f>
        <v/>
      </c>
      <c r="G1780" s="0" t="str">
        <f aca="false">IF(C1780="BUY","IN",IF(C1780="SELL","OUT",IF(G1779="IN","IN","OUT")))</f>
        <v>OUT</v>
      </c>
      <c r="H1780" s="14" t="n">
        <f aca="false">H1779+IF(F1780="",0,F1780)</f>
        <v>-8.13444016247509</v>
      </c>
      <c r="I1780" s="14" t="n">
        <f aca="false">MAX(I1779,H1780)</f>
        <v>43.9309628600509</v>
      </c>
      <c r="J1780" s="14" t="n">
        <f aca="false">I1780-H1780</f>
        <v>52.065403022526</v>
      </c>
    </row>
    <row r="1781" customFormat="false" ht="15" hidden="false" customHeight="false" outlineLevel="0" collapsed="false">
      <c r="A1781" s="12" t="n">
        <f aca="false">Data!A1781</f>
        <v>44589</v>
      </c>
      <c r="B1781" s="14" t="n">
        <f aca="false">Data!B1781</f>
        <v>86.82</v>
      </c>
      <c r="C1781" s="0" t="str">
        <f aca="false">IF(Data!D1781="","HOLD",IF(AND(G1780&lt;&gt;"IN",Data!E1781&lt;-5),"BUY",IF(AND(G1780="IN",Data!E1781&gt;0),"SELL","HOLD")))</f>
        <v>HOLD</v>
      </c>
      <c r="D1781" s="14" t="str">
        <f aca="false">IF(C1781="BUY",B1781,IF(G1780="IN",D1780,""))</f>
        <v/>
      </c>
      <c r="E1781" s="14" t="str">
        <f aca="false">IF(C1781="SELL",B1781,"")</f>
        <v/>
      </c>
      <c r="F1781" s="14" t="str">
        <f aca="false">IF(E1781="","",(E1781-D1781)/D1781*100)</f>
        <v/>
      </c>
      <c r="G1781" s="0" t="str">
        <f aca="false">IF(C1781="BUY","IN",IF(C1781="SELL","OUT",IF(G1780="IN","IN","OUT")))</f>
        <v>OUT</v>
      </c>
      <c r="H1781" s="14" t="n">
        <f aca="false">H1780+IF(F1781="",0,F1781)</f>
        <v>-8.13444016247509</v>
      </c>
      <c r="I1781" s="14" t="n">
        <f aca="false">MAX(I1780,H1781)</f>
        <v>43.9309628600509</v>
      </c>
      <c r="J1781" s="14" t="n">
        <f aca="false">I1781-H1781</f>
        <v>52.065403022526</v>
      </c>
    </row>
    <row r="1782" customFormat="false" ht="15" hidden="false" customHeight="false" outlineLevel="0" collapsed="false">
      <c r="A1782" s="12" t="n">
        <f aca="false">Data!A1782</f>
        <v>44592</v>
      </c>
      <c r="B1782" s="14" t="n">
        <f aca="false">Data!B1782</f>
        <v>88.15</v>
      </c>
      <c r="C1782" s="0" t="str">
        <f aca="false">IF(Data!D1782="","HOLD",IF(AND(G1781&lt;&gt;"IN",Data!E1782&lt;-5),"BUY",IF(AND(G1781="IN",Data!E1782&gt;0),"SELL","HOLD")))</f>
        <v>HOLD</v>
      </c>
      <c r="D1782" s="14" t="str">
        <f aca="false">IF(C1782="BUY",B1782,IF(G1781="IN",D1781,""))</f>
        <v/>
      </c>
      <c r="E1782" s="14" t="str">
        <f aca="false">IF(C1782="SELL",B1782,"")</f>
        <v/>
      </c>
      <c r="F1782" s="14" t="str">
        <f aca="false">IF(E1782="","",(E1782-D1782)/D1782*100)</f>
        <v/>
      </c>
      <c r="G1782" s="0" t="str">
        <f aca="false">IF(C1782="BUY","IN",IF(C1782="SELL","OUT",IF(G1781="IN","IN","OUT")))</f>
        <v>OUT</v>
      </c>
      <c r="H1782" s="14" t="n">
        <f aca="false">H1781+IF(F1782="",0,F1782)</f>
        <v>-8.13444016247509</v>
      </c>
      <c r="I1782" s="14" t="n">
        <f aca="false">MAX(I1781,H1782)</f>
        <v>43.9309628600509</v>
      </c>
      <c r="J1782" s="14" t="n">
        <f aca="false">I1782-H1782</f>
        <v>52.065403022526</v>
      </c>
    </row>
    <row r="1783" customFormat="false" ht="15" hidden="false" customHeight="false" outlineLevel="0" collapsed="false">
      <c r="A1783" s="12" t="n">
        <f aca="false">Data!A1783</f>
        <v>44593</v>
      </c>
      <c r="B1783" s="14" t="n">
        <f aca="false">Data!B1783</f>
        <v>88.2</v>
      </c>
      <c r="C1783" s="0" t="str">
        <f aca="false">IF(Data!D1783="","HOLD",IF(AND(G1782&lt;&gt;"IN",Data!E1783&lt;-5),"BUY",IF(AND(G1782="IN",Data!E1783&gt;0),"SELL","HOLD")))</f>
        <v>HOLD</v>
      </c>
      <c r="D1783" s="14" t="str">
        <f aca="false">IF(C1783="BUY",B1783,IF(G1782="IN",D1782,""))</f>
        <v/>
      </c>
      <c r="E1783" s="14" t="str">
        <f aca="false">IF(C1783="SELL",B1783,"")</f>
        <v/>
      </c>
      <c r="F1783" s="14" t="str">
        <f aca="false">IF(E1783="","",(E1783-D1783)/D1783*100)</f>
        <v/>
      </c>
      <c r="G1783" s="0" t="str">
        <f aca="false">IF(C1783="BUY","IN",IF(C1783="SELL","OUT",IF(G1782="IN","IN","OUT")))</f>
        <v>OUT</v>
      </c>
      <c r="H1783" s="14" t="n">
        <f aca="false">H1782+IF(F1783="",0,F1783)</f>
        <v>-8.13444016247509</v>
      </c>
      <c r="I1783" s="14" t="n">
        <f aca="false">MAX(I1782,H1783)</f>
        <v>43.9309628600509</v>
      </c>
      <c r="J1783" s="14" t="n">
        <f aca="false">I1783-H1783</f>
        <v>52.065403022526</v>
      </c>
    </row>
    <row r="1784" customFormat="false" ht="15" hidden="false" customHeight="false" outlineLevel="0" collapsed="false">
      <c r="A1784" s="12" t="n">
        <f aca="false">Data!A1784</f>
        <v>44594</v>
      </c>
      <c r="B1784" s="14" t="n">
        <f aca="false">Data!B1784</f>
        <v>88.26</v>
      </c>
      <c r="C1784" s="0" t="str">
        <f aca="false">IF(Data!D1784="","HOLD",IF(AND(G1783&lt;&gt;"IN",Data!E1784&lt;-5),"BUY",IF(AND(G1783="IN",Data!E1784&gt;0),"SELL","HOLD")))</f>
        <v>HOLD</v>
      </c>
      <c r="D1784" s="14" t="str">
        <f aca="false">IF(C1784="BUY",B1784,IF(G1783="IN",D1783,""))</f>
        <v/>
      </c>
      <c r="E1784" s="14" t="str">
        <f aca="false">IF(C1784="SELL",B1784,"")</f>
        <v/>
      </c>
      <c r="F1784" s="14" t="str">
        <f aca="false">IF(E1784="","",(E1784-D1784)/D1784*100)</f>
        <v/>
      </c>
      <c r="G1784" s="0" t="str">
        <f aca="false">IF(C1784="BUY","IN",IF(C1784="SELL","OUT",IF(G1783="IN","IN","OUT")))</f>
        <v>OUT</v>
      </c>
      <c r="H1784" s="14" t="n">
        <f aca="false">H1783+IF(F1784="",0,F1784)</f>
        <v>-8.13444016247509</v>
      </c>
      <c r="I1784" s="14" t="n">
        <f aca="false">MAX(I1783,H1784)</f>
        <v>43.9309628600509</v>
      </c>
      <c r="J1784" s="14" t="n">
        <f aca="false">I1784-H1784</f>
        <v>52.065403022526</v>
      </c>
    </row>
    <row r="1785" customFormat="false" ht="15" hidden="false" customHeight="false" outlineLevel="0" collapsed="false">
      <c r="A1785" s="12" t="n">
        <f aca="false">Data!A1785</f>
        <v>44595</v>
      </c>
      <c r="B1785" s="14" t="n">
        <f aca="false">Data!B1785</f>
        <v>90.27</v>
      </c>
      <c r="C1785" s="0" t="str">
        <f aca="false">IF(Data!D1785="","HOLD",IF(AND(G1784&lt;&gt;"IN",Data!E1785&lt;-5),"BUY",IF(AND(G1784="IN",Data!E1785&gt;0),"SELL","HOLD")))</f>
        <v>HOLD</v>
      </c>
      <c r="D1785" s="14" t="str">
        <f aca="false">IF(C1785="BUY",B1785,IF(G1784="IN",D1784,""))</f>
        <v/>
      </c>
      <c r="E1785" s="14" t="str">
        <f aca="false">IF(C1785="SELL",B1785,"")</f>
        <v/>
      </c>
      <c r="F1785" s="14" t="str">
        <f aca="false">IF(E1785="","",(E1785-D1785)/D1785*100)</f>
        <v/>
      </c>
      <c r="G1785" s="0" t="str">
        <f aca="false">IF(C1785="BUY","IN",IF(C1785="SELL","OUT",IF(G1784="IN","IN","OUT")))</f>
        <v>OUT</v>
      </c>
      <c r="H1785" s="14" t="n">
        <f aca="false">H1784+IF(F1785="",0,F1785)</f>
        <v>-8.13444016247509</v>
      </c>
      <c r="I1785" s="14" t="n">
        <f aca="false">MAX(I1784,H1785)</f>
        <v>43.9309628600509</v>
      </c>
      <c r="J1785" s="14" t="n">
        <f aca="false">I1785-H1785</f>
        <v>52.065403022526</v>
      </c>
    </row>
    <row r="1786" customFormat="false" ht="15" hidden="false" customHeight="false" outlineLevel="0" collapsed="false">
      <c r="A1786" s="12" t="n">
        <f aca="false">Data!A1786</f>
        <v>44596</v>
      </c>
      <c r="B1786" s="14" t="n">
        <f aca="false">Data!B1786</f>
        <v>92.31</v>
      </c>
      <c r="C1786" s="0" t="str">
        <f aca="false">IF(Data!D1786="","HOLD",IF(AND(G1785&lt;&gt;"IN",Data!E1786&lt;-5),"BUY",IF(AND(G1785="IN",Data!E1786&gt;0),"SELL","HOLD")))</f>
        <v>HOLD</v>
      </c>
      <c r="D1786" s="14" t="str">
        <f aca="false">IF(C1786="BUY",B1786,IF(G1785="IN",D1785,""))</f>
        <v/>
      </c>
      <c r="E1786" s="14" t="str">
        <f aca="false">IF(C1786="SELL",B1786,"")</f>
        <v/>
      </c>
      <c r="F1786" s="14" t="str">
        <f aca="false">IF(E1786="","",(E1786-D1786)/D1786*100)</f>
        <v/>
      </c>
      <c r="G1786" s="0" t="str">
        <f aca="false">IF(C1786="BUY","IN",IF(C1786="SELL","OUT",IF(G1785="IN","IN","OUT")))</f>
        <v>OUT</v>
      </c>
      <c r="H1786" s="14" t="n">
        <f aca="false">H1785+IF(F1786="",0,F1786)</f>
        <v>-8.13444016247509</v>
      </c>
      <c r="I1786" s="14" t="n">
        <f aca="false">MAX(I1785,H1786)</f>
        <v>43.9309628600509</v>
      </c>
      <c r="J1786" s="14" t="n">
        <f aca="false">I1786-H1786</f>
        <v>52.065403022526</v>
      </c>
    </row>
    <row r="1787" customFormat="false" ht="15" hidden="false" customHeight="false" outlineLevel="0" collapsed="false">
      <c r="A1787" s="12" t="n">
        <f aca="false">Data!A1787</f>
        <v>44599</v>
      </c>
      <c r="B1787" s="14" t="n">
        <f aca="false">Data!B1787</f>
        <v>91.32</v>
      </c>
      <c r="C1787" s="0" t="str">
        <f aca="false">IF(Data!D1787="","HOLD",IF(AND(G1786&lt;&gt;"IN",Data!E1787&lt;-5),"BUY",IF(AND(G1786="IN",Data!E1787&gt;0),"SELL","HOLD")))</f>
        <v>HOLD</v>
      </c>
      <c r="D1787" s="14" t="str">
        <f aca="false">IF(C1787="BUY",B1787,IF(G1786="IN",D1786,""))</f>
        <v/>
      </c>
      <c r="E1787" s="14" t="str">
        <f aca="false">IF(C1787="SELL",B1787,"")</f>
        <v/>
      </c>
      <c r="F1787" s="14" t="str">
        <f aca="false">IF(E1787="","",(E1787-D1787)/D1787*100)</f>
        <v/>
      </c>
      <c r="G1787" s="0" t="str">
        <f aca="false">IF(C1787="BUY","IN",IF(C1787="SELL","OUT",IF(G1786="IN","IN","OUT")))</f>
        <v>OUT</v>
      </c>
      <c r="H1787" s="14" t="n">
        <f aca="false">H1786+IF(F1787="",0,F1787)</f>
        <v>-8.13444016247509</v>
      </c>
      <c r="I1787" s="14" t="n">
        <f aca="false">MAX(I1786,H1787)</f>
        <v>43.9309628600509</v>
      </c>
      <c r="J1787" s="14" t="n">
        <f aca="false">I1787-H1787</f>
        <v>52.065403022526</v>
      </c>
    </row>
    <row r="1788" customFormat="false" ht="15" hidden="false" customHeight="false" outlineLevel="0" collapsed="false">
      <c r="A1788" s="12" t="n">
        <f aca="false">Data!A1788</f>
        <v>44600</v>
      </c>
      <c r="B1788" s="14" t="n">
        <f aca="false">Data!B1788</f>
        <v>89.36</v>
      </c>
      <c r="C1788" s="0" t="str">
        <f aca="false">IF(Data!D1788="","HOLD",IF(AND(G1787&lt;&gt;"IN",Data!E1788&lt;-5),"BUY",IF(AND(G1787="IN",Data!E1788&gt;0),"SELL","HOLD")))</f>
        <v>HOLD</v>
      </c>
      <c r="D1788" s="14" t="str">
        <f aca="false">IF(C1788="BUY",B1788,IF(G1787="IN",D1787,""))</f>
        <v/>
      </c>
      <c r="E1788" s="14" t="str">
        <f aca="false">IF(C1788="SELL",B1788,"")</f>
        <v/>
      </c>
      <c r="F1788" s="14" t="str">
        <f aca="false">IF(E1788="","",(E1788-D1788)/D1788*100)</f>
        <v/>
      </c>
      <c r="G1788" s="0" t="str">
        <f aca="false">IF(C1788="BUY","IN",IF(C1788="SELL","OUT",IF(G1787="IN","IN","OUT")))</f>
        <v>OUT</v>
      </c>
      <c r="H1788" s="14" t="n">
        <f aca="false">H1787+IF(F1788="",0,F1788)</f>
        <v>-8.13444016247509</v>
      </c>
      <c r="I1788" s="14" t="n">
        <f aca="false">MAX(I1787,H1788)</f>
        <v>43.9309628600509</v>
      </c>
      <c r="J1788" s="14" t="n">
        <f aca="false">I1788-H1788</f>
        <v>52.065403022526</v>
      </c>
    </row>
    <row r="1789" customFormat="false" ht="15" hidden="false" customHeight="false" outlineLevel="0" collapsed="false">
      <c r="A1789" s="12" t="n">
        <f aca="false">Data!A1789</f>
        <v>44601</v>
      </c>
      <c r="B1789" s="14" t="n">
        <f aca="false">Data!B1789</f>
        <v>89.66</v>
      </c>
      <c r="C1789" s="0" t="str">
        <f aca="false">IF(Data!D1789="","HOLD",IF(AND(G1788&lt;&gt;"IN",Data!E1789&lt;-5),"BUY",IF(AND(G1788="IN",Data!E1789&gt;0),"SELL","HOLD")))</f>
        <v>HOLD</v>
      </c>
      <c r="D1789" s="14" t="str">
        <f aca="false">IF(C1789="BUY",B1789,IF(G1788="IN",D1788,""))</f>
        <v/>
      </c>
      <c r="E1789" s="14" t="str">
        <f aca="false">IF(C1789="SELL",B1789,"")</f>
        <v/>
      </c>
      <c r="F1789" s="14" t="str">
        <f aca="false">IF(E1789="","",(E1789-D1789)/D1789*100)</f>
        <v/>
      </c>
      <c r="G1789" s="0" t="str">
        <f aca="false">IF(C1789="BUY","IN",IF(C1789="SELL","OUT",IF(G1788="IN","IN","OUT")))</f>
        <v>OUT</v>
      </c>
      <c r="H1789" s="14" t="n">
        <f aca="false">H1788+IF(F1789="",0,F1789)</f>
        <v>-8.13444016247509</v>
      </c>
      <c r="I1789" s="14" t="n">
        <f aca="false">MAX(I1788,H1789)</f>
        <v>43.9309628600509</v>
      </c>
      <c r="J1789" s="14" t="n">
        <f aca="false">I1789-H1789</f>
        <v>52.065403022526</v>
      </c>
    </row>
    <row r="1790" customFormat="false" ht="15" hidden="false" customHeight="false" outlineLevel="0" collapsed="false">
      <c r="A1790" s="12" t="n">
        <f aca="false">Data!A1790</f>
        <v>44602</v>
      </c>
      <c r="B1790" s="14" t="n">
        <f aca="false">Data!B1790</f>
        <v>89.88</v>
      </c>
      <c r="C1790" s="0" t="str">
        <f aca="false">IF(Data!D1790="","HOLD",IF(AND(G1789&lt;&gt;"IN",Data!E1790&lt;-5),"BUY",IF(AND(G1789="IN",Data!E1790&gt;0),"SELL","HOLD")))</f>
        <v>HOLD</v>
      </c>
      <c r="D1790" s="14" t="str">
        <f aca="false">IF(C1790="BUY",B1790,IF(G1789="IN",D1789,""))</f>
        <v/>
      </c>
      <c r="E1790" s="14" t="str">
        <f aca="false">IF(C1790="SELL",B1790,"")</f>
        <v/>
      </c>
      <c r="F1790" s="14" t="str">
        <f aca="false">IF(E1790="","",(E1790-D1790)/D1790*100)</f>
        <v/>
      </c>
      <c r="G1790" s="0" t="str">
        <f aca="false">IF(C1790="BUY","IN",IF(C1790="SELL","OUT",IF(G1789="IN","IN","OUT")))</f>
        <v>OUT</v>
      </c>
      <c r="H1790" s="14" t="n">
        <f aca="false">H1789+IF(F1790="",0,F1790)</f>
        <v>-8.13444016247509</v>
      </c>
      <c r="I1790" s="14" t="n">
        <f aca="false">MAX(I1789,H1790)</f>
        <v>43.9309628600509</v>
      </c>
      <c r="J1790" s="14" t="n">
        <f aca="false">I1790-H1790</f>
        <v>52.065403022526</v>
      </c>
    </row>
    <row r="1791" customFormat="false" ht="15" hidden="false" customHeight="false" outlineLevel="0" collapsed="false">
      <c r="A1791" s="12" t="n">
        <f aca="false">Data!A1791</f>
        <v>44603</v>
      </c>
      <c r="B1791" s="14" t="n">
        <f aca="false">Data!B1791</f>
        <v>93.1</v>
      </c>
      <c r="C1791" s="0" t="str">
        <f aca="false">IF(Data!D1791="","HOLD",IF(AND(G1790&lt;&gt;"IN",Data!E1791&lt;-5),"BUY",IF(AND(G1790="IN",Data!E1791&gt;0),"SELL","HOLD")))</f>
        <v>HOLD</v>
      </c>
      <c r="D1791" s="14" t="str">
        <f aca="false">IF(C1791="BUY",B1791,IF(G1790="IN",D1790,""))</f>
        <v/>
      </c>
      <c r="E1791" s="14" t="str">
        <f aca="false">IF(C1791="SELL",B1791,"")</f>
        <v/>
      </c>
      <c r="F1791" s="14" t="str">
        <f aca="false">IF(E1791="","",(E1791-D1791)/D1791*100)</f>
        <v/>
      </c>
      <c r="G1791" s="0" t="str">
        <f aca="false">IF(C1791="BUY","IN",IF(C1791="SELL","OUT",IF(G1790="IN","IN","OUT")))</f>
        <v>OUT</v>
      </c>
      <c r="H1791" s="14" t="n">
        <f aca="false">H1790+IF(F1791="",0,F1791)</f>
        <v>-8.13444016247509</v>
      </c>
      <c r="I1791" s="14" t="n">
        <f aca="false">MAX(I1790,H1791)</f>
        <v>43.9309628600509</v>
      </c>
      <c r="J1791" s="14" t="n">
        <f aca="false">I1791-H1791</f>
        <v>52.065403022526</v>
      </c>
    </row>
    <row r="1792" customFormat="false" ht="15" hidden="false" customHeight="false" outlineLevel="0" collapsed="false">
      <c r="A1792" s="12" t="n">
        <f aca="false">Data!A1792</f>
        <v>44606</v>
      </c>
      <c r="B1792" s="14" t="n">
        <f aca="false">Data!B1792</f>
        <v>95.46</v>
      </c>
      <c r="C1792" s="0" t="str">
        <f aca="false">IF(Data!D1792="","HOLD",IF(AND(G1791&lt;&gt;"IN",Data!E1792&lt;-5),"BUY",IF(AND(G1791="IN",Data!E1792&gt;0),"SELL","HOLD")))</f>
        <v>HOLD</v>
      </c>
      <c r="D1792" s="14" t="str">
        <f aca="false">IF(C1792="BUY",B1792,IF(G1791="IN",D1791,""))</f>
        <v/>
      </c>
      <c r="E1792" s="14" t="str">
        <f aca="false">IF(C1792="SELL",B1792,"")</f>
        <v/>
      </c>
      <c r="F1792" s="14" t="str">
        <f aca="false">IF(E1792="","",(E1792-D1792)/D1792*100)</f>
        <v/>
      </c>
      <c r="G1792" s="0" t="str">
        <f aca="false">IF(C1792="BUY","IN",IF(C1792="SELL","OUT",IF(G1791="IN","IN","OUT")))</f>
        <v>OUT</v>
      </c>
      <c r="H1792" s="14" t="n">
        <f aca="false">H1791+IF(F1792="",0,F1792)</f>
        <v>-8.13444016247509</v>
      </c>
      <c r="I1792" s="14" t="n">
        <f aca="false">MAX(I1791,H1792)</f>
        <v>43.9309628600509</v>
      </c>
      <c r="J1792" s="14" t="n">
        <f aca="false">I1792-H1792</f>
        <v>52.065403022526</v>
      </c>
    </row>
    <row r="1793" customFormat="false" ht="15" hidden="false" customHeight="false" outlineLevel="0" collapsed="false">
      <c r="A1793" s="12" t="n">
        <f aca="false">Data!A1793</f>
        <v>44607</v>
      </c>
      <c r="B1793" s="14" t="n">
        <f aca="false">Data!B1793</f>
        <v>92.07</v>
      </c>
      <c r="C1793" s="0" t="str">
        <f aca="false">IF(Data!D1793="","HOLD",IF(AND(G1792&lt;&gt;"IN",Data!E1793&lt;-5),"BUY",IF(AND(G1792="IN",Data!E1793&gt;0),"SELL","HOLD")))</f>
        <v>HOLD</v>
      </c>
      <c r="D1793" s="14" t="str">
        <f aca="false">IF(C1793="BUY",B1793,IF(G1792="IN",D1792,""))</f>
        <v/>
      </c>
      <c r="E1793" s="14" t="str">
        <f aca="false">IF(C1793="SELL",B1793,"")</f>
        <v/>
      </c>
      <c r="F1793" s="14" t="str">
        <f aca="false">IF(E1793="","",(E1793-D1793)/D1793*100)</f>
        <v/>
      </c>
      <c r="G1793" s="0" t="str">
        <f aca="false">IF(C1793="BUY","IN",IF(C1793="SELL","OUT",IF(G1792="IN","IN","OUT")))</f>
        <v>OUT</v>
      </c>
      <c r="H1793" s="14" t="n">
        <f aca="false">H1792+IF(F1793="",0,F1793)</f>
        <v>-8.13444016247509</v>
      </c>
      <c r="I1793" s="14" t="n">
        <f aca="false">MAX(I1792,H1793)</f>
        <v>43.9309628600509</v>
      </c>
      <c r="J1793" s="14" t="n">
        <f aca="false">I1793-H1793</f>
        <v>52.065403022526</v>
      </c>
    </row>
    <row r="1794" customFormat="false" ht="15" hidden="false" customHeight="false" outlineLevel="0" collapsed="false">
      <c r="A1794" s="12" t="n">
        <f aca="false">Data!A1794</f>
        <v>44608</v>
      </c>
      <c r="B1794" s="14" t="n">
        <f aca="false">Data!B1794</f>
        <v>93.66</v>
      </c>
      <c r="C1794" s="0" t="str">
        <f aca="false">IF(Data!D1794="","HOLD",IF(AND(G1793&lt;&gt;"IN",Data!E1794&lt;-5),"BUY",IF(AND(G1793="IN",Data!E1794&gt;0),"SELL","HOLD")))</f>
        <v>HOLD</v>
      </c>
      <c r="D1794" s="14" t="str">
        <f aca="false">IF(C1794="BUY",B1794,IF(G1793="IN",D1793,""))</f>
        <v/>
      </c>
      <c r="E1794" s="14" t="str">
        <f aca="false">IF(C1794="SELL",B1794,"")</f>
        <v/>
      </c>
      <c r="F1794" s="14" t="str">
        <f aca="false">IF(E1794="","",(E1794-D1794)/D1794*100)</f>
        <v/>
      </c>
      <c r="G1794" s="0" t="str">
        <f aca="false">IF(C1794="BUY","IN",IF(C1794="SELL","OUT",IF(G1793="IN","IN","OUT")))</f>
        <v>OUT</v>
      </c>
      <c r="H1794" s="14" t="n">
        <f aca="false">H1793+IF(F1794="",0,F1794)</f>
        <v>-8.13444016247509</v>
      </c>
      <c r="I1794" s="14" t="n">
        <f aca="false">MAX(I1793,H1794)</f>
        <v>43.9309628600509</v>
      </c>
      <c r="J1794" s="14" t="n">
        <f aca="false">I1794-H1794</f>
        <v>52.065403022526</v>
      </c>
    </row>
    <row r="1795" customFormat="false" ht="15" hidden="false" customHeight="false" outlineLevel="0" collapsed="false">
      <c r="A1795" s="12" t="n">
        <f aca="false">Data!A1795</f>
        <v>44609</v>
      </c>
      <c r="B1795" s="14" t="n">
        <f aca="false">Data!B1795</f>
        <v>91.76</v>
      </c>
      <c r="C1795" s="0" t="str">
        <f aca="false">IF(Data!D1795="","HOLD",IF(AND(G1794&lt;&gt;"IN",Data!E1795&lt;-5),"BUY",IF(AND(G1794="IN",Data!E1795&gt;0),"SELL","HOLD")))</f>
        <v>HOLD</v>
      </c>
      <c r="D1795" s="14" t="str">
        <f aca="false">IF(C1795="BUY",B1795,IF(G1794="IN",D1794,""))</f>
        <v/>
      </c>
      <c r="E1795" s="14" t="str">
        <f aca="false">IF(C1795="SELL",B1795,"")</f>
        <v/>
      </c>
      <c r="F1795" s="14" t="str">
        <f aca="false">IF(E1795="","",(E1795-D1795)/D1795*100)</f>
        <v/>
      </c>
      <c r="G1795" s="0" t="str">
        <f aca="false">IF(C1795="BUY","IN",IF(C1795="SELL","OUT",IF(G1794="IN","IN","OUT")))</f>
        <v>OUT</v>
      </c>
      <c r="H1795" s="14" t="n">
        <f aca="false">H1794+IF(F1795="",0,F1795)</f>
        <v>-8.13444016247509</v>
      </c>
      <c r="I1795" s="14" t="n">
        <f aca="false">MAX(I1794,H1795)</f>
        <v>43.9309628600509</v>
      </c>
      <c r="J1795" s="14" t="n">
        <f aca="false">I1795-H1795</f>
        <v>52.065403022526</v>
      </c>
    </row>
    <row r="1796" customFormat="false" ht="15" hidden="false" customHeight="false" outlineLevel="0" collapsed="false">
      <c r="A1796" s="12" t="n">
        <f aca="false">Data!A1796</f>
        <v>44610</v>
      </c>
      <c r="B1796" s="14" t="n">
        <f aca="false">Data!B1796</f>
        <v>91.07</v>
      </c>
      <c r="C1796" s="0" t="str">
        <f aca="false">IF(Data!D1796="","HOLD",IF(AND(G1795&lt;&gt;"IN",Data!E1796&lt;-5),"BUY",IF(AND(G1795="IN",Data!E1796&gt;0),"SELL","HOLD")))</f>
        <v>HOLD</v>
      </c>
      <c r="D1796" s="14" t="str">
        <f aca="false">IF(C1796="BUY",B1796,IF(G1795="IN",D1795,""))</f>
        <v/>
      </c>
      <c r="E1796" s="14" t="str">
        <f aca="false">IF(C1796="SELL",B1796,"")</f>
        <v/>
      </c>
      <c r="F1796" s="14" t="str">
        <f aca="false">IF(E1796="","",(E1796-D1796)/D1796*100)</f>
        <v/>
      </c>
      <c r="G1796" s="0" t="str">
        <f aca="false">IF(C1796="BUY","IN",IF(C1796="SELL","OUT",IF(G1795="IN","IN","OUT")))</f>
        <v>OUT</v>
      </c>
      <c r="H1796" s="14" t="n">
        <f aca="false">H1795+IF(F1796="",0,F1796)</f>
        <v>-8.13444016247509</v>
      </c>
      <c r="I1796" s="14" t="n">
        <f aca="false">MAX(I1795,H1796)</f>
        <v>43.9309628600509</v>
      </c>
      <c r="J1796" s="14" t="n">
        <f aca="false">I1796-H1796</f>
        <v>52.065403022526</v>
      </c>
    </row>
    <row r="1797" customFormat="false" ht="15" hidden="false" customHeight="false" outlineLevel="0" collapsed="false">
      <c r="A1797" s="12" t="n">
        <f aca="false">Data!A1797</f>
        <v>44614</v>
      </c>
      <c r="B1797" s="14" t="n">
        <f aca="false">Data!B1797</f>
        <v>92.35</v>
      </c>
      <c r="C1797" s="0" t="str">
        <f aca="false">IF(Data!D1797="","HOLD",IF(AND(G1796&lt;&gt;"IN",Data!E1797&lt;-5),"BUY",IF(AND(G1796="IN",Data!E1797&gt;0),"SELL","HOLD")))</f>
        <v>HOLD</v>
      </c>
      <c r="D1797" s="14" t="str">
        <f aca="false">IF(C1797="BUY",B1797,IF(G1796="IN",D1796,""))</f>
        <v/>
      </c>
      <c r="E1797" s="14" t="str">
        <f aca="false">IF(C1797="SELL",B1797,"")</f>
        <v/>
      </c>
      <c r="F1797" s="14" t="str">
        <f aca="false">IF(E1797="","",(E1797-D1797)/D1797*100)</f>
        <v/>
      </c>
      <c r="G1797" s="0" t="str">
        <f aca="false">IF(C1797="BUY","IN",IF(C1797="SELL","OUT",IF(G1796="IN","IN","OUT")))</f>
        <v>OUT</v>
      </c>
      <c r="H1797" s="14" t="n">
        <f aca="false">H1796+IF(F1797="",0,F1797)</f>
        <v>-8.13444016247509</v>
      </c>
      <c r="I1797" s="14" t="n">
        <f aca="false">MAX(I1796,H1797)</f>
        <v>43.9309628600509</v>
      </c>
      <c r="J1797" s="14" t="n">
        <f aca="false">I1797-H1797</f>
        <v>52.065403022526</v>
      </c>
    </row>
    <row r="1798" customFormat="false" ht="15" hidden="false" customHeight="false" outlineLevel="0" collapsed="false">
      <c r="A1798" s="12" t="n">
        <f aca="false">Data!A1798</f>
        <v>44615</v>
      </c>
      <c r="B1798" s="14" t="n">
        <f aca="false">Data!B1798</f>
        <v>92.1</v>
      </c>
      <c r="C1798" s="0" t="str">
        <f aca="false">IF(Data!D1798="","HOLD",IF(AND(G1797&lt;&gt;"IN",Data!E1798&lt;-5),"BUY",IF(AND(G1797="IN",Data!E1798&gt;0),"SELL","HOLD")))</f>
        <v>HOLD</v>
      </c>
      <c r="D1798" s="14" t="str">
        <f aca="false">IF(C1798="BUY",B1798,IF(G1797="IN",D1797,""))</f>
        <v/>
      </c>
      <c r="E1798" s="14" t="str">
        <f aca="false">IF(C1798="SELL",B1798,"")</f>
        <v/>
      </c>
      <c r="F1798" s="14" t="str">
        <f aca="false">IF(E1798="","",(E1798-D1798)/D1798*100)</f>
        <v/>
      </c>
      <c r="G1798" s="0" t="str">
        <f aca="false">IF(C1798="BUY","IN",IF(C1798="SELL","OUT",IF(G1797="IN","IN","OUT")))</f>
        <v>OUT</v>
      </c>
      <c r="H1798" s="14" t="n">
        <f aca="false">H1797+IF(F1798="",0,F1798)</f>
        <v>-8.13444016247509</v>
      </c>
      <c r="I1798" s="14" t="n">
        <f aca="false">MAX(I1797,H1798)</f>
        <v>43.9309628600509</v>
      </c>
      <c r="J1798" s="14" t="n">
        <f aca="false">I1798-H1798</f>
        <v>52.065403022526</v>
      </c>
    </row>
    <row r="1799" customFormat="false" ht="15" hidden="false" customHeight="false" outlineLevel="0" collapsed="false">
      <c r="A1799" s="12" t="n">
        <f aca="false">Data!A1799</f>
        <v>44616</v>
      </c>
      <c r="B1799" s="14" t="n">
        <f aca="false">Data!B1799</f>
        <v>92.81</v>
      </c>
      <c r="C1799" s="0" t="str">
        <f aca="false">IF(Data!D1799="","HOLD",IF(AND(G1798&lt;&gt;"IN",Data!E1799&lt;-5),"BUY",IF(AND(G1798="IN",Data!E1799&gt;0),"SELL","HOLD")))</f>
        <v>HOLD</v>
      </c>
      <c r="D1799" s="14" t="str">
        <f aca="false">IF(C1799="BUY",B1799,IF(G1798="IN",D1798,""))</f>
        <v/>
      </c>
      <c r="E1799" s="14" t="str">
        <f aca="false">IF(C1799="SELL",B1799,"")</f>
        <v/>
      </c>
      <c r="F1799" s="14" t="str">
        <f aca="false">IF(E1799="","",(E1799-D1799)/D1799*100)</f>
        <v/>
      </c>
      <c r="G1799" s="0" t="str">
        <f aca="false">IF(C1799="BUY","IN",IF(C1799="SELL","OUT",IF(G1798="IN","IN","OUT")))</f>
        <v>OUT</v>
      </c>
      <c r="H1799" s="14" t="n">
        <f aca="false">H1798+IF(F1799="",0,F1799)</f>
        <v>-8.13444016247509</v>
      </c>
      <c r="I1799" s="14" t="n">
        <f aca="false">MAX(I1798,H1799)</f>
        <v>43.9309628600509</v>
      </c>
      <c r="J1799" s="14" t="n">
        <f aca="false">I1799-H1799</f>
        <v>52.065403022526</v>
      </c>
    </row>
    <row r="1800" customFormat="false" ht="15" hidden="false" customHeight="false" outlineLevel="0" collapsed="false">
      <c r="A1800" s="12" t="n">
        <f aca="false">Data!A1800</f>
        <v>44617</v>
      </c>
      <c r="B1800" s="14" t="n">
        <f aca="false">Data!B1800</f>
        <v>91.59</v>
      </c>
      <c r="C1800" s="0" t="str">
        <f aca="false">IF(Data!D1800="","HOLD",IF(AND(G1799&lt;&gt;"IN",Data!E1800&lt;-5),"BUY",IF(AND(G1799="IN",Data!E1800&gt;0),"SELL","HOLD")))</f>
        <v>HOLD</v>
      </c>
      <c r="D1800" s="14" t="str">
        <f aca="false">IF(C1800="BUY",B1800,IF(G1799="IN",D1799,""))</f>
        <v/>
      </c>
      <c r="E1800" s="14" t="str">
        <f aca="false">IF(C1800="SELL",B1800,"")</f>
        <v/>
      </c>
      <c r="F1800" s="14" t="str">
        <f aca="false">IF(E1800="","",(E1800-D1800)/D1800*100)</f>
        <v/>
      </c>
      <c r="G1800" s="0" t="str">
        <f aca="false">IF(C1800="BUY","IN",IF(C1800="SELL","OUT",IF(G1799="IN","IN","OUT")))</f>
        <v>OUT</v>
      </c>
      <c r="H1800" s="14" t="n">
        <f aca="false">H1799+IF(F1800="",0,F1800)</f>
        <v>-8.13444016247509</v>
      </c>
      <c r="I1800" s="14" t="n">
        <f aca="false">MAX(I1799,H1800)</f>
        <v>43.9309628600509</v>
      </c>
      <c r="J1800" s="14" t="n">
        <f aca="false">I1800-H1800</f>
        <v>52.065403022526</v>
      </c>
    </row>
    <row r="1801" customFormat="false" ht="15" hidden="false" customHeight="false" outlineLevel="0" collapsed="false">
      <c r="A1801" s="12" t="n">
        <f aca="false">Data!A1801</f>
        <v>44620</v>
      </c>
      <c r="B1801" s="14" t="n">
        <f aca="false">Data!B1801</f>
        <v>95.72</v>
      </c>
      <c r="C1801" s="0" t="str">
        <f aca="false">IF(Data!D1801="","HOLD",IF(AND(G1800&lt;&gt;"IN",Data!E1801&lt;-5),"BUY",IF(AND(G1800="IN",Data!E1801&gt;0),"SELL","HOLD")))</f>
        <v>HOLD</v>
      </c>
      <c r="D1801" s="14" t="str">
        <f aca="false">IF(C1801="BUY",B1801,IF(G1800="IN",D1800,""))</f>
        <v/>
      </c>
      <c r="E1801" s="14" t="str">
        <f aca="false">IF(C1801="SELL",B1801,"")</f>
        <v/>
      </c>
      <c r="F1801" s="14" t="str">
        <f aca="false">IF(E1801="","",(E1801-D1801)/D1801*100)</f>
        <v/>
      </c>
      <c r="G1801" s="0" t="str">
        <f aca="false">IF(C1801="BUY","IN",IF(C1801="SELL","OUT",IF(G1800="IN","IN","OUT")))</f>
        <v>OUT</v>
      </c>
      <c r="H1801" s="14" t="n">
        <f aca="false">H1800+IF(F1801="",0,F1801)</f>
        <v>-8.13444016247509</v>
      </c>
      <c r="I1801" s="14" t="n">
        <f aca="false">MAX(I1800,H1801)</f>
        <v>43.9309628600509</v>
      </c>
      <c r="J1801" s="14" t="n">
        <f aca="false">I1801-H1801</f>
        <v>52.065403022526</v>
      </c>
    </row>
    <row r="1802" customFormat="false" ht="15" hidden="false" customHeight="false" outlineLevel="0" collapsed="false">
      <c r="A1802" s="12" t="n">
        <f aca="false">Data!A1802</f>
        <v>44621</v>
      </c>
      <c r="B1802" s="14" t="n">
        <f aca="false">Data!B1802</f>
        <v>103.41</v>
      </c>
      <c r="C1802" s="0" t="str">
        <f aca="false">IF(Data!D1802="","HOLD",IF(AND(G1801&lt;&gt;"IN",Data!E1802&lt;-5),"BUY",IF(AND(G1801="IN",Data!E1802&gt;0),"SELL","HOLD")))</f>
        <v>HOLD</v>
      </c>
      <c r="D1802" s="14" t="str">
        <f aca="false">IF(C1802="BUY",B1802,IF(G1801="IN",D1801,""))</f>
        <v/>
      </c>
      <c r="E1802" s="14" t="str">
        <f aca="false">IF(C1802="SELL",B1802,"")</f>
        <v/>
      </c>
      <c r="F1802" s="14" t="str">
        <f aca="false">IF(E1802="","",(E1802-D1802)/D1802*100)</f>
        <v/>
      </c>
      <c r="G1802" s="0" t="str">
        <f aca="false">IF(C1802="BUY","IN",IF(C1802="SELL","OUT",IF(G1801="IN","IN","OUT")))</f>
        <v>OUT</v>
      </c>
      <c r="H1802" s="14" t="n">
        <f aca="false">H1801+IF(F1802="",0,F1802)</f>
        <v>-8.13444016247509</v>
      </c>
      <c r="I1802" s="14" t="n">
        <f aca="false">MAX(I1801,H1802)</f>
        <v>43.9309628600509</v>
      </c>
      <c r="J1802" s="14" t="n">
        <f aca="false">I1802-H1802</f>
        <v>52.065403022526</v>
      </c>
    </row>
    <row r="1803" customFormat="false" ht="15" hidden="false" customHeight="false" outlineLevel="0" collapsed="false">
      <c r="A1803" s="12" t="n">
        <f aca="false">Data!A1803</f>
        <v>44622</v>
      </c>
      <c r="B1803" s="14" t="n">
        <f aca="false">Data!B1803</f>
        <v>110.6</v>
      </c>
      <c r="C1803" s="0" t="str">
        <f aca="false">IF(Data!D1803="","HOLD",IF(AND(G1802&lt;&gt;"IN",Data!E1803&lt;-5),"BUY",IF(AND(G1802="IN",Data!E1803&gt;0),"SELL","HOLD")))</f>
        <v>HOLD</v>
      </c>
      <c r="D1803" s="14" t="str">
        <f aca="false">IF(C1803="BUY",B1803,IF(G1802="IN",D1802,""))</f>
        <v/>
      </c>
      <c r="E1803" s="14" t="str">
        <f aca="false">IF(C1803="SELL",B1803,"")</f>
        <v/>
      </c>
      <c r="F1803" s="14" t="str">
        <f aca="false">IF(E1803="","",(E1803-D1803)/D1803*100)</f>
        <v/>
      </c>
      <c r="G1803" s="0" t="str">
        <f aca="false">IF(C1803="BUY","IN",IF(C1803="SELL","OUT",IF(G1802="IN","IN","OUT")))</f>
        <v>OUT</v>
      </c>
      <c r="H1803" s="14" t="n">
        <f aca="false">H1802+IF(F1803="",0,F1803)</f>
        <v>-8.13444016247509</v>
      </c>
      <c r="I1803" s="14" t="n">
        <f aca="false">MAX(I1802,H1803)</f>
        <v>43.9309628600509</v>
      </c>
      <c r="J1803" s="14" t="n">
        <f aca="false">I1803-H1803</f>
        <v>52.065403022526</v>
      </c>
    </row>
    <row r="1804" customFormat="false" ht="15" hidden="false" customHeight="false" outlineLevel="0" collapsed="false">
      <c r="A1804" s="12" t="n">
        <f aca="false">Data!A1804</f>
        <v>44623</v>
      </c>
      <c r="B1804" s="14" t="n">
        <f aca="false">Data!B1804</f>
        <v>107.67</v>
      </c>
      <c r="C1804" s="0" t="str">
        <f aca="false">IF(Data!D1804="","HOLD",IF(AND(G1803&lt;&gt;"IN",Data!E1804&lt;-5),"BUY",IF(AND(G1803="IN",Data!E1804&gt;0),"SELL","HOLD")))</f>
        <v>HOLD</v>
      </c>
      <c r="D1804" s="14" t="str">
        <f aca="false">IF(C1804="BUY",B1804,IF(G1803="IN",D1803,""))</f>
        <v/>
      </c>
      <c r="E1804" s="14" t="str">
        <f aca="false">IF(C1804="SELL",B1804,"")</f>
        <v/>
      </c>
      <c r="F1804" s="14" t="str">
        <f aca="false">IF(E1804="","",(E1804-D1804)/D1804*100)</f>
        <v/>
      </c>
      <c r="G1804" s="0" t="str">
        <f aca="false">IF(C1804="BUY","IN",IF(C1804="SELL","OUT",IF(G1803="IN","IN","OUT")))</f>
        <v>OUT</v>
      </c>
      <c r="H1804" s="14" t="n">
        <f aca="false">H1803+IF(F1804="",0,F1804)</f>
        <v>-8.13444016247509</v>
      </c>
      <c r="I1804" s="14" t="n">
        <f aca="false">MAX(I1803,H1804)</f>
        <v>43.9309628600509</v>
      </c>
      <c r="J1804" s="14" t="n">
        <f aca="false">I1804-H1804</f>
        <v>52.065403022526</v>
      </c>
    </row>
    <row r="1805" customFormat="false" ht="15" hidden="false" customHeight="false" outlineLevel="0" collapsed="false">
      <c r="A1805" s="12" t="n">
        <f aca="false">Data!A1805</f>
        <v>44624</v>
      </c>
      <c r="B1805" s="14" t="n">
        <f aca="false">Data!B1805</f>
        <v>115.68</v>
      </c>
      <c r="C1805" s="0" t="str">
        <f aca="false">IF(Data!D1805="","HOLD",IF(AND(G1804&lt;&gt;"IN",Data!E1805&lt;-5),"BUY",IF(AND(G1804="IN",Data!E1805&gt;0),"SELL","HOLD")))</f>
        <v>HOLD</v>
      </c>
      <c r="D1805" s="14" t="str">
        <f aca="false">IF(C1805="BUY",B1805,IF(G1804="IN",D1804,""))</f>
        <v/>
      </c>
      <c r="E1805" s="14" t="str">
        <f aca="false">IF(C1805="SELL",B1805,"")</f>
        <v/>
      </c>
      <c r="F1805" s="14" t="str">
        <f aca="false">IF(E1805="","",(E1805-D1805)/D1805*100)</f>
        <v/>
      </c>
      <c r="G1805" s="0" t="str">
        <f aca="false">IF(C1805="BUY","IN",IF(C1805="SELL","OUT",IF(G1804="IN","IN","OUT")))</f>
        <v>OUT</v>
      </c>
      <c r="H1805" s="14" t="n">
        <f aca="false">H1804+IF(F1805="",0,F1805)</f>
        <v>-8.13444016247509</v>
      </c>
      <c r="I1805" s="14" t="n">
        <f aca="false">MAX(I1804,H1805)</f>
        <v>43.9309628600509</v>
      </c>
      <c r="J1805" s="14" t="n">
        <f aca="false">I1805-H1805</f>
        <v>52.065403022526</v>
      </c>
    </row>
    <row r="1806" customFormat="false" ht="15" hidden="false" customHeight="false" outlineLevel="0" collapsed="false">
      <c r="A1806" s="12" t="n">
        <f aca="false">Data!A1806</f>
        <v>44627</v>
      </c>
      <c r="B1806" s="14" t="n">
        <f aca="false">Data!B1806</f>
        <v>119.4</v>
      </c>
      <c r="C1806" s="0" t="str">
        <f aca="false">IF(Data!D1806="","HOLD",IF(AND(G1805&lt;&gt;"IN",Data!E1806&lt;-5),"BUY",IF(AND(G1805="IN",Data!E1806&gt;0),"SELL","HOLD")))</f>
        <v>HOLD</v>
      </c>
      <c r="D1806" s="14" t="str">
        <f aca="false">IF(C1806="BUY",B1806,IF(G1805="IN",D1805,""))</f>
        <v/>
      </c>
      <c r="E1806" s="14" t="str">
        <f aca="false">IF(C1806="SELL",B1806,"")</f>
        <v/>
      </c>
      <c r="F1806" s="14" t="str">
        <f aca="false">IF(E1806="","",(E1806-D1806)/D1806*100)</f>
        <v/>
      </c>
      <c r="G1806" s="0" t="str">
        <f aca="false">IF(C1806="BUY","IN",IF(C1806="SELL","OUT",IF(G1805="IN","IN","OUT")))</f>
        <v>OUT</v>
      </c>
      <c r="H1806" s="14" t="n">
        <f aca="false">H1805+IF(F1806="",0,F1806)</f>
        <v>-8.13444016247509</v>
      </c>
      <c r="I1806" s="14" t="n">
        <f aca="false">MAX(I1805,H1806)</f>
        <v>43.9309628600509</v>
      </c>
      <c r="J1806" s="14" t="n">
        <f aca="false">I1806-H1806</f>
        <v>52.065403022526</v>
      </c>
    </row>
    <row r="1807" customFormat="false" ht="15" hidden="false" customHeight="false" outlineLevel="0" collapsed="false">
      <c r="A1807" s="12" t="n">
        <f aca="false">Data!A1807</f>
        <v>44628</v>
      </c>
      <c r="B1807" s="14" t="n">
        <f aca="false">Data!B1807</f>
        <v>123.7</v>
      </c>
      <c r="C1807" s="0" t="str">
        <f aca="false">IF(Data!D1807="","HOLD",IF(AND(G1806&lt;&gt;"IN",Data!E1807&lt;-5),"BUY",IF(AND(G1806="IN",Data!E1807&gt;0),"SELL","HOLD")))</f>
        <v>HOLD</v>
      </c>
      <c r="D1807" s="14" t="str">
        <f aca="false">IF(C1807="BUY",B1807,IF(G1806="IN",D1806,""))</f>
        <v/>
      </c>
      <c r="E1807" s="14" t="str">
        <f aca="false">IF(C1807="SELL",B1807,"")</f>
        <v/>
      </c>
      <c r="F1807" s="14" t="str">
        <f aca="false">IF(E1807="","",(E1807-D1807)/D1807*100)</f>
        <v/>
      </c>
      <c r="G1807" s="0" t="str">
        <f aca="false">IF(C1807="BUY","IN",IF(C1807="SELL","OUT",IF(G1806="IN","IN","OUT")))</f>
        <v>OUT</v>
      </c>
      <c r="H1807" s="14" t="n">
        <f aca="false">H1806+IF(F1807="",0,F1807)</f>
        <v>-8.13444016247509</v>
      </c>
      <c r="I1807" s="14" t="n">
        <f aca="false">MAX(I1806,H1807)</f>
        <v>43.9309628600509</v>
      </c>
      <c r="J1807" s="14" t="n">
        <f aca="false">I1807-H1807</f>
        <v>52.065403022526</v>
      </c>
    </row>
    <row r="1808" customFormat="false" ht="15" hidden="false" customHeight="false" outlineLevel="0" collapsed="false">
      <c r="A1808" s="12" t="n">
        <f aca="false">Data!A1808</f>
        <v>44629</v>
      </c>
      <c r="B1808" s="14" t="n">
        <f aca="false">Data!B1808</f>
        <v>108.7</v>
      </c>
      <c r="C1808" s="0" t="str">
        <f aca="false">IF(Data!D1808="","HOLD",IF(AND(G1807&lt;&gt;"IN",Data!E1808&lt;-5),"BUY",IF(AND(G1807="IN",Data!E1808&gt;0),"SELL","HOLD")))</f>
        <v>HOLD</v>
      </c>
      <c r="D1808" s="14" t="str">
        <f aca="false">IF(C1808="BUY",B1808,IF(G1807="IN",D1807,""))</f>
        <v/>
      </c>
      <c r="E1808" s="14" t="str">
        <f aca="false">IF(C1808="SELL",B1808,"")</f>
        <v/>
      </c>
      <c r="F1808" s="14" t="str">
        <f aca="false">IF(E1808="","",(E1808-D1808)/D1808*100)</f>
        <v/>
      </c>
      <c r="G1808" s="0" t="str">
        <f aca="false">IF(C1808="BUY","IN",IF(C1808="SELL","OUT",IF(G1807="IN","IN","OUT")))</f>
        <v>OUT</v>
      </c>
      <c r="H1808" s="14" t="n">
        <f aca="false">H1807+IF(F1808="",0,F1808)</f>
        <v>-8.13444016247509</v>
      </c>
      <c r="I1808" s="14" t="n">
        <f aca="false">MAX(I1807,H1808)</f>
        <v>43.9309628600509</v>
      </c>
      <c r="J1808" s="14" t="n">
        <f aca="false">I1808-H1808</f>
        <v>52.065403022526</v>
      </c>
    </row>
    <row r="1809" customFormat="false" ht="15" hidden="false" customHeight="false" outlineLevel="0" collapsed="false">
      <c r="A1809" s="12" t="n">
        <f aca="false">Data!A1809</f>
        <v>44630</v>
      </c>
      <c r="B1809" s="14" t="n">
        <f aca="false">Data!B1809</f>
        <v>106.02</v>
      </c>
      <c r="C1809" s="0" t="str">
        <f aca="false">IF(Data!D1809="","HOLD",IF(AND(G1808&lt;&gt;"IN",Data!E1809&lt;-5),"BUY",IF(AND(G1808="IN",Data!E1809&gt;0),"SELL","HOLD")))</f>
        <v>HOLD</v>
      </c>
      <c r="D1809" s="14" t="str">
        <f aca="false">IF(C1809="BUY",B1809,IF(G1808="IN",D1808,""))</f>
        <v/>
      </c>
      <c r="E1809" s="14" t="str">
        <f aca="false">IF(C1809="SELL",B1809,"")</f>
        <v/>
      </c>
      <c r="F1809" s="14" t="str">
        <f aca="false">IF(E1809="","",(E1809-D1809)/D1809*100)</f>
        <v/>
      </c>
      <c r="G1809" s="0" t="str">
        <f aca="false">IF(C1809="BUY","IN",IF(C1809="SELL","OUT",IF(G1808="IN","IN","OUT")))</f>
        <v>OUT</v>
      </c>
      <c r="H1809" s="14" t="n">
        <f aca="false">H1808+IF(F1809="",0,F1809)</f>
        <v>-8.13444016247509</v>
      </c>
      <c r="I1809" s="14" t="n">
        <f aca="false">MAX(I1808,H1809)</f>
        <v>43.9309628600509</v>
      </c>
      <c r="J1809" s="14" t="n">
        <f aca="false">I1809-H1809</f>
        <v>52.065403022526</v>
      </c>
    </row>
    <row r="1810" customFormat="false" ht="15" hidden="false" customHeight="false" outlineLevel="0" collapsed="false">
      <c r="A1810" s="12" t="n">
        <f aca="false">Data!A1810</f>
        <v>44631</v>
      </c>
      <c r="B1810" s="14" t="n">
        <f aca="false">Data!B1810</f>
        <v>109.33</v>
      </c>
      <c r="C1810" s="0" t="str">
        <f aca="false">IF(Data!D1810="","HOLD",IF(AND(G1809&lt;&gt;"IN",Data!E1810&lt;-5),"BUY",IF(AND(G1809="IN",Data!E1810&gt;0),"SELL","HOLD")))</f>
        <v>HOLD</v>
      </c>
      <c r="D1810" s="14" t="str">
        <f aca="false">IF(C1810="BUY",B1810,IF(G1809="IN",D1809,""))</f>
        <v/>
      </c>
      <c r="E1810" s="14" t="str">
        <f aca="false">IF(C1810="SELL",B1810,"")</f>
        <v/>
      </c>
      <c r="F1810" s="14" t="str">
        <f aca="false">IF(E1810="","",(E1810-D1810)/D1810*100)</f>
        <v/>
      </c>
      <c r="G1810" s="0" t="str">
        <f aca="false">IF(C1810="BUY","IN",IF(C1810="SELL","OUT",IF(G1809="IN","IN","OUT")))</f>
        <v>OUT</v>
      </c>
      <c r="H1810" s="14" t="n">
        <f aca="false">H1809+IF(F1810="",0,F1810)</f>
        <v>-8.13444016247509</v>
      </c>
      <c r="I1810" s="14" t="n">
        <f aca="false">MAX(I1809,H1810)</f>
        <v>43.9309628600509</v>
      </c>
      <c r="J1810" s="14" t="n">
        <f aca="false">I1810-H1810</f>
        <v>52.065403022526</v>
      </c>
    </row>
    <row r="1811" customFormat="false" ht="15" hidden="false" customHeight="false" outlineLevel="0" collapsed="false">
      <c r="A1811" s="12" t="n">
        <f aca="false">Data!A1811</f>
        <v>44634</v>
      </c>
      <c r="B1811" s="14" t="n">
        <f aca="false">Data!B1811</f>
        <v>103.01</v>
      </c>
      <c r="C1811" s="0" t="str">
        <f aca="false">IF(Data!D1811="","HOLD",IF(AND(G1810&lt;&gt;"IN",Data!E1811&lt;-5),"BUY",IF(AND(G1810="IN",Data!E1811&gt;0),"SELL","HOLD")))</f>
        <v>HOLD</v>
      </c>
      <c r="D1811" s="14" t="str">
        <f aca="false">IF(C1811="BUY",B1811,IF(G1810="IN",D1810,""))</f>
        <v/>
      </c>
      <c r="E1811" s="14" t="str">
        <f aca="false">IF(C1811="SELL",B1811,"")</f>
        <v/>
      </c>
      <c r="F1811" s="14" t="str">
        <f aca="false">IF(E1811="","",(E1811-D1811)/D1811*100)</f>
        <v/>
      </c>
      <c r="G1811" s="0" t="str">
        <f aca="false">IF(C1811="BUY","IN",IF(C1811="SELL","OUT",IF(G1810="IN","IN","OUT")))</f>
        <v>OUT</v>
      </c>
      <c r="H1811" s="14" t="n">
        <f aca="false">H1810+IF(F1811="",0,F1811)</f>
        <v>-8.13444016247509</v>
      </c>
      <c r="I1811" s="14" t="n">
        <f aca="false">MAX(I1810,H1811)</f>
        <v>43.9309628600509</v>
      </c>
      <c r="J1811" s="14" t="n">
        <f aca="false">I1811-H1811</f>
        <v>52.065403022526</v>
      </c>
    </row>
    <row r="1812" customFormat="false" ht="15" hidden="false" customHeight="false" outlineLevel="0" collapsed="false">
      <c r="A1812" s="12" t="n">
        <f aca="false">Data!A1812</f>
        <v>44635</v>
      </c>
      <c r="B1812" s="14" t="n">
        <f aca="false">Data!B1812</f>
        <v>96.44</v>
      </c>
      <c r="C1812" s="0" t="str">
        <f aca="false">IF(Data!D1812="","HOLD",IF(AND(G1811&lt;&gt;"IN",Data!E1812&lt;-5),"BUY",IF(AND(G1811="IN",Data!E1812&gt;0),"SELL","HOLD")))</f>
        <v>BUY</v>
      </c>
      <c r="D1812" s="14" t="n">
        <f aca="false">IF(C1812="BUY",B1812,IF(G1811="IN",D1811,""))</f>
        <v>96.44</v>
      </c>
      <c r="E1812" s="14" t="str">
        <f aca="false">IF(C1812="SELL",B1812,"")</f>
        <v/>
      </c>
      <c r="F1812" s="14" t="str">
        <f aca="false">IF(E1812="","",(E1812-D1812)/D1812*100)</f>
        <v/>
      </c>
      <c r="G1812" s="0" t="str">
        <f aca="false">IF(C1812="BUY","IN",IF(C1812="SELL","OUT",IF(G1811="IN","IN","OUT")))</f>
        <v>IN</v>
      </c>
      <c r="H1812" s="14" t="n">
        <f aca="false">H1811+IF(F1812="",0,F1812)</f>
        <v>-8.13444016247509</v>
      </c>
      <c r="I1812" s="14" t="n">
        <f aca="false">MAX(I1811,H1812)</f>
        <v>43.9309628600509</v>
      </c>
      <c r="J1812" s="14" t="n">
        <f aca="false">I1812-H1812</f>
        <v>52.065403022526</v>
      </c>
    </row>
    <row r="1813" customFormat="false" ht="15" hidden="false" customHeight="false" outlineLevel="0" collapsed="false">
      <c r="A1813" s="12" t="n">
        <f aca="false">Data!A1813</f>
        <v>44636</v>
      </c>
      <c r="B1813" s="14" t="n">
        <f aca="false">Data!B1813</f>
        <v>95.04</v>
      </c>
      <c r="C1813" s="0" t="str">
        <f aca="false">IF(Data!D1813="","HOLD",IF(AND(G1812&lt;&gt;"IN",Data!E1813&lt;-5),"BUY",IF(AND(G1812="IN",Data!E1813&gt;0),"SELL","HOLD")))</f>
        <v>HOLD</v>
      </c>
      <c r="D1813" s="14" t="n">
        <f aca="false">IF(C1813="BUY",B1813,IF(G1812="IN",D1812,""))</f>
        <v>96.44</v>
      </c>
      <c r="E1813" s="14" t="str">
        <f aca="false">IF(C1813="SELL",B1813,"")</f>
        <v/>
      </c>
      <c r="F1813" s="14" t="str">
        <f aca="false">IF(E1813="","",(E1813-D1813)/D1813*100)</f>
        <v/>
      </c>
      <c r="G1813" s="0" t="str">
        <f aca="false">IF(C1813="BUY","IN",IF(C1813="SELL","OUT",IF(G1812="IN","IN","OUT")))</f>
        <v>IN</v>
      </c>
      <c r="H1813" s="14" t="n">
        <f aca="false">H1812+IF(F1813="",0,F1813)</f>
        <v>-8.13444016247509</v>
      </c>
      <c r="I1813" s="14" t="n">
        <f aca="false">MAX(I1812,H1813)</f>
        <v>43.9309628600509</v>
      </c>
      <c r="J1813" s="14" t="n">
        <f aca="false">I1813-H1813</f>
        <v>52.065403022526</v>
      </c>
    </row>
    <row r="1814" customFormat="false" ht="15" hidden="false" customHeight="false" outlineLevel="0" collapsed="false">
      <c r="A1814" s="12" t="n">
        <f aca="false">Data!A1814</f>
        <v>44637</v>
      </c>
      <c r="B1814" s="14" t="n">
        <f aca="false">Data!B1814</f>
        <v>102.98</v>
      </c>
      <c r="C1814" s="0" t="str">
        <f aca="false">IF(Data!D1814="","HOLD",IF(AND(G1813&lt;&gt;"IN",Data!E1814&lt;-5),"BUY",IF(AND(G1813="IN",Data!E1814&gt;0),"SELL","HOLD")))</f>
        <v>SELL</v>
      </c>
      <c r="D1814" s="14" t="n">
        <f aca="false">IF(C1814="BUY",B1814,IF(G1813="IN",D1813,""))</f>
        <v>96.44</v>
      </c>
      <c r="E1814" s="14" t="n">
        <f aca="false">IF(C1814="SELL",B1814,"")</f>
        <v>102.98</v>
      </c>
      <c r="F1814" s="14" t="n">
        <f aca="false">IF(E1814="","",(E1814-D1814)/D1814*100)</f>
        <v>6.78141849854833</v>
      </c>
      <c r="G1814" s="0" t="str">
        <f aca="false">IF(C1814="BUY","IN",IF(C1814="SELL","OUT",IF(G1813="IN","IN","OUT")))</f>
        <v>OUT</v>
      </c>
      <c r="H1814" s="14" t="n">
        <f aca="false">H1813+IF(F1814="",0,F1814)</f>
        <v>-1.35302166392677</v>
      </c>
      <c r="I1814" s="14" t="n">
        <f aca="false">MAX(I1813,H1814)</f>
        <v>43.9309628600509</v>
      </c>
      <c r="J1814" s="14" t="n">
        <f aca="false">I1814-H1814</f>
        <v>45.2839845239776</v>
      </c>
    </row>
    <row r="1815" customFormat="false" ht="15" hidden="false" customHeight="false" outlineLevel="0" collapsed="false">
      <c r="A1815" s="12" t="n">
        <f aca="false">Data!A1815</f>
        <v>44638</v>
      </c>
      <c r="B1815" s="14" t="n">
        <f aca="false">Data!B1815</f>
        <v>104.7</v>
      </c>
      <c r="C1815" s="0" t="str">
        <f aca="false">IF(Data!D1815="","HOLD",IF(AND(G1814&lt;&gt;"IN",Data!E1815&lt;-5),"BUY",IF(AND(G1814="IN",Data!E1815&gt;0),"SELL","HOLD")))</f>
        <v>HOLD</v>
      </c>
      <c r="D1815" s="14" t="str">
        <f aca="false">IF(C1815="BUY",B1815,IF(G1814="IN",D1814,""))</f>
        <v/>
      </c>
      <c r="E1815" s="14" t="str">
        <f aca="false">IF(C1815="SELL",B1815,"")</f>
        <v/>
      </c>
      <c r="F1815" s="14" t="str">
        <f aca="false">IF(E1815="","",(E1815-D1815)/D1815*100)</f>
        <v/>
      </c>
      <c r="G1815" s="0" t="str">
        <f aca="false">IF(C1815="BUY","IN",IF(C1815="SELL","OUT",IF(G1814="IN","IN","OUT")))</f>
        <v>OUT</v>
      </c>
      <c r="H1815" s="14" t="n">
        <f aca="false">H1814+IF(F1815="",0,F1815)</f>
        <v>-1.35302166392677</v>
      </c>
      <c r="I1815" s="14" t="n">
        <f aca="false">MAX(I1814,H1815)</f>
        <v>43.9309628600509</v>
      </c>
      <c r="J1815" s="14" t="n">
        <f aca="false">I1815-H1815</f>
        <v>45.2839845239776</v>
      </c>
    </row>
    <row r="1816" customFormat="false" ht="15" hidden="false" customHeight="false" outlineLevel="0" collapsed="false">
      <c r="A1816" s="12" t="n">
        <f aca="false">Data!A1816</f>
        <v>44641</v>
      </c>
      <c r="B1816" s="14" t="n">
        <f aca="false">Data!B1816</f>
        <v>112.12</v>
      </c>
      <c r="C1816" s="0" t="str">
        <f aca="false">IF(Data!D1816="","HOLD",IF(AND(G1815&lt;&gt;"IN",Data!E1816&lt;-5),"BUY",IF(AND(G1815="IN",Data!E1816&gt;0),"SELL","HOLD")))</f>
        <v>HOLD</v>
      </c>
      <c r="D1816" s="14" t="str">
        <f aca="false">IF(C1816="BUY",B1816,IF(G1815="IN",D1815,""))</f>
        <v/>
      </c>
      <c r="E1816" s="14" t="str">
        <f aca="false">IF(C1816="SELL",B1816,"")</f>
        <v/>
      </c>
      <c r="F1816" s="14" t="str">
        <f aca="false">IF(E1816="","",(E1816-D1816)/D1816*100)</f>
        <v/>
      </c>
      <c r="G1816" s="0" t="str">
        <f aca="false">IF(C1816="BUY","IN",IF(C1816="SELL","OUT",IF(G1815="IN","IN","OUT")))</f>
        <v>OUT</v>
      </c>
      <c r="H1816" s="14" t="n">
        <f aca="false">H1815+IF(F1816="",0,F1816)</f>
        <v>-1.35302166392677</v>
      </c>
      <c r="I1816" s="14" t="n">
        <f aca="false">MAX(I1815,H1816)</f>
        <v>43.9309628600509</v>
      </c>
      <c r="J1816" s="14" t="n">
        <f aca="false">I1816-H1816</f>
        <v>45.2839845239776</v>
      </c>
    </row>
    <row r="1817" customFormat="false" ht="15" hidden="false" customHeight="false" outlineLevel="0" collapsed="false">
      <c r="A1817" s="12" t="n">
        <f aca="false">Data!A1817</f>
        <v>44642</v>
      </c>
      <c r="B1817" s="14" t="n">
        <f aca="false">Data!B1817</f>
        <v>111.76</v>
      </c>
      <c r="C1817" s="0" t="str">
        <f aca="false">IF(Data!D1817="","HOLD",IF(AND(G1816&lt;&gt;"IN",Data!E1817&lt;-5),"BUY",IF(AND(G1816="IN",Data!E1817&gt;0),"SELL","HOLD")))</f>
        <v>HOLD</v>
      </c>
      <c r="D1817" s="14" t="str">
        <f aca="false">IF(C1817="BUY",B1817,IF(G1816="IN",D1816,""))</f>
        <v/>
      </c>
      <c r="E1817" s="14" t="str">
        <f aca="false">IF(C1817="SELL",B1817,"")</f>
        <v/>
      </c>
      <c r="F1817" s="14" t="str">
        <f aca="false">IF(E1817="","",(E1817-D1817)/D1817*100)</f>
        <v/>
      </c>
      <c r="G1817" s="0" t="str">
        <f aca="false">IF(C1817="BUY","IN",IF(C1817="SELL","OUT",IF(G1816="IN","IN","OUT")))</f>
        <v>OUT</v>
      </c>
      <c r="H1817" s="14" t="n">
        <f aca="false">H1816+IF(F1817="",0,F1817)</f>
        <v>-1.35302166392677</v>
      </c>
      <c r="I1817" s="14" t="n">
        <f aca="false">MAX(I1816,H1817)</f>
        <v>43.9309628600509</v>
      </c>
      <c r="J1817" s="14" t="n">
        <f aca="false">I1817-H1817</f>
        <v>45.2839845239776</v>
      </c>
    </row>
    <row r="1818" customFormat="false" ht="15" hidden="false" customHeight="false" outlineLevel="0" collapsed="false">
      <c r="A1818" s="12" t="n">
        <f aca="false">Data!A1818</f>
        <v>44643</v>
      </c>
      <c r="B1818" s="14" t="n">
        <f aca="false">Data!B1818</f>
        <v>114.93</v>
      </c>
      <c r="C1818" s="0" t="str">
        <f aca="false">IF(Data!D1818="","HOLD",IF(AND(G1817&lt;&gt;"IN",Data!E1818&lt;-5),"BUY",IF(AND(G1817="IN",Data!E1818&gt;0),"SELL","HOLD")))</f>
        <v>HOLD</v>
      </c>
      <c r="D1818" s="14" t="str">
        <f aca="false">IF(C1818="BUY",B1818,IF(G1817="IN",D1817,""))</f>
        <v/>
      </c>
      <c r="E1818" s="14" t="str">
        <f aca="false">IF(C1818="SELL",B1818,"")</f>
        <v/>
      </c>
      <c r="F1818" s="14" t="str">
        <f aca="false">IF(E1818="","",(E1818-D1818)/D1818*100)</f>
        <v/>
      </c>
      <c r="G1818" s="0" t="str">
        <f aca="false">IF(C1818="BUY","IN",IF(C1818="SELL","OUT",IF(G1817="IN","IN","OUT")))</f>
        <v>OUT</v>
      </c>
      <c r="H1818" s="14" t="n">
        <f aca="false">H1817+IF(F1818="",0,F1818)</f>
        <v>-1.35302166392677</v>
      </c>
      <c r="I1818" s="14" t="n">
        <f aca="false">MAX(I1817,H1818)</f>
        <v>43.9309628600509</v>
      </c>
      <c r="J1818" s="14" t="n">
        <f aca="false">I1818-H1818</f>
        <v>45.2839845239776</v>
      </c>
    </row>
    <row r="1819" customFormat="false" ht="15" hidden="false" customHeight="false" outlineLevel="0" collapsed="false">
      <c r="A1819" s="12" t="n">
        <f aca="false">Data!A1819</f>
        <v>44644</v>
      </c>
      <c r="B1819" s="14" t="n">
        <f aca="false">Data!B1819</f>
        <v>112.34</v>
      </c>
      <c r="C1819" s="0" t="str">
        <f aca="false">IF(Data!D1819="","HOLD",IF(AND(G1818&lt;&gt;"IN",Data!E1819&lt;-5),"BUY",IF(AND(G1818="IN",Data!E1819&gt;0),"SELL","HOLD")))</f>
        <v>HOLD</v>
      </c>
      <c r="D1819" s="14" t="str">
        <f aca="false">IF(C1819="BUY",B1819,IF(G1818="IN",D1818,""))</f>
        <v/>
      </c>
      <c r="E1819" s="14" t="str">
        <f aca="false">IF(C1819="SELL",B1819,"")</f>
        <v/>
      </c>
      <c r="F1819" s="14" t="str">
        <f aca="false">IF(E1819="","",(E1819-D1819)/D1819*100)</f>
        <v/>
      </c>
      <c r="G1819" s="0" t="str">
        <f aca="false">IF(C1819="BUY","IN",IF(C1819="SELL","OUT",IF(G1818="IN","IN","OUT")))</f>
        <v>OUT</v>
      </c>
      <c r="H1819" s="14" t="n">
        <f aca="false">H1818+IF(F1819="",0,F1819)</f>
        <v>-1.35302166392677</v>
      </c>
      <c r="I1819" s="14" t="n">
        <f aca="false">MAX(I1818,H1819)</f>
        <v>43.9309628600509</v>
      </c>
      <c r="J1819" s="14" t="n">
        <f aca="false">I1819-H1819</f>
        <v>45.2839845239776</v>
      </c>
    </row>
    <row r="1820" customFormat="false" ht="15" hidden="false" customHeight="false" outlineLevel="0" collapsed="false">
      <c r="A1820" s="12" t="n">
        <f aca="false">Data!A1820</f>
        <v>44645</v>
      </c>
      <c r="B1820" s="14" t="n">
        <f aca="false">Data!B1820</f>
        <v>113.9</v>
      </c>
      <c r="C1820" s="0" t="str">
        <f aca="false">IF(Data!D1820="","HOLD",IF(AND(G1819&lt;&gt;"IN",Data!E1820&lt;-5),"BUY",IF(AND(G1819="IN",Data!E1820&gt;0),"SELL","HOLD")))</f>
        <v>HOLD</v>
      </c>
      <c r="D1820" s="14" t="str">
        <f aca="false">IF(C1820="BUY",B1820,IF(G1819="IN",D1819,""))</f>
        <v/>
      </c>
      <c r="E1820" s="14" t="str">
        <f aca="false">IF(C1820="SELL",B1820,"")</f>
        <v/>
      </c>
      <c r="F1820" s="14" t="str">
        <f aca="false">IF(E1820="","",(E1820-D1820)/D1820*100)</f>
        <v/>
      </c>
      <c r="G1820" s="0" t="str">
        <f aca="false">IF(C1820="BUY","IN",IF(C1820="SELL","OUT",IF(G1819="IN","IN","OUT")))</f>
        <v>OUT</v>
      </c>
      <c r="H1820" s="14" t="n">
        <f aca="false">H1819+IF(F1820="",0,F1820)</f>
        <v>-1.35302166392677</v>
      </c>
      <c r="I1820" s="14" t="n">
        <f aca="false">MAX(I1819,H1820)</f>
        <v>43.9309628600509</v>
      </c>
      <c r="J1820" s="14" t="n">
        <f aca="false">I1820-H1820</f>
        <v>45.2839845239776</v>
      </c>
    </row>
    <row r="1821" customFormat="false" ht="15" hidden="false" customHeight="false" outlineLevel="0" collapsed="false">
      <c r="A1821" s="12" t="n">
        <f aca="false">Data!A1821</f>
        <v>44648</v>
      </c>
      <c r="B1821" s="14" t="n">
        <f aca="false">Data!B1821</f>
        <v>105.96</v>
      </c>
      <c r="C1821" s="0" t="str">
        <f aca="false">IF(Data!D1821="","HOLD",IF(AND(G1820&lt;&gt;"IN",Data!E1821&lt;-5),"BUY",IF(AND(G1820="IN",Data!E1821&gt;0),"SELL","HOLD")))</f>
        <v>HOLD</v>
      </c>
      <c r="D1821" s="14" t="str">
        <f aca="false">IF(C1821="BUY",B1821,IF(G1820="IN",D1820,""))</f>
        <v/>
      </c>
      <c r="E1821" s="14" t="str">
        <f aca="false">IF(C1821="SELL",B1821,"")</f>
        <v/>
      </c>
      <c r="F1821" s="14" t="str">
        <f aca="false">IF(E1821="","",(E1821-D1821)/D1821*100)</f>
        <v/>
      </c>
      <c r="G1821" s="0" t="str">
        <f aca="false">IF(C1821="BUY","IN",IF(C1821="SELL","OUT",IF(G1820="IN","IN","OUT")))</f>
        <v>OUT</v>
      </c>
      <c r="H1821" s="14" t="n">
        <f aca="false">H1820+IF(F1821="",0,F1821)</f>
        <v>-1.35302166392677</v>
      </c>
      <c r="I1821" s="14" t="n">
        <f aca="false">MAX(I1820,H1821)</f>
        <v>43.9309628600509</v>
      </c>
      <c r="J1821" s="14" t="n">
        <f aca="false">I1821-H1821</f>
        <v>45.2839845239776</v>
      </c>
    </row>
    <row r="1822" customFormat="false" ht="15" hidden="false" customHeight="false" outlineLevel="0" collapsed="false">
      <c r="A1822" s="12" t="n">
        <f aca="false">Data!A1822</f>
        <v>44649</v>
      </c>
      <c r="B1822" s="14" t="n">
        <f aca="false">Data!B1822</f>
        <v>104.24</v>
      </c>
      <c r="C1822" s="0" t="str">
        <f aca="false">IF(Data!D1822="","HOLD",IF(AND(G1821&lt;&gt;"IN",Data!E1822&lt;-5),"BUY",IF(AND(G1821="IN",Data!E1822&gt;0),"SELL","HOLD")))</f>
        <v>HOLD</v>
      </c>
      <c r="D1822" s="14" t="str">
        <f aca="false">IF(C1822="BUY",B1822,IF(G1821="IN",D1821,""))</f>
        <v/>
      </c>
      <c r="E1822" s="14" t="str">
        <f aca="false">IF(C1822="SELL",B1822,"")</f>
        <v/>
      </c>
      <c r="F1822" s="14" t="str">
        <f aca="false">IF(E1822="","",(E1822-D1822)/D1822*100)</f>
        <v/>
      </c>
      <c r="G1822" s="0" t="str">
        <f aca="false">IF(C1822="BUY","IN",IF(C1822="SELL","OUT",IF(G1821="IN","IN","OUT")))</f>
        <v>OUT</v>
      </c>
      <c r="H1822" s="14" t="n">
        <f aca="false">H1821+IF(F1822="",0,F1822)</f>
        <v>-1.35302166392677</v>
      </c>
      <c r="I1822" s="14" t="n">
        <f aca="false">MAX(I1821,H1822)</f>
        <v>43.9309628600509</v>
      </c>
      <c r="J1822" s="14" t="n">
        <f aca="false">I1822-H1822</f>
        <v>45.2839845239776</v>
      </c>
    </row>
    <row r="1823" customFormat="false" ht="15" hidden="false" customHeight="false" outlineLevel="0" collapsed="false">
      <c r="A1823" s="12" t="n">
        <f aca="false">Data!A1823</f>
        <v>44650</v>
      </c>
      <c r="B1823" s="14" t="n">
        <f aca="false">Data!B1823</f>
        <v>107.82</v>
      </c>
      <c r="C1823" s="0" t="str">
        <f aca="false">IF(Data!D1823="","HOLD",IF(AND(G1822&lt;&gt;"IN",Data!E1823&lt;-5),"BUY",IF(AND(G1822="IN",Data!E1823&gt;0),"SELL","HOLD")))</f>
        <v>HOLD</v>
      </c>
      <c r="D1823" s="14" t="str">
        <f aca="false">IF(C1823="BUY",B1823,IF(G1822="IN",D1822,""))</f>
        <v/>
      </c>
      <c r="E1823" s="14" t="str">
        <f aca="false">IF(C1823="SELL",B1823,"")</f>
        <v/>
      </c>
      <c r="F1823" s="14" t="str">
        <f aca="false">IF(E1823="","",(E1823-D1823)/D1823*100)</f>
        <v/>
      </c>
      <c r="G1823" s="0" t="str">
        <f aca="false">IF(C1823="BUY","IN",IF(C1823="SELL","OUT",IF(G1822="IN","IN","OUT")))</f>
        <v>OUT</v>
      </c>
      <c r="H1823" s="14" t="n">
        <f aca="false">H1822+IF(F1823="",0,F1823)</f>
        <v>-1.35302166392677</v>
      </c>
      <c r="I1823" s="14" t="n">
        <f aca="false">MAX(I1822,H1823)</f>
        <v>43.9309628600509</v>
      </c>
      <c r="J1823" s="14" t="n">
        <f aca="false">I1823-H1823</f>
        <v>45.2839845239776</v>
      </c>
    </row>
    <row r="1824" customFormat="false" ht="15" hidden="false" customHeight="false" outlineLevel="0" collapsed="false">
      <c r="A1824" s="12" t="n">
        <f aca="false">Data!A1824</f>
        <v>44651</v>
      </c>
      <c r="B1824" s="14" t="n">
        <f aca="false">Data!B1824</f>
        <v>100.28</v>
      </c>
      <c r="C1824" s="0" t="str">
        <f aca="false">IF(Data!D1824="","HOLD",IF(AND(G1823&lt;&gt;"IN",Data!E1824&lt;-5),"BUY",IF(AND(G1823="IN",Data!E1824&gt;0),"SELL","HOLD")))</f>
        <v>BUY</v>
      </c>
      <c r="D1824" s="14" t="n">
        <f aca="false">IF(C1824="BUY",B1824,IF(G1823="IN",D1823,""))</f>
        <v>100.28</v>
      </c>
      <c r="E1824" s="14" t="str">
        <f aca="false">IF(C1824="SELL",B1824,"")</f>
        <v/>
      </c>
      <c r="F1824" s="14" t="str">
        <f aca="false">IF(E1824="","",(E1824-D1824)/D1824*100)</f>
        <v/>
      </c>
      <c r="G1824" s="0" t="str">
        <f aca="false">IF(C1824="BUY","IN",IF(C1824="SELL","OUT",IF(G1823="IN","IN","OUT")))</f>
        <v>IN</v>
      </c>
      <c r="H1824" s="14" t="n">
        <f aca="false">H1823+IF(F1824="",0,F1824)</f>
        <v>-1.35302166392677</v>
      </c>
      <c r="I1824" s="14" t="n">
        <f aca="false">MAX(I1823,H1824)</f>
        <v>43.9309628600509</v>
      </c>
      <c r="J1824" s="14" t="n">
        <f aca="false">I1824-H1824</f>
        <v>45.2839845239776</v>
      </c>
    </row>
    <row r="1825" customFormat="false" ht="15" hidden="false" customHeight="false" outlineLevel="0" collapsed="false">
      <c r="A1825" s="12" t="n">
        <f aca="false">Data!A1825</f>
        <v>44652</v>
      </c>
      <c r="B1825" s="14" t="n">
        <f aca="false">Data!B1825</f>
        <v>99.27</v>
      </c>
      <c r="C1825" s="0" t="str">
        <f aca="false">IF(Data!D1825="","HOLD",IF(AND(G1824&lt;&gt;"IN",Data!E1825&lt;-5),"BUY",IF(AND(G1824="IN",Data!E1825&gt;0),"SELL","HOLD")))</f>
        <v>HOLD</v>
      </c>
      <c r="D1825" s="14" t="n">
        <f aca="false">IF(C1825="BUY",B1825,IF(G1824="IN",D1824,""))</f>
        <v>100.28</v>
      </c>
      <c r="E1825" s="14" t="str">
        <f aca="false">IF(C1825="SELL",B1825,"")</f>
        <v/>
      </c>
      <c r="F1825" s="14" t="str">
        <f aca="false">IF(E1825="","",(E1825-D1825)/D1825*100)</f>
        <v/>
      </c>
      <c r="G1825" s="0" t="str">
        <f aca="false">IF(C1825="BUY","IN",IF(C1825="SELL","OUT",IF(G1824="IN","IN","OUT")))</f>
        <v>IN</v>
      </c>
      <c r="H1825" s="14" t="n">
        <f aca="false">H1824+IF(F1825="",0,F1825)</f>
        <v>-1.35302166392677</v>
      </c>
      <c r="I1825" s="14" t="n">
        <f aca="false">MAX(I1824,H1825)</f>
        <v>43.9309628600509</v>
      </c>
      <c r="J1825" s="14" t="n">
        <f aca="false">I1825-H1825</f>
        <v>45.2839845239776</v>
      </c>
    </row>
    <row r="1826" customFormat="false" ht="15" hidden="false" customHeight="false" outlineLevel="0" collapsed="false">
      <c r="A1826" s="12" t="n">
        <f aca="false">Data!A1826</f>
        <v>44655</v>
      </c>
      <c r="B1826" s="14" t="n">
        <f aca="false">Data!B1826</f>
        <v>103.28</v>
      </c>
      <c r="C1826" s="0" t="str">
        <f aca="false">IF(Data!D1826="","HOLD",IF(AND(G1825&lt;&gt;"IN",Data!E1826&lt;-5),"BUY",IF(AND(G1825="IN",Data!E1826&gt;0),"SELL","HOLD")))</f>
        <v>HOLD</v>
      </c>
      <c r="D1826" s="14" t="n">
        <f aca="false">IF(C1826="BUY",B1826,IF(G1825="IN",D1825,""))</f>
        <v>100.28</v>
      </c>
      <c r="E1826" s="14" t="str">
        <f aca="false">IF(C1826="SELL",B1826,"")</f>
        <v/>
      </c>
      <c r="F1826" s="14" t="str">
        <f aca="false">IF(E1826="","",(E1826-D1826)/D1826*100)</f>
        <v/>
      </c>
      <c r="G1826" s="0" t="str">
        <f aca="false">IF(C1826="BUY","IN",IF(C1826="SELL","OUT",IF(G1825="IN","IN","OUT")))</f>
        <v>IN</v>
      </c>
      <c r="H1826" s="14" t="n">
        <f aca="false">H1825+IF(F1826="",0,F1826)</f>
        <v>-1.35302166392677</v>
      </c>
      <c r="I1826" s="14" t="n">
        <f aca="false">MAX(I1825,H1826)</f>
        <v>43.9309628600509</v>
      </c>
      <c r="J1826" s="14" t="n">
        <f aca="false">I1826-H1826</f>
        <v>45.2839845239776</v>
      </c>
    </row>
    <row r="1827" customFormat="false" ht="15" hidden="false" customHeight="false" outlineLevel="0" collapsed="false">
      <c r="A1827" s="12" t="n">
        <f aca="false">Data!A1827</f>
        <v>44656</v>
      </c>
      <c r="B1827" s="14" t="n">
        <f aca="false">Data!B1827</f>
        <v>101.96</v>
      </c>
      <c r="C1827" s="0" t="str">
        <f aca="false">IF(Data!D1827="","HOLD",IF(AND(G1826&lt;&gt;"IN",Data!E1827&lt;-5),"BUY",IF(AND(G1826="IN",Data!E1827&gt;0),"SELL","HOLD")))</f>
        <v>HOLD</v>
      </c>
      <c r="D1827" s="14" t="n">
        <f aca="false">IF(C1827="BUY",B1827,IF(G1826="IN",D1826,""))</f>
        <v>100.28</v>
      </c>
      <c r="E1827" s="14" t="str">
        <f aca="false">IF(C1827="SELL",B1827,"")</f>
        <v/>
      </c>
      <c r="F1827" s="14" t="str">
        <f aca="false">IF(E1827="","",(E1827-D1827)/D1827*100)</f>
        <v/>
      </c>
      <c r="G1827" s="0" t="str">
        <f aca="false">IF(C1827="BUY","IN",IF(C1827="SELL","OUT",IF(G1826="IN","IN","OUT")))</f>
        <v>IN</v>
      </c>
      <c r="H1827" s="14" t="n">
        <f aca="false">H1826+IF(F1827="",0,F1827)</f>
        <v>-1.35302166392677</v>
      </c>
      <c r="I1827" s="14" t="n">
        <f aca="false">MAX(I1826,H1827)</f>
        <v>43.9309628600509</v>
      </c>
      <c r="J1827" s="14" t="n">
        <f aca="false">I1827-H1827</f>
        <v>45.2839845239776</v>
      </c>
    </row>
    <row r="1828" customFormat="false" ht="15" hidden="false" customHeight="false" outlineLevel="0" collapsed="false">
      <c r="A1828" s="12" t="n">
        <f aca="false">Data!A1828</f>
        <v>44657</v>
      </c>
      <c r="B1828" s="14" t="n">
        <f aca="false">Data!B1828</f>
        <v>96.23</v>
      </c>
      <c r="C1828" s="0" t="str">
        <f aca="false">IF(Data!D1828="","HOLD",IF(AND(G1827&lt;&gt;"IN",Data!E1828&lt;-5),"BUY",IF(AND(G1827="IN",Data!E1828&gt;0),"SELL","HOLD")))</f>
        <v>HOLD</v>
      </c>
      <c r="D1828" s="14" t="n">
        <f aca="false">IF(C1828="BUY",B1828,IF(G1827="IN",D1827,""))</f>
        <v>100.28</v>
      </c>
      <c r="E1828" s="14" t="str">
        <f aca="false">IF(C1828="SELL",B1828,"")</f>
        <v/>
      </c>
      <c r="F1828" s="14" t="str">
        <f aca="false">IF(E1828="","",(E1828-D1828)/D1828*100)</f>
        <v/>
      </c>
      <c r="G1828" s="0" t="str">
        <f aca="false">IF(C1828="BUY","IN",IF(C1828="SELL","OUT",IF(G1827="IN","IN","OUT")))</f>
        <v>IN</v>
      </c>
      <c r="H1828" s="14" t="n">
        <f aca="false">H1827+IF(F1828="",0,F1828)</f>
        <v>-1.35302166392677</v>
      </c>
      <c r="I1828" s="14" t="n">
        <f aca="false">MAX(I1827,H1828)</f>
        <v>43.9309628600509</v>
      </c>
      <c r="J1828" s="14" t="n">
        <f aca="false">I1828-H1828</f>
        <v>45.2839845239776</v>
      </c>
    </row>
    <row r="1829" customFormat="false" ht="15" hidden="false" customHeight="false" outlineLevel="0" collapsed="false">
      <c r="A1829" s="12" t="n">
        <f aca="false">Data!A1829</f>
        <v>44658</v>
      </c>
      <c r="B1829" s="14" t="n">
        <f aca="false">Data!B1829</f>
        <v>96.03</v>
      </c>
      <c r="C1829" s="0" t="str">
        <f aca="false">IF(Data!D1829="","HOLD",IF(AND(G1828&lt;&gt;"IN",Data!E1829&lt;-5),"BUY",IF(AND(G1828="IN",Data!E1829&gt;0),"SELL","HOLD")))</f>
        <v>HOLD</v>
      </c>
      <c r="D1829" s="14" t="n">
        <f aca="false">IF(C1829="BUY",B1829,IF(G1828="IN",D1828,""))</f>
        <v>100.28</v>
      </c>
      <c r="E1829" s="14" t="str">
        <f aca="false">IF(C1829="SELL",B1829,"")</f>
        <v/>
      </c>
      <c r="F1829" s="14" t="str">
        <f aca="false">IF(E1829="","",(E1829-D1829)/D1829*100)</f>
        <v/>
      </c>
      <c r="G1829" s="0" t="str">
        <f aca="false">IF(C1829="BUY","IN",IF(C1829="SELL","OUT",IF(G1828="IN","IN","OUT")))</f>
        <v>IN</v>
      </c>
      <c r="H1829" s="14" t="n">
        <f aca="false">H1828+IF(F1829="",0,F1829)</f>
        <v>-1.35302166392677</v>
      </c>
      <c r="I1829" s="14" t="n">
        <f aca="false">MAX(I1828,H1829)</f>
        <v>43.9309628600509</v>
      </c>
      <c r="J1829" s="14" t="n">
        <f aca="false">I1829-H1829</f>
        <v>45.2839845239776</v>
      </c>
    </row>
    <row r="1830" customFormat="false" ht="15" hidden="false" customHeight="false" outlineLevel="0" collapsed="false">
      <c r="A1830" s="12" t="n">
        <f aca="false">Data!A1830</f>
        <v>44659</v>
      </c>
      <c r="B1830" s="14" t="n">
        <f aca="false">Data!B1830</f>
        <v>98.26</v>
      </c>
      <c r="C1830" s="0" t="str">
        <f aca="false">IF(Data!D1830="","HOLD",IF(AND(G1829&lt;&gt;"IN",Data!E1830&lt;-5),"BUY",IF(AND(G1829="IN",Data!E1830&gt;0),"SELL","HOLD")))</f>
        <v>HOLD</v>
      </c>
      <c r="D1830" s="14" t="n">
        <f aca="false">IF(C1830="BUY",B1830,IF(G1829="IN",D1829,""))</f>
        <v>100.28</v>
      </c>
      <c r="E1830" s="14" t="str">
        <f aca="false">IF(C1830="SELL",B1830,"")</f>
        <v/>
      </c>
      <c r="F1830" s="14" t="str">
        <f aca="false">IF(E1830="","",(E1830-D1830)/D1830*100)</f>
        <v/>
      </c>
      <c r="G1830" s="0" t="str">
        <f aca="false">IF(C1830="BUY","IN",IF(C1830="SELL","OUT",IF(G1829="IN","IN","OUT")))</f>
        <v>IN</v>
      </c>
      <c r="H1830" s="14" t="n">
        <f aca="false">H1829+IF(F1830="",0,F1830)</f>
        <v>-1.35302166392677</v>
      </c>
      <c r="I1830" s="14" t="n">
        <f aca="false">MAX(I1829,H1830)</f>
        <v>43.9309628600509</v>
      </c>
      <c r="J1830" s="14" t="n">
        <f aca="false">I1830-H1830</f>
        <v>45.2839845239776</v>
      </c>
    </row>
    <row r="1831" customFormat="false" ht="15" hidden="false" customHeight="false" outlineLevel="0" collapsed="false">
      <c r="A1831" s="12" t="n">
        <f aca="false">Data!A1831</f>
        <v>44662</v>
      </c>
      <c r="B1831" s="14" t="n">
        <f aca="false">Data!B1831</f>
        <v>94.29</v>
      </c>
      <c r="C1831" s="0" t="str">
        <f aca="false">IF(Data!D1831="","HOLD",IF(AND(G1830&lt;&gt;"IN",Data!E1831&lt;-5),"BUY",IF(AND(G1830="IN",Data!E1831&gt;0),"SELL","HOLD")))</f>
        <v>HOLD</v>
      </c>
      <c r="D1831" s="14" t="n">
        <f aca="false">IF(C1831="BUY",B1831,IF(G1830="IN",D1830,""))</f>
        <v>100.28</v>
      </c>
      <c r="E1831" s="14" t="str">
        <f aca="false">IF(C1831="SELL",B1831,"")</f>
        <v/>
      </c>
      <c r="F1831" s="14" t="str">
        <f aca="false">IF(E1831="","",(E1831-D1831)/D1831*100)</f>
        <v/>
      </c>
      <c r="G1831" s="0" t="str">
        <f aca="false">IF(C1831="BUY","IN",IF(C1831="SELL","OUT",IF(G1830="IN","IN","OUT")))</f>
        <v>IN</v>
      </c>
      <c r="H1831" s="14" t="n">
        <f aca="false">H1830+IF(F1831="",0,F1831)</f>
        <v>-1.35302166392677</v>
      </c>
      <c r="I1831" s="14" t="n">
        <f aca="false">MAX(I1830,H1831)</f>
        <v>43.9309628600509</v>
      </c>
      <c r="J1831" s="14" t="n">
        <f aca="false">I1831-H1831</f>
        <v>45.2839845239776</v>
      </c>
    </row>
    <row r="1832" customFormat="false" ht="15" hidden="false" customHeight="false" outlineLevel="0" collapsed="false">
      <c r="A1832" s="12" t="n">
        <f aca="false">Data!A1832</f>
        <v>44663</v>
      </c>
      <c r="B1832" s="14" t="n">
        <f aca="false">Data!B1832</f>
        <v>100.6</v>
      </c>
      <c r="C1832" s="0" t="str">
        <f aca="false">IF(Data!D1832="","HOLD",IF(AND(G1831&lt;&gt;"IN",Data!E1832&lt;-5),"BUY",IF(AND(G1831="IN",Data!E1832&gt;0),"SELL","HOLD")))</f>
        <v>HOLD</v>
      </c>
      <c r="D1832" s="14" t="n">
        <f aca="false">IF(C1832="BUY",B1832,IF(G1831="IN",D1831,""))</f>
        <v>100.28</v>
      </c>
      <c r="E1832" s="14" t="str">
        <f aca="false">IF(C1832="SELL",B1832,"")</f>
        <v/>
      </c>
      <c r="F1832" s="14" t="str">
        <f aca="false">IF(E1832="","",(E1832-D1832)/D1832*100)</f>
        <v/>
      </c>
      <c r="G1832" s="0" t="str">
        <f aca="false">IF(C1832="BUY","IN",IF(C1832="SELL","OUT",IF(G1831="IN","IN","OUT")))</f>
        <v>IN</v>
      </c>
      <c r="H1832" s="14" t="n">
        <f aca="false">H1831+IF(F1832="",0,F1832)</f>
        <v>-1.35302166392677</v>
      </c>
      <c r="I1832" s="14" t="n">
        <f aca="false">MAX(I1831,H1832)</f>
        <v>43.9309628600509</v>
      </c>
      <c r="J1832" s="14" t="n">
        <f aca="false">I1832-H1832</f>
        <v>45.2839845239776</v>
      </c>
    </row>
    <row r="1833" customFormat="false" ht="15" hidden="false" customHeight="false" outlineLevel="0" collapsed="false">
      <c r="A1833" s="12" t="n">
        <f aca="false">Data!A1833</f>
        <v>44664</v>
      </c>
      <c r="B1833" s="14" t="n">
        <f aca="false">Data!B1833</f>
        <v>104.25</v>
      </c>
      <c r="C1833" s="0" t="str">
        <f aca="false">IF(Data!D1833="","HOLD",IF(AND(G1832&lt;&gt;"IN",Data!E1833&lt;-5),"BUY",IF(AND(G1832="IN",Data!E1833&gt;0),"SELL","HOLD")))</f>
        <v>HOLD</v>
      </c>
      <c r="D1833" s="14" t="n">
        <f aca="false">IF(C1833="BUY",B1833,IF(G1832="IN",D1832,""))</f>
        <v>100.28</v>
      </c>
      <c r="E1833" s="14" t="str">
        <f aca="false">IF(C1833="SELL",B1833,"")</f>
        <v/>
      </c>
      <c r="F1833" s="14" t="str">
        <f aca="false">IF(E1833="","",(E1833-D1833)/D1833*100)</f>
        <v/>
      </c>
      <c r="G1833" s="0" t="str">
        <f aca="false">IF(C1833="BUY","IN",IF(C1833="SELL","OUT",IF(G1832="IN","IN","OUT")))</f>
        <v>IN</v>
      </c>
      <c r="H1833" s="14" t="n">
        <f aca="false">H1832+IF(F1833="",0,F1833)</f>
        <v>-1.35302166392677</v>
      </c>
      <c r="I1833" s="14" t="n">
        <f aca="false">MAX(I1832,H1833)</f>
        <v>43.9309628600509</v>
      </c>
      <c r="J1833" s="14" t="n">
        <f aca="false">I1833-H1833</f>
        <v>45.2839845239776</v>
      </c>
    </row>
    <row r="1834" customFormat="false" ht="15" hidden="false" customHeight="false" outlineLevel="0" collapsed="false">
      <c r="A1834" s="12" t="n">
        <f aca="false">Data!A1834</f>
        <v>44665</v>
      </c>
      <c r="B1834" s="14" t="n">
        <f aca="false">Data!B1834</f>
        <v>106.95</v>
      </c>
      <c r="C1834" s="0" t="str">
        <f aca="false">IF(Data!D1834="","HOLD",IF(AND(G1833&lt;&gt;"IN",Data!E1834&lt;-5),"BUY",IF(AND(G1833="IN",Data!E1834&gt;0),"SELL","HOLD")))</f>
        <v>SELL</v>
      </c>
      <c r="D1834" s="14" t="n">
        <f aca="false">IF(C1834="BUY",B1834,IF(G1833="IN",D1833,""))</f>
        <v>100.28</v>
      </c>
      <c r="E1834" s="14" t="n">
        <f aca="false">IF(C1834="SELL",B1834,"")</f>
        <v>106.95</v>
      </c>
      <c r="F1834" s="14" t="n">
        <f aca="false">IF(E1834="","",(E1834-D1834)/D1834*100)</f>
        <v>6.65137614678899</v>
      </c>
      <c r="G1834" s="0" t="str">
        <f aca="false">IF(C1834="BUY","IN",IF(C1834="SELL","OUT",IF(G1833="IN","IN","OUT")))</f>
        <v>OUT</v>
      </c>
      <c r="H1834" s="14" t="n">
        <f aca="false">H1833+IF(F1834="",0,F1834)</f>
        <v>5.29835448286223</v>
      </c>
      <c r="I1834" s="14" t="n">
        <f aca="false">MAX(I1833,H1834)</f>
        <v>43.9309628600509</v>
      </c>
      <c r="J1834" s="14" t="n">
        <f aca="false">I1834-H1834</f>
        <v>38.6326083771886</v>
      </c>
    </row>
    <row r="1835" customFormat="false" ht="15" hidden="false" customHeight="false" outlineLevel="0" collapsed="false">
      <c r="A1835" s="12" t="n">
        <f aca="false">Data!A1835</f>
        <v>44669</v>
      </c>
      <c r="B1835" s="14" t="n">
        <f aca="false">Data!B1835</f>
        <v>108.21</v>
      </c>
      <c r="C1835" s="0" t="str">
        <f aca="false">IF(Data!D1835="","HOLD",IF(AND(G1834&lt;&gt;"IN",Data!E1835&lt;-5),"BUY",IF(AND(G1834="IN",Data!E1835&gt;0),"SELL","HOLD")))</f>
        <v>HOLD</v>
      </c>
      <c r="D1835" s="14" t="str">
        <f aca="false">IF(C1835="BUY",B1835,IF(G1834="IN",D1834,""))</f>
        <v/>
      </c>
      <c r="E1835" s="14" t="str">
        <f aca="false">IF(C1835="SELL",B1835,"")</f>
        <v/>
      </c>
      <c r="F1835" s="14" t="str">
        <f aca="false">IF(E1835="","",(E1835-D1835)/D1835*100)</f>
        <v/>
      </c>
      <c r="G1835" s="0" t="str">
        <f aca="false">IF(C1835="BUY","IN",IF(C1835="SELL","OUT",IF(G1834="IN","IN","OUT")))</f>
        <v>OUT</v>
      </c>
      <c r="H1835" s="14" t="n">
        <f aca="false">H1834+IF(F1835="",0,F1835)</f>
        <v>5.29835448286223</v>
      </c>
      <c r="I1835" s="14" t="n">
        <f aca="false">MAX(I1834,H1835)</f>
        <v>43.9309628600509</v>
      </c>
      <c r="J1835" s="14" t="n">
        <f aca="false">I1835-H1835</f>
        <v>38.6326083771886</v>
      </c>
    </row>
    <row r="1836" customFormat="false" ht="15" hidden="false" customHeight="false" outlineLevel="0" collapsed="false">
      <c r="A1836" s="12" t="n">
        <f aca="false">Data!A1836</f>
        <v>44670</v>
      </c>
      <c r="B1836" s="14" t="n">
        <f aca="false">Data!B1836</f>
        <v>102.56</v>
      </c>
      <c r="C1836" s="0" t="str">
        <f aca="false">IF(Data!D1836="","HOLD",IF(AND(G1835&lt;&gt;"IN",Data!E1836&lt;-5),"BUY",IF(AND(G1835="IN",Data!E1836&gt;0),"SELL","HOLD")))</f>
        <v>HOLD</v>
      </c>
      <c r="D1836" s="14" t="str">
        <f aca="false">IF(C1836="BUY",B1836,IF(G1835="IN",D1835,""))</f>
        <v/>
      </c>
      <c r="E1836" s="14" t="str">
        <f aca="false">IF(C1836="SELL",B1836,"")</f>
        <v/>
      </c>
      <c r="F1836" s="14" t="str">
        <f aca="false">IF(E1836="","",(E1836-D1836)/D1836*100)</f>
        <v/>
      </c>
      <c r="G1836" s="0" t="str">
        <f aca="false">IF(C1836="BUY","IN",IF(C1836="SELL","OUT",IF(G1835="IN","IN","OUT")))</f>
        <v>OUT</v>
      </c>
      <c r="H1836" s="14" t="n">
        <f aca="false">H1835+IF(F1836="",0,F1836)</f>
        <v>5.29835448286223</v>
      </c>
      <c r="I1836" s="14" t="n">
        <f aca="false">MAX(I1835,H1836)</f>
        <v>43.9309628600509</v>
      </c>
      <c r="J1836" s="14" t="n">
        <f aca="false">I1836-H1836</f>
        <v>38.6326083771886</v>
      </c>
    </row>
    <row r="1837" customFormat="false" ht="15" hidden="false" customHeight="false" outlineLevel="0" collapsed="false">
      <c r="A1837" s="12" t="n">
        <f aca="false">Data!A1837</f>
        <v>44671</v>
      </c>
      <c r="B1837" s="14" t="n">
        <f aca="false">Data!B1837</f>
        <v>102.75</v>
      </c>
      <c r="C1837" s="0" t="str">
        <f aca="false">IF(Data!D1837="","HOLD",IF(AND(G1836&lt;&gt;"IN",Data!E1837&lt;-5),"BUY",IF(AND(G1836="IN",Data!E1837&gt;0),"SELL","HOLD")))</f>
        <v>HOLD</v>
      </c>
      <c r="D1837" s="14" t="str">
        <f aca="false">IF(C1837="BUY",B1837,IF(G1836="IN",D1836,""))</f>
        <v/>
      </c>
      <c r="E1837" s="14" t="str">
        <f aca="false">IF(C1837="SELL",B1837,"")</f>
        <v/>
      </c>
      <c r="F1837" s="14" t="str">
        <f aca="false">IF(E1837="","",(E1837-D1837)/D1837*100)</f>
        <v/>
      </c>
      <c r="G1837" s="0" t="str">
        <f aca="false">IF(C1837="BUY","IN",IF(C1837="SELL","OUT",IF(G1836="IN","IN","OUT")))</f>
        <v>OUT</v>
      </c>
      <c r="H1837" s="14" t="n">
        <f aca="false">H1836+IF(F1837="",0,F1837)</f>
        <v>5.29835448286223</v>
      </c>
      <c r="I1837" s="14" t="n">
        <f aca="false">MAX(I1836,H1837)</f>
        <v>43.9309628600509</v>
      </c>
      <c r="J1837" s="14" t="n">
        <f aca="false">I1837-H1837</f>
        <v>38.6326083771886</v>
      </c>
    </row>
    <row r="1838" customFormat="false" ht="15" hidden="false" customHeight="false" outlineLevel="0" collapsed="false">
      <c r="A1838" s="12" t="n">
        <f aca="false">Data!A1838</f>
        <v>44672</v>
      </c>
      <c r="B1838" s="14" t="n">
        <f aca="false">Data!B1838</f>
        <v>103.79</v>
      </c>
      <c r="C1838" s="0" t="str">
        <f aca="false">IF(Data!D1838="","HOLD",IF(AND(G1837&lt;&gt;"IN",Data!E1838&lt;-5),"BUY",IF(AND(G1837="IN",Data!E1838&gt;0),"SELL","HOLD")))</f>
        <v>HOLD</v>
      </c>
      <c r="D1838" s="14" t="str">
        <f aca="false">IF(C1838="BUY",B1838,IF(G1837="IN",D1837,""))</f>
        <v/>
      </c>
      <c r="E1838" s="14" t="str">
        <f aca="false">IF(C1838="SELL",B1838,"")</f>
        <v/>
      </c>
      <c r="F1838" s="14" t="str">
        <f aca="false">IF(E1838="","",(E1838-D1838)/D1838*100)</f>
        <v/>
      </c>
      <c r="G1838" s="0" t="str">
        <f aca="false">IF(C1838="BUY","IN",IF(C1838="SELL","OUT",IF(G1837="IN","IN","OUT")))</f>
        <v>OUT</v>
      </c>
      <c r="H1838" s="14" t="n">
        <f aca="false">H1837+IF(F1838="",0,F1838)</f>
        <v>5.29835448286223</v>
      </c>
      <c r="I1838" s="14" t="n">
        <f aca="false">MAX(I1837,H1838)</f>
        <v>43.9309628600509</v>
      </c>
      <c r="J1838" s="14" t="n">
        <f aca="false">I1838-H1838</f>
        <v>38.6326083771886</v>
      </c>
    </row>
    <row r="1839" customFormat="false" ht="15" hidden="false" customHeight="false" outlineLevel="0" collapsed="false">
      <c r="A1839" s="12" t="n">
        <f aca="false">Data!A1839</f>
        <v>44673</v>
      </c>
      <c r="B1839" s="14" t="n">
        <f aca="false">Data!B1839</f>
        <v>102.07</v>
      </c>
      <c r="C1839" s="0" t="str">
        <f aca="false">IF(Data!D1839="","HOLD",IF(AND(G1838&lt;&gt;"IN",Data!E1839&lt;-5),"BUY",IF(AND(G1838="IN",Data!E1839&gt;0),"SELL","HOLD")))</f>
        <v>HOLD</v>
      </c>
      <c r="D1839" s="14" t="str">
        <f aca="false">IF(C1839="BUY",B1839,IF(G1838="IN",D1838,""))</f>
        <v/>
      </c>
      <c r="E1839" s="14" t="str">
        <f aca="false">IF(C1839="SELL",B1839,"")</f>
        <v/>
      </c>
      <c r="F1839" s="14" t="str">
        <f aca="false">IF(E1839="","",(E1839-D1839)/D1839*100)</f>
        <v/>
      </c>
      <c r="G1839" s="0" t="str">
        <f aca="false">IF(C1839="BUY","IN",IF(C1839="SELL","OUT",IF(G1838="IN","IN","OUT")))</f>
        <v>OUT</v>
      </c>
      <c r="H1839" s="14" t="n">
        <f aca="false">H1838+IF(F1839="",0,F1839)</f>
        <v>5.29835448286223</v>
      </c>
      <c r="I1839" s="14" t="n">
        <f aca="false">MAX(I1838,H1839)</f>
        <v>43.9309628600509</v>
      </c>
      <c r="J1839" s="14" t="n">
        <f aca="false">I1839-H1839</f>
        <v>38.6326083771886</v>
      </c>
    </row>
    <row r="1840" customFormat="false" ht="15" hidden="false" customHeight="false" outlineLevel="0" collapsed="false">
      <c r="A1840" s="12" t="n">
        <f aca="false">Data!A1840</f>
        <v>44676</v>
      </c>
      <c r="B1840" s="14" t="n">
        <f aca="false">Data!B1840</f>
        <v>98.54</v>
      </c>
      <c r="C1840" s="0" t="str">
        <f aca="false">IF(Data!D1840="","HOLD",IF(AND(G1839&lt;&gt;"IN",Data!E1840&lt;-5),"BUY",IF(AND(G1839="IN",Data!E1840&gt;0),"SELL","HOLD")))</f>
        <v>HOLD</v>
      </c>
      <c r="D1840" s="14" t="str">
        <f aca="false">IF(C1840="BUY",B1840,IF(G1839="IN",D1839,""))</f>
        <v/>
      </c>
      <c r="E1840" s="14" t="str">
        <f aca="false">IF(C1840="SELL",B1840,"")</f>
        <v/>
      </c>
      <c r="F1840" s="14" t="str">
        <f aca="false">IF(E1840="","",(E1840-D1840)/D1840*100)</f>
        <v/>
      </c>
      <c r="G1840" s="0" t="str">
        <f aca="false">IF(C1840="BUY","IN",IF(C1840="SELL","OUT",IF(G1839="IN","IN","OUT")))</f>
        <v>OUT</v>
      </c>
      <c r="H1840" s="14" t="n">
        <f aca="false">H1839+IF(F1840="",0,F1840)</f>
        <v>5.29835448286223</v>
      </c>
      <c r="I1840" s="14" t="n">
        <f aca="false">MAX(I1839,H1840)</f>
        <v>43.9309628600509</v>
      </c>
      <c r="J1840" s="14" t="n">
        <f aca="false">I1840-H1840</f>
        <v>38.6326083771886</v>
      </c>
    </row>
    <row r="1841" customFormat="false" ht="15" hidden="false" customHeight="false" outlineLevel="0" collapsed="false">
      <c r="A1841" s="12" t="n">
        <f aca="false">Data!A1841</f>
        <v>44677</v>
      </c>
      <c r="B1841" s="14" t="n">
        <f aca="false">Data!B1841</f>
        <v>101.7</v>
      </c>
      <c r="C1841" s="0" t="str">
        <f aca="false">IF(Data!D1841="","HOLD",IF(AND(G1840&lt;&gt;"IN",Data!E1841&lt;-5),"BUY",IF(AND(G1840="IN",Data!E1841&gt;0),"SELL","HOLD")))</f>
        <v>HOLD</v>
      </c>
      <c r="D1841" s="14" t="str">
        <f aca="false">IF(C1841="BUY",B1841,IF(G1840="IN",D1840,""))</f>
        <v/>
      </c>
      <c r="E1841" s="14" t="str">
        <f aca="false">IF(C1841="SELL",B1841,"")</f>
        <v/>
      </c>
      <c r="F1841" s="14" t="str">
        <f aca="false">IF(E1841="","",(E1841-D1841)/D1841*100)</f>
        <v/>
      </c>
      <c r="G1841" s="0" t="str">
        <f aca="false">IF(C1841="BUY","IN",IF(C1841="SELL","OUT",IF(G1840="IN","IN","OUT")))</f>
        <v>OUT</v>
      </c>
      <c r="H1841" s="14" t="n">
        <f aca="false">H1840+IF(F1841="",0,F1841)</f>
        <v>5.29835448286223</v>
      </c>
      <c r="I1841" s="14" t="n">
        <f aca="false">MAX(I1840,H1841)</f>
        <v>43.9309628600509</v>
      </c>
      <c r="J1841" s="14" t="n">
        <f aca="false">I1841-H1841</f>
        <v>38.6326083771886</v>
      </c>
    </row>
    <row r="1842" customFormat="false" ht="15" hidden="false" customHeight="false" outlineLevel="0" collapsed="false">
      <c r="A1842" s="12" t="n">
        <f aca="false">Data!A1842</f>
        <v>44678</v>
      </c>
      <c r="B1842" s="14" t="n">
        <f aca="false">Data!B1842</f>
        <v>102.02</v>
      </c>
      <c r="C1842" s="0" t="str">
        <f aca="false">IF(Data!D1842="","HOLD",IF(AND(G1841&lt;&gt;"IN",Data!E1842&lt;-5),"BUY",IF(AND(G1841="IN",Data!E1842&gt;0),"SELL","HOLD")))</f>
        <v>HOLD</v>
      </c>
      <c r="D1842" s="14" t="str">
        <f aca="false">IF(C1842="BUY",B1842,IF(G1841="IN",D1841,""))</f>
        <v/>
      </c>
      <c r="E1842" s="14" t="str">
        <f aca="false">IF(C1842="SELL",B1842,"")</f>
        <v/>
      </c>
      <c r="F1842" s="14" t="str">
        <f aca="false">IF(E1842="","",(E1842-D1842)/D1842*100)</f>
        <v/>
      </c>
      <c r="G1842" s="0" t="str">
        <f aca="false">IF(C1842="BUY","IN",IF(C1842="SELL","OUT",IF(G1841="IN","IN","OUT")))</f>
        <v>OUT</v>
      </c>
      <c r="H1842" s="14" t="n">
        <f aca="false">H1841+IF(F1842="",0,F1842)</f>
        <v>5.29835448286223</v>
      </c>
      <c r="I1842" s="14" t="n">
        <f aca="false">MAX(I1841,H1842)</f>
        <v>43.9309628600509</v>
      </c>
      <c r="J1842" s="14" t="n">
        <f aca="false">I1842-H1842</f>
        <v>38.6326083771886</v>
      </c>
    </row>
    <row r="1843" customFormat="false" ht="15" hidden="false" customHeight="false" outlineLevel="0" collapsed="false">
      <c r="A1843" s="12" t="n">
        <f aca="false">Data!A1843</f>
        <v>44679</v>
      </c>
      <c r="B1843" s="14" t="n">
        <f aca="false">Data!B1843</f>
        <v>105.36</v>
      </c>
      <c r="C1843" s="0" t="str">
        <f aca="false">IF(Data!D1843="","HOLD",IF(AND(G1842&lt;&gt;"IN",Data!E1843&lt;-5),"BUY",IF(AND(G1842="IN",Data!E1843&gt;0),"SELL","HOLD")))</f>
        <v>HOLD</v>
      </c>
      <c r="D1843" s="14" t="str">
        <f aca="false">IF(C1843="BUY",B1843,IF(G1842="IN",D1842,""))</f>
        <v/>
      </c>
      <c r="E1843" s="14" t="str">
        <f aca="false">IF(C1843="SELL",B1843,"")</f>
        <v/>
      </c>
      <c r="F1843" s="14" t="str">
        <f aca="false">IF(E1843="","",(E1843-D1843)/D1843*100)</f>
        <v/>
      </c>
      <c r="G1843" s="0" t="str">
        <f aca="false">IF(C1843="BUY","IN",IF(C1843="SELL","OUT",IF(G1842="IN","IN","OUT")))</f>
        <v>OUT</v>
      </c>
      <c r="H1843" s="14" t="n">
        <f aca="false">H1842+IF(F1843="",0,F1843)</f>
        <v>5.29835448286223</v>
      </c>
      <c r="I1843" s="14" t="n">
        <f aca="false">MAX(I1842,H1843)</f>
        <v>43.9309628600509</v>
      </c>
      <c r="J1843" s="14" t="n">
        <f aca="false">I1843-H1843</f>
        <v>38.6326083771886</v>
      </c>
    </row>
    <row r="1844" customFormat="false" ht="15" hidden="false" customHeight="false" outlineLevel="0" collapsed="false">
      <c r="A1844" s="12" t="n">
        <f aca="false">Data!A1844</f>
        <v>44680</v>
      </c>
      <c r="B1844" s="14" t="n">
        <f aca="false">Data!B1844</f>
        <v>104.69</v>
      </c>
      <c r="C1844" s="0" t="str">
        <f aca="false">IF(Data!D1844="","HOLD",IF(AND(G1843&lt;&gt;"IN",Data!E1844&lt;-5),"BUY",IF(AND(G1843="IN",Data!E1844&gt;0),"SELL","HOLD")))</f>
        <v>HOLD</v>
      </c>
      <c r="D1844" s="14" t="str">
        <f aca="false">IF(C1844="BUY",B1844,IF(G1843="IN",D1843,""))</f>
        <v/>
      </c>
      <c r="E1844" s="14" t="str">
        <f aca="false">IF(C1844="SELL",B1844,"")</f>
        <v/>
      </c>
      <c r="F1844" s="14" t="str">
        <f aca="false">IF(E1844="","",(E1844-D1844)/D1844*100)</f>
        <v/>
      </c>
      <c r="G1844" s="0" t="str">
        <f aca="false">IF(C1844="BUY","IN",IF(C1844="SELL","OUT",IF(G1843="IN","IN","OUT")))</f>
        <v>OUT</v>
      </c>
      <c r="H1844" s="14" t="n">
        <f aca="false">H1843+IF(F1844="",0,F1844)</f>
        <v>5.29835448286223</v>
      </c>
      <c r="I1844" s="14" t="n">
        <f aca="false">MAX(I1843,H1844)</f>
        <v>43.9309628600509</v>
      </c>
      <c r="J1844" s="14" t="n">
        <f aca="false">I1844-H1844</f>
        <v>38.6326083771886</v>
      </c>
    </row>
    <row r="1845" customFormat="false" ht="15" hidden="false" customHeight="false" outlineLevel="0" collapsed="false">
      <c r="A1845" s="12" t="n">
        <f aca="false">Data!A1845</f>
        <v>44683</v>
      </c>
      <c r="B1845" s="14" t="n">
        <f aca="false">Data!B1845</f>
        <v>105.17</v>
      </c>
      <c r="C1845" s="0" t="str">
        <f aca="false">IF(Data!D1845="","HOLD",IF(AND(G1844&lt;&gt;"IN",Data!E1845&lt;-5),"BUY",IF(AND(G1844="IN",Data!E1845&gt;0),"SELL","HOLD")))</f>
        <v>HOLD</v>
      </c>
      <c r="D1845" s="14" t="str">
        <f aca="false">IF(C1845="BUY",B1845,IF(G1844="IN",D1844,""))</f>
        <v/>
      </c>
      <c r="E1845" s="14" t="str">
        <f aca="false">IF(C1845="SELL",B1845,"")</f>
        <v/>
      </c>
      <c r="F1845" s="14" t="str">
        <f aca="false">IF(E1845="","",(E1845-D1845)/D1845*100)</f>
        <v/>
      </c>
      <c r="G1845" s="0" t="str">
        <f aca="false">IF(C1845="BUY","IN",IF(C1845="SELL","OUT",IF(G1844="IN","IN","OUT")))</f>
        <v>OUT</v>
      </c>
      <c r="H1845" s="14" t="n">
        <f aca="false">H1844+IF(F1845="",0,F1845)</f>
        <v>5.29835448286223</v>
      </c>
      <c r="I1845" s="14" t="n">
        <f aca="false">MAX(I1844,H1845)</f>
        <v>43.9309628600509</v>
      </c>
      <c r="J1845" s="14" t="n">
        <f aca="false">I1845-H1845</f>
        <v>38.6326083771886</v>
      </c>
    </row>
    <row r="1846" customFormat="false" ht="15" hidden="false" customHeight="false" outlineLevel="0" collapsed="false">
      <c r="A1846" s="12" t="n">
        <f aca="false">Data!A1846</f>
        <v>44684</v>
      </c>
      <c r="B1846" s="14" t="n">
        <f aca="false">Data!B1846</f>
        <v>102.41</v>
      </c>
      <c r="C1846" s="0" t="str">
        <f aca="false">IF(Data!D1846="","HOLD",IF(AND(G1845&lt;&gt;"IN",Data!E1846&lt;-5),"BUY",IF(AND(G1845="IN",Data!E1846&gt;0),"SELL","HOLD")))</f>
        <v>HOLD</v>
      </c>
      <c r="D1846" s="14" t="str">
        <f aca="false">IF(C1846="BUY",B1846,IF(G1845="IN",D1845,""))</f>
        <v/>
      </c>
      <c r="E1846" s="14" t="str">
        <f aca="false">IF(C1846="SELL",B1846,"")</f>
        <v/>
      </c>
      <c r="F1846" s="14" t="str">
        <f aca="false">IF(E1846="","",(E1846-D1846)/D1846*100)</f>
        <v/>
      </c>
      <c r="G1846" s="0" t="str">
        <f aca="false">IF(C1846="BUY","IN",IF(C1846="SELL","OUT",IF(G1845="IN","IN","OUT")))</f>
        <v>OUT</v>
      </c>
      <c r="H1846" s="14" t="n">
        <f aca="false">H1845+IF(F1846="",0,F1846)</f>
        <v>5.29835448286223</v>
      </c>
      <c r="I1846" s="14" t="n">
        <f aca="false">MAX(I1845,H1846)</f>
        <v>43.9309628600509</v>
      </c>
      <c r="J1846" s="14" t="n">
        <f aca="false">I1846-H1846</f>
        <v>38.6326083771886</v>
      </c>
    </row>
    <row r="1847" customFormat="false" ht="15" hidden="false" customHeight="false" outlineLevel="0" collapsed="false">
      <c r="A1847" s="12" t="n">
        <f aca="false">Data!A1847</f>
        <v>44685</v>
      </c>
      <c r="B1847" s="14" t="n">
        <f aca="false">Data!B1847</f>
        <v>107.81</v>
      </c>
      <c r="C1847" s="0" t="str">
        <f aca="false">IF(Data!D1847="","HOLD",IF(AND(G1846&lt;&gt;"IN",Data!E1847&lt;-5),"BUY",IF(AND(G1846="IN",Data!E1847&gt;0),"SELL","HOLD")))</f>
        <v>HOLD</v>
      </c>
      <c r="D1847" s="14" t="str">
        <f aca="false">IF(C1847="BUY",B1847,IF(G1846="IN",D1846,""))</f>
        <v/>
      </c>
      <c r="E1847" s="14" t="str">
        <f aca="false">IF(C1847="SELL",B1847,"")</f>
        <v/>
      </c>
      <c r="F1847" s="14" t="str">
        <f aca="false">IF(E1847="","",(E1847-D1847)/D1847*100)</f>
        <v/>
      </c>
      <c r="G1847" s="0" t="str">
        <f aca="false">IF(C1847="BUY","IN",IF(C1847="SELL","OUT",IF(G1846="IN","IN","OUT")))</f>
        <v>OUT</v>
      </c>
      <c r="H1847" s="14" t="n">
        <f aca="false">H1846+IF(F1847="",0,F1847)</f>
        <v>5.29835448286223</v>
      </c>
      <c r="I1847" s="14" t="n">
        <f aca="false">MAX(I1846,H1847)</f>
        <v>43.9309628600509</v>
      </c>
      <c r="J1847" s="14" t="n">
        <f aca="false">I1847-H1847</f>
        <v>38.6326083771886</v>
      </c>
    </row>
    <row r="1848" customFormat="false" ht="15" hidden="false" customHeight="false" outlineLevel="0" collapsed="false">
      <c r="A1848" s="12" t="n">
        <f aca="false">Data!A1848</f>
        <v>44686</v>
      </c>
      <c r="B1848" s="14" t="n">
        <f aca="false">Data!B1848</f>
        <v>108.26</v>
      </c>
      <c r="C1848" s="0" t="str">
        <f aca="false">IF(Data!D1848="","HOLD",IF(AND(G1847&lt;&gt;"IN",Data!E1848&lt;-5),"BUY",IF(AND(G1847="IN",Data!E1848&gt;0),"SELL","HOLD")))</f>
        <v>HOLD</v>
      </c>
      <c r="D1848" s="14" t="str">
        <f aca="false">IF(C1848="BUY",B1848,IF(G1847="IN",D1847,""))</f>
        <v/>
      </c>
      <c r="E1848" s="14" t="str">
        <f aca="false">IF(C1848="SELL",B1848,"")</f>
        <v/>
      </c>
      <c r="F1848" s="14" t="str">
        <f aca="false">IF(E1848="","",(E1848-D1848)/D1848*100)</f>
        <v/>
      </c>
      <c r="G1848" s="0" t="str">
        <f aca="false">IF(C1848="BUY","IN",IF(C1848="SELL","OUT",IF(G1847="IN","IN","OUT")))</f>
        <v>OUT</v>
      </c>
      <c r="H1848" s="14" t="n">
        <f aca="false">H1847+IF(F1848="",0,F1848)</f>
        <v>5.29835448286223</v>
      </c>
      <c r="I1848" s="14" t="n">
        <f aca="false">MAX(I1847,H1848)</f>
        <v>43.9309628600509</v>
      </c>
      <c r="J1848" s="14" t="n">
        <f aca="false">I1848-H1848</f>
        <v>38.6326083771886</v>
      </c>
    </row>
    <row r="1849" customFormat="false" ht="15" hidden="false" customHeight="false" outlineLevel="0" collapsed="false">
      <c r="A1849" s="12" t="n">
        <f aca="false">Data!A1849</f>
        <v>44687</v>
      </c>
      <c r="B1849" s="14" t="n">
        <f aca="false">Data!B1849</f>
        <v>109.77</v>
      </c>
      <c r="C1849" s="0" t="str">
        <f aca="false">IF(Data!D1849="","HOLD",IF(AND(G1848&lt;&gt;"IN",Data!E1849&lt;-5),"BUY",IF(AND(G1848="IN",Data!E1849&gt;0),"SELL","HOLD")))</f>
        <v>HOLD</v>
      </c>
      <c r="D1849" s="14" t="str">
        <f aca="false">IF(C1849="BUY",B1849,IF(G1848="IN",D1848,""))</f>
        <v/>
      </c>
      <c r="E1849" s="14" t="str">
        <f aca="false">IF(C1849="SELL",B1849,"")</f>
        <v/>
      </c>
      <c r="F1849" s="14" t="str">
        <f aca="false">IF(E1849="","",(E1849-D1849)/D1849*100)</f>
        <v/>
      </c>
      <c r="G1849" s="0" t="str">
        <f aca="false">IF(C1849="BUY","IN",IF(C1849="SELL","OUT",IF(G1848="IN","IN","OUT")))</f>
        <v>OUT</v>
      </c>
      <c r="H1849" s="14" t="n">
        <f aca="false">H1848+IF(F1849="",0,F1849)</f>
        <v>5.29835448286223</v>
      </c>
      <c r="I1849" s="14" t="n">
        <f aca="false">MAX(I1848,H1849)</f>
        <v>43.9309628600509</v>
      </c>
      <c r="J1849" s="14" t="n">
        <f aca="false">I1849-H1849</f>
        <v>38.6326083771886</v>
      </c>
    </row>
    <row r="1850" customFormat="false" ht="15" hidden="false" customHeight="false" outlineLevel="0" collapsed="false">
      <c r="A1850" s="12" t="n">
        <f aca="false">Data!A1850</f>
        <v>44690</v>
      </c>
      <c r="B1850" s="14" t="n">
        <f aca="false">Data!B1850</f>
        <v>103.09</v>
      </c>
      <c r="C1850" s="0" t="str">
        <f aca="false">IF(Data!D1850="","HOLD",IF(AND(G1849&lt;&gt;"IN",Data!E1850&lt;-5),"BUY",IF(AND(G1849="IN",Data!E1850&gt;0),"SELL","HOLD")))</f>
        <v>HOLD</v>
      </c>
      <c r="D1850" s="14" t="str">
        <f aca="false">IF(C1850="BUY",B1850,IF(G1849="IN",D1849,""))</f>
        <v/>
      </c>
      <c r="E1850" s="14" t="str">
        <f aca="false">IF(C1850="SELL",B1850,"")</f>
        <v/>
      </c>
      <c r="F1850" s="14" t="str">
        <f aca="false">IF(E1850="","",(E1850-D1850)/D1850*100)</f>
        <v/>
      </c>
      <c r="G1850" s="0" t="str">
        <f aca="false">IF(C1850="BUY","IN",IF(C1850="SELL","OUT",IF(G1849="IN","IN","OUT")))</f>
        <v>OUT</v>
      </c>
      <c r="H1850" s="14" t="n">
        <f aca="false">H1849+IF(F1850="",0,F1850)</f>
        <v>5.29835448286223</v>
      </c>
      <c r="I1850" s="14" t="n">
        <f aca="false">MAX(I1849,H1850)</f>
        <v>43.9309628600509</v>
      </c>
      <c r="J1850" s="14" t="n">
        <f aca="false">I1850-H1850</f>
        <v>38.6326083771886</v>
      </c>
    </row>
    <row r="1851" customFormat="false" ht="15" hidden="false" customHeight="false" outlineLevel="0" collapsed="false">
      <c r="A1851" s="12" t="n">
        <f aca="false">Data!A1851</f>
        <v>44691</v>
      </c>
      <c r="B1851" s="14" t="n">
        <f aca="false">Data!B1851</f>
        <v>99.76</v>
      </c>
      <c r="C1851" s="0" t="str">
        <f aca="false">IF(Data!D1851="","HOLD",IF(AND(G1850&lt;&gt;"IN",Data!E1851&lt;-5),"BUY",IF(AND(G1850="IN",Data!E1851&gt;0),"SELL","HOLD")))</f>
        <v>HOLD</v>
      </c>
      <c r="D1851" s="14" t="str">
        <f aca="false">IF(C1851="BUY",B1851,IF(G1850="IN",D1850,""))</f>
        <v/>
      </c>
      <c r="E1851" s="14" t="str">
        <f aca="false">IF(C1851="SELL",B1851,"")</f>
        <v/>
      </c>
      <c r="F1851" s="14" t="str">
        <f aca="false">IF(E1851="","",(E1851-D1851)/D1851*100)</f>
        <v/>
      </c>
      <c r="G1851" s="0" t="str">
        <f aca="false">IF(C1851="BUY","IN",IF(C1851="SELL","OUT",IF(G1850="IN","IN","OUT")))</f>
        <v>OUT</v>
      </c>
      <c r="H1851" s="14" t="n">
        <f aca="false">H1850+IF(F1851="",0,F1851)</f>
        <v>5.29835448286223</v>
      </c>
      <c r="I1851" s="14" t="n">
        <f aca="false">MAX(I1850,H1851)</f>
        <v>43.9309628600509</v>
      </c>
      <c r="J1851" s="14" t="n">
        <f aca="false">I1851-H1851</f>
        <v>38.6326083771886</v>
      </c>
    </row>
    <row r="1852" customFormat="false" ht="15" hidden="false" customHeight="false" outlineLevel="0" collapsed="false">
      <c r="A1852" s="12" t="n">
        <f aca="false">Data!A1852</f>
        <v>44692</v>
      </c>
      <c r="B1852" s="14" t="n">
        <f aca="false">Data!B1852</f>
        <v>105.71</v>
      </c>
      <c r="C1852" s="0" t="str">
        <f aca="false">IF(Data!D1852="","HOLD",IF(AND(G1851&lt;&gt;"IN",Data!E1852&lt;-5),"BUY",IF(AND(G1851="IN",Data!E1852&gt;0),"SELL","HOLD")))</f>
        <v>HOLD</v>
      </c>
      <c r="D1852" s="14" t="str">
        <f aca="false">IF(C1852="BUY",B1852,IF(G1851="IN",D1851,""))</f>
        <v/>
      </c>
      <c r="E1852" s="14" t="str">
        <f aca="false">IF(C1852="SELL",B1852,"")</f>
        <v/>
      </c>
      <c r="F1852" s="14" t="str">
        <f aca="false">IF(E1852="","",(E1852-D1852)/D1852*100)</f>
        <v/>
      </c>
      <c r="G1852" s="0" t="str">
        <f aca="false">IF(C1852="BUY","IN",IF(C1852="SELL","OUT",IF(G1851="IN","IN","OUT")))</f>
        <v>OUT</v>
      </c>
      <c r="H1852" s="14" t="n">
        <f aca="false">H1851+IF(F1852="",0,F1852)</f>
        <v>5.29835448286223</v>
      </c>
      <c r="I1852" s="14" t="n">
        <f aca="false">MAX(I1851,H1852)</f>
        <v>43.9309628600509</v>
      </c>
      <c r="J1852" s="14" t="n">
        <f aca="false">I1852-H1852</f>
        <v>38.6326083771886</v>
      </c>
    </row>
    <row r="1853" customFormat="false" ht="15" hidden="false" customHeight="false" outlineLevel="0" collapsed="false">
      <c r="A1853" s="12" t="n">
        <f aca="false">Data!A1853</f>
        <v>44693</v>
      </c>
      <c r="B1853" s="14" t="n">
        <f aca="false">Data!B1853</f>
        <v>106.13</v>
      </c>
      <c r="C1853" s="0" t="str">
        <f aca="false">IF(Data!D1853="","HOLD",IF(AND(G1852&lt;&gt;"IN",Data!E1853&lt;-5),"BUY",IF(AND(G1852="IN",Data!E1853&gt;0),"SELL","HOLD")))</f>
        <v>HOLD</v>
      </c>
      <c r="D1853" s="14" t="str">
        <f aca="false">IF(C1853="BUY",B1853,IF(G1852="IN",D1852,""))</f>
        <v/>
      </c>
      <c r="E1853" s="14" t="str">
        <f aca="false">IF(C1853="SELL",B1853,"")</f>
        <v/>
      </c>
      <c r="F1853" s="14" t="str">
        <f aca="false">IF(E1853="","",(E1853-D1853)/D1853*100)</f>
        <v/>
      </c>
      <c r="G1853" s="0" t="str">
        <f aca="false">IF(C1853="BUY","IN",IF(C1853="SELL","OUT",IF(G1852="IN","IN","OUT")))</f>
        <v>OUT</v>
      </c>
      <c r="H1853" s="14" t="n">
        <f aca="false">H1852+IF(F1853="",0,F1853)</f>
        <v>5.29835448286223</v>
      </c>
      <c r="I1853" s="14" t="n">
        <f aca="false">MAX(I1852,H1853)</f>
        <v>43.9309628600509</v>
      </c>
      <c r="J1853" s="14" t="n">
        <f aca="false">I1853-H1853</f>
        <v>38.6326083771886</v>
      </c>
    </row>
    <row r="1854" customFormat="false" ht="15" hidden="false" customHeight="false" outlineLevel="0" collapsed="false">
      <c r="A1854" s="12" t="n">
        <f aca="false">Data!A1854</f>
        <v>44694</v>
      </c>
      <c r="B1854" s="14" t="n">
        <f aca="false">Data!B1854</f>
        <v>110.49</v>
      </c>
      <c r="C1854" s="0" t="str">
        <f aca="false">IF(Data!D1854="","HOLD",IF(AND(G1853&lt;&gt;"IN",Data!E1854&lt;-5),"BUY",IF(AND(G1853="IN",Data!E1854&gt;0),"SELL","HOLD")))</f>
        <v>HOLD</v>
      </c>
      <c r="D1854" s="14" t="str">
        <f aca="false">IF(C1854="BUY",B1854,IF(G1853="IN",D1853,""))</f>
        <v/>
      </c>
      <c r="E1854" s="14" t="str">
        <f aca="false">IF(C1854="SELL",B1854,"")</f>
        <v/>
      </c>
      <c r="F1854" s="14" t="str">
        <f aca="false">IF(E1854="","",(E1854-D1854)/D1854*100)</f>
        <v/>
      </c>
      <c r="G1854" s="0" t="str">
        <f aca="false">IF(C1854="BUY","IN",IF(C1854="SELL","OUT",IF(G1853="IN","IN","OUT")))</f>
        <v>OUT</v>
      </c>
      <c r="H1854" s="14" t="n">
        <f aca="false">H1853+IF(F1854="",0,F1854)</f>
        <v>5.29835448286223</v>
      </c>
      <c r="I1854" s="14" t="n">
        <f aca="false">MAX(I1853,H1854)</f>
        <v>43.9309628600509</v>
      </c>
      <c r="J1854" s="14" t="n">
        <f aca="false">I1854-H1854</f>
        <v>38.6326083771886</v>
      </c>
    </row>
    <row r="1855" customFormat="false" ht="15" hidden="false" customHeight="false" outlineLevel="0" collapsed="false">
      <c r="A1855" s="12" t="n">
        <f aca="false">Data!A1855</f>
        <v>44697</v>
      </c>
      <c r="B1855" s="14" t="n">
        <f aca="false">Data!B1855</f>
        <v>114.2</v>
      </c>
      <c r="C1855" s="0" t="str">
        <f aca="false">IF(Data!D1855="","HOLD",IF(AND(G1854&lt;&gt;"IN",Data!E1855&lt;-5),"BUY",IF(AND(G1854="IN",Data!E1855&gt;0),"SELL","HOLD")))</f>
        <v>HOLD</v>
      </c>
      <c r="D1855" s="14" t="str">
        <f aca="false">IF(C1855="BUY",B1855,IF(G1854="IN",D1854,""))</f>
        <v/>
      </c>
      <c r="E1855" s="14" t="str">
        <f aca="false">IF(C1855="SELL",B1855,"")</f>
        <v/>
      </c>
      <c r="F1855" s="14" t="str">
        <f aca="false">IF(E1855="","",(E1855-D1855)/D1855*100)</f>
        <v/>
      </c>
      <c r="G1855" s="0" t="str">
        <f aca="false">IF(C1855="BUY","IN",IF(C1855="SELL","OUT",IF(G1854="IN","IN","OUT")))</f>
        <v>OUT</v>
      </c>
      <c r="H1855" s="14" t="n">
        <f aca="false">H1854+IF(F1855="",0,F1855)</f>
        <v>5.29835448286223</v>
      </c>
      <c r="I1855" s="14" t="n">
        <f aca="false">MAX(I1854,H1855)</f>
        <v>43.9309628600509</v>
      </c>
      <c r="J1855" s="14" t="n">
        <f aca="false">I1855-H1855</f>
        <v>38.6326083771886</v>
      </c>
    </row>
    <row r="1856" customFormat="false" ht="15" hidden="false" customHeight="false" outlineLevel="0" collapsed="false">
      <c r="A1856" s="12" t="n">
        <f aca="false">Data!A1856</f>
        <v>44698</v>
      </c>
      <c r="B1856" s="14" t="n">
        <f aca="false">Data!B1856</f>
        <v>112.4</v>
      </c>
      <c r="C1856" s="0" t="str">
        <f aca="false">IF(Data!D1856="","HOLD",IF(AND(G1855&lt;&gt;"IN",Data!E1856&lt;-5),"BUY",IF(AND(G1855="IN",Data!E1856&gt;0),"SELL","HOLD")))</f>
        <v>HOLD</v>
      </c>
      <c r="D1856" s="14" t="str">
        <f aca="false">IF(C1856="BUY",B1856,IF(G1855="IN",D1855,""))</f>
        <v/>
      </c>
      <c r="E1856" s="14" t="str">
        <f aca="false">IF(C1856="SELL",B1856,"")</f>
        <v/>
      </c>
      <c r="F1856" s="14" t="str">
        <f aca="false">IF(E1856="","",(E1856-D1856)/D1856*100)</f>
        <v/>
      </c>
      <c r="G1856" s="0" t="str">
        <f aca="false">IF(C1856="BUY","IN",IF(C1856="SELL","OUT",IF(G1855="IN","IN","OUT")))</f>
        <v>OUT</v>
      </c>
      <c r="H1856" s="14" t="n">
        <f aca="false">H1855+IF(F1856="",0,F1856)</f>
        <v>5.29835448286223</v>
      </c>
      <c r="I1856" s="14" t="n">
        <f aca="false">MAX(I1855,H1856)</f>
        <v>43.9309628600509</v>
      </c>
      <c r="J1856" s="14" t="n">
        <f aca="false">I1856-H1856</f>
        <v>38.6326083771886</v>
      </c>
    </row>
    <row r="1857" customFormat="false" ht="15" hidden="false" customHeight="false" outlineLevel="0" collapsed="false">
      <c r="A1857" s="12" t="n">
        <f aca="false">Data!A1857</f>
        <v>44699</v>
      </c>
      <c r="B1857" s="14" t="n">
        <f aca="false">Data!B1857</f>
        <v>109.59</v>
      </c>
      <c r="C1857" s="0" t="str">
        <f aca="false">IF(Data!D1857="","HOLD",IF(AND(G1856&lt;&gt;"IN",Data!E1857&lt;-5),"BUY",IF(AND(G1856="IN",Data!E1857&gt;0),"SELL","HOLD")))</f>
        <v>HOLD</v>
      </c>
      <c r="D1857" s="14" t="str">
        <f aca="false">IF(C1857="BUY",B1857,IF(G1856="IN",D1856,""))</f>
        <v/>
      </c>
      <c r="E1857" s="14" t="str">
        <f aca="false">IF(C1857="SELL",B1857,"")</f>
        <v/>
      </c>
      <c r="F1857" s="14" t="str">
        <f aca="false">IF(E1857="","",(E1857-D1857)/D1857*100)</f>
        <v/>
      </c>
      <c r="G1857" s="0" t="str">
        <f aca="false">IF(C1857="BUY","IN",IF(C1857="SELL","OUT",IF(G1856="IN","IN","OUT")))</f>
        <v>OUT</v>
      </c>
      <c r="H1857" s="14" t="n">
        <f aca="false">H1856+IF(F1857="",0,F1857)</f>
        <v>5.29835448286223</v>
      </c>
      <c r="I1857" s="14" t="n">
        <f aca="false">MAX(I1856,H1857)</f>
        <v>43.9309628600509</v>
      </c>
      <c r="J1857" s="14" t="n">
        <f aca="false">I1857-H1857</f>
        <v>38.6326083771886</v>
      </c>
    </row>
    <row r="1858" customFormat="false" ht="15" hidden="false" customHeight="false" outlineLevel="0" collapsed="false">
      <c r="A1858" s="12" t="n">
        <f aca="false">Data!A1858</f>
        <v>44700</v>
      </c>
      <c r="B1858" s="14" t="n">
        <f aca="false">Data!B1858</f>
        <v>112.21</v>
      </c>
      <c r="C1858" s="0" t="str">
        <f aca="false">IF(Data!D1858="","HOLD",IF(AND(G1857&lt;&gt;"IN",Data!E1858&lt;-5),"BUY",IF(AND(G1857="IN",Data!E1858&gt;0),"SELL","HOLD")))</f>
        <v>HOLD</v>
      </c>
      <c r="D1858" s="14" t="str">
        <f aca="false">IF(C1858="BUY",B1858,IF(G1857="IN",D1857,""))</f>
        <v/>
      </c>
      <c r="E1858" s="14" t="str">
        <f aca="false">IF(C1858="SELL",B1858,"")</f>
        <v/>
      </c>
      <c r="F1858" s="14" t="str">
        <f aca="false">IF(E1858="","",(E1858-D1858)/D1858*100)</f>
        <v/>
      </c>
      <c r="G1858" s="0" t="str">
        <f aca="false">IF(C1858="BUY","IN",IF(C1858="SELL","OUT",IF(G1857="IN","IN","OUT")))</f>
        <v>OUT</v>
      </c>
      <c r="H1858" s="14" t="n">
        <f aca="false">H1857+IF(F1858="",0,F1858)</f>
        <v>5.29835448286223</v>
      </c>
      <c r="I1858" s="14" t="n">
        <f aca="false">MAX(I1857,H1858)</f>
        <v>43.9309628600509</v>
      </c>
      <c r="J1858" s="14" t="n">
        <f aca="false">I1858-H1858</f>
        <v>38.6326083771886</v>
      </c>
    </row>
    <row r="1859" customFormat="false" ht="15" hidden="false" customHeight="false" outlineLevel="0" collapsed="false">
      <c r="A1859" s="12" t="n">
        <f aca="false">Data!A1859</f>
        <v>44701</v>
      </c>
      <c r="B1859" s="14" t="n">
        <f aca="false">Data!B1859</f>
        <v>113.23</v>
      </c>
      <c r="C1859" s="0" t="str">
        <f aca="false">IF(Data!D1859="","HOLD",IF(AND(G1858&lt;&gt;"IN",Data!E1859&lt;-5),"BUY",IF(AND(G1858="IN",Data!E1859&gt;0),"SELL","HOLD")))</f>
        <v>HOLD</v>
      </c>
      <c r="D1859" s="14" t="str">
        <f aca="false">IF(C1859="BUY",B1859,IF(G1858="IN",D1858,""))</f>
        <v/>
      </c>
      <c r="E1859" s="14" t="str">
        <f aca="false">IF(C1859="SELL",B1859,"")</f>
        <v/>
      </c>
      <c r="F1859" s="14" t="str">
        <f aca="false">IF(E1859="","",(E1859-D1859)/D1859*100)</f>
        <v/>
      </c>
      <c r="G1859" s="0" t="str">
        <f aca="false">IF(C1859="BUY","IN",IF(C1859="SELL","OUT",IF(G1858="IN","IN","OUT")))</f>
        <v>OUT</v>
      </c>
      <c r="H1859" s="14" t="n">
        <f aca="false">H1858+IF(F1859="",0,F1859)</f>
        <v>5.29835448286223</v>
      </c>
      <c r="I1859" s="14" t="n">
        <f aca="false">MAX(I1858,H1859)</f>
        <v>43.9309628600509</v>
      </c>
      <c r="J1859" s="14" t="n">
        <f aca="false">I1859-H1859</f>
        <v>38.6326083771886</v>
      </c>
    </row>
    <row r="1860" customFormat="false" ht="15" hidden="false" customHeight="false" outlineLevel="0" collapsed="false">
      <c r="A1860" s="12" t="n">
        <f aca="false">Data!A1860</f>
        <v>44704</v>
      </c>
      <c r="B1860" s="14" t="n">
        <f aca="false">Data!B1860</f>
        <v>110.29</v>
      </c>
      <c r="C1860" s="0" t="str">
        <f aca="false">IF(Data!D1860="","HOLD",IF(AND(G1859&lt;&gt;"IN",Data!E1860&lt;-5),"BUY",IF(AND(G1859="IN",Data!E1860&gt;0),"SELL","HOLD")))</f>
        <v>HOLD</v>
      </c>
      <c r="D1860" s="14" t="str">
        <f aca="false">IF(C1860="BUY",B1860,IF(G1859="IN",D1859,""))</f>
        <v/>
      </c>
      <c r="E1860" s="14" t="str">
        <f aca="false">IF(C1860="SELL",B1860,"")</f>
        <v/>
      </c>
      <c r="F1860" s="14" t="str">
        <f aca="false">IF(E1860="","",(E1860-D1860)/D1860*100)</f>
        <v/>
      </c>
      <c r="G1860" s="0" t="str">
        <f aca="false">IF(C1860="BUY","IN",IF(C1860="SELL","OUT",IF(G1859="IN","IN","OUT")))</f>
        <v>OUT</v>
      </c>
      <c r="H1860" s="14" t="n">
        <f aca="false">H1859+IF(F1860="",0,F1860)</f>
        <v>5.29835448286223</v>
      </c>
      <c r="I1860" s="14" t="n">
        <f aca="false">MAX(I1859,H1860)</f>
        <v>43.9309628600509</v>
      </c>
      <c r="J1860" s="14" t="n">
        <f aca="false">I1860-H1860</f>
        <v>38.6326083771886</v>
      </c>
    </row>
    <row r="1861" customFormat="false" ht="15" hidden="false" customHeight="false" outlineLevel="0" collapsed="false">
      <c r="A1861" s="12" t="n">
        <f aca="false">Data!A1861</f>
        <v>44705</v>
      </c>
      <c r="B1861" s="14" t="n">
        <f aca="false">Data!B1861</f>
        <v>109.77</v>
      </c>
      <c r="C1861" s="0" t="str">
        <f aca="false">IF(Data!D1861="","HOLD",IF(AND(G1860&lt;&gt;"IN",Data!E1861&lt;-5),"BUY",IF(AND(G1860="IN",Data!E1861&gt;0),"SELL","HOLD")))</f>
        <v>HOLD</v>
      </c>
      <c r="D1861" s="14" t="str">
        <f aca="false">IF(C1861="BUY",B1861,IF(G1860="IN",D1860,""))</f>
        <v/>
      </c>
      <c r="E1861" s="14" t="str">
        <f aca="false">IF(C1861="SELL",B1861,"")</f>
        <v/>
      </c>
      <c r="F1861" s="14" t="str">
        <f aca="false">IF(E1861="","",(E1861-D1861)/D1861*100)</f>
        <v/>
      </c>
      <c r="G1861" s="0" t="str">
        <f aca="false">IF(C1861="BUY","IN",IF(C1861="SELL","OUT",IF(G1860="IN","IN","OUT")))</f>
        <v>OUT</v>
      </c>
      <c r="H1861" s="14" t="n">
        <f aca="false">H1860+IF(F1861="",0,F1861)</f>
        <v>5.29835448286223</v>
      </c>
      <c r="I1861" s="14" t="n">
        <f aca="false">MAX(I1860,H1861)</f>
        <v>43.9309628600509</v>
      </c>
      <c r="J1861" s="14" t="n">
        <f aca="false">I1861-H1861</f>
        <v>38.6326083771886</v>
      </c>
    </row>
    <row r="1862" customFormat="false" ht="15" hidden="false" customHeight="false" outlineLevel="0" collapsed="false">
      <c r="A1862" s="12" t="n">
        <f aca="false">Data!A1862</f>
        <v>44706</v>
      </c>
      <c r="B1862" s="14" t="n">
        <f aca="false">Data!B1862</f>
        <v>110.33</v>
      </c>
      <c r="C1862" s="0" t="str">
        <f aca="false">IF(Data!D1862="","HOLD",IF(AND(G1861&lt;&gt;"IN",Data!E1862&lt;-5),"BUY",IF(AND(G1861="IN",Data!E1862&gt;0),"SELL","HOLD")))</f>
        <v>HOLD</v>
      </c>
      <c r="D1862" s="14" t="str">
        <f aca="false">IF(C1862="BUY",B1862,IF(G1861="IN",D1861,""))</f>
        <v/>
      </c>
      <c r="E1862" s="14" t="str">
        <f aca="false">IF(C1862="SELL",B1862,"")</f>
        <v/>
      </c>
      <c r="F1862" s="14" t="str">
        <f aca="false">IF(E1862="","",(E1862-D1862)/D1862*100)</f>
        <v/>
      </c>
      <c r="G1862" s="0" t="str">
        <f aca="false">IF(C1862="BUY","IN",IF(C1862="SELL","OUT",IF(G1861="IN","IN","OUT")))</f>
        <v>OUT</v>
      </c>
      <c r="H1862" s="14" t="n">
        <f aca="false">H1861+IF(F1862="",0,F1862)</f>
        <v>5.29835448286223</v>
      </c>
      <c r="I1862" s="14" t="n">
        <f aca="false">MAX(I1861,H1862)</f>
        <v>43.9309628600509</v>
      </c>
      <c r="J1862" s="14" t="n">
        <f aca="false">I1862-H1862</f>
        <v>38.6326083771886</v>
      </c>
    </row>
    <row r="1863" customFormat="false" ht="15" hidden="false" customHeight="false" outlineLevel="0" collapsed="false">
      <c r="A1863" s="12" t="n">
        <f aca="false">Data!A1863</f>
        <v>44707</v>
      </c>
      <c r="B1863" s="14" t="n">
        <f aca="false">Data!B1863</f>
        <v>114.09</v>
      </c>
      <c r="C1863" s="0" t="str">
        <f aca="false">IF(Data!D1863="","HOLD",IF(AND(G1862&lt;&gt;"IN",Data!E1863&lt;-5),"BUY",IF(AND(G1862="IN",Data!E1863&gt;0),"SELL","HOLD")))</f>
        <v>HOLD</v>
      </c>
      <c r="D1863" s="14" t="str">
        <f aca="false">IF(C1863="BUY",B1863,IF(G1862="IN",D1862,""))</f>
        <v/>
      </c>
      <c r="E1863" s="14" t="str">
        <f aca="false">IF(C1863="SELL",B1863,"")</f>
        <v/>
      </c>
      <c r="F1863" s="14" t="str">
        <f aca="false">IF(E1863="","",(E1863-D1863)/D1863*100)</f>
        <v/>
      </c>
      <c r="G1863" s="0" t="str">
        <f aca="false">IF(C1863="BUY","IN",IF(C1863="SELL","OUT",IF(G1862="IN","IN","OUT")))</f>
        <v>OUT</v>
      </c>
      <c r="H1863" s="14" t="n">
        <f aca="false">H1862+IF(F1863="",0,F1863)</f>
        <v>5.29835448286223</v>
      </c>
      <c r="I1863" s="14" t="n">
        <f aca="false">MAX(I1862,H1863)</f>
        <v>43.9309628600509</v>
      </c>
      <c r="J1863" s="14" t="n">
        <f aca="false">I1863-H1863</f>
        <v>38.6326083771886</v>
      </c>
    </row>
    <row r="1864" customFormat="false" ht="15" hidden="false" customHeight="false" outlineLevel="0" collapsed="false">
      <c r="A1864" s="12" t="n">
        <f aca="false">Data!A1864</f>
        <v>44708</v>
      </c>
      <c r="B1864" s="14" t="n">
        <f aca="false">Data!B1864</f>
        <v>115.07</v>
      </c>
      <c r="C1864" s="0" t="str">
        <f aca="false">IF(Data!D1864="","HOLD",IF(AND(G1863&lt;&gt;"IN",Data!E1864&lt;-5),"BUY",IF(AND(G1863="IN",Data!E1864&gt;0),"SELL","HOLD")))</f>
        <v>HOLD</v>
      </c>
      <c r="D1864" s="14" t="str">
        <f aca="false">IF(C1864="BUY",B1864,IF(G1863="IN",D1863,""))</f>
        <v/>
      </c>
      <c r="E1864" s="14" t="str">
        <f aca="false">IF(C1864="SELL",B1864,"")</f>
        <v/>
      </c>
      <c r="F1864" s="14" t="str">
        <f aca="false">IF(E1864="","",(E1864-D1864)/D1864*100)</f>
        <v/>
      </c>
      <c r="G1864" s="0" t="str">
        <f aca="false">IF(C1864="BUY","IN",IF(C1864="SELL","OUT",IF(G1863="IN","IN","OUT")))</f>
        <v>OUT</v>
      </c>
      <c r="H1864" s="14" t="n">
        <f aca="false">H1863+IF(F1864="",0,F1864)</f>
        <v>5.29835448286223</v>
      </c>
      <c r="I1864" s="14" t="n">
        <f aca="false">MAX(I1863,H1864)</f>
        <v>43.9309628600509</v>
      </c>
      <c r="J1864" s="14" t="n">
        <f aca="false">I1864-H1864</f>
        <v>38.6326083771886</v>
      </c>
    </row>
    <row r="1865" customFormat="false" ht="15" hidden="false" customHeight="false" outlineLevel="0" collapsed="false">
      <c r="A1865" s="12" t="n">
        <f aca="false">Data!A1865</f>
        <v>44712</v>
      </c>
      <c r="B1865" s="14" t="n">
        <f aca="false">Data!B1865</f>
        <v>114.67</v>
      </c>
      <c r="C1865" s="0" t="str">
        <f aca="false">IF(Data!D1865="","HOLD",IF(AND(G1864&lt;&gt;"IN",Data!E1865&lt;-5),"BUY",IF(AND(G1864="IN",Data!E1865&gt;0),"SELL","HOLD")))</f>
        <v>HOLD</v>
      </c>
      <c r="D1865" s="14" t="str">
        <f aca="false">IF(C1865="BUY",B1865,IF(G1864="IN",D1864,""))</f>
        <v/>
      </c>
      <c r="E1865" s="14" t="str">
        <f aca="false">IF(C1865="SELL",B1865,"")</f>
        <v/>
      </c>
      <c r="F1865" s="14" t="str">
        <f aca="false">IF(E1865="","",(E1865-D1865)/D1865*100)</f>
        <v/>
      </c>
      <c r="G1865" s="0" t="str">
        <f aca="false">IF(C1865="BUY","IN",IF(C1865="SELL","OUT",IF(G1864="IN","IN","OUT")))</f>
        <v>OUT</v>
      </c>
      <c r="H1865" s="14" t="n">
        <f aca="false">H1864+IF(F1865="",0,F1865)</f>
        <v>5.29835448286223</v>
      </c>
      <c r="I1865" s="14" t="n">
        <f aca="false">MAX(I1864,H1865)</f>
        <v>43.9309628600509</v>
      </c>
      <c r="J1865" s="14" t="n">
        <f aca="false">I1865-H1865</f>
        <v>38.6326083771886</v>
      </c>
    </row>
    <row r="1866" customFormat="false" ht="15" hidden="false" customHeight="false" outlineLevel="0" collapsed="false">
      <c r="A1866" s="12" t="n">
        <f aca="false">Data!A1866</f>
        <v>44713</v>
      </c>
      <c r="B1866" s="14" t="n">
        <f aca="false">Data!B1866</f>
        <v>115.26</v>
      </c>
      <c r="C1866" s="0" t="str">
        <f aca="false">IF(Data!D1866="","HOLD",IF(AND(G1865&lt;&gt;"IN",Data!E1866&lt;-5),"BUY",IF(AND(G1865="IN",Data!E1866&gt;0),"SELL","HOLD")))</f>
        <v>HOLD</v>
      </c>
      <c r="D1866" s="14" t="str">
        <f aca="false">IF(C1866="BUY",B1866,IF(G1865="IN",D1865,""))</f>
        <v/>
      </c>
      <c r="E1866" s="14" t="str">
        <f aca="false">IF(C1866="SELL",B1866,"")</f>
        <v/>
      </c>
      <c r="F1866" s="14" t="str">
        <f aca="false">IF(E1866="","",(E1866-D1866)/D1866*100)</f>
        <v/>
      </c>
      <c r="G1866" s="0" t="str">
        <f aca="false">IF(C1866="BUY","IN",IF(C1866="SELL","OUT",IF(G1865="IN","IN","OUT")))</f>
        <v>OUT</v>
      </c>
      <c r="H1866" s="14" t="n">
        <f aca="false">H1865+IF(F1866="",0,F1866)</f>
        <v>5.29835448286223</v>
      </c>
      <c r="I1866" s="14" t="n">
        <f aca="false">MAX(I1865,H1866)</f>
        <v>43.9309628600509</v>
      </c>
      <c r="J1866" s="14" t="n">
        <f aca="false">I1866-H1866</f>
        <v>38.6326083771886</v>
      </c>
    </row>
    <row r="1867" customFormat="false" ht="15" hidden="false" customHeight="false" outlineLevel="0" collapsed="false">
      <c r="A1867" s="12" t="n">
        <f aca="false">Data!A1867</f>
        <v>44714</v>
      </c>
      <c r="B1867" s="14" t="n">
        <f aca="false">Data!B1867</f>
        <v>116.87</v>
      </c>
      <c r="C1867" s="0" t="str">
        <f aca="false">IF(Data!D1867="","HOLD",IF(AND(G1866&lt;&gt;"IN",Data!E1867&lt;-5),"BUY",IF(AND(G1866="IN",Data!E1867&gt;0),"SELL","HOLD")))</f>
        <v>HOLD</v>
      </c>
      <c r="D1867" s="14" t="str">
        <f aca="false">IF(C1867="BUY",B1867,IF(G1866="IN",D1866,""))</f>
        <v/>
      </c>
      <c r="E1867" s="14" t="str">
        <f aca="false">IF(C1867="SELL",B1867,"")</f>
        <v/>
      </c>
      <c r="F1867" s="14" t="str">
        <f aca="false">IF(E1867="","",(E1867-D1867)/D1867*100)</f>
        <v/>
      </c>
      <c r="G1867" s="0" t="str">
        <f aca="false">IF(C1867="BUY","IN",IF(C1867="SELL","OUT",IF(G1866="IN","IN","OUT")))</f>
        <v>OUT</v>
      </c>
      <c r="H1867" s="14" t="n">
        <f aca="false">H1866+IF(F1867="",0,F1867)</f>
        <v>5.29835448286223</v>
      </c>
      <c r="I1867" s="14" t="n">
        <f aca="false">MAX(I1866,H1867)</f>
        <v>43.9309628600509</v>
      </c>
      <c r="J1867" s="14" t="n">
        <f aca="false">I1867-H1867</f>
        <v>38.6326083771886</v>
      </c>
    </row>
    <row r="1868" customFormat="false" ht="15" hidden="false" customHeight="false" outlineLevel="0" collapsed="false">
      <c r="A1868" s="12" t="n">
        <f aca="false">Data!A1868</f>
        <v>44715</v>
      </c>
      <c r="B1868" s="14" t="n">
        <f aca="false">Data!B1868</f>
        <v>118.87</v>
      </c>
      <c r="C1868" s="0" t="str">
        <f aca="false">IF(Data!D1868="","HOLD",IF(AND(G1867&lt;&gt;"IN",Data!E1868&lt;-5),"BUY",IF(AND(G1867="IN",Data!E1868&gt;0),"SELL","HOLD")))</f>
        <v>HOLD</v>
      </c>
      <c r="D1868" s="14" t="str">
        <f aca="false">IF(C1868="BUY",B1868,IF(G1867="IN",D1867,""))</f>
        <v/>
      </c>
      <c r="E1868" s="14" t="str">
        <f aca="false">IF(C1868="SELL",B1868,"")</f>
        <v/>
      </c>
      <c r="F1868" s="14" t="str">
        <f aca="false">IF(E1868="","",(E1868-D1868)/D1868*100)</f>
        <v/>
      </c>
      <c r="G1868" s="0" t="str">
        <f aca="false">IF(C1868="BUY","IN",IF(C1868="SELL","OUT",IF(G1867="IN","IN","OUT")))</f>
        <v>OUT</v>
      </c>
      <c r="H1868" s="14" t="n">
        <f aca="false">H1867+IF(F1868="",0,F1868)</f>
        <v>5.29835448286223</v>
      </c>
      <c r="I1868" s="14" t="n">
        <f aca="false">MAX(I1867,H1868)</f>
        <v>43.9309628600509</v>
      </c>
      <c r="J1868" s="14" t="n">
        <f aca="false">I1868-H1868</f>
        <v>38.6326083771886</v>
      </c>
    </row>
    <row r="1869" customFormat="false" ht="15" hidden="false" customHeight="false" outlineLevel="0" collapsed="false">
      <c r="A1869" s="12" t="n">
        <f aca="false">Data!A1869</f>
        <v>44718</v>
      </c>
      <c r="B1869" s="14" t="n">
        <f aca="false">Data!B1869</f>
        <v>118.5</v>
      </c>
      <c r="C1869" s="0" t="str">
        <f aca="false">IF(Data!D1869="","HOLD",IF(AND(G1868&lt;&gt;"IN",Data!E1869&lt;-5),"BUY",IF(AND(G1868="IN",Data!E1869&gt;0),"SELL","HOLD")))</f>
        <v>HOLD</v>
      </c>
      <c r="D1869" s="14" t="str">
        <f aca="false">IF(C1869="BUY",B1869,IF(G1868="IN",D1868,""))</f>
        <v/>
      </c>
      <c r="E1869" s="14" t="str">
        <f aca="false">IF(C1869="SELL",B1869,"")</f>
        <v/>
      </c>
      <c r="F1869" s="14" t="str">
        <f aca="false">IF(E1869="","",(E1869-D1869)/D1869*100)</f>
        <v/>
      </c>
      <c r="G1869" s="0" t="str">
        <f aca="false">IF(C1869="BUY","IN",IF(C1869="SELL","OUT",IF(G1868="IN","IN","OUT")))</f>
        <v>OUT</v>
      </c>
      <c r="H1869" s="14" t="n">
        <f aca="false">H1868+IF(F1869="",0,F1869)</f>
        <v>5.29835448286223</v>
      </c>
      <c r="I1869" s="14" t="n">
        <f aca="false">MAX(I1868,H1869)</f>
        <v>43.9309628600509</v>
      </c>
      <c r="J1869" s="14" t="n">
        <f aca="false">I1869-H1869</f>
        <v>38.6326083771886</v>
      </c>
    </row>
    <row r="1870" customFormat="false" ht="15" hidden="false" customHeight="false" outlineLevel="0" collapsed="false">
      <c r="A1870" s="12" t="n">
        <f aca="false">Data!A1870</f>
        <v>44719</v>
      </c>
      <c r="B1870" s="14" t="n">
        <f aca="false">Data!B1870</f>
        <v>119.41</v>
      </c>
      <c r="C1870" s="0" t="str">
        <f aca="false">IF(Data!D1870="","HOLD",IF(AND(G1869&lt;&gt;"IN",Data!E1870&lt;-5),"BUY",IF(AND(G1869="IN",Data!E1870&gt;0),"SELL","HOLD")))</f>
        <v>HOLD</v>
      </c>
      <c r="D1870" s="14" t="str">
        <f aca="false">IF(C1870="BUY",B1870,IF(G1869="IN",D1869,""))</f>
        <v/>
      </c>
      <c r="E1870" s="14" t="str">
        <f aca="false">IF(C1870="SELL",B1870,"")</f>
        <v/>
      </c>
      <c r="F1870" s="14" t="str">
        <f aca="false">IF(E1870="","",(E1870-D1870)/D1870*100)</f>
        <v/>
      </c>
      <c r="G1870" s="0" t="str">
        <f aca="false">IF(C1870="BUY","IN",IF(C1870="SELL","OUT",IF(G1869="IN","IN","OUT")))</f>
        <v>OUT</v>
      </c>
      <c r="H1870" s="14" t="n">
        <f aca="false">H1869+IF(F1870="",0,F1870)</f>
        <v>5.29835448286223</v>
      </c>
      <c r="I1870" s="14" t="n">
        <f aca="false">MAX(I1869,H1870)</f>
        <v>43.9309628600509</v>
      </c>
      <c r="J1870" s="14" t="n">
        <f aca="false">I1870-H1870</f>
        <v>38.6326083771886</v>
      </c>
    </row>
    <row r="1871" customFormat="false" ht="15" hidden="false" customHeight="false" outlineLevel="0" collapsed="false">
      <c r="A1871" s="12" t="n">
        <f aca="false">Data!A1871</f>
        <v>44720</v>
      </c>
      <c r="B1871" s="14" t="n">
        <f aca="false">Data!B1871</f>
        <v>122.11</v>
      </c>
      <c r="C1871" s="0" t="str">
        <f aca="false">IF(Data!D1871="","HOLD",IF(AND(G1870&lt;&gt;"IN",Data!E1871&lt;-5),"BUY",IF(AND(G1870="IN",Data!E1871&gt;0),"SELL","HOLD")))</f>
        <v>HOLD</v>
      </c>
      <c r="D1871" s="14" t="str">
        <f aca="false">IF(C1871="BUY",B1871,IF(G1870="IN",D1870,""))</f>
        <v/>
      </c>
      <c r="E1871" s="14" t="str">
        <f aca="false">IF(C1871="SELL",B1871,"")</f>
        <v/>
      </c>
      <c r="F1871" s="14" t="str">
        <f aca="false">IF(E1871="","",(E1871-D1871)/D1871*100)</f>
        <v/>
      </c>
      <c r="G1871" s="0" t="str">
        <f aca="false">IF(C1871="BUY","IN",IF(C1871="SELL","OUT",IF(G1870="IN","IN","OUT")))</f>
        <v>OUT</v>
      </c>
      <c r="H1871" s="14" t="n">
        <f aca="false">H1870+IF(F1871="",0,F1871)</f>
        <v>5.29835448286223</v>
      </c>
      <c r="I1871" s="14" t="n">
        <f aca="false">MAX(I1870,H1871)</f>
        <v>43.9309628600509</v>
      </c>
      <c r="J1871" s="14" t="n">
        <f aca="false">I1871-H1871</f>
        <v>38.6326083771886</v>
      </c>
    </row>
    <row r="1872" customFormat="false" ht="15" hidden="false" customHeight="false" outlineLevel="0" collapsed="false">
      <c r="A1872" s="12" t="n">
        <f aca="false">Data!A1872</f>
        <v>44721</v>
      </c>
      <c r="B1872" s="14" t="n">
        <f aca="false">Data!B1872</f>
        <v>121.51</v>
      </c>
      <c r="C1872" s="0" t="str">
        <f aca="false">IF(Data!D1872="","HOLD",IF(AND(G1871&lt;&gt;"IN",Data!E1872&lt;-5),"BUY",IF(AND(G1871="IN",Data!E1872&gt;0),"SELL","HOLD")))</f>
        <v>HOLD</v>
      </c>
      <c r="D1872" s="14" t="str">
        <f aca="false">IF(C1872="BUY",B1872,IF(G1871="IN",D1871,""))</f>
        <v/>
      </c>
      <c r="E1872" s="14" t="str">
        <f aca="false">IF(C1872="SELL",B1872,"")</f>
        <v/>
      </c>
      <c r="F1872" s="14" t="str">
        <f aca="false">IF(E1872="","",(E1872-D1872)/D1872*100)</f>
        <v/>
      </c>
      <c r="G1872" s="0" t="str">
        <f aca="false">IF(C1872="BUY","IN",IF(C1872="SELL","OUT",IF(G1871="IN","IN","OUT")))</f>
        <v>OUT</v>
      </c>
      <c r="H1872" s="14" t="n">
        <f aca="false">H1871+IF(F1872="",0,F1872)</f>
        <v>5.29835448286223</v>
      </c>
      <c r="I1872" s="14" t="n">
        <f aca="false">MAX(I1871,H1872)</f>
        <v>43.9309628600509</v>
      </c>
      <c r="J1872" s="14" t="n">
        <f aca="false">I1872-H1872</f>
        <v>38.6326083771886</v>
      </c>
    </row>
    <row r="1873" customFormat="false" ht="15" hidden="false" customHeight="false" outlineLevel="0" collapsed="false">
      <c r="A1873" s="12" t="n">
        <f aca="false">Data!A1873</f>
        <v>44722</v>
      </c>
      <c r="B1873" s="14" t="n">
        <f aca="false">Data!B1873</f>
        <v>120.67</v>
      </c>
      <c r="C1873" s="0" t="str">
        <f aca="false">IF(Data!D1873="","HOLD",IF(AND(G1872&lt;&gt;"IN",Data!E1873&lt;-5),"BUY",IF(AND(G1872="IN",Data!E1873&gt;0),"SELL","HOLD")))</f>
        <v>HOLD</v>
      </c>
      <c r="D1873" s="14" t="str">
        <f aca="false">IF(C1873="BUY",B1873,IF(G1872="IN",D1872,""))</f>
        <v/>
      </c>
      <c r="E1873" s="14" t="str">
        <f aca="false">IF(C1873="SELL",B1873,"")</f>
        <v/>
      </c>
      <c r="F1873" s="14" t="str">
        <f aca="false">IF(E1873="","",(E1873-D1873)/D1873*100)</f>
        <v/>
      </c>
      <c r="G1873" s="0" t="str">
        <f aca="false">IF(C1873="BUY","IN",IF(C1873="SELL","OUT",IF(G1872="IN","IN","OUT")))</f>
        <v>OUT</v>
      </c>
      <c r="H1873" s="14" t="n">
        <f aca="false">H1872+IF(F1873="",0,F1873)</f>
        <v>5.29835448286223</v>
      </c>
      <c r="I1873" s="14" t="n">
        <f aca="false">MAX(I1872,H1873)</f>
        <v>43.9309628600509</v>
      </c>
      <c r="J1873" s="14" t="n">
        <f aca="false">I1873-H1873</f>
        <v>38.6326083771886</v>
      </c>
    </row>
    <row r="1874" customFormat="false" ht="15" hidden="false" customHeight="false" outlineLevel="0" collapsed="false">
      <c r="A1874" s="12" t="n">
        <f aca="false">Data!A1874</f>
        <v>44725</v>
      </c>
      <c r="B1874" s="14" t="n">
        <f aca="false">Data!B1874</f>
        <v>120.93</v>
      </c>
      <c r="C1874" s="0" t="str">
        <f aca="false">IF(Data!D1874="","HOLD",IF(AND(G1873&lt;&gt;"IN",Data!E1874&lt;-5),"BUY",IF(AND(G1873="IN",Data!E1874&gt;0),"SELL","HOLD")))</f>
        <v>HOLD</v>
      </c>
      <c r="D1874" s="14" t="str">
        <f aca="false">IF(C1874="BUY",B1874,IF(G1873="IN",D1873,""))</f>
        <v/>
      </c>
      <c r="E1874" s="14" t="str">
        <f aca="false">IF(C1874="SELL",B1874,"")</f>
        <v/>
      </c>
      <c r="F1874" s="14" t="str">
        <f aca="false">IF(E1874="","",(E1874-D1874)/D1874*100)</f>
        <v/>
      </c>
      <c r="G1874" s="0" t="str">
        <f aca="false">IF(C1874="BUY","IN",IF(C1874="SELL","OUT",IF(G1873="IN","IN","OUT")))</f>
        <v>OUT</v>
      </c>
      <c r="H1874" s="14" t="n">
        <f aca="false">H1873+IF(F1874="",0,F1874)</f>
        <v>5.29835448286223</v>
      </c>
      <c r="I1874" s="14" t="n">
        <f aca="false">MAX(I1873,H1874)</f>
        <v>43.9309628600509</v>
      </c>
      <c r="J1874" s="14" t="n">
        <f aca="false">I1874-H1874</f>
        <v>38.6326083771886</v>
      </c>
    </row>
    <row r="1875" customFormat="false" ht="15" hidden="false" customHeight="false" outlineLevel="0" collapsed="false">
      <c r="A1875" s="12" t="n">
        <f aca="false">Data!A1875</f>
        <v>44726</v>
      </c>
      <c r="B1875" s="14" t="n">
        <f aca="false">Data!B1875</f>
        <v>118.93</v>
      </c>
      <c r="C1875" s="0" t="str">
        <f aca="false">IF(Data!D1875="","HOLD",IF(AND(G1874&lt;&gt;"IN",Data!E1875&lt;-5),"BUY",IF(AND(G1874="IN",Data!E1875&gt;0),"SELL","HOLD")))</f>
        <v>HOLD</v>
      </c>
      <c r="D1875" s="14" t="str">
        <f aca="false">IF(C1875="BUY",B1875,IF(G1874="IN",D1874,""))</f>
        <v/>
      </c>
      <c r="E1875" s="14" t="str">
        <f aca="false">IF(C1875="SELL",B1875,"")</f>
        <v/>
      </c>
      <c r="F1875" s="14" t="str">
        <f aca="false">IF(E1875="","",(E1875-D1875)/D1875*100)</f>
        <v/>
      </c>
      <c r="G1875" s="0" t="str">
        <f aca="false">IF(C1875="BUY","IN",IF(C1875="SELL","OUT",IF(G1874="IN","IN","OUT")))</f>
        <v>OUT</v>
      </c>
      <c r="H1875" s="14" t="n">
        <f aca="false">H1874+IF(F1875="",0,F1875)</f>
        <v>5.29835448286223</v>
      </c>
      <c r="I1875" s="14" t="n">
        <f aca="false">MAX(I1874,H1875)</f>
        <v>43.9309628600509</v>
      </c>
      <c r="J1875" s="14" t="n">
        <f aca="false">I1875-H1875</f>
        <v>38.6326083771886</v>
      </c>
    </row>
    <row r="1876" customFormat="false" ht="15" hidden="false" customHeight="false" outlineLevel="0" collapsed="false">
      <c r="A1876" s="12" t="n">
        <f aca="false">Data!A1876</f>
        <v>44727</v>
      </c>
      <c r="B1876" s="14" t="n">
        <f aca="false">Data!B1876</f>
        <v>115.31</v>
      </c>
      <c r="C1876" s="0" t="str">
        <f aca="false">IF(Data!D1876="","HOLD",IF(AND(G1875&lt;&gt;"IN",Data!E1876&lt;-5),"BUY",IF(AND(G1875="IN",Data!E1876&gt;0),"SELL","HOLD")))</f>
        <v>HOLD</v>
      </c>
      <c r="D1876" s="14" t="str">
        <f aca="false">IF(C1876="BUY",B1876,IF(G1875="IN",D1875,""))</f>
        <v/>
      </c>
      <c r="E1876" s="14" t="str">
        <f aca="false">IF(C1876="SELL",B1876,"")</f>
        <v/>
      </c>
      <c r="F1876" s="14" t="str">
        <f aca="false">IF(E1876="","",(E1876-D1876)/D1876*100)</f>
        <v/>
      </c>
      <c r="G1876" s="0" t="str">
        <f aca="false">IF(C1876="BUY","IN",IF(C1876="SELL","OUT",IF(G1875="IN","IN","OUT")))</f>
        <v>OUT</v>
      </c>
      <c r="H1876" s="14" t="n">
        <f aca="false">H1875+IF(F1876="",0,F1876)</f>
        <v>5.29835448286223</v>
      </c>
      <c r="I1876" s="14" t="n">
        <f aca="false">MAX(I1875,H1876)</f>
        <v>43.9309628600509</v>
      </c>
      <c r="J1876" s="14" t="n">
        <f aca="false">I1876-H1876</f>
        <v>38.6326083771886</v>
      </c>
    </row>
    <row r="1877" customFormat="false" ht="15" hidden="false" customHeight="false" outlineLevel="0" collapsed="false">
      <c r="A1877" s="12" t="n">
        <f aca="false">Data!A1877</f>
        <v>44728</v>
      </c>
      <c r="B1877" s="14" t="n">
        <f aca="false">Data!B1877</f>
        <v>117.59</v>
      </c>
      <c r="C1877" s="0" t="str">
        <f aca="false">IF(Data!D1877="","HOLD",IF(AND(G1876&lt;&gt;"IN",Data!E1877&lt;-5),"BUY",IF(AND(G1876="IN",Data!E1877&gt;0),"SELL","HOLD")))</f>
        <v>HOLD</v>
      </c>
      <c r="D1877" s="14" t="str">
        <f aca="false">IF(C1877="BUY",B1877,IF(G1876="IN",D1876,""))</f>
        <v/>
      </c>
      <c r="E1877" s="14" t="str">
        <f aca="false">IF(C1877="SELL",B1877,"")</f>
        <v/>
      </c>
      <c r="F1877" s="14" t="str">
        <f aca="false">IF(E1877="","",(E1877-D1877)/D1877*100)</f>
        <v/>
      </c>
      <c r="G1877" s="0" t="str">
        <f aca="false">IF(C1877="BUY","IN",IF(C1877="SELL","OUT",IF(G1876="IN","IN","OUT")))</f>
        <v>OUT</v>
      </c>
      <c r="H1877" s="14" t="n">
        <f aca="false">H1876+IF(F1877="",0,F1877)</f>
        <v>5.29835448286223</v>
      </c>
      <c r="I1877" s="14" t="n">
        <f aca="false">MAX(I1876,H1877)</f>
        <v>43.9309628600509</v>
      </c>
      <c r="J1877" s="14" t="n">
        <f aca="false">I1877-H1877</f>
        <v>38.6326083771886</v>
      </c>
    </row>
    <row r="1878" customFormat="false" ht="15" hidden="false" customHeight="false" outlineLevel="0" collapsed="false">
      <c r="A1878" s="12" t="n">
        <f aca="false">Data!A1878</f>
        <v>44729</v>
      </c>
      <c r="B1878" s="14" t="n">
        <f aca="false">Data!B1878</f>
        <v>109.56</v>
      </c>
      <c r="C1878" s="0" t="str">
        <f aca="false">IF(Data!D1878="","HOLD",IF(AND(G1877&lt;&gt;"IN",Data!E1878&lt;-5),"BUY",IF(AND(G1877="IN",Data!E1878&gt;0),"SELL","HOLD")))</f>
        <v>BUY</v>
      </c>
      <c r="D1878" s="14" t="n">
        <f aca="false">IF(C1878="BUY",B1878,IF(G1877="IN",D1877,""))</f>
        <v>109.56</v>
      </c>
      <c r="E1878" s="14" t="str">
        <f aca="false">IF(C1878="SELL",B1878,"")</f>
        <v/>
      </c>
      <c r="F1878" s="14" t="str">
        <f aca="false">IF(E1878="","",(E1878-D1878)/D1878*100)</f>
        <v/>
      </c>
      <c r="G1878" s="0" t="str">
        <f aca="false">IF(C1878="BUY","IN",IF(C1878="SELL","OUT",IF(G1877="IN","IN","OUT")))</f>
        <v>IN</v>
      </c>
      <c r="H1878" s="14" t="n">
        <f aca="false">H1877+IF(F1878="",0,F1878)</f>
        <v>5.29835448286223</v>
      </c>
      <c r="I1878" s="14" t="n">
        <f aca="false">MAX(I1877,H1878)</f>
        <v>43.9309628600509</v>
      </c>
      <c r="J1878" s="14" t="n">
        <f aca="false">I1878-H1878</f>
        <v>38.6326083771886</v>
      </c>
    </row>
    <row r="1879" customFormat="false" ht="15" hidden="false" customHeight="false" outlineLevel="0" collapsed="false">
      <c r="A1879" s="12" t="n">
        <f aca="false">Data!A1879</f>
        <v>44733</v>
      </c>
      <c r="B1879" s="14" t="n">
        <f aca="false">Data!B1879</f>
        <v>110.65</v>
      </c>
      <c r="C1879" s="0" t="str">
        <f aca="false">IF(Data!D1879="","HOLD",IF(AND(G1878&lt;&gt;"IN",Data!E1879&lt;-5),"BUY",IF(AND(G1878="IN",Data!E1879&gt;0),"SELL","HOLD")))</f>
        <v>HOLD</v>
      </c>
      <c r="D1879" s="14" t="n">
        <f aca="false">IF(C1879="BUY",B1879,IF(G1878="IN",D1878,""))</f>
        <v>109.56</v>
      </c>
      <c r="E1879" s="14" t="str">
        <f aca="false">IF(C1879="SELL",B1879,"")</f>
        <v/>
      </c>
      <c r="F1879" s="14" t="str">
        <f aca="false">IF(E1879="","",(E1879-D1879)/D1879*100)</f>
        <v/>
      </c>
      <c r="G1879" s="0" t="str">
        <f aca="false">IF(C1879="BUY","IN",IF(C1879="SELL","OUT",IF(G1878="IN","IN","OUT")))</f>
        <v>IN</v>
      </c>
      <c r="H1879" s="14" t="n">
        <f aca="false">H1878+IF(F1879="",0,F1879)</f>
        <v>5.29835448286223</v>
      </c>
      <c r="I1879" s="14" t="n">
        <f aca="false">MAX(I1878,H1879)</f>
        <v>43.9309628600509</v>
      </c>
      <c r="J1879" s="14" t="n">
        <f aca="false">I1879-H1879</f>
        <v>38.6326083771886</v>
      </c>
    </row>
    <row r="1880" customFormat="false" ht="15" hidden="false" customHeight="false" outlineLevel="0" collapsed="false">
      <c r="A1880" s="12" t="n">
        <f aca="false">Data!A1880</f>
        <v>44734</v>
      </c>
      <c r="B1880" s="14" t="n">
        <f aca="false">Data!B1880</f>
        <v>106.19</v>
      </c>
      <c r="C1880" s="0" t="str">
        <f aca="false">IF(Data!D1880="","HOLD",IF(AND(G1879&lt;&gt;"IN",Data!E1880&lt;-5),"BUY",IF(AND(G1879="IN",Data!E1880&gt;0),"SELL","HOLD")))</f>
        <v>HOLD</v>
      </c>
      <c r="D1880" s="14" t="n">
        <f aca="false">IF(C1880="BUY",B1880,IF(G1879="IN",D1879,""))</f>
        <v>109.56</v>
      </c>
      <c r="E1880" s="14" t="str">
        <f aca="false">IF(C1880="SELL",B1880,"")</f>
        <v/>
      </c>
      <c r="F1880" s="14" t="str">
        <f aca="false">IF(E1880="","",(E1880-D1880)/D1880*100)</f>
        <v/>
      </c>
      <c r="G1880" s="0" t="str">
        <f aca="false">IF(C1880="BUY","IN",IF(C1880="SELL","OUT",IF(G1879="IN","IN","OUT")))</f>
        <v>IN</v>
      </c>
      <c r="H1880" s="14" t="n">
        <f aca="false">H1879+IF(F1880="",0,F1880)</f>
        <v>5.29835448286223</v>
      </c>
      <c r="I1880" s="14" t="n">
        <f aca="false">MAX(I1879,H1880)</f>
        <v>43.9309628600509</v>
      </c>
      <c r="J1880" s="14" t="n">
        <f aca="false">I1880-H1880</f>
        <v>38.6326083771886</v>
      </c>
    </row>
    <row r="1881" customFormat="false" ht="15" hidden="false" customHeight="false" outlineLevel="0" collapsed="false">
      <c r="A1881" s="12" t="n">
        <f aca="false">Data!A1881</f>
        <v>44735</v>
      </c>
      <c r="B1881" s="14" t="n">
        <f aca="false">Data!B1881</f>
        <v>104.27</v>
      </c>
      <c r="C1881" s="0" t="str">
        <f aca="false">IF(Data!D1881="","HOLD",IF(AND(G1880&lt;&gt;"IN",Data!E1881&lt;-5),"BUY",IF(AND(G1880="IN",Data!E1881&gt;0),"SELL","HOLD")))</f>
        <v>HOLD</v>
      </c>
      <c r="D1881" s="14" t="n">
        <f aca="false">IF(C1881="BUY",B1881,IF(G1880="IN",D1880,""))</f>
        <v>109.56</v>
      </c>
      <c r="E1881" s="14" t="str">
        <f aca="false">IF(C1881="SELL",B1881,"")</f>
        <v/>
      </c>
      <c r="F1881" s="14" t="str">
        <f aca="false">IF(E1881="","",(E1881-D1881)/D1881*100)</f>
        <v/>
      </c>
      <c r="G1881" s="0" t="str">
        <f aca="false">IF(C1881="BUY","IN",IF(C1881="SELL","OUT",IF(G1880="IN","IN","OUT")))</f>
        <v>IN</v>
      </c>
      <c r="H1881" s="14" t="n">
        <f aca="false">H1880+IF(F1881="",0,F1881)</f>
        <v>5.29835448286223</v>
      </c>
      <c r="I1881" s="14" t="n">
        <f aca="false">MAX(I1880,H1881)</f>
        <v>43.9309628600509</v>
      </c>
      <c r="J1881" s="14" t="n">
        <f aca="false">I1881-H1881</f>
        <v>38.6326083771886</v>
      </c>
    </row>
    <row r="1882" customFormat="false" ht="15" hidden="false" customHeight="false" outlineLevel="0" collapsed="false">
      <c r="A1882" s="12" t="n">
        <f aca="false">Data!A1882</f>
        <v>44736</v>
      </c>
      <c r="B1882" s="14" t="n">
        <f aca="false">Data!B1882</f>
        <v>107.62</v>
      </c>
      <c r="C1882" s="0" t="str">
        <f aca="false">IF(Data!D1882="","HOLD",IF(AND(G1881&lt;&gt;"IN",Data!E1882&lt;-5),"BUY",IF(AND(G1881="IN",Data!E1882&gt;0),"SELL","HOLD")))</f>
        <v>HOLD</v>
      </c>
      <c r="D1882" s="14" t="n">
        <f aca="false">IF(C1882="BUY",B1882,IF(G1881="IN",D1881,""))</f>
        <v>109.56</v>
      </c>
      <c r="E1882" s="14" t="str">
        <f aca="false">IF(C1882="SELL",B1882,"")</f>
        <v/>
      </c>
      <c r="F1882" s="14" t="str">
        <f aca="false">IF(E1882="","",(E1882-D1882)/D1882*100)</f>
        <v/>
      </c>
      <c r="G1882" s="0" t="str">
        <f aca="false">IF(C1882="BUY","IN",IF(C1882="SELL","OUT",IF(G1881="IN","IN","OUT")))</f>
        <v>IN</v>
      </c>
      <c r="H1882" s="14" t="n">
        <f aca="false">H1881+IF(F1882="",0,F1882)</f>
        <v>5.29835448286223</v>
      </c>
      <c r="I1882" s="14" t="n">
        <f aca="false">MAX(I1881,H1882)</f>
        <v>43.9309628600509</v>
      </c>
      <c r="J1882" s="14" t="n">
        <f aca="false">I1882-H1882</f>
        <v>38.6326083771886</v>
      </c>
    </row>
    <row r="1883" customFormat="false" ht="15" hidden="false" customHeight="false" outlineLevel="0" collapsed="false">
      <c r="A1883" s="12" t="n">
        <f aca="false">Data!A1883</f>
        <v>44739</v>
      </c>
      <c r="B1883" s="14" t="n">
        <f aca="false">Data!B1883</f>
        <v>109.57</v>
      </c>
      <c r="C1883" s="0" t="str">
        <f aca="false">IF(Data!D1883="","HOLD",IF(AND(G1882&lt;&gt;"IN",Data!E1883&lt;-5),"BUY",IF(AND(G1882="IN",Data!E1883&gt;0),"SELL","HOLD")))</f>
        <v>HOLD</v>
      </c>
      <c r="D1883" s="14" t="n">
        <f aca="false">IF(C1883="BUY",B1883,IF(G1882="IN",D1882,""))</f>
        <v>109.56</v>
      </c>
      <c r="E1883" s="14" t="str">
        <f aca="false">IF(C1883="SELL",B1883,"")</f>
        <v/>
      </c>
      <c r="F1883" s="14" t="str">
        <f aca="false">IF(E1883="","",(E1883-D1883)/D1883*100)</f>
        <v/>
      </c>
      <c r="G1883" s="0" t="str">
        <f aca="false">IF(C1883="BUY","IN",IF(C1883="SELL","OUT",IF(G1882="IN","IN","OUT")))</f>
        <v>IN</v>
      </c>
      <c r="H1883" s="14" t="n">
        <f aca="false">H1882+IF(F1883="",0,F1883)</f>
        <v>5.29835448286223</v>
      </c>
      <c r="I1883" s="14" t="n">
        <f aca="false">MAX(I1882,H1883)</f>
        <v>43.9309628600509</v>
      </c>
      <c r="J1883" s="14" t="n">
        <f aca="false">I1883-H1883</f>
        <v>38.6326083771886</v>
      </c>
    </row>
    <row r="1884" customFormat="false" ht="15" hidden="false" customHeight="false" outlineLevel="0" collapsed="false">
      <c r="A1884" s="12" t="n">
        <f aca="false">Data!A1884</f>
        <v>44740</v>
      </c>
      <c r="B1884" s="14" t="n">
        <f aca="false">Data!B1884</f>
        <v>111.76</v>
      </c>
      <c r="C1884" s="0" t="str">
        <f aca="false">IF(Data!D1884="","HOLD",IF(AND(G1883&lt;&gt;"IN",Data!E1884&lt;-5),"BUY",IF(AND(G1883="IN",Data!E1884&gt;0),"SELL","HOLD")))</f>
        <v>HOLD</v>
      </c>
      <c r="D1884" s="14" t="n">
        <f aca="false">IF(C1884="BUY",B1884,IF(G1883="IN",D1883,""))</f>
        <v>109.56</v>
      </c>
      <c r="E1884" s="14" t="str">
        <f aca="false">IF(C1884="SELL",B1884,"")</f>
        <v/>
      </c>
      <c r="F1884" s="14" t="str">
        <f aca="false">IF(E1884="","",(E1884-D1884)/D1884*100)</f>
        <v/>
      </c>
      <c r="G1884" s="0" t="str">
        <f aca="false">IF(C1884="BUY","IN",IF(C1884="SELL","OUT",IF(G1883="IN","IN","OUT")))</f>
        <v>IN</v>
      </c>
      <c r="H1884" s="14" t="n">
        <f aca="false">H1883+IF(F1884="",0,F1884)</f>
        <v>5.29835448286223</v>
      </c>
      <c r="I1884" s="14" t="n">
        <f aca="false">MAX(I1883,H1884)</f>
        <v>43.9309628600509</v>
      </c>
      <c r="J1884" s="14" t="n">
        <f aca="false">I1884-H1884</f>
        <v>38.6326083771886</v>
      </c>
    </row>
    <row r="1885" customFormat="false" ht="15" hidden="false" customHeight="false" outlineLevel="0" collapsed="false">
      <c r="A1885" s="12" t="n">
        <f aca="false">Data!A1885</f>
        <v>44741</v>
      </c>
      <c r="B1885" s="14" t="n">
        <f aca="false">Data!B1885</f>
        <v>109.78</v>
      </c>
      <c r="C1885" s="0" t="str">
        <f aca="false">IF(Data!D1885="","HOLD",IF(AND(G1884&lt;&gt;"IN",Data!E1885&lt;-5),"BUY",IF(AND(G1884="IN",Data!E1885&gt;0),"SELL","HOLD")))</f>
        <v>HOLD</v>
      </c>
      <c r="D1885" s="14" t="n">
        <f aca="false">IF(C1885="BUY",B1885,IF(G1884="IN",D1884,""))</f>
        <v>109.56</v>
      </c>
      <c r="E1885" s="14" t="str">
        <f aca="false">IF(C1885="SELL",B1885,"")</f>
        <v/>
      </c>
      <c r="F1885" s="14" t="str">
        <f aca="false">IF(E1885="","",(E1885-D1885)/D1885*100)</f>
        <v/>
      </c>
      <c r="G1885" s="0" t="str">
        <f aca="false">IF(C1885="BUY","IN",IF(C1885="SELL","OUT",IF(G1884="IN","IN","OUT")))</f>
        <v>IN</v>
      </c>
      <c r="H1885" s="14" t="n">
        <f aca="false">H1884+IF(F1885="",0,F1885)</f>
        <v>5.29835448286223</v>
      </c>
      <c r="I1885" s="14" t="n">
        <f aca="false">MAX(I1884,H1885)</f>
        <v>43.9309628600509</v>
      </c>
      <c r="J1885" s="14" t="n">
        <f aca="false">I1885-H1885</f>
        <v>38.6326083771886</v>
      </c>
    </row>
    <row r="1886" customFormat="false" ht="15" hidden="false" customHeight="false" outlineLevel="0" collapsed="false">
      <c r="A1886" s="12" t="n">
        <f aca="false">Data!A1886</f>
        <v>44742</v>
      </c>
      <c r="B1886" s="14" t="n">
        <f aca="false">Data!B1886</f>
        <v>105.76</v>
      </c>
      <c r="C1886" s="0" t="str">
        <f aca="false">IF(Data!D1886="","HOLD",IF(AND(G1885&lt;&gt;"IN",Data!E1886&lt;-5),"BUY",IF(AND(G1885="IN",Data!E1886&gt;0),"SELL","HOLD")))</f>
        <v>HOLD</v>
      </c>
      <c r="D1886" s="14" t="n">
        <f aca="false">IF(C1886="BUY",B1886,IF(G1885="IN",D1885,""))</f>
        <v>109.56</v>
      </c>
      <c r="E1886" s="14" t="str">
        <f aca="false">IF(C1886="SELL",B1886,"")</f>
        <v/>
      </c>
      <c r="F1886" s="14" t="str">
        <f aca="false">IF(E1886="","",(E1886-D1886)/D1886*100)</f>
        <v/>
      </c>
      <c r="G1886" s="0" t="str">
        <f aca="false">IF(C1886="BUY","IN",IF(C1886="SELL","OUT",IF(G1885="IN","IN","OUT")))</f>
        <v>IN</v>
      </c>
      <c r="H1886" s="14" t="n">
        <f aca="false">H1885+IF(F1886="",0,F1886)</f>
        <v>5.29835448286223</v>
      </c>
      <c r="I1886" s="14" t="n">
        <f aca="false">MAX(I1885,H1886)</f>
        <v>43.9309628600509</v>
      </c>
      <c r="J1886" s="14" t="n">
        <f aca="false">I1886-H1886</f>
        <v>38.6326083771886</v>
      </c>
    </row>
    <row r="1887" customFormat="false" ht="15" hidden="false" customHeight="false" outlineLevel="0" collapsed="false">
      <c r="A1887" s="12" t="n">
        <f aca="false">Data!A1887</f>
        <v>44743</v>
      </c>
      <c r="B1887" s="14" t="n">
        <f aca="false">Data!B1887</f>
        <v>108.43</v>
      </c>
      <c r="C1887" s="0" t="str">
        <f aca="false">IF(Data!D1887="","HOLD",IF(AND(G1886&lt;&gt;"IN",Data!E1887&lt;-5),"BUY",IF(AND(G1886="IN",Data!E1887&gt;0),"SELL","HOLD")))</f>
        <v>HOLD</v>
      </c>
      <c r="D1887" s="14" t="n">
        <f aca="false">IF(C1887="BUY",B1887,IF(G1886="IN",D1886,""))</f>
        <v>109.56</v>
      </c>
      <c r="E1887" s="14" t="str">
        <f aca="false">IF(C1887="SELL",B1887,"")</f>
        <v/>
      </c>
      <c r="F1887" s="14" t="str">
        <f aca="false">IF(E1887="","",(E1887-D1887)/D1887*100)</f>
        <v/>
      </c>
      <c r="G1887" s="0" t="str">
        <f aca="false">IF(C1887="BUY","IN",IF(C1887="SELL","OUT",IF(G1886="IN","IN","OUT")))</f>
        <v>IN</v>
      </c>
      <c r="H1887" s="14" t="n">
        <f aca="false">H1886+IF(F1887="",0,F1887)</f>
        <v>5.29835448286223</v>
      </c>
      <c r="I1887" s="14" t="n">
        <f aca="false">MAX(I1886,H1887)</f>
        <v>43.9309628600509</v>
      </c>
      <c r="J1887" s="14" t="n">
        <f aca="false">I1887-H1887</f>
        <v>38.6326083771886</v>
      </c>
    </row>
    <row r="1888" customFormat="false" ht="15" hidden="false" customHeight="false" outlineLevel="0" collapsed="false">
      <c r="A1888" s="12" t="n">
        <f aca="false">Data!A1888</f>
        <v>44747</v>
      </c>
      <c r="B1888" s="14" t="n">
        <f aca="false">Data!B1888</f>
        <v>99.5</v>
      </c>
      <c r="C1888" s="0" t="str">
        <f aca="false">IF(Data!D1888="","HOLD",IF(AND(G1887&lt;&gt;"IN",Data!E1888&lt;-5),"BUY",IF(AND(G1887="IN",Data!E1888&gt;0),"SELL","HOLD")))</f>
        <v>HOLD</v>
      </c>
      <c r="D1888" s="14" t="n">
        <f aca="false">IF(C1888="BUY",B1888,IF(G1887="IN",D1887,""))</f>
        <v>109.56</v>
      </c>
      <c r="E1888" s="14" t="str">
        <f aca="false">IF(C1888="SELL",B1888,"")</f>
        <v/>
      </c>
      <c r="F1888" s="14" t="str">
        <f aca="false">IF(E1888="","",(E1888-D1888)/D1888*100)</f>
        <v/>
      </c>
      <c r="G1888" s="0" t="str">
        <f aca="false">IF(C1888="BUY","IN",IF(C1888="SELL","OUT",IF(G1887="IN","IN","OUT")))</f>
        <v>IN</v>
      </c>
      <c r="H1888" s="14" t="n">
        <f aca="false">H1887+IF(F1888="",0,F1888)</f>
        <v>5.29835448286223</v>
      </c>
      <c r="I1888" s="14" t="n">
        <f aca="false">MAX(I1887,H1888)</f>
        <v>43.9309628600509</v>
      </c>
      <c r="J1888" s="14" t="n">
        <f aca="false">I1888-H1888</f>
        <v>38.6326083771886</v>
      </c>
    </row>
    <row r="1889" customFormat="false" ht="15" hidden="false" customHeight="false" outlineLevel="0" collapsed="false">
      <c r="A1889" s="12" t="n">
        <f aca="false">Data!A1889</f>
        <v>44748</v>
      </c>
      <c r="B1889" s="14" t="n">
        <f aca="false">Data!B1889</f>
        <v>98.53</v>
      </c>
      <c r="C1889" s="0" t="str">
        <f aca="false">IF(Data!D1889="","HOLD",IF(AND(G1888&lt;&gt;"IN",Data!E1889&lt;-5),"BUY",IF(AND(G1888="IN",Data!E1889&gt;0),"SELL","HOLD")))</f>
        <v>HOLD</v>
      </c>
      <c r="D1889" s="14" t="n">
        <f aca="false">IF(C1889="BUY",B1889,IF(G1888="IN",D1888,""))</f>
        <v>109.56</v>
      </c>
      <c r="E1889" s="14" t="str">
        <f aca="false">IF(C1889="SELL",B1889,"")</f>
        <v/>
      </c>
      <c r="F1889" s="14" t="str">
        <f aca="false">IF(E1889="","",(E1889-D1889)/D1889*100)</f>
        <v/>
      </c>
      <c r="G1889" s="0" t="str">
        <f aca="false">IF(C1889="BUY","IN",IF(C1889="SELL","OUT",IF(G1888="IN","IN","OUT")))</f>
        <v>IN</v>
      </c>
      <c r="H1889" s="14" t="n">
        <f aca="false">H1888+IF(F1889="",0,F1889)</f>
        <v>5.29835448286223</v>
      </c>
      <c r="I1889" s="14" t="n">
        <f aca="false">MAX(I1888,H1889)</f>
        <v>43.9309628600509</v>
      </c>
      <c r="J1889" s="14" t="n">
        <f aca="false">I1889-H1889</f>
        <v>38.6326083771886</v>
      </c>
    </row>
    <row r="1890" customFormat="false" ht="15" hidden="false" customHeight="false" outlineLevel="0" collapsed="false">
      <c r="A1890" s="12" t="n">
        <f aca="false">Data!A1890</f>
        <v>44749</v>
      </c>
      <c r="B1890" s="14" t="n">
        <f aca="false">Data!B1890</f>
        <v>102.73</v>
      </c>
      <c r="C1890" s="0" t="str">
        <f aca="false">IF(Data!D1890="","HOLD",IF(AND(G1889&lt;&gt;"IN",Data!E1890&lt;-5),"BUY",IF(AND(G1889="IN",Data!E1890&gt;0),"SELL","HOLD")))</f>
        <v>HOLD</v>
      </c>
      <c r="D1890" s="14" t="n">
        <f aca="false">IF(C1890="BUY",B1890,IF(G1889="IN",D1889,""))</f>
        <v>109.56</v>
      </c>
      <c r="E1890" s="14" t="str">
        <f aca="false">IF(C1890="SELL",B1890,"")</f>
        <v/>
      </c>
      <c r="F1890" s="14" t="str">
        <f aca="false">IF(E1890="","",(E1890-D1890)/D1890*100)</f>
        <v/>
      </c>
      <c r="G1890" s="0" t="str">
        <f aca="false">IF(C1890="BUY","IN",IF(C1890="SELL","OUT",IF(G1889="IN","IN","OUT")))</f>
        <v>IN</v>
      </c>
      <c r="H1890" s="14" t="n">
        <f aca="false">H1889+IF(F1890="",0,F1890)</f>
        <v>5.29835448286223</v>
      </c>
      <c r="I1890" s="14" t="n">
        <f aca="false">MAX(I1889,H1890)</f>
        <v>43.9309628600509</v>
      </c>
      <c r="J1890" s="14" t="n">
        <f aca="false">I1890-H1890</f>
        <v>38.6326083771886</v>
      </c>
    </row>
    <row r="1891" customFormat="false" ht="15" hidden="false" customHeight="false" outlineLevel="0" collapsed="false">
      <c r="A1891" s="12" t="n">
        <f aca="false">Data!A1891</f>
        <v>44750</v>
      </c>
      <c r="B1891" s="14" t="n">
        <f aca="false">Data!B1891</f>
        <v>104.79</v>
      </c>
      <c r="C1891" s="0" t="str">
        <f aca="false">IF(Data!D1891="","HOLD",IF(AND(G1890&lt;&gt;"IN",Data!E1891&lt;-5),"BUY",IF(AND(G1890="IN",Data!E1891&gt;0),"SELL","HOLD")))</f>
        <v>HOLD</v>
      </c>
      <c r="D1891" s="14" t="n">
        <f aca="false">IF(C1891="BUY",B1891,IF(G1890="IN",D1890,""))</f>
        <v>109.56</v>
      </c>
      <c r="E1891" s="14" t="str">
        <f aca="false">IF(C1891="SELL",B1891,"")</f>
        <v/>
      </c>
      <c r="F1891" s="14" t="str">
        <f aca="false">IF(E1891="","",(E1891-D1891)/D1891*100)</f>
        <v/>
      </c>
      <c r="G1891" s="0" t="str">
        <f aca="false">IF(C1891="BUY","IN",IF(C1891="SELL","OUT",IF(G1890="IN","IN","OUT")))</f>
        <v>IN</v>
      </c>
      <c r="H1891" s="14" t="n">
        <f aca="false">H1890+IF(F1891="",0,F1891)</f>
        <v>5.29835448286223</v>
      </c>
      <c r="I1891" s="14" t="n">
        <f aca="false">MAX(I1890,H1891)</f>
        <v>43.9309628600509</v>
      </c>
      <c r="J1891" s="14" t="n">
        <f aca="false">I1891-H1891</f>
        <v>38.6326083771886</v>
      </c>
    </row>
    <row r="1892" customFormat="false" ht="15" hidden="false" customHeight="false" outlineLevel="0" collapsed="false">
      <c r="A1892" s="12" t="n">
        <f aca="false">Data!A1892</f>
        <v>44753</v>
      </c>
      <c r="B1892" s="14" t="n">
        <f aca="false">Data!B1892</f>
        <v>104.09</v>
      </c>
      <c r="C1892" s="0" t="str">
        <f aca="false">IF(Data!D1892="","HOLD",IF(AND(G1891&lt;&gt;"IN",Data!E1892&lt;-5),"BUY",IF(AND(G1891="IN",Data!E1892&gt;0),"SELL","HOLD")))</f>
        <v>HOLD</v>
      </c>
      <c r="D1892" s="14" t="n">
        <f aca="false">IF(C1892="BUY",B1892,IF(G1891="IN",D1891,""))</f>
        <v>109.56</v>
      </c>
      <c r="E1892" s="14" t="str">
        <f aca="false">IF(C1892="SELL",B1892,"")</f>
        <v/>
      </c>
      <c r="F1892" s="14" t="str">
        <f aca="false">IF(E1892="","",(E1892-D1892)/D1892*100)</f>
        <v/>
      </c>
      <c r="G1892" s="0" t="str">
        <f aca="false">IF(C1892="BUY","IN",IF(C1892="SELL","OUT",IF(G1891="IN","IN","OUT")))</f>
        <v>IN</v>
      </c>
      <c r="H1892" s="14" t="n">
        <f aca="false">H1891+IF(F1892="",0,F1892)</f>
        <v>5.29835448286223</v>
      </c>
      <c r="I1892" s="14" t="n">
        <f aca="false">MAX(I1891,H1892)</f>
        <v>43.9309628600509</v>
      </c>
      <c r="J1892" s="14" t="n">
        <f aca="false">I1892-H1892</f>
        <v>38.6326083771886</v>
      </c>
    </row>
    <row r="1893" customFormat="false" ht="15" hidden="false" customHeight="false" outlineLevel="0" collapsed="false">
      <c r="A1893" s="12" t="n">
        <f aca="false">Data!A1893</f>
        <v>44754</v>
      </c>
      <c r="B1893" s="14" t="n">
        <f aca="false">Data!B1893</f>
        <v>95.84</v>
      </c>
      <c r="C1893" s="0" t="str">
        <f aca="false">IF(Data!D1893="","HOLD",IF(AND(G1892&lt;&gt;"IN",Data!E1893&lt;-5),"BUY",IF(AND(G1892="IN",Data!E1893&gt;0),"SELL","HOLD")))</f>
        <v>HOLD</v>
      </c>
      <c r="D1893" s="14" t="n">
        <f aca="false">IF(C1893="BUY",B1893,IF(G1892="IN",D1892,""))</f>
        <v>109.56</v>
      </c>
      <c r="E1893" s="14" t="str">
        <f aca="false">IF(C1893="SELL",B1893,"")</f>
        <v/>
      </c>
      <c r="F1893" s="14" t="str">
        <f aca="false">IF(E1893="","",(E1893-D1893)/D1893*100)</f>
        <v/>
      </c>
      <c r="G1893" s="0" t="str">
        <f aca="false">IF(C1893="BUY","IN",IF(C1893="SELL","OUT",IF(G1892="IN","IN","OUT")))</f>
        <v>IN</v>
      </c>
      <c r="H1893" s="14" t="n">
        <f aca="false">H1892+IF(F1893="",0,F1893)</f>
        <v>5.29835448286223</v>
      </c>
      <c r="I1893" s="14" t="n">
        <f aca="false">MAX(I1892,H1893)</f>
        <v>43.9309628600509</v>
      </c>
      <c r="J1893" s="14" t="n">
        <f aca="false">I1893-H1893</f>
        <v>38.6326083771886</v>
      </c>
    </row>
    <row r="1894" customFormat="false" ht="15" hidden="false" customHeight="false" outlineLevel="0" collapsed="false">
      <c r="A1894" s="12" t="n">
        <f aca="false">Data!A1894</f>
        <v>44755</v>
      </c>
      <c r="B1894" s="14" t="n">
        <f aca="false">Data!B1894</f>
        <v>96.3</v>
      </c>
      <c r="C1894" s="0" t="str">
        <f aca="false">IF(Data!D1894="","HOLD",IF(AND(G1893&lt;&gt;"IN",Data!E1894&lt;-5),"BUY",IF(AND(G1893="IN",Data!E1894&gt;0),"SELL","HOLD")))</f>
        <v>HOLD</v>
      </c>
      <c r="D1894" s="14" t="n">
        <f aca="false">IF(C1894="BUY",B1894,IF(G1893="IN",D1893,""))</f>
        <v>109.56</v>
      </c>
      <c r="E1894" s="14" t="str">
        <f aca="false">IF(C1894="SELL",B1894,"")</f>
        <v/>
      </c>
      <c r="F1894" s="14" t="str">
        <f aca="false">IF(E1894="","",(E1894-D1894)/D1894*100)</f>
        <v/>
      </c>
      <c r="G1894" s="0" t="str">
        <f aca="false">IF(C1894="BUY","IN",IF(C1894="SELL","OUT",IF(G1893="IN","IN","OUT")))</f>
        <v>IN</v>
      </c>
      <c r="H1894" s="14" t="n">
        <f aca="false">H1893+IF(F1894="",0,F1894)</f>
        <v>5.29835448286223</v>
      </c>
      <c r="I1894" s="14" t="n">
        <f aca="false">MAX(I1893,H1894)</f>
        <v>43.9309628600509</v>
      </c>
      <c r="J1894" s="14" t="n">
        <f aca="false">I1894-H1894</f>
        <v>38.6326083771886</v>
      </c>
    </row>
    <row r="1895" customFormat="false" ht="15" hidden="false" customHeight="false" outlineLevel="0" collapsed="false">
      <c r="A1895" s="12" t="n">
        <f aca="false">Data!A1895</f>
        <v>44756</v>
      </c>
      <c r="B1895" s="14" t="n">
        <f aca="false">Data!B1895</f>
        <v>95.78</v>
      </c>
      <c r="C1895" s="0" t="str">
        <f aca="false">IF(Data!D1895="","HOLD",IF(AND(G1894&lt;&gt;"IN",Data!E1895&lt;-5),"BUY",IF(AND(G1894="IN",Data!E1895&gt;0),"SELL","HOLD")))</f>
        <v>HOLD</v>
      </c>
      <c r="D1895" s="14" t="n">
        <f aca="false">IF(C1895="BUY",B1895,IF(G1894="IN",D1894,""))</f>
        <v>109.56</v>
      </c>
      <c r="E1895" s="14" t="str">
        <f aca="false">IF(C1895="SELL",B1895,"")</f>
        <v/>
      </c>
      <c r="F1895" s="14" t="str">
        <f aca="false">IF(E1895="","",(E1895-D1895)/D1895*100)</f>
        <v/>
      </c>
      <c r="G1895" s="0" t="str">
        <f aca="false">IF(C1895="BUY","IN",IF(C1895="SELL","OUT",IF(G1894="IN","IN","OUT")))</f>
        <v>IN</v>
      </c>
      <c r="H1895" s="14" t="n">
        <f aca="false">H1894+IF(F1895="",0,F1895)</f>
        <v>5.29835448286223</v>
      </c>
      <c r="I1895" s="14" t="n">
        <f aca="false">MAX(I1894,H1895)</f>
        <v>43.9309628600509</v>
      </c>
      <c r="J1895" s="14" t="n">
        <f aca="false">I1895-H1895</f>
        <v>38.6326083771886</v>
      </c>
    </row>
    <row r="1896" customFormat="false" ht="15" hidden="false" customHeight="false" outlineLevel="0" collapsed="false">
      <c r="A1896" s="12" t="n">
        <f aca="false">Data!A1896</f>
        <v>44757</v>
      </c>
      <c r="B1896" s="14" t="n">
        <f aca="false">Data!B1896</f>
        <v>97.59</v>
      </c>
      <c r="C1896" s="0" t="str">
        <f aca="false">IF(Data!D1896="","HOLD",IF(AND(G1895&lt;&gt;"IN",Data!E1896&lt;-5),"BUY",IF(AND(G1895="IN",Data!E1896&gt;0),"SELL","HOLD")))</f>
        <v>HOLD</v>
      </c>
      <c r="D1896" s="14" t="n">
        <f aca="false">IF(C1896="BUY",B1896,IF(G1895="IN",D1895,""))</f>
        <v>109.56</v>
      </c>
      <c r="E1896" s="14" t="str">
        <f aca="false">IF(C1896="SELL",B1896,"")</f>
        <v/>
      </c>
      <c r="F1896" s="14" t="str">
        <f aca="false">IF(E1896="","",(E1896-D1896)/D1896*100)</f>
        <v/>
      </c>
      <c r="G1896" s="0" t="str">
        <f aca="false">IF(C1896="BUY","IN",IF(C1896="SELL","OUT",IF(G1895="IN","IN","OUT")))</f>
        <v>IN</v>
      </c>
      <c r="H1896" s="14" t="n">
        <f aca="false">H1895+IF(F1896="",0,F1896)</f>
        <v>5.29835448286223</v>
      </c>
      <c r="I1896" s="14" t="n">
        <f aca="false">MAX(I1895,H1896)</f>
        <v>43.9309628600509</v>
      </c>
      <c r="J1896" s="14" t="n">
        <f aca="false">I1896-H1896</f>
        <v>38.6326083771886</v>
      </c>
    </row>
    <row r="1897" customFormat="false" ht="15" hidden="false" customHeight="false" outlineLevel="0" collapsed="false">
      <c r="A1897" s="12" t="n">
        <f aca="false">Data!A1897</f>
        <v>44760</v>
      </c>
      <c r="B1897" s="14" t="n">
        <f aca="false">Data!B1897</f>
        <v>102.6</v>
      </c>
      <c r="C1897" s="0" t="str">
        <f aca="false">IF(Data!D1897="","HOLD",IF(AND(G1896&lt;&gt;"IN",Data!E1897&lt;-5),"BUY",IF(AND(G1896="IN",Data!E1897&gt;0),"SELL","HOLD")))</f>
        <v>HOLD</v>
      </c>
      <c r="D1897" s="14" t="n">
        <f aca="false">IF(C1897="BUY",B1897,IF(G1896="IN",D1896,""))</f>
        <v>109.56</v>
      </c>
      <c r="E1897" s="14" t="str">
        <f aca="false">IF(C1897="SELL",B1897,"")</f>
        <v/>
      </c>
      <c r="F1897" s="14" t="str">
        <f aca="false">IF(E1897="","",(E1897-D1897)/D1897*100)</f>
        <v/>
      </c>
      <c r="G1897" s="0" t="str">
        <f aca="false">IF(C1897="BUY","IN",IF(C1897="SELL","OUT",IF(G1896="IN","IN","OUT")))</f>
        <v>IN</v>
      </c>
      <c r="H1897" s="14" t="n">
        <f aca="false">H1896+IF(F1897="",0,F1897)</f>
        <v>5.29835448286223</v>
      </c>
      <c r="I1897" s="14" t="n">
        <f aca="false">MAX(I1896,H1897)</f>
        <v>43.9309628600509</v>
      </c>
      <c r="J1897" s="14" t="n">
        <f aca="false">I1897-H1897</f>
        <v>38.6326083771886</v>
      </c>
    </row>
    <row r="1898" customFormat="false" ht="15" hidden="false" customHeight="false" outlineLevel="0" collapsed="false">
      <c r="A1898" s="12" t="n">
        <f aca="false">Data!A1898</f>
        <v>44761</v>
      </c>
      <c r="B1898" s="14" t="n">
        <f aca="false">Data!B1898</f>
        <v>104.22</v>
      </c>
      <c r="C1898" s="0" t="str">
        <f aca="false">IF(Data!D1898="","HOLD",IF(AND(G1897&lt;&gt;"IN",Data!E1898&lt;-5),"BUY",IF(AND(G1897="IN",Data!E1898&gt;0),"SELL","HOLD")))</f>
        <v>SELL</v>
      </c>
      <c r="D1898" s="14" t="n">
        <f aca="false">IF(C1898="BUY",B1898,IF(G1897="IN",D1897,""))</f>
        <v>109.56</v>
      </c>
      <c r="E1898" s="14" t="n">
        <f aca="false">IF(C1898="SELL",B1898,"")</f>
        <v>104.22</v>
      </c>
      <c r="F1898" s="14" t="n">
        <f aca="false">IF(E1898="","",(E1898-D1898)/D1898*100)</f>
        <v>-4.87404162102958</v>
      </c>
      <c r="G1898" s="0" t="str">
        <f aca="false">IF(C1898="BUY","IN",IF(C1898="SELL","OUT",IF(G1897="IN","IN","OUT")))</f>
        <v>OUT</v>
      </c>
      <c r="H1898" s="14" t="n">
        <f aca="false">H1897+IF(F1898="",0,F1898)</f>
        <v>0.424312861832648</v>
      </c>
      <c r="I1898" s="14" t="n">
        <f aca="false">MAX(I1897,H1898)</f>
        <v>43.9309628600509</v>
      </c>
      <c r="J1898" s="14" t="n">
        <f aca="false">I1898-H1898</f>
        <v>43.5066499982182</v>
      </c>
    </row>
    <row r="1899" customFormat="false" ht="15" hidden="false" customHeight="false" outlineLevel="0" collapsed="false">
      <c r="A1899" s="12" t="n">
        <f aca="false">Data!A1899</f>
        <v>44762</v>
      </c>
      <c r="B1899" s="14" t="n">
        <f aca="false">Data!B1899</f>
        <v>102.26</v>
      </c>
      <c r="C1899" s="0" t="str">
        <f aca="false">IF(Data!D1899="","HOLD",IF(AND(G1898&lt;&gt;"IN",Data!E1899&lt;-5),"BUY",IF(AND(G1898="IN",Data!E1899&gt;0),"SELL","HOLD")))</f>
        <v>HOLD</v>
      </c>
      <c r="D1899" s="14" t="str">
        <f aca="false">IF(C1899="BUY",B1899,IF(G1898="IN",D1898,""))</f>
        <v/>
      </c>
      <c r="E1899" s="14" t="str">
        <f aca="false">IF(C1899="SELL",B1899,"")</f>
        <v/>
      </c>
      <c r="F1899" s="14" t="str">
        <f aca="false">IF(E1899="","",(E1899-D1899)/D1899*100)</f>
        <v/>
      </c>
      <c r="G1899" s="0" t="str">
        <f aca="false">IF(C1899="BUY","IN",IF(C1899="SELL","OUT",IF(G1898="IN","IN","OUT")))</f>
        <v>OUT</v>
      </c>
      <c r="H1899" s="14" t="n">
        <f aca="false">H1898+IF(F1899="",0,F1899)</f>
        <v>0.424312861832648</v>
      </c>
      <c r="I1899" s="14" t="n">
        <f aca="false">MAX(I1898,H1899)</f>
        <v>43.9309628600509</v>
      </c>
      <c r="J1899" s="14" t="n">
        <f aca="false">I1899-H1899</f>
        <v>43.5066499982182</v>
      </c>
    </row>
    <row r="1900" customFormat="false" ht="15" hidden="false" customHeight="false" outlineLevel="0" collapsed="false">
      <c r="A1900" s="12" t="n">
        <f aca="false">Data!A1900</f>
        <v>44763</v>
      </c>
      <c r="B1900" s="14" t="n">
        <f aca="false">Data!B1900</f>
        <v>96.35</v>
      </c>
      <c r="C1900" s="0" t="str">
        <f aca="false">IF(Data!D1900="","HOLD",IF(AND(G1899&lt;&gt;"IN",Data!E1900&lt;-5),"BUY",IF(AND(G1899="IN",Data!E1900&gt;0),"SELL","HOLD")))</f>
        <v>BUY</v>
      </c>
      <c r="D1900" s="14" t="n">
        <f aca="false">IF(C1900="BUY",B1900,IF(G1899="IN",D1899,""))</f>
        <v>96.35</v>
      </c>
      <c r="E1900" s="14" t="str">
        <f aca="false">IF(C1900="SELL",B1900,"")</f>
        <v/>
      </c>
      <c r="F1900" s="14" t="str">
        <f aca="false">IF(E1900="","",(E1900-D1900)/D1900*100)</f>
        <v/>
      </c>
      <c r="G1900" s="0" t="str">
        <f aca="false">IF(C1900="BUY","IN",IF(C1900="SELL","OUT",IF(G1899="IN","IN","OUT")))</f>
        <v>IN</v>
      </c>
      <c r="H1900" s="14" t="n">
        <f aca="false">H1899+IF(F1900="",0,F1900)</f>
        <v>0.424312861832648</v>
      </c>
      <c r="I1900" s="14" t="n">
        <f aca="false">MAX(I1899,H1900)</f>
        <v>43.9309628600509</v>
      </c>
      <c r="J1900" s="14" t="n">
        <f aca="false">I1900-H1900</f>
        <v>43.5066499982182</v>
      </c>
    </row>
    <row r="1901" customFormat="false" ht="15" hidden="false" customHeight="false" outlineLevel="0" collapsed="false">
      <c r="A1901" s="12" t="n">
        <f aca="false">Data!A1901</f>
        <v>44764</v>
      </c>
      <c r="B1901" s="14" t="n">
        <f aca="false">Data!B1901</f>
        <v>94.7</v>
      </c>
      <c r="C1901" s="0" t="str">
        <f aca="false">IF(Data!D1901="","HOLD",IF(AND(G1900&lt;&gt;"IN",Data!E1901&lt;-5),"BUY",IF(AND(G1900="IN",Data!E1901&gt;0),"SELL","HOLD")))</f>
        <v>HOLD</v>
      </c>
      <c r="D1901" s="14" t="n">
        <f aca="false">IF(C1901="BUY",B1901,IF(G1900="IN",D1900,""))</f>
        <v>96.35</v>
      </c>
      <c r="E1901" s="14" t="str">
        <f aca="false">IF(C1901="SELL",B1901,"")</f>
        <v/>
      </c>
      <c r="F1901" s="14" t="str">
        <f aca="false">IF(E1901="","",(E1901-D1901)/D1901*100)</f>
        <v/>
      </c>
      <c r="G1901" s="0" t="str">
        <f aca="false">IF(C1901="BUY","IN",IF(C1901="SELL","OUT",IF(G1900="IN","IN","OUT")))</f>
        <v>IN</v>
      </c>
      <c r="H1901" s="14" t="n">
        <f aca="false">H1900+IF(F1901="",0,F1901)</f>
        <v>0.424312861832648</v>
      </c>
      <c r="I1901" s="14" t="n">
        <f aca="false">MAX(I1900,H1901)</f>
        <v>43.9309628600509</v>
      </c>
      <c r="J1901" s="14" t="n">
        <f aca="false">I1901-H1901</f>
        <v>43.5066499982182</v>
      </c>
    </row>
    <row r="1902" customFormat="false" ht="15" hidden="false" customHeight="false" outlineLevel="0" collapsed="false">
      <c r="A1902" s="12" t="n">
        <f aca="false">Data!A1902</f>
        <v>44767</v>
      </c>
      <c r="B1902" s="14" t="n">
        <f aca="false">Data!B1902</f>
        <v>96.7</v>
      </c>
      <c r="C1902" s="0" t="str">
        <f aca="false">IF(Data!D1902="","HOLD",IF(AND(G1901&lt;&gt;"IN",Data!E1902&lt;-5),"BUY",IF(AND(G1901="IN",Data!E1902&gt;0),"SELL","HOLD")))</f>
        <v>HOLD</v>
      </c>
      <c r="D1902" s="14" t="n">
        <f aca="false">IF(C1902="BUY",B1902,IF(G1901="IN",D1901,""))</f>
        <v>96.35</v>
      </c>
      <c r="E1902" s="14" t="str">
        <f aca="false">IF(C1902="SELL",B1902,"")</f>
        <v/>
      </c>
      <c r="F1902" s="14" t="str">
        <f aca="false">IF(E1902="","",(E1902-D1902)/D1902*100)</f>
        <v/>
      </c>
      <c r="G1902" s="0" t="str">
        <f aca="false">IF(C1902="BUY","IN",IF(C1902="SELL","OUT",IF(G1901="IN","IN","OUT")))</f>
        <v>IN</v>
      </c>
      <c r="H1902" s="14" t="n">
        <f aca="false">H1901+IF(F1902="",0,F1902)</f>
        <v>0.424312861832648</v>
      </c>
      <c r="I1902" s="14" t="n">
        <f aca="false">MAX(I1901,H1902)</f>
        <v>43.9309628600509</v>
      </c>
      <c r="J1902" s="14" t="n">
        <f aca="false">I1902-H1902</f>
        <v>43.5066499982182</v>
      </c>
    </row>
    <row r="1903" customFormat="false" ht="15" hidden="false" customHeight="false" outlineLevel="0" collapsed="false">
      <c r="A1903" s="12" t="n">
        <f aca="false">Data!A1903</f>
        <v>44768</v>
      </c>
      <c r="B1903" s="14" t="n">
        <f aca="false">Data!B1903</f>
        <v>94.98</v>
      </c>
      <c r="C1903" s="0" t="str">
        <f aca="false">IF(Data!D1903="","HOLD",IF(AND(G1902&lt;&gt;"IN",Data!E1903&lt;-5),"BUY",IF(AND(G1902="IN",Data!E1903&gt;0),"SELL","HOLD")))</f>
        <v>HOLD</v>
      </c>
      <c r="D1903" s="14" t="n">
        <f aca="false">IF(C1903="BUY",B1903,IF(G1902="IN",D1902,""))</f>
        <v>96.35</v>
      </c>
      <c r="E1903" s="14" t="str">
        <f aca="false">IF(C1903="SELL",B1903,"")</f>
        <v/>
      </c>
      <c r="F1903" s="14" t="str">
        <f aca="false">IF(E1903="","",(E1903-D1903)/D1903*100)</f>
        <v/>
      </c>
      <c r="G1903" s="0" t="str">
        <f aca="false">IF(C1903="BUY","IN",IF(C1903="SELL","OUT",IF(G1902="IN","IN","OUT")))</f>
        <v>IN</v>
      </c>
      <c r="H1903" s="14" t="n">
        <f aca="false">H1902+IF(F1903="",0,F1903)</f>
        <v>0.424312861832648</v>
      </c>
      <c r="I1903" s="14" t="n">
        <f aca="false">MAX(I1902,H1903)</f>
        <v>43.9309628600509</v>
      </c>
      <c r="J1903" s="14" t="n">
        <f aca="false">I1903-H1903</f>
        <v>43.5066499982182</v>
      </c>
    </row>
    <row r="1904" customFormat="false" ht="15" hidden="false" customHeight="false" outlineLevel="0" collapsed="false">
      <c r="A1904" s="12" t="n">
        <f aca="false">Data!A1904</f>
        <v>44769</v>
      </c>
      <c r="B1904" s="14" t="n">
        <f aca="false">Data!B1904</f>
        <v>97.26</v>
      </c>
      <c r="C1904" s="0" t="str">
        <f aca="false">IF(Data!D1904="","HOLD",IF(AND(G1903&lt;&gt;"IN",Data!E1904&lt;-5),"BUY",IF(AND(G1903="IN",Data!E1904&gt;0),"SELL","HOLD")))</f>
        <v>HOLD</v>
      </c>
      <c r="D1904" s="14" t="n">
        <f aca="false">IF(C1904="BUY",B1904,IF(G1903="IN",D1903,""))</f>
        <v>96.35</v>
      </c>
      <c r="E1904" s="14" t="str">
        <f aca="false">IF(C1904="SELL",B1904,"")</f>
        <v/>
      </c>
      <c r="F1904" s="14" t="str">
        <f aca="false">IF(E1904="","",(E1904-D1904)/D1904*100)</f>
        <v/>
      </c>
      <c r="G1904" s="0" t="str">
        <f aca="false">IF(C1904="BUY","IN",IF(C1904="SELL","OUT",IF(G1903="IN","IN","OUT")))</f>
        <v>IN</v>
      </c>
      <c r="H1904" s="14" t="n">
        <f aca="false">H1903+IF(F1904="",0,F1904)</f>
        <v>0.424312861832648</v>
      </c>
      <c r="I1904" s="14" t="n">
        <f aca="false">MAX(I1903,H1904)</f>
        <v>43.9309628600509</v>
      </c>
      <c r="J1904" s="14" t="n">
        <f aca="false">I1904-H1904</f>
        <v>43.5066499982182</v>
      </c>
    </row>
    <row r="1905" customFormat="false" ht="15" hidden="false" customHeight="false" outlineLevel="0" collapsed="false">
      <c r="A1905" s="12" t="n">
        <f aca="false">Data!A1905</f>
        <v>44770</v>
      </c>
      <c r="B1905" s="14" t="n">
        <f aca="false">Data!B1905</f>
        <v>96.42</v>
      </c>
      <c r="C1905" s="0" t="str">
        <f aca="false">IF(Data!D1905="","HOLD",IF(AND(G1904&lt;&gt;"IN",Data!E1905&lt;-5),"BUY",IF(AND(G1904="IN",Data!E1905&gt;0),"SELL","HOLD")))</f>
        <v>HOLD</v>
      </c>
      <c r="D1905" s="14" t="n">
        <f aca="false">IF(C1905="BUY",B1905,IF(G1904="IN",D1904,""))</f>
        <v>96.35</v>
      </c>
      <c r="E1905" s="14" t="str">
        <f aca="false">IF(C1905="SELL",B1905,"")</f>
        <v/>
      </c>
      <c r="F1905" s="14" t="str">
        <f aca="false">IF(E1905="","",(E1905-D1905)/D1905*100)</f>
        <v/>
      </c>
      <c r="G1905" s="0" t="str">
        <f aca="false">IF(C1905="BUY","IN",IF(C1905="SELL","OUT",IF(G1904="IN","IN","OUT")))</f>
        <v>IN</v>
      </c>
      <c r="H1905" s="14" t="n">
        <f aca="false">H1904+IF(F1905="",0,F1905)</f>
        <v>0.424312861832648</v>
      </c>
      <c r="I1905" s="14" t="n">
        <f aca="false">MAX(I1904,H1905)</f>
        <v>43.9309628600509</v>
      </c>
      <c r="J1905" s="14" t="n">
        <f aca="false">I1905-H1905</f>
        <v>43.5066499982182</v>
      </c>
    </row>
    <row r="1906" customFormat="false" ht="15" hidden="false" customHeight="false" outlineLevel="0" collapsed="false">
      <c r="A1906" s="12" t="n">
        <f aca="false">Data!A1906</f>
        <v>44771</v>
      </c>
      <c r="B1906" s="14" t="n">
        <f aca="false">Data!B1906</f>
        <v>98.62</v>
      </c>
      <c r="C1906" s="0" t="str">
        <f aca="false">IF(Data!D1906="","HOLD",IF(AND(G1905&lt;&gt;"IN",Data!E1906&lt;-5),"BUY",IF(AND(G1905="IN",Data!E1906&gt;0),"SELL","HOLD")))</f>
        <v>HOLD</v>
      </c>
      <c r="D1906" s="14" t="n">
        <f aca="false">IF(C1906="BUY",B1906,IF(G1905="IN",D1905,""))</f>
        <v>96.35</v>
      </c>
      <c r="E1906" s="14" t="str">
        <f aca="false">IF(C1906="SELL",B1906,"")</f>
        <v/>
      </c>
      <c r="F1906" s="14" t="str">
        <f aca="false">IF(E1906="","",(E1906-D1906)/D1906*100)</f>
        <v/>
      </c>
      <c r="G1906" s="0" t="str">
        <f aca="false">IF(C1906="BUY","IN",IF(C1906="SELL","OUT",IF(G1905="IN","IN","OUT")))</f>
        <v>IN</v>
      </c>
      <c r="H1906" s="14" t="n">
        <f aca="false">H1905+IF(F1906="",0,F1906)</f>
        <v>0.424312861832648</v>
      </c>
      <c r="I1906" s="14" t="n">
        <f aca="false">MAX(I1905,H1906)</f>
        <v>43.9309628600509</v>
      </c>
      <c r="J1906" s="14" t="n">
        <f aca="false">I1906-H1906</f>
        <v>43.5066499982182</v>
      </c>
    </row>
    <row r="1907" customFormat="false" ht="15" hidden="false" customHeight="false" outlineLevel="0" collapsed="false">
      <c r="A1907" s="12" t="n">
        <f aca="false">Data!A1907</f>
        <v>44774</v>
      </c>
      <c r="B1907" s="14" t="n">
        <f aca="false">Data!B1907</f>
        <v>93.89</v>
      </c>
      <c r="C1907" s="0" t="str">
        <f aca="false">IF(Data!D1907="","HOLD",IF(AND(G1906&lt;&gt;"IN",Data!E1907&lt;-5),"BUY",IF(AND(G1906="IN",Data!E1907&gt;0),"SELL","HOLD")))</f>
        <v>HOLD</v>
      </c>
      <c r="D1907" s="14" t="n">
        <f aca="false">IF(C1907="BUY",B1907,IF(G1906="IN",D1906,""))</f>
        <v>96.35</v>
      </c>
      <c r="E1907" s="14" t="str">
        <f aca="false">IF(C1907="SELL",B1907,"")</f>
        <v/>
      </c>
      <c r="F1907" s="14" t="str">
        <f aca="false">IF(E1907="","",(E1907-D1907)/D1907*100)</f>
        <v/>
      </c>
      <c r="G1907" s="0" t="str">
        <f aca="false">IF(C1907="BUY","IN",IF(C1907="SELL","OUT",IF(G1906="IN","IN","OUT")))</f>
        <v>IN</v>
      </c>
      <c r="H1907" s="14" t="n">
        <f aca="false">H1906+IF(F1907="",0,F1907)</f>
        <v>0.424312861832648</v>
      </c>
      <c r="I1907" s="14" t="n">
        <f aca="false">MAX(I1906,H1907)</f>
        <v>43.9309628600509</v>
      </c>
      <c r="J1907" s="14" t="n">
        <f aca="false">I1907-H1907</f>
        <v>43.5066499982182</v>
      </c>
    </row>
    <row r="1908" customFormat="false" ht="15" hidden="false" customHeight="false" outlineLevel="0" collapsed="false">
      <c r="A1908" s="12" t="n">
        <f aca="false">Data!A1908</f>
        <v>44775</v>
      </c>
      <c r="B1908" s="14" t="n">
        <f aca="false">Data!B1908</f>
        <v>94.42</v>
      </c>
      <c r="C1908" s="0" t="str">
        <f aca="false">IF(Data!D1908="","HOLD",IF(AND(G1907&lt;&gt;"IN",Data!E1908&lt;-5),"BUY",IF(AND(G1907="IN",Data!E1908&gt;0),"SELL","HOLD")))</f>
        <v>HOLD</v>
      </c>
      <c r="D1908" s="14" t="n">
        <f aca="false">IF(C1908="BUY",B1908,IF(G1907="IN",D1907,""))</f>
        <v>96.35</v>
      </c>
      <c r="E1908" s="14" t="str">
        <f aca="false">IF(C1908="SELL",B1908,"")</f>
        <v/>
      </c>
      <c r="F1908" s="14" t="str">
        <f aca="false">IF(E1908="","",(E1908-D1908)/D1908*100)</f>
        <v/>
      </c>
      <c r="G1908" s="0" t="str">
        <f aca="false">IF(C1908="BUY","IN",IF(C1908="SELL","OUT",IF(G1907="IN","IN","OUT")))</f>
        <v>IN</v>
      </c>
      <c r="H1908" s="14" t="n">
        <f aca="false">H1907+IF(F1908="",0,F1908)</f>
        <v>0.424312861832648</v>
      </c>
      <c r="I1908" s="14" t="n">
        <f aca="false">MAX(I1907,H1908)</f>
        <v>43.9309628600509</v>
      </c>
      <c r="J1908" s="14" t="n">
        <f aca="false">I1908-H1908</f>
        <v>43.5066499982182</v>
      </c>
    </row>
    <row r="1909" customFormat="false" ht="15" hidden="false" customHeight="false" outlineLevel="0" collapsed="false">
      <c r="A1909" s="12" t="n">
        <f aca="false">Data!A1909</f>
        <v>44776</v>
      </c>
      <c r="B1909" s="14" t="n">
        <f aca="false">Data!B1909</f>
        <v>90.66</v>
      </c>
      <c r="C1909" s="0" t="str">
        <f aca="false">IF(Data!D1909="","HOLD",IF(AND(G1908&lt;&gt;"IN",Data!E1909&lt;-5),"BUY",IF(AND(G1908="IN",Data!E1909&gt;0),"SELL","HOLD")))</f>
        <v>HOLD</v>
      </c>
      <c r="D1909" s="14" t="n">
        <f aca="false">IF(C1909="BUY",B1909,IF(G1908="IN",D1908,""))</f>
        <v>96.35</v>
      </c>
      <c r="E1909" s="14" t="str">
        <f aca="false">IF(C1909="SELL",B1909,"")</f>
        <v/>
      </c>
      <c r="F1909" s="14" t="str">
        <f aca="false">IF(E1909="","",(E1909-D1909)/D1909*100)</f>
        <v/>
      </c>
      <c r="G1909" s="0" t="str">
        <f aca="false">IF(C1909="BUY","IN",IF(C1909="SELL","OUT",IF(G1908="IN","IN","OUT")))</f>
        <v>IN</v>
      </c>
      <c r="H1909" s="14" t="n">
        <f aca="false">H1908+IF(F1909="",0,F1909)</f>
        <v>0.424312861832648</v>
      </c>
      <c r="I1909" s="14" t="n">
        <f aca="false">MAX(I1908,H1909)</f>
        <v>43.9309628600509</v>
      </c>
      <c r="J1909" s="14" t="n">
        <f aca="false">I1909-H1909</f>
        <v>43.5066499982182</v>
      </c>
    </row>
    <row r="1910" customFormat="false" ht="15" hidden="false" customHeight="false" outlineLevel="0" collapsed="false">
      <c r="A1910" s="12" t="n">
        <f aca="false">Data!A1910</f>
        <v>44777</v>
      </c>
      <c r="B1910" s="14" t="n">
        <f aca="false">Data!B1910</f>
        <v>88.54</v>
      </c>
      <c r="C1910" s="0" t="str">
        <f aca="false">IF(Data!D1910="","HOLD",IF(AND(G1909&lt;&gt;"IN",Data!E1910&lt;-5),"BUY",IF(AND(G1909="IN",Data!E1910&gt;0),"SELL","HOLD")))</f>
        <v>HOLD</v>
      </c>
      <c r="D1910" s="14" t="n">
        <f aca="false">IF(C1910="BUY",B1910,IF(G1909="IN",D1909,""))</f>
        <v>96.35</v>
      </c>
      <c r="E1910" s="14" t="str">
        <f aca="false">IF(C1910="SELL",B1910,"")</f>
        <v/>
      </c>
      <c r="F1910" s="14" t="str">
        <f aca="false">IF(E1910="","",(E1910-D1910)/D1910*100)</f>
        <v/>
      </c>
      <c r="G1910" s="0" t="str">
        <f aca="false">IF(C1910="BUY","IN",IF(C1910="SELL","OUT",IF(G1909="IN","IN","OUT")))</f>
        <v>IN</v>
      </c>
      <c r="H1910" s="14" t="n">
        <f aca="false">H1909+IF(F1910="",0,F1910)</f>
        <v>0.424312861832648</v>
      </c>
      <c r="I1910" s="14" t="n">
        <f aca="false">MAX(I1909,H1910)</f>
        <v>43.9309628600509</v>
      </c>
      <c r="J1910" s="14" t="n">
        <f aca="false">I1910-H1910</f>
        <v>43.5066499982182</v>
      </c>
    </row>
    <row r="1911" customFormat="false" ht="15" hidden="false" customHeight="false" outlineLevel="0" collapsed="false">
      <c r="A1911" s="12" t="n">
        <f aca="false">Data!A1911</f>
        <v>44778</v>
      </c>
      <c r="B1911" s="14" t="n">
        <f aca="false">Data!B1911</f>
        <v>89.01</v>
      </c>
      <c r="C1911" s="0" t="str">
        <f aca="false">IF(Data!D1911="","HOLD",IF(AND(G1910&lt;&gt;"IN",Data!E1911&lt;-5),"BUY",IF(AND(G1910="IN",Data!E1911&gt;0),"SELL","HOLD")))</f>
        <v>HOLD</v>
      </c>
      <c r="D1911" s="14" t="n">
        <f aca="false">IF(C1911="BUY",B1911,IF(G1910="IN",D1910,""))</f>
        <v>96.35</v>
      </c>
      <c r="E1911" s="14" t="str">
        <f aca="false">IF(C1911="SELL",B1911,"")</f>
        <v/>
      </c>
      <c r="F1911" s="14" t="str">
        <f aca="false">IF(E1911="","",(E1911-D1911)/D1911*100)</f>
        <v/>
      </c>
      <c r="G1911" s="0" t="str">
        <f aca="false">IF(C1911="BUY","IN",IF(C1911="SELL","OUT",IF(G1910="IN","IN","OUT")))</f>
        <v>IN</v>
      </c>
      <c r="H1911" s="14" t="n">
        <f aca="false">H1910+IF(F1911="",0,F1911)</f>
        <v>0.424312861832648</v>
      </c>
      <c r="I1911" s="14" t="n">
        <f aca="false">MAX(I1910,H1911)</f>
        <v>43.9309628600509</v>
      </c>
      <c r="J1911" s="14" t="n">
        <f aca="false">I1911-H1911</f>
        <v>43.5066499982182</v>
      </c>
    </row>
    <row r="1912" customFormat="false" ht="15" hidden="false" customHeight="false" outlineLevel="0" collapsed="false">
      <c r="A1912" s="12" t="n">
        <f aca="false">Data!A1912</f>
        <v>44781</v>
      </c>
      <c r="B1912" s="14" t="n">
        <f aca="false">Data!B1912</f>
        <v>90.76</v>
      </c>
      <c r="C1912" s="0" t="str">
        <f aca="false">IF(Data!D1912="","HOLD",IF(AND(G1911&lt;&gt;"IN",Data!E1912&lt;-5),"BUY",IF(AND(G1911="IN",Data!E1912&gt;0),"SELL","HOLD")))</f>
        <v>HOLD</v>
      </c>
      <c r="D1912" s="14" t="n">
        <f aca="false">IF(C1912="BUY",B1912,IF(G1911="IN",D1911,""))</f>
        <v>96.35</v>
      </c>
      <c r="E1912" s="14" t="str">
        <f aca="false">IF(C1912="SELL",B1912,"")</f>
        <v/>
      </c>
      <c r="F1912" s="14" t="str">
        <f aca="false">IF(E1912="","",(E1912-D1912)/D1912*100)</f>
        <v/>
      </c>
      <c r="G1912" s="0" t="str">
        <f aca="false">IF(C1912="BUY","IN",IF(C1912="SELL","OUT",IF(G1911="IN","IN","OUT")))</f>
        <v>IN</v>
      </c>
      <c r="H1912" s="14" t="n">
        <f aca="false">H1911+IF(F1912="",0,F1912)</f>
        <v>0.424312861832648</v>
      </c>
      <c r="I1912" s="14" t="n">
        <f aca="false">MAX(I1911,H1912)</f>
        <v>43.9309628600509</v>
      </c>
      <c r="J1912" s="14" t="n">
        <f aca="false">I1912-H1912</f>
        <v>43.5066499982182</v>
      </c>
    </row>
    <row r="1913" customFormat="false" ht="15" hidden="false" customHeight="false" outlineLevel="0" collapsed="false">
      <c r="A1913" s="12" t="n">
        <f aca="false">Data!A1913</f>
        <v>44782</v>
      </c>
      <c r="B1913" s="14" t="n">
        <f aca="false">Data!B1913</f>
        <v>90.5</v>
      </c>
      <c r="C1913" s="0" t="str">
        <f aca="false">IF(Data!D1913="","HOLD",IF(AND(G1912&lt;&gt;"IN",Data!E1913&lt;-5),"BUY",IF(AND(G1912="IN",Data!E1913&gt;0),"SELL","HOLD")))</f>
        <v>HOLD</v>
      </c>
      <c r="D1913" s="14" t="n">
        <f aca="false">IF(C1913="BUY",B1913,IF(G1912="IN",D1912,""))</f>
        <v>96.35</v>
      </c>
      <c r="E1913" s="14" t="str">
        <f aca="false">IF(C1913="SELL",B1913,"")</f>
        <v/>
      </c>
      <c r="F1913" s="14" t="str">
        <f aca="false">IF(E1913="","",(E1913-D1913)/D1913*100)</f>
        <v/>
      </c>
      <c r="G1913" s="0" t="str">
        <f aca="false">IF(C1913="BUY","IN",IF(C1913="SELL","OUT",IF(G1912="IN","IN","OUT")))</f>
        <v>IN</v>
      </c>
      <c r="H1913" s="14" t="n">
        <f aca="false">H1912+IF(F1913="",0,F1913)</f>
        <v>0.424312861832648</v>
      </c>
      <c r="I1913" s="14" t="n">
        <f aca="false">MAX(I1912,H1913)</f>
        <v>43.9309628600509</v>
      </c>
      <c r="J1913" s="14" t="n">
        <f aca="false">I1913-H1913</f>
        <v>43.5066499982182</v>
      </c>
    </row>
    <row r="1914" customFormat="false" ht="15" hidden="false" customHeight="false" outlineLevel="0" collapsed="false">
      <c r="A1914" s="12" t="n">
        <f aca="false">Data!A1914</f>
        <v>44783</v>
      </c>
      <c r="B1914" s="14" t="n">
        <f aca="false">Data!B1914</f>
        <v>91.93</v>
      </c>
      <c r="C1914" s="0" t="str">
        <f aca="false">IF(Data!D1914="","HOLD",IF(AND(G1913&lt;&gt;"IN",Data!E1914&lt;-5),"BUY",IF(AND(G1913="IN",Data!E1914&gt;0),"SELL","HOLD")))</f>
        <v>HOLD</v>
      </c>
      <c r="D1914" s="14" t="n">
        <f aca="false">IF(C1914="BUY",B1914,IF(G1913="IN",D1913,""))</f>
        <v>96.35</v>
      </c>
      <c r="E1914" s="14" t="str">
        <f aca="false">IF(C1914="SELL",B1914,"")</f>
        <v/>
      </c>
      <c r="F1914" s="14" t="str">
        <f aca="false">IF(E1914="","",(E1914-D1914)/D1914*100)</f>
        <v/>
      </c>
      <c r="G1914" s="0" t="str">
        <f aca="false">IF(C1914="BUY","IN",IF(C1914="SELL","OUT",IF(G1913="IN","IN","OUT")))</f>
        <v>IN</v>
      </c>
      <c r="H1914" s="14" t="n">
        <f aca="false">H1913+IF(F1914="",0,F1914)</f>
        <v>0.424312861832648</v>
      </c>
      <c r="I1914" s="14" t="n">
        <f aca="false">MAX(I1913,H1914)</f>
        <v>43.9309628600509</v>
      </c>
      <c r="J1914" s="14" t="n">
        <f aca="false">I1914-H1914</f>
        <v>43.5066499982182</v>
      </c>
    </row>
    <row r="1915" customFormat="false" ht="15" hidden="false" customHeight="false" outlineLevel="0" collapsed="false">
      <c r="A1915" s="12" t="n">
        <f aca="false">Data!A1915</f>
        <v>44784</v>
      </c>
      <c r="B1915" s="14" t="n">
        <f aca="false">Data!B1915</f>
        <v>94.34</v>
      </c>
      <c r="C1915" s="0" t="str">
        <f aca="false">IF(Data!D1915="","HOLD",IF(AND(G1914&lt;&gt;"IN",Data!E1915&lt;-5),"BUY",IF(AND(G1914="IN",Data!E1915&gt;0),"SELL","HOLD")))</f>
        <v>HOLD</v>
      </c>
      <c r="D1915" s="14" t="n">
        <f aca="false">IF(C1915="BUY",B1915,IF(G1914="IN",D1914,""))</f>
        <v>96.35</v>
      </c>
      <c r="E1915" s="14" t="str">
        <f aca="false">IF(C1915="SELL",B1915,"")</f>
        <v/>
      </c>
      <c r="F1915" s="14" t="str">
        <f aca="false">IF(E1915="","",(E1915-D1915)/D1915*100)</f>
        <v/>
      </c>
      <c r="G1915" s="0" t="str">
        <f aca="false">IF(C1915="BUY","IN",IF(C1915="SELL","OUT",IF(G1914="IN","IN","OUT")))</f>
        <v>IN</v>
      </c>
      <c r="H1915" s="14" t="n">
        <f aca="false">H1914+IF(F1915="",0,F1915)</f>
        <v>0.424312861832648</v>
      </c>
      <c r="I1915" s="14" t="n">
        <f aca="false">MAX(I1914,H1915)</f>
        <v>43.9309628600509</v>
      </c>
      <c r="J1915" s="14" t="n">
        <f aca="false">I1915-H1915</f>
        <v>43.5066499982182</v>
      </c>
    </row>
    <row r="1916" customFormat="false" ht="15" hidden="false" customHeight="false" outlineLevel="0" collapsed="false">
      <c r="A1916" s="12" t="n">
        <f aca="false">Data!A1916</f>
        <v>44785</v>
      </c>
      <c r="B1916" s="14" t="n">
        <f aca="false">Data!B1916</f>
        <v>92.09</v>
      </c>
      <c r="C1916" s="0" t="str">
        <f aca="false">IF(Data!D1916="","HOLD",IF(AND(G1915&lt;&gt;"IN",Data!E1916&lt;-5),"BUY",IF(AND(G1915="IN",Data!E1916&gt;0),"SELL","HOLD")))</f>
        <v>HOLD</v>
      </c>
      <c r="D1916" s="14" t="n">
        <f aca="false">IF(C1916="BUY",B1916,IF(G1915="IN",D1915,""))</f>
        <v>96.35</v>
      </c>
      <c r="E1916" s="14" t="str">
        <f aca="false">IF(C1916="SELL",B1916,"")</f>
        <v/>
      </c>
      <c r="F1916" s="14" t="str">
        <f aca="false">IF(E1916="","",(E1916-D1916)/D1916*100)</f>
        <v/>
      </c>
      <c r="G1916" s="0" t="str">
        <f aca="false">IF(C1916="BUY","IN",IF(C1916="SELL","OUT",IF(G1915="IN","IN","OUT")))</f>
        <v>IN</v>
      </c>
      <c r="H1916" s="14" t="n">
        <f aca="false">H1915+IF(F1916="",0,F1916)</f>
        <v>0.424312861832648</v>
      </c>
      <c r="I1916" s="14" t="n">
        <f aca="false">MAX(I1915,H1916)</f>
        <v>43.9309628600509</v>
      </c>
      <c r="J1916" s="14" t="n">
        <f aca="false">I1916-H1916</f>
        <v>43.5066499982182</v>
      </c>
    </row>
    <row r="1917" customFormat="false" ht="15" hidden="false" customHeight="false" outlineLevel="0" collapsed="false">
      <c r="A1917" s="12" t="n">
        <f aca="false">Data!A1917</f>
        <v>44788</v>
      </c>
      <c r="B1917" s="14" t="n">
        <f aca="false">Data!B1917</f>
        <v>89.41</v>
      </c>
      <c r="C1917" s="0" t="str">
        <f aca="false">IF(Data!D1917="","HOLD",IF(AND(G1916&lt;&gt;"IN",Data!E1917&lt;-5),"BUY",IF(AND(G1916="IN",Data!E1917&gt;0),"SELL","HOLD")))</f>
        <v>HOLD</v>
      </c>
      <c r="D1917" s="14" t="n">
        <f aca="false">IF(C1917="BUY",B1917,IF(G1916="IN",D1916,""))</f>
        <v>96.35</v>
      </c>
      <c r="E1917" s="14" t="str">
        <f aca="false">IF(C1917="SELL",B1917,"")</f>
        <v/>
      </c>
      <c r="F1917" s="14" t="str">
        <f aca="false">IF(E1917="","",(E1917-D1917)/D1917*100)</f>
        <v/>
      </c>
      <c r="G1917" s="0" t="str">
        <f aca="false">IF(C1917="BUY","IN",IF(C1917="SELL","OUT",IF(G1916="IN","IN","OUT")))</f>
        <v>IN</v>
      </c>
      <c r="H1917" s="14" t="n">
        <f aca="false">H1916+IF(F1917="",0,F1917)</f>
        <v>0.424312861832648</v>
      </c>
      <c r="I1917" s="14" t="n">
        <f aca="false">MAX(I1916,H1917)</f>
        <v>43.9309628600509</v>
      </c>
      <c r="J1917" s="14" t="n">
        <f aca="false">I1917-H1917</f>
        <v>43.5066499982182</v>
      </c>
    </row>
    <row r="1918" customFormat="false" ht="15" hidden="false" customHeight="false" outlineLevel="0" collapsed="false">
      <c r="A1918" s="12" t="n">
        <f aca="false">Data!A1918</f>
        <v>44789</v>
      </c>
      <c r="B1918" s="14" t="n">
        <f aca="false">Data!B1918</f>
        <v>86.53</v>
      </c>
      <c r="C1918" s="0" t="str">
        <f aca="false">IF(Data!D1918="","HOLD",IF(AND(G1917&lt;&gt;"IN",Data!E1918&lt;-5),"BUY",IF(AND(G1917="IN",Data!E1918&gt;0),"SELL","HOLD")))</f>
        <v>HOLD</v>
      </c>
      <c r="D1918" s="14" t="n">
        <f aca="false">IF(C1918="BUY",B1918,IF(G1917="IN",D1917,""))</f>
        <v>96.35</v>
      </c>
      <c r="E1918" s="14" t="str">
        <f aca="false">IF(C1918="SELL",B1918,"")</f>
        <v/>
      </c>
      <c r="F1918" s="14" t="str">
        <f aca="false">IF(E1918="","",(E1918-D1918)/D1918*100)</f>
        <v/>
      </c>
      <c r="G1918" s="0" t="str">
        <f aca="false">IF(C1918="BUY","IN",IF(C1918="SELL","OUT",IF(G1917="IN","IN","OUT")))</f>
        <v>IN</v>
      </c>
      <c r="H1918" s="14" t="n">
        <f aca="false">H1917+IF(F1918="",0,F1918)</f>
        <v>0.424312861832648</v>
      </c>
      <c r="I1918" s="14" t="n">
        <f aca="false">MAX(I1917,H1918)</f>
        <v>43.9309628600509</v>
      </c>
      <c r="J1918" s="14" t="n">
        <f aca="false">I1918-H1918</f>
        <v>43.5066499982182</v>
      </c>
    </row>
    <row r="1919" customFormat="false" ht="15" hidden="false" customHeight="false" outlineLevel="0" collapsed="false">
      <c r="A1919" s="12" t="n">
        <f aca="false">Data!A1919</f>
        <v>44790</v>
      </c>
      <c r="B1919" s="14" t="n">
        <f aca="false">Data!B1919</f>
        <v>88.11</v>
      </c>
      <c r="C1919" s="0" t="str">
        <f aca="false">IF(Data!D1919="","HOLD",IF(AND(G1918&lt;&gt;"IN",Data!E1919&lt;-5),"BUY",IF(AND(G1918="IN",Data!E1919&gt;0),"SELL","HOLD")))</f>
        <v>HOLD</v>
      </c>
      <c r="D1919" s="14" t="n">
        <f aca="false">IF(C1919="BUY",B1919,IF(G1918="IN",D1918,""))</f>
        <v>96.35</v>
      </c>
      <c r="E1919" s="14" t="str">
        <f aca="false">IF(C1919="SELL",B1919,"")</f>
        <v/>
      </c>
      <c r="F1919" s="14" t="str">
        <f aca="false">IF(E1919="","",(E1919-D1919)/D1919*100)</f>
        <v/>
      </c>
      <c r="G1919" s="0" t="str">
        <f aca="false">IF(C1919="BUY","IN",IF(C1919="SELL","OUT",IF(G1918="IN","IN","OUT")))</f>
        <v>IN</v>
      </c>
      <c r="H1919" s="14" t="n">
        <f aca="false">H1918+IF(F1919="",0,F1919)</f>
        <v>0.424312861832648</v>
      </c>
      <c r="I1919" s="14" t="n">
        <f aca="false">MAX(I1918,H1919)</f>
        <v>43.9309628600509</v>
      </c>
      <c r="J1919" s="14" t="n">
        <f aca="false">I1919-H1919</f>
        <v>43.5066499982182</v>
      </c>
    </row>
    <row r="1920" customFormat="false" ht="15" hidden="false" customHeight="false" outlineLevel="0" collapsed="false">
      <c r="A1920" s="12" t="n">
        <f aca="false">Data!A1920</f>
        <v>44791</v>
      </c>
      <c r="B1920" s="14" t="n">
        <f aca="false">Data!B1920</f>
        <v>90.5</v>
      </c>
      <c r="C1920" s="0" t="str">
        <f aca="false">IF(Data!D1920="","HOLD",IF(AND(G1919&lt;&gt;"IN",Data!E1920&lt;-5),"BUY",IF(AND(G1919="IN",Data!E1920&gt;0),"SELL","HOLD")))</f>
        <v>HOLD</v>
      </c>
      <c r="D1920" s="14" t="n">
        <f aca="false">IF(C1920="BUY",B1920,IF(G1919="IN",D1919,""))</f>
        <v>96.35</v>
      </c>
      <c r="E1920" s="14" t="str">
        <f aca="false">IF(C1920="SELL",B1920,"")</f>
        <v/>
      </c>
      <c r="F1920" s="14" t="str">
        <f aca="false">IF(E1920="","",(E1920-D1920)/D1920*100)</f>
        <v/>
      </c>
      <c r="G1920" s="0" t="str">
        <f aca="false">IF(C1920="BUY","IN",IF(C1920="SELL","OUT",IF(G1919="IN","IN","OUT")))</f>
        <v>IN</v>
      </c>
      <c r="H1920" s="14" t="n">
        <f aca="false">H1919+IF(F1920="",0,F1920)</f>
        <v>0.424312861832648</v>
      </c>
      <c r="I1920" s="14" t="n">
        <f aca="false">MAX(I1919,H1920)</f>
        <v>43.9309628600509</v>
      </c>
      <c r="J1920" s="14" t="n">
        <f aca="false">I1920-H1920</f>
        <v>43.5066499982182</v>
      </c>
    </row>
    <row r="1921" customFormat="false" ht="15" hidden="false" customHeight="false" outlineLevel="0" collapsed="false">
      <c r="A1921" s="12" t="n">
        <f aca="false">Data!A1921</f>
        <v>44792</v>
      </c>
      <c r="B1921" s="14" t="n">
        <f aca="false">Data!B1921</f>
        <v>90.77</v>
      </c>
      <c r="C1921" s="0" t="str">
        <f aca="false">IF(Data!D1921="","HOLD",IF(AND(G1920&lt;&gt;"IN",Data!E1921&lt;-5),"BUY",IF(AND(G1920="IN",Data!E1921&gt;0),"SELL","HOLD")))</f>
        <v>HOLD</v>
      </c>
      <c r="D1921" s="14" t="n">
        <f aca="false">IF(C1921="BUY",B1921,IF(G1920="IN",D1920,""))</f>
        <v>96.35</v>
      </c>
      <c r="E1921" s="14" t="str">
        <f aca="false">IF(C1921="SELL",B1921,"")</f>
        <v/>
      </c>
      <c r="F1921" s="14" t="str">
        <f aca="false">IF(E1921="","",(E1921-D1921)/D1921*100)</f>
        <v/>
      </c>
      <c r="G1921" s="0" t="str">
        <f aca="false">IF(C1921="BUY","IN",IF(C1921="SELL","OUT",IF(G1920="IN","IN","OUT")))</f>
        <v>IN</v>
      </c>
      <c r="H1921" s="14" t="n">
        <f aca="false">H1920+IF(F1921="",0,F1921)</f>
        <v>0.424312861832648</v>
      </c>
      <c r="I1921" s="14" t="n">
        <f aca="false">MAX(I1920,H1921)</f>
        <v>43.9309628600509</v>
      </c>
      <c r="J1921" s="14" t="n">
        <f aca="false">I1921-H1921</f>
        <v>43.5066499982182</v>
      </c>
    </row>
    <row r="1922" customFormat="false" ht="15" hidden="false" customHeight="false" outlineLevel="0" collapsed="false">
      <c r="A1922" s="12" t="n">
        <f aca="false">Data!A1922</f>
        <v>44795</v>
      </c>
      <c r="B1922" s="14" t="n">
        <f aca="false">Data!B1922</f>
        <v>90.23</v>
      </c>
      <c r="C1922" s="0" t="str">
        <f aca="false">IF(Data!D1922="","HOLD",IF(AND(G1921&lt;&gt;"IN",Data!E1922&lt;-5),"BUY",IF(AND(G1921="IN",Data!E1922&gt;0),"SELL","HOLD")))</f>
        <v>HOLD</v>
      </c>
      <c r="D1922" s="14" t="n">
        <f aca="false">IF(C1922="BUY",B1922,IF(G1921="IN",D1921,""))</f>
        <v>96.35</v>
      </c>
      <c r="E1922" s="14" t="str">
        <f aca="false">IF(C1922="SELL",B1922,"")</f>
        <v/>
      </c>
      <c r="F1922" s="14" t="str">
        <f aca="false">IF(E1922="","",(E1922-D1922)/D1922*100)</f>
        <v/>
      </c>
      <c r="G1922" s="0" t="str">
        <f aca="false">IF(C1922="BUY","IN",IF(C1922="SELL","OUT",IF(G1921="IN","IN","OUT")))</f>
        <v>IN</v>
      </c>
      <c r="H1922" s="14" t="n">
        <f aca="false">H1921+IF(F1922="",0,F1922)</f>
        <v>0.424312861832648</v>
      </c>
      <c r="I1922" s="14" t="n">
        <f aca="false">MAX(I1921,H1922)</f>
        <v>43.9309628600509</v>
      </c>
      <c r="J1922" s="14" t="n">
        <f aca="false">I1922-H1922</f>
        <v>43.5066499982182</v>
      </c>
    </row>
    <row r="1923" customFormat="false" ht="15" hidden="false" customHeight="false" outlineLevel="0" collapsed="false">
      <c r="A1923" s="12" t="n">
        <f aca="false">Data!A1923</f>
        <v>44796</v>
      </c>
      <c r="B1923" s="14" t="n">
        <f aca="false">Data!B1923</f>
        <v>93.74</v>
      </c>
      <c r="C1923" s="0" t="str">
        <f aca="false">IF(Data!D1923="","HOLD",IF(AND(G1922&lt;&gt;"IN",Data!E1923&lt;-5),"BUY",IF(AND(G1922="IN",Data!E1923&gt;0),"SELL","HOLD")))</f>
        <v>SELL</v>
      </c>
      <c r="D1923" s="14" t="n">
        <f aca="false">IF(C1923="BUY",B1923,IF(G1922="IN",D1922,""))</f>
        <v>96.35</v>
      </c>
      <c r="E1923" s="14" t="n">
        <f aca="false">IF(C1923="SELL",B1923,"")</f>
        <v>93.74</v>
      </c>
      <c r="F1923" s="14" t="n">
        <f aca="false">IF(E1923="","",(E1923-D1923)/D1923*100)</f>
        <v>-2.70887389724961</v>
      </c>
      <c r="G1923" s="0" t="str">
        <f aca="false">IF(C1923="BUY","IN",IF(C1923="SELL","OUT",IF(G1922="IN","IN","OUT")))</f>
        <v>OUT</v>
      </c>
      <c r="H1923" s="14" t="n">
        <f aca="false">H1922+IF(F1923="",0,F1923)</f>
        <v>-2.28456103541696</v>
      </c>
      <c r="I1923" s="14" t="n">
        <f aca="false">MAX(I1922,H1923)</f>
        <v>43.9309628600509</v>
      </c>
      <c r="J1923" s="14" t="n">
        <f aca="false">I1923-H1923</f>
        <v>46.2155238954678</v>
      </c>
    </row>
    <row r="1924" customFormat="false" ht="15" hidden="false" customHeight="false" outlineLevel="0" collapsed="false">
      <c r="A1924" s="12" t="n">
        <f aca="false">Data!A1924</f>
        <v>44797</v>
      </c>
      <c r="B1924" s="14" t="n">
        <f aca="false">Data!B1924</f>
        <v>94.89</v>
      </c>
      <c r="C1924" s="0" t="str">
        <f aca="false">IF(Data!D1924="","HOLD",IF(AND(G1923&lt;&gt;"IN",Data!E1924&lt;-5),"BUY",IF(AND(G1923="IN",Data!E1924&gt;0),"SELL","HOLD")))</f>
        <v>HOLD</v>
      </c>
      <c r="D1924" s="14" t="str">
        <f aca="false">IF(C1924="BUY",B1924,IF(G1923="IN",D1923,""))</f>
        <v/>
      </c>
      <c r="E1924" s="14" t="str">
        <f aca="false">IF(C1924="SELL",B1924,"")</f>
        <v/>
      </c>
      <c r="F1924" s="14" t="str">
        <f aca="false">IF(E1924="","",(E1924-D1924)/D1924*100)</f>
        <v/>
      </c>
      <c r="G1924" s="0" t="str">
        <f aca="false">IF(C1924="BUY","IN",IF(C1924="SELL","OUT",IF(G1923="IN","IN","OUT")))</f>
        <v>OUT</v>
      </c>
      <c r="H1924" s="14" t="n">
        <f aca="false">H1923+IF(F1924="",0,F1924)</f>
        <v>-2.28456103541696</v>
      </c>
      <c r="I1924" s="14" t="n">
        <f aca="false">MAX(I1923,H1924)</f>
        <v>43.9309628600509</v>
      </c>
      <c r="J1924" s="14" t="n">
        <f aca="false">I1924-H1924</f>
        <v>46.2155238954678</v>
      </c>
    </row>
    <row r="1925" customFormat="false" ht="15" hidden="false" customHeight="false" outlineLevel="0" collapsed="false">
      <c r="A1925" s="12" t="n">
        <f aca="false">Data!A1925</f>
        <v>44798</v>
      </c>
      <c r="B1925" s="14" t="n">
        <f aca="false">Data!B1925</f>
        <v>92.52</v>
      </c>
      <c r="C1925" s="0" t="str">
        <f aca="false">IF(Data!D1925="","HOLD",IF(AND(G1924&lt;&gt;"IN",Data!E1925&lt;-5),"BUY",IF(AND(G1924="IN",Data!E1925&gt;0),"SELL","HOLD")))</f>
        <v>HOLD</v>
      </c>
      <c r="D1925" s="14" t="str">
        <f aca="false">IF(C1925="BUY",B1925,IF(G1924="IN",D1924,""))</f>
        <v/>
      </c>
      <c r="E1925" s="14" t="str">
        <f aca="false">IF(C1925="SELL",B1925,"")</f>
        <v/>
      </c>
      <c r="F1925" s="14" t="str">
        <f aca="false">IF(E1925="","",(E1925-D1925)/D1925*100)</f>
        <v/>
      </c>
      <c r="G1925" s="0" t="str">
        <f aca="false">IF(C1925="BUY","IN",IF(C1925="SELL","OUT",IF(G1924="IN","IN","OUT")))</f>
        <v>OUT</v>
      </c>
      <c r="H1925" s="14" t="n">
        <f aca="false">H1924+IF(F1925="",0,F1925)</f>
        <v>-2.28456103541696</v>
      </c>
      <c r="I1925" s="14" t="n">
        <f aca="false">MAX(I1924,H1925)</f>
        <v>43.9309628600509</v>
      </c>
      <c r="J1925" s="14" t="n">
        <f aca="false">I1925-H1925</f>
        <v>46.2155238954678</v>
      </c>
    </row>
    <row r="1926" customFormat="false" ht="15" hidden="false" customHeight="false" outlineLevel="0" collapsed="false">
      <c r="A1926" s="12" t="n">
        <f aca="false">Data!A1926</f>
        <v>44799</v>
      </c>
      <c r="B1926" s="14" t="n">
        <f aca="false">Data!B1926</f>
        <v>93.06</v>
      </c>
      <c r="C1926" s="0" t="str">
        <f aca="false">IF(Data!D1926="","HOLD",IF(AND(G1925&lt;&gt;"IN",Data!E1926&lt;-5),"BUY",IF(AND(G1925="IN",Data!E1926&gt;0),"SELL","HOLD")))</f>
        <v>HOLD</v>
      </c>
      <c r="D1926" s="14" t="str">
        <f aca="false">IF(C1926="BUY",B1926,IF(G1925="IN",D1925,""))</f>
        <v/>
      </c>
      <c r="E1926" s="14" t="str">
        <f aca="false">IF(C1926="SELL",B1926,"")</f>
        <v/>
      </c>
      <c r="F1926" s="14" t="str">
        <f aca="false">IF(E1926="","",(E1926-D1926)/D1926*100)</f>
        <v/>
      </c>
      <c r="G1926" s="0" t="str">
        <f aca="false">IF(C1926="BUY","IN",IF(C1926="SELL","OUT",IF(G1925="IN","IN","OUT")))</f>
        <v>OUT</v>
      </c>
      <c r="H1926" s="14" t="n">
        <f aca="false">H1925+IF(F1926="",0,F1926)</f>
        <v>-2.28456103541696</v>
      </c>
      <c r="I1926" s="14" t="n">
        <f aca="false">MAX(I1925,H1926)</f>
        <v>43.9309628600509</v>
      </c>
      <c r="J1926" s="14" t="n">
        <f aca="false">I1926-H1926</f>
        <v>46.2155238954678</v>
      </c>
    </row>
    <row r="1927" customFormat="false" ht="15" hidden="false" customHeight="false" outlineLevel="0" collapsed="false">
      <c r="A1927" s="12" t="n">
        <f aca="false">Data!A1927</f>
        <v>44802</v>
      </c>
      <c r="B1927" s="14" t="n">
        <f aca="false">Data!B1927</f>
        <v>97.01</v>
      </c>
      <c r="C1927" s="0" t="str">
        <f aca="false">IF(Data!D1927="","HOLD",IF(AND(G1926&lt;&gt;"IN",Data!E1927&lt;-5),"BUY",IF(AND(G1926="IN",Data!E1927&gt;0),"SELL","HOLD")))</f>
        <v>HOLD</v>
      </c>
      <c r="D1927" s="14" t="str">
        <f aca="false">IF(C1927="BUY",B1927,IF(G1926="IN",D1926,""))</f>
        <v/>
      </c>
      <c r="E1927" s="14" t="str">
        <f aca="false">IF(C1927="SELL",B1927,"")</f>
        <v/>
      </c>
      <c r="F1927" s="14" t="str">
        <f aca="false">IF(E1927="","",(E1927-D1927)/D1927*100)</f>
        <v/>
      </c>
      <c r="G1927" s="0" t="str">
        <f aca="false">IF(C1927="BUY","IN",IF(C1927="SELL","OUT",IF(G1926="IN","IN","OUT")))</f>
        <v>OUT</v>
      </c>
      <c r="H1927" s="14" t="n">
        <f aca="false">H1926+IF(F1927="",0,F1927)</f>
        <v>-2.28456103541696</v>
      </c>
      <c r="I1927" s="14" t="n">
        <f aca="false">MAX(I1926,H1927)</f>
        <v>43.9309628600509</v>
      </c>
      <c r="J1927" s="14" t="n">
        <f aca="false">I1927-H1927</f>
        <v>46.2155238954678</v>
      </c>
    </row>
    <row r="1928" customFormat="false" ht="15" hidden="false" customHeight="false" outlineLevel="0" collapsed="false">
      <c r="A1928" s="12" t="n">
        <f aca="false">Data!A1928</f>
        <v>44803</v>
      </c>
      <c r="B1928" s="14" t="n">
        <f aca="false">Data!B1928</f>
        <v>91.64</v>
      </c>
      <c r="C1928" s="0" t="str">
        <f aca="false">IF(Data!D1928="","HOLD",IF(AND(G1927&lt;&gt;"IN",Data!E1928&lt;-5),"BUY",IF(AND(G1927="IN",Data!E1928&gt;0),"SELL","HOLD")))</f>
        <v>HOLD</v>
      </c>
      <c r="D1928" s="14" t="str">
        <f aca="false">IF(C1928="BUY",B1928,IF(G1927="IN",D1927,""))</f>
        <v/>
      </c>
      <c r="E1928" s="14" t="str">
        <f aca="false">IF(C1928="SELL",B1928,"")</f>
        <v/>
      </c>
      <c r="F1928" s="14" t="str">
        <f aca="false">IF(E1928="","",(E1928-D1928)/D1928*100)</f>
        <v/>
      </c>
      <c r="G1928" s="0" t="str">
        <f aca="false">IF(C1928="BUY","IN",IF(C1928="SELL","OUT",IF(G1927="IN","IN","OUT")))</f>
        <v>OUT</v>
      </c>
      <c r="H1928" s="14" t="n">
        <f aca="false">H1927+IF(F1928="",0,F1928)</f>
        <v>-2.28456103541696</v>
      </c>
      <c r="I1928" s="14" t="n">
        <f aca="false">MAX(I1927,H1928)</f>
        <v>43.9309628600509</v>
      </c>
      <c r="J1928" s="14" t="n">
        <f aca="false">I1928-H1928</f>
        <v>46.2155238954678</v>
      </c>
    </row>
    <row r="1929" customFormat="false" ht="15" hidden="false" customHeight="false" outlineLevel="0" collapsed="false">
      <c r="A1929" s="12" t="n">
        <f aca="false">Data!A1929</f>
        <v>44804</v>
      </c>
      <c r="B1929" s="14" t="n">
        <f aca="false">Data!B1929</f>
        <v>89.55</v>
      </c>
      <c r="C1929" s="0" t="str">
        <f aca="false">IF(Data!D1929="","HOLD",IF(AND(G1928&lt;&gt;"IN",Data!E1929&lt;-5),"BUY",IF(AND(G1928="IN",Data!E1929&gt;0),"SELL","HOLD")))</f>
        <v>HOLD</v>
      </c>
      <c r="D1929" s="14" t="str">
        <f aca="false">IF(C1929="BUY",B1929,IF(G1928="IN",D1928,""))</f>
        <v/>
      </c>
      <c r="E1929" s="14" t="str">
        <f aca="false">IF(C1929="SELL",B1929,"")</f>
        <v/>
      </c>
      <c r="F1929" s="14" t="str">
        <f aca="false">IF(E1929="","",(E1929-D1929)/D1929*100)</f>
        <v/>
      </c>
      <c r="G1929" s="0" t="str">
        <f aca="false">IF(C1929="BUY","IN",IF(C1929="SELL","OUT",IF(G1928="IN","IN","OUT")))</f>
        <v>OUT</v>
      </c>
      <c r="H1929" s="14" t="n">
        <f aca="false">H1928+IF(F1929="",0,F1929)</f>
        <v>-2.28456103541696</v>
      </c>
      <c r="I1929" s="14" t="n">
        <f aca="false">MAX(I1928,H1929)</f>
        <v>43.9309628600509</v>
      </c>
      <c r="J1929" s="14" t="n">
        <f aca="false">I1929-H1929</f>
        <v>46.2155238954678</v>
      </c>
    </row>
    <row r="1930" customFormat="false" ht="15" hidden="false" customHeight="false" outlineLevel="0" collapsed="false">
      <c r="A1930" s="12" t="n">
        <f aca="false">Data!A1930</f>
        <v>44805</v>
      </c>
      <c r="B1930" s="14" t="n">
        <f aca="false">Data!B1930</f>
        <v>86.61</v>
      </c>
      <c r="C1930" s="0" t="str">
        <f aca="false">IF(Data!D1930="","HOLD",IF(AND(G1929&lt;&gt;"IN",Data!E1930&lt;-5),"BUY",IF(AND(G1929="IN",Data!E1930&gt;0),"SELL","HOLD")))</f>
        <v>HOLD</v>
      </c>
      <c r="D1930" s="14" t="str">
        <f aca="false">IF(C1930="BUY",B1930,IF(G1929="IN",D1929,""))</f>
        <v/>
      </c>
      <c r="E1930" s="14" t="str">
        <f aca="false">IF(C1930="SELL",B1930,"")</f>
        <v/>
      </c>
      <c r="F1930" s="14" t="str">
        <f aca="false">IF(E1930="","",(E1930-D1930)/D1930*100)</f>
        <v/>
      </c>
      <c r="G1930" s="0" t="str">
        <f aca="false">IF(C1930="BUY","IN",IF(C1930="SELL","OUT",IF(G1929="IN","IN","OUT")))</f>
        <v>OUT</v>
      </c>
      <c r="H1930" s="14" t="n">
        <f aca="false">H1929+IF(F1930="",0,F1930)</f>
        <v>-2.28456103541696</v>
      </c>
      <c r="I1930" s="14" t="n">
        <f aca="false">MAX(I1929,H1930)</f>
        <v>43.9309628600509</v>
      </c>
      <c r="J1930" s="14" t="n">
        <f aca="false">I1930-H1930</f>
        <v>46.2155238954678</v>
      </c>
    </row>
    <row r="1931" customFormat="false" ht="15" hidden="false" customHeight="false" outlineLevel="0" collapsed="false">
      <c r="A1931" s="12" t="n">
        <f aca="false">Data!A1931</f>
        <v>44806</v>
      </c>
      <c r="B1931" s="14" t="n">
        <f aca="false">Data!B1931</f>
        <v>86.87</v>
      </c>
      <c r="C1931" s="0" t="str">
        <f aca="false">IF(Data!D1931="","HOLD",IF(AND(G1930&lt;&gt;"IN",Data!E1931&lt;-5),"BUY",IF(AND(G1930="IN",Data!E1931&gt;0),"SELL","HOLD")))</f>
        <v>HOLD</v>
      </c>
      <c r="D1931" s="14" t="str">
        <f aca="false">IF(C1931="BUY",B1931,IF(G1930="IN",D1930,""))</f>
        <v/>
      </c>
      <c r="E1931" s="14" t="str">
        <f aca="false">IF(C1931="SELL",B1931,"")</f>
        <v/>
      </c>
      <c r="F1931" s="14" t="str">
        <f aca="false">IF(E1931="","",(E1931-D1931)/D1931*100)</f>
        <v/>
      </c>
      <c r="G1931" s="0" t="str">
        <f aca="false">IF(C1931="BUY","IN",IF(C1931="SELL","OUT",IF(G1930="IN","IN","OUT")))</f>
        <v>OUT</v>
      </c>
      <c r="H1931" s="14" t="n">
        <f aca="false">H1930+IF(F1931="",0,F1931)</f>
        <v>-2.28456103541696</v>
      </c>
      <c r="I1931" s="14" t="n">
        <f aca="false">MAX(I1930,H1931)</f>
        <v>43.9309628600509</v>
      </c>
      <c r="J1931" s="14" t="n">
        <f aca="false">I1931-H1931</f>
        <v>46.2155238954678</v>
      </c>
    </row>
    <row r="1932" customFormat="false" ht="15" hidden="false" customHeight="false" outlineLevel="0" collapsed="false">
      <c r="A1932" s="12" t="n">
        <f aca="false">Data!A1932</f>
        <v>44810</v>
      </c>
      <c r="B1932" s="14" t="n">
        <f aca="false">Data!B1932</f>
        <v>86.88</v>
      </c>
      <c r="C1932" s="0" t="str">
        <f aca="false">IF(Data!D1932="","HOLD",IF(AND(G1931&lt;&gt;"IN",Data!E1932&lt;-5),"BUY",IF(AND(G1931="IN",Data!E1932&gt;0),"SELL","HOLD")))</f>
        <v>HOLD</v>
      </c>
      <c r="D1932" s="14" t="str">
        <f aca="false">IF(C1932="BUY",B1932,IF(G1931="IN",D1931,""))</f>
        <v/>
      </c>
      <c r="E1932" s="14" t="str">
        <f aca="false">IF(C1932="SELL",B1932,"")</f>
        <v/>
      </c>
      <c r="F1932" s="14" t="str">
        <f aca="false">IF(E1932="","",(E1932-D1932)/D1932*100)</f>
        <v/>
      </c>
      <c r="G1932" s="0" t="str">
        <f aca="false">IF(C1932="BUY","IN",IF(C1932="SELL","OUT",IF(G1931="IN","IN","OUT")))</f>
        <v>OUT</v>
      </c>
      <c r="H1932" s="14" t="n">
        <f aca="false">H1931+IF(F1932="",0,F1932)</f>
        <v>-2.28456103541696</v>
      </c>
      <c r="I1932" s="14" t="n">
        <f aca="false">MAX(I1931,H1932)</f>
        <v>43.9309628600509</v>
      </c>
      <c r="J1932" s="14" t="n">
        <f aca="false">I1932-H1932</f>
        <v>46.2155238954678</v>
      </c>
    </row>
    <row r="1933" customFormat="false" ht="15" hidden="false" customHeight="false" outlineLevel="0" collapsed="false">
      <c r="A1933" s="12" t="n">
        <f aca="false">Data!A1933</f>
        <v>44811</v>
      </c>
      <c r="B1933" s="14" t="n">
        <f aca="false">Data!B1933</f>
        <v>81.94</v>
      </c>
      <c r="C1933" s="0" t="str">
        <f aca="false">IF(Data!D1933="","HOLD",IF(AND(G1932&lt;&gt;"IN",Data!E1933&lt;-5),"BUY",IF(AND(G1932="IN",Data!E1933&gt;0),"SELL","HOLD")))</f>
        <v>BUY</v>
      </c>
      <c r="D1933" s="14" t="n">
        <f aca="false">IF(C1933="BUY",B1933,IF(G1932="IN",D1932,""))</f>
        <v>81.94</v>
      </c>
      <c r="E1933" s="14" t="str">
        <f aca="false">IF(C1933="SELL",B1933,"")</f>
        <v/>
      </c>
      <c r="F1933" s="14" t="str">
        <f aca="false">IF(E1933="","",(E1933-D1933)/D1933*100)</f>
        <v/>
      </c>
      <c r="G1933" s="0" t="str">
        <f aca="false">IF(C1933="BUY","IN",IF(C1933="SELL","OUT",IF(G1932="IN","IN","OUT")))</f>
        <v>IN</v>
      </c>
      <c r="H1933" s="14" t="n">
        <f aca="false">H1932+IF(F1933="",0,F1933)</f>
        <v>-2.28456103541696</v>
      </c>
      <c r="I1933" s="14" t="n">
        <f aca="false">MAX(I1932,H1933)</f>
        <v>43.9309628600509</v>
      </c>
      <c r="J1933" s="14" t="n">
        <f aca="false">I1933-H1933</f>
        <v>46.2155238954678</v>
      </c>
    </row>
    <row r="1934" customFormat="false" ht="15" hidden="false" customHeight="false" outlineLevel="0" collapsed="false">
      <c r="A1934" s="12" t="n">
        <f aca="false">Data!A1934</f>
        <v>44812</v>
      </c>
      <c r="B1934" s="14" t="n">
        <f aca="false">Data!B1934</f>
        <v>83.54</v>
      </c>
      <c r="C1934" s="0" t="str">
        <f aca="false">IF(Data!D1934="","HOLD",IF(AND(G1933&lt;&gt;"IN",Data!E1934&lt;-5),"BUY",IF(AND(G1933="IN",Data!E1934&gt;0),"SELL","HOLD")))</f>
        <v>HOLD</v>
      </c>
      <c r="D1934" s="14" t="n">
        <f aca="false">IF(C1934="BUY",B1934,IF(G1933="IN",D1933,""))</f>
        <v>81.94</v>
      </c>
      <c r="E1934" s="14" t="str">
        <f aca="false">IF(C1934="SELL",B1934,"")</f>
        <v/>
      </c>
      <c r="F1934" s="14" t="str">
        <f aca="false">IF(E1934="","",(E1934-D1934)/D1934*100)</f>
        <v/>
      </c>
      <c r="G1934" s="0" t="str">
        <f aca="false">IF(C1934="BUY","IN",IF(C1934="SELL","OUT",IF(G1933="IN","IN","OUT")))</f>
        <v>IN</v>
      </c>
      <c r="H1934" s="14" t="n">
        <f aca="false">H1933+IF(F1934="",0,F1934)</f>
        <v>-2.28456103541696</v>
      </c>
      <c r="I1934" s="14" t="n">
        <f aca="false">MAX(I1933,H1934)</f>
        <v>43.9309628600509</v>
      </c>
      <c r="J1934" s="14" t="n">
        <f aca="false">I1934-H1934</f>
        <v>46.2155238954678</v>
      </c>
    </row>
    <row r="1935" customFormat="false" ht="15" hidden="false" customHeight="false" outlineLevel="0" collapsed="false">
      <c r="A1935" s="12" t="n">
        <f aca="false">Data!A1935</f>
        <v>44813</v>
      </c>
      <c r="B1935" s="14" t="n">
        <f aca="false">Data!B1935</f>
        <v>86.79</v>
      </c>
      <c r="C1935" s="0" t="str">
        <f aca="false">IF(Data!D1935="","HOLD",IF(AND(G1934&lt;&gt;"IN",Data!E1935&lt;-5),"BUY",IF(AND(G1934="IN",Data!E1935&gt;0),"SELL","HOLD")))</f>
        <v>HOLD</v>
      </c>
      <c r="D1935" s="14" t="n">
        <f aca="false">IF(C1935="BUY",B1935,IF(G1934="IN",D1934,""))</f>
        <v>81.94</v>
      </c>
      <c r="E1935" s="14" t="str">
        <f aca="false">IF(C1935="SELL",B1935,"")</f>
        <v/>
      </c>
      <c r="F1935" s="14" t="str">
        <f aca="false">IF(E1935="","",(E1935-D1935)/D1935*100)</f>
        <v/>
      </c>
      <c r="G1935" s="0" t="str">
        <f aca="false">IF(C1935="BUY","IN",IF(C1935="SELL","OUT",IF(G1934="IN","IN","OUT")))</f>
        <v>IN</v>
      </c>
      <c r="H1935" s="14" t="n">
        <f aca="false">H1934+IF(F1935="",0,F1935)</f>
        <v>-2.28456103541696</v>
      </c>
      <c r="I1935" s="14" t="n">
        <f aca="false">MAX(I1934,H1935)</f>
        <v>43.9309628600509</v>
      </c>
      <c r="J1935" s="14" t="n">
        <f aca="false">I1935-H1935</f>
        <v>46.2155238954678</v>
      </c>
    </row>
    <row r="1936" customFormat="false" ht="15" hidden="false" customHeight="false" outlineLevel="0" collapsed="false">
      <c r="A1936" s="12" t="n">
        <f aca="false">Data!A1936</f>
        <v>44816</v>
      </c>
      <c r="B1936" s="14" t="n">
        <f aca="false">Data!B1936</f>
        <v>87.78</v>
      </c>
      <c r="C1936" s="0" t="str">
        <f aca="false">IF(Data!D1936="","HOLD",IF(AND(G1935&lt;&gt;"IN",Data!E1936&lt;-5),"BUY",IF(AND(G1935="IN",Data!E1936&gt;0),"SELL","HOLD")))</f>
        <v>HOLD</v>
      </c>
      <c r="D1936" s="14" t="n">
        <f aca="false">IF(C1936="BUY",B1936,IF(G1935="IN",D1935,""))</f>
        <v>81.94</v>
      </c>
      <c r="E1936" s="14" t="str">
        <f aca="false">IF(C1936="SELL",B1936,"")</f>
        <v/>
      </c>
      <c r="F1936" s="14" t="str">
        <f aca="false">IF(E1936="","",(E1936-D1936)/D1936*100)</f>
        <v/>
      </c>
      <c r="G1936" s="0" t="str">
        <f aca="false">IF(C1936="BUY","IN",IF(C1936="SELL","OUT",IF(G1935="IN","IN","OUT")))</f>
        <v>IN</v>
      </c>
      <c r="H1936" s="14" t="n">
        <f aca="false">H1935+IF(F1936="",0,F1936)</f>
        <v>-2.28456103541696</v>
      </c>
      <c r="I1936" s="14" t="n">
        <f aca="false">MAX(I1935,H1936)</f>
        <v>43.9309628600509</v>
      </c>
      <c r="J1936" s="14" t="n">
        <f aca="false">I1936-H1936</f>
        <v>46.2155238954678</v>
      </c>
    </row>
    <row r="1937" customFormat="false" ht="15" hidden="false" customHeight="false" outlineLevel="0" collapsed="false">
      <c r="A1937" s="12" t="n">
        <f aca="false">Data!A1937</f>
        <v>44817</v>
      </c>
      <c r="B1937" s="14" t="n">
        <f aca="false">Data!B1937</f>
        <v>87.31</v>
      </c>
      <c r="C1937" s="0" t="str">
        <f aca="false">IF(Data!D1937="","HOLD",IF(AND(G1936&lt;&gt;"IN",Data!E1937&lt;-5),"BUY",IF(AND(G1936="IN",Data!E1937&gt;0),"SELL","HOLD")))</f>
        <v>HOLD</v>
      </c>
      <c r="D1937" s="14" t="n">
        <f aca="false">IF(C1937="BUY",B1937,IF(G1936="IN",D1936,""))</f>
        <v>81.94</v>
      </c>
      <c r="E1937" s="14" t="str">
        <f aca="false">IF(C1937="SELL",B1937,"")</f>
        <v/>
      </c>
      <c r="F1937" s="14" t="str">
        <f aca="false">IF(E1937="","",(E1937-D1937)/D1937*100)</f>
        <v/>
      </c>
      <c r="G1937" s="0" t="str">
        <f aca="false">IF(C1937="BUY","IN",IF(C1937="SELL","OUT",IF(G1936="IN","IN","OUT")))</f>
        <v>IN</v>
      </c>
      <c r="H1937" s="14" t="n">
        <f aca="false">H1936+IF(F1937="",0,F1937)</f>
        <v>-2.28456103541696</v>
      </c>
      <c r="I1937" s="14" t="n">
        <f aca="false">MAX(I1936,H1937)</f>
        <v>43.9309628600509</v>
      </c>
      <c r="J1937" s="14" t="n">
        <f aca="false">I1937-H1937</f>
        <v>46.2155238954678</v>
      </c>
    </row>
    <row r="1938" customFormat="false" ht="15" hidden="false" customHeight="false" outlineLevel="0" collapsed="false">
      <c r="A1938" s="12" t="n">
        <f aca="false">Data!A1938</f>
        <v>44818</v>
      </c>
      <c r="B1938" s="14" t="n">
        <f aca="false">Data!B1938</f>
        <v>88.48</v>
      </c>
      <c r="C1938" s="0" t="str">
        <f aca="false">IF(Data!D1938="","HOLD",IF(AND(G1937&lt;&gt;"IN",Data!E1938&lt;-5),"BUY",IF(AND(G1937="IN",Data!E1938&gt;0),"SELL","HOLD")))</f>
        <v>HOLD</v>
      </c>
      <c r="D1938" s="14" t="n">
        <f aca="false">IF(C1938="BUY",B1938,IF(G1937="IN",D1937,""))</f>
        <v>81.94</v>
      </c>
      <c r="E1938" s="14" t="str">
        <f aca="false">IF(C1938="SELL",B1938,"")</f>
        <v/>
      </c>
      <c r="F1938" s="14" t="str">
        <f aca="false">IF(E1938="","",(E1938-D1938)/D1938*100)</f>
        <v/>
      </c>
      <c r="G1938" s="0" t="str">
        <f aca="false">IF(C1938="BUY","IN",IF(C1938="SELL","OUT",IF(G1937="IN","IN","OUT")))</f>
        <v>IN</v>
      </c>
      <c r="H1938" s="14" t="n">
        <f aca="false">H1937+IF(F1938="",0,F1938)</f>
        <v>-2.28456103541696</v>
      </c>
      <c r="I1938" s="14" t="n">
        <f aca="false">MAX(I1937,H1938)</f>
        <v>43.9309628600509</v>
      </c>
      <c r="J1938" s="14" t="n">
        <f aca="false">I1938-H1938</f>
        <v>46.2155238954678</v>
      </c>
    </row>
    <row r="1939" customFormat="false" ht="15" hidden="false" customHeight="false" outlineLevel="0" collapsed="false">
      <c r="A1939" s="12" t="n">
        <f aca="false">Data!A1939</f>
        <v>44819</v>
      </c>
      <c r="B1939" s="14" t="n">
        <f aca="false">Data!B1939</f>
        <v>85.1</v>
      </c>
      <c r="C1939" s="0" t="str">
        <f aca="false">IF(Data!D1939="","HOLD",IF(AND(G1938&lt;&gt;"IN",Data!E1939&lt;-5),"BUY",IF(AND(G1938="IN",Data!E1939&gt;0),"SELL","HOLD")))</f>
        <v>HOLD</v>
      </c>
      <c r="D1939" s="14" t="n">
        <f aca="false">IF(C1939="BUY",B1939,IF(G1938="IN",D1938,""))</f>
        <v>81.94</v>
      </c>
      <c r="E1939" s="14" t="str">
        <f aca="false">IF(C1939="SELL",B1939,"")</f>
        <v/>
      </c>
      <c r="F1939" s="14" t="str">
        <f aca="false">IF(E1939="","",(E1939-D1939)/D1939*100)</f>
        <v/>
      </c>
      <c r="G1939" s="0" t="str">
        <f aca="false">IF(C1939="BUY","IN",IF(C1939="SELL","OUT",IF(G1938="IN","IN","OUT")))</f>
        <v>IN</v>
      </c>
      <c r="H1939" s="14" t="n">
        <f aca="false">H1938+IF(F1939="",0,F1939)</f>
        <v>-2.28456103541696</v>
      </c>
      <c r="I1939" s="14" t="n">
        <f aca="false">MAX(I1938,H1939)</f>
        <v>43.9309628600509</v>
      </c>
      <c r="J1939" s="14" t="n">
        <f aca="false">I1939-H1939</f>
        <v>46.2155238954678</v>
      </c>
    </row>
    <row r="1940" customFormat="false" ht="15" hidden="false" customHeight="false" outlineLevel="0" collapsed="false">
      <c r="A1940" s="12" t="n">
        <f aca="false">Data!A1940</f>
        <v>44820</v>
      </c>
      <c r="B1940" s="14" t="n">
        <f aca="false">Data!B1940</f>
        <v>85.11</v>
      </c>
      <c r="C1940" s="0" t="str">
        <f aca="false">IF(Data!D1940="","HOLD",IF(AND(G1939&lt;&gt;"IN",Data!E1940&lt;-5),"BUY",IF(AND(G1939="IN",Data!E1940&gt;0),"SELL","HOLD")))</f>
        <v>HOLD</v>
      </c>
      <c r="D1940" s="14" t="n">
        <f aca="false">IF(C1940="BUY",B1940,IF(G1939="IN",D1939,""))</f>
        <v>81.94</v>
      </c>
      <c r="E1940" s="14" t="str">
        <f aca="false">IF(C1940="SELL",B1940,"")</f>
        <v/>
      </c>
      <c r="F1940" s="14" t="str">
        <f aca="false">IF(E1940="","",(E1940-D1940)/D1940*100)</f>
        <v/>
      </c>
      <c r="G1940" s="0" t="str">
        <f aca="false">IF(C1940="BUY","IN",IF(C1940="SELL","OUT",IF(G1939="IN","IN","OUT")))</f>
        <v>IN</v>
      </c>
      <c r="H1940" s="14" t="n">
        <f aca="false">H1939+IF(F1940="",0,F1940)</f>
        <v>-2.28456103541696</v>
      </c>
      <c r="I1940" s="14" t="n">
        <f aca="false">MAX(I1939,H1940)</f>
        <v>43.9309628600509</v>
      </c>
      <c r="J1940" s="14" t="n">
        <f aca="false">I1940-H1940</f>
        <v>46.2155238954678</v>
      </c>
    </row>
    <row r="1941" customFormat="false" ht="15" hidden="false" customHeight="false" outlineLevel="0" collapsed="false">
      <c r="A1941" s="12" t="n">
        <f aca="false">Data!A1941</f>
        <v>44823</v>
      </c>
      <c r="B1941" s="14" t="n">
        <f aca="false">Data!B1941</f>
        <v>85.73</v>
      </c>
      <c r="C1941" s="0" t="str">
        <f aca="false">IF(Data!D1941="","HOLD",IF(AND(G1940&lt;&gt;"IN",Data!E1941&lt;-5),"BUY",IF(AND(G1940="IN",Data!E1941&gt;0),"SELL","HOLD")))</f>
        <v>HOLD</v>
      </c>
      <c r="D1941" s="14" t="n">
        <f aca="false">IF(C1941="BUY",B1941,IF(G1940="IN",D1940,""))</f>
        <v>81.94</v>
      </c>
      <c r="E1941" s="14" t="str">
        <f aca="false">IF(C1941="SELL",B1941,"")</f>
        <v/>
      </c>
      <c r="F1941" s="14" t="str">
        <f aca="false">IF(E1941="","",(E1941-D1941)/D1941*100)</f>
        <v/>
      </c>
      <c r="G1941" s="0" t="str">
        <f aca="false">IF(C1941="BUY","IN",IF(C1941="SELL","OUT",IF(G1940="IN","IN","OUT")))</f>
        <v>IN</v>
      </c>
      <c r="H1941" s="14" t="n">
        <f aca="false">H1940+IF(F1941="",0,F1941)</f>
        <v>-2.28456103541696</v>
      </c>
      <c r="I1941" s="14" t="n">
        <f aca="false">MAX(I1940,H1941)</f>
        <v>43.9309628600509</v>
      </c>
      <c r="J1941" s="14" t="n">
        <f aca="false">I1941-H1941</f>
        <v>46.2155238954678</v>
      </c>
    </row>
    <row r="1942" customFormat="false" ht="15" hidden="false" customHeight="false" outlineLevel="0" collapsed="false">
      <c r="A1942" s="12" t="n">
        <f aca="false">Data!A1942</f>
        <v>44824</v>
      </c>
      <c r="B1942" s="14" t="n">
        <f aca="false">Data!B1942</f>
        <v>84.45</v>
      </c>
      <c r="C1942" s="0" t="str">
        <f aca="false">IF(Data!D1942="","HOLD",IF(AND(G1941&lt;&gt;"IN",Data!E1942&lt;-5),"BUY",IF(AND(G1941="IN",Data!E1942&gt;0),"SELL","HOLD")))</f>
        <v>HOLD</v>
      </c>
      <c r="D1942" s="14" t="n">
        <f aca="false">IF(C1942="BUY",B1942,IF(G1941="IN",D1941,""))</f>
        <v>81.94</v>
      </c>
      <c r="E1942" s="14" t="str">
        <f aca="false">IF(C1942="SELL",B1942,"")</f>
        <v/>
      </c>
      <c r="F1942" s="14" t="str">
        <f aca="false">IF(E1942="","",(E1942-D1942)/D1942*100)</f>
        <v/>
      </c>
      <c r="G1942" s="0" t="str">
        <f aca="false">IF(C1942="BUY","IN",IF(C1942="SELL","OUT",IF(G1941="IN","IN","OUT")))</f>
        <v>IN</v>
      </c>
      <c r="H1942" s="14" t="n">
        <f aca="false">H1941+IF(F1942="",0,F1942)</f>
        <v>-2.28456103541696</v>
      </c>
      <c r="I1942" s="14" t="n">
        <f aca="false">MAX(I1941,H1942)</f>
        <v>43.9309628600509</v>
      </c>
      <c r="J1942" s="14" t="n">
        <f aca="false">I1942-H1942</f>
        <v>46.2155238954678</v>
      </c>
    </row>
    <row r="1943" customFormat="false" ht="15" hidden="false" customHeight="false" outlineLevel="0" collapsed="false">
      <c r="A1943" s="12" t="n">
        <f aca="false">Data!A1943</f>
        <v>44825</v>
      </c>
      <c r="B1943" s="14" t="n">
        <f aca="false">Data!B1943</f>
        <v>82.94</v>
      </c>
      <c r="C1943" s="0" t="str">
        <f aca="false">IF(Data!D1943="","HOLD",IF(AND(G1942&lt;&gt;"IN",Data!E1943&lt;-5),"BUY",IF(AND(G1942="IN",Data!E1943&gt;0),"SELL","HOLD")))</f>
        <v>HOLD</v>
      </c>
      <c r="D1943" s="14" t="n">
        <f aca="false">IF(C1943="BUY",B1943,IF(G1942="IN",D1942,""))</f>
        <v>81.94</v>
      </c>
      <c r="E1943" s="14" t="str">
        <f aca="false">IF(C1943="SELL",B1943,"")</f>
        <v/>
      </c>
      <c r="F1943" s="14" t="str">
        <f aca="false">IF(E1943="","",(E1943-D1943)/D1943*100)</f>
        <v/>
      </c>
      <c r="G1943" s="0" t="str">
        <f aca="false">IF(C1943="BUY","IN",IF(C1943="SELL","OUT",IF(G1942="IN","IN","OUT")))</f>
        <v>IN</v>
      </c>
      <c r="H1943" s="14" t="n">
        <f aca="false">H1942+IF(F1943="",0,F1943)</f>
        <v>-2.28456103541696</v>
      </c>
      <c r="I1943" s="14" t="n">
        <f aca="false">MAX(I1942,H1943)</f>
        <v>43.9309628600509</v>
      </c>
      <c r="J1943" s="14" t="n">
        <f aca="false">I1943-H1943</f>
        <v>46.2155238954678</v>
      </c>
    </row>
    <row r="1944" customFormat="false" ht="15" hidden="false" customHeight="false" outlineLevel="0" collapsed="false">
      <c r="A1944" s="12" t="n">
        <f aca="false">Data!A1944</f>
        <v>44826</v>
      </c>
      <c r="B1944" s="14" t="n">
        <f aca="false">Data!B1944</f>
        <v>83.49</v>
      </c>
      <c r="C1944" s="0" t="str">
        <f aca="false">IF(Data!D1944="","HOLD",IF(AND(G1943&lt;&gt;"IN",Data!E1944&lt;-5),"BUY",IF(AND(G1943="IN",Data!E1944&gt;0),"SELL","HOLD")))</f>
        <v>HOLD</v>
      </c>
      <c r="D1944" s="14" t="n">
        <f aca="false">IF(C1944="BUY",B1944,IF(G1943="IN",D1943,""))</f>
        <v>81.94</v>
      </c>
      <c r="E1944" s="14" t="str">
        <f aca="false">IF(C1944="SELL",B1944,"")</f>
        <v/>
      </c>
      <c r="F1944" s="14" t="str">
        <f aca="false">IF(E1944="","",(E1944-D1944)/D1944*100)</f>
        <v/>
      </c>
      <c r="G1944" s="0" t="str">
        <f aca="false">IF(C1944="BUY","IN",IF(C1944="SELL","OUT",IF(G1943="IN","IN","OUT")))</f>
        <v>IN</v>
      </c>
      <c r="H1944" s="14" t="n">
        <f aca="false">H1943+IF(F1944="",0,F1944)</f>
        <v>-2.28456103541696</v>
      </c>
      <c r="I1944" s="14" t="n">
        <f aca="false">MAX(I1943,H1944)</f>
        <v>43.9309628600509</v>
      </c>
      <c r="J1944" s="14" t="n">
        <f aca="false">I1944-H1944</f>
        <v>46.2155238954678</v>
      </c>
    </row>
    <row r="1945" customFormat="false" ht="15" hidden="false" customHeight="false" outlineLevel="0" collapsed="false">
      <c r="A1945" s="12" t="n">
        <f aca="false">Data!A1945</f>
        <v>44827</v>
      </c>
      <c r="B1945" s="14" t="n">
        <f aca="false">Data!B1945</f>
        <v>78.74</v>
      </c>
      <c r="C1945" s="0" t="str">
        <f aca="false">IF(Data!D1945="","HOLD",IF(AND(G1944&lt;&gt;"IN",Data!E1945&lt;-5),"BUY",IF(AND(G1944="IN",Data!E1945&gt;0),"SELL","HOLD")))</f>
        <v>HOLD</v>
      </c>
      <c r="D1945" s="14" t="n">
        <f aca="false">IF(C1945="BUY",B1945,IF(G1944="IN",D1944,""))</f>
        <v>81.94</v>
      </c>
      <c r="E1945" s="14" t="str">
        <f aca="false">IF(C1945="SELL",B1945,"")</f>
        <v/>
      </c>
      <c r="F1945" s="14" t="str">
        <f aca="false">IF(E1945="","",(E1945-D1945)/D1945*100)</f>
        <v/>
      </c>
      <c r="G1945" s="0" t="str">
        <f aca="false">IF(C1945="BUY","IN",IF(C1945="SELL","OUT",IF(G1944="IN","IN","OUT")))</f>
        <v>IN</v>
      </c>
      <c r="H1945" s="14" t="n">
        <f aca="false">H1944+IF(F1945="",0,F1945)</f>
        <v>-2.28456103541696</v>
      </c>
      <c r="I1945" s="14" t="n">
        <f aca="false">MAX(I1944,H1945)</f>
        <v>43.9309628600509</v>
      </c>
      <c r="J1945" s="14" t="n">
        <f aca="false">I1945-H1945</f>
        <v>46.2155238954678</v>
      </c>
    </row>
    <row r="1946" customFormat="false" ht="15" hidden="false" customHeight="false" outlineLevel="0" collapsed="false">
      <c r="A1946" s="12" t="n">
        <f aca="false">Data!A1946</f>
        <v>44830</v>
      </c>
      <c r="B1946" s="14" t="n">
        <f aca="false">Data!B1946</f>
        <v>76.71</v>
      </c>
      <c r="C1946" s="0" t="str">
        <f aca="false">IF(Data!D1946="","HOLD",IF(AND(G1945&lt;&gt;"IN",Data!E1946&lt;-5),"BUY",IF(AND(G1945="IN",Data!E1946&gt;0),"SELL","HOLD")))</f>
        <v>HOLD</v>
      </c>
      <c r="D1946" s="14" t="n">
        <f aca="false">IF(C1946="BUY",B1946,IF(G1945="IN",D1945,""))</f>
        <v>81.94</v>
      </c>
      <c r="E1946" s="14" t="str">
        <f aca="false">IF(C1946="SELL",B1946,"")</f>
        <v/>
      </c>
      <c r="F1946" s="14" t="str">
        <f aca="false">IF(E1946="","",(E1946-D1946)/D1946*100)</f>
        <v/>
      </c>
      <c r="G1946" s="0" t="str">
        <f aca="false">IF(C1946="BUY","IN",IF(C1946="SELL","OUT",IF(G1945="IN","IN","OUT")))</f>
        <v>IN</v>
      </c>
      <c r="H1946" s="14" t="n">
        <f aca="false">H1945+IF(F1946="",0,F1946)</f>
        <v>-2.28456103541696</v>
      </c>
      <c r="I1946" s="14" t="n">
        <f aca="false">MAX(I1945,H1946)</f>
        <v>43.9309628600509</v>
      </c>
      <c r="J1946" s="14" t="n">
        <f aca="false">I1946-H1946</f>
        <v>46.2155238954678</v>
      </c>
    </row>
    <row r="1947" customFormat="false" ht="15" hidden="false" customHeight="false" outlineLevel="0" collapsed="false">
      <c r="A1947" s="12" t="n">
        <f aca="false">Data!A1947</f>
        <v>44831</v>
      </c>
      <c r="B1947" s="14" t="n">
        <f aca="false">Data!B1947</f>
        <v>78.5</v>
      </c>
      <c r="C1947" s="0" t="str">
        <f aca="false">IF(Data!D1947="","HOLD",IF(AND(G1946&lt;&gt;"IN",Data!E1947&lt;-5),"BUY",IF(AND(G1946="IN",Data!E1947&gt;0),"SELL","HOLD")))</f>
        <v>HOLD</v>
      </c>
      <c r="D1947" s="14" t="n">
        <f aca="false">IF(C1947="BUY",B1947,IF(G1946="IN",D1946,""))</f>
        <v>81.94</v>
      </c>
      <c r="E1947" s="14" t="str">
        <f aca="false">IF(C1947="SELL",B1947,"")</f>
        <v/>
      </c>
      <c r="F1947" s="14" t="str">
        <f aca="false">IF(E1947="","",(E1947-D1947)/D1947*100)</f>
        <v/>
      </c>
      <c r="G1947" s="0" t="str">
        <f aca="false">IF(C1947="BUY","IN",IF(C1947="SELL","OUT",IF(G1946="IN","IN","OUT")))</f>
        <v>IN</v>
      </c>
      <c r="H1947" s="14" t="n">
        <f aca="false">H1946+IF(F1947="",0,F1947)</f>
        <v>-2.28456103541696</v>
      </c>
      <c r="I1947" s="14" t="n">
        <f aca="false">MAX(I1946,H1947)</f>
        <v>43.9309628600509</v>
      </c>
      <c r="J1947" s="14" t="n">
        <f aca="false">I1947-H1947</f>
        <v>46.2155238954678</v>
      </c>
    </row>
    <row r="1948" customFormat="false" ht="15" hidden="false" customHeight="false" outlineLevel="0" collapsed="false">
      <c r="A1948" s="12" t="n">
        <f aca="false">Data!A1948</f>
        <v>44832</v>
      </c>
      <c r="B1948" s="14" t="n">
        <f aca="false">Data!B1948</f>
        <v>82.15</v>
      </c>
      <c r="C1948" s="0" t="str">
        <f aca="false">IF(Data!D1948="","HOLD",IF(AND(G1947&lt;&gt;"IN",Data!E1948&lt;-5),"BUY",IF(AND(G1947="IN",Data!E1948&gt;0),"SELL","HOLD")))</f>
        <v>HOLD</v>
      </c>
      <c r="D1948" s="14" t="n">
        <f aca="false">IF(C1948="BUY",B1948,IF(G1947="IN",D1947,""))</f>
        <v>81.94</v>
      </c>
      <c r="E1948" s="14" t="str">
        <f aca="false">IF(C1948="SELL",B1948,"")</f>
        <v/>
      </c>
      <c r="F1948" s="14" t="str">
        <f aca="false">IF(E1948="","",(E1948-D1948)/D1948*100)</f>
        <v/>
      </c>
      <c r="G1948" s="0" t="str">
        <f aca="false">IF(C1948="BUY","IN",IF(C1948="SELL","OUT",IF(G1947="IN","IN","OUT")))</f>
        <v>IN</v>
      </c>
      <c r="H1948" s="14" t="n">
        <f aca="false">H1947+IF(F1948="",0,F1948)</f>
        <v>-2.28456103541696</v>
      </c>
      <c r="I1948" s="14" t="n">
        <f aca="false">MAX(I1947,H1948)</f>
        <v>43.9309628600509</v>
      </c>
      <c r="J1948" s="14" t="n">
        <f aca="false">I1948-H1948</f>
        <v>46.2155238954678</v>
      </c>
    </row>
    <row r="1949" customFormat="false" ht="15" hidden="false" customHeight="false" outlineLevel="0" collapsed="false">
      <c r="A1949" s="12" t="n">
        <f aca="false">Data!A1949</f>
        <v>44833</v>
      </c>
      <c r="B1949" s="14" t="n">
        <f aca="false">Data!B1949</f>
        <v>81.23</v>
      </c>
      <c r="C1949" s="0" t="str">
        <f aca="false">IF(Data!D1949="","HOLD",IF(AND(G1948&lt;&gt;"IN",Data!E1949&lt;-5),"BUY",IF(AND(G1948="IN",Data!E1949&gt;0),"SELL","HOLD")))</f>
        <v>HOLD</v>
      </c>
      <c r="D1949" s="14" t="n">
        <f aca="false">IF(C1949="BUY",B1949,IF(G1948="IN",D1948,""))</f>
        <v>81.94</v>
      </c>
      <c r="E1949" s="14" t="str">
        <f aca="false">IF(C1949="SELL",B1949,"")</f>
        <v/>
      </c>
      <c r="F1949" s="14" t="str">
        <f aca="false">IF(E1949="","",(E1949-D1949)/D1949*100)</f>
        <v/>
      </c>
      <c r="G1949" s="0" t="str">
        <f aca="false">IF(C1949="BUY","IN",IF(C1949="SELL","OUT",IF(G1948="IN","IN","OUT")))</f>
        <v>IN</v>
      </c>
      <c r="H1949" s="14" t="n">
        <f aca="false">H1948+IF(F1949="",0,F1949)</f>
        <v>-2.28456103541696</v>
      </c>
      <c r="I1949" s="14" t="n">
        <f aca="false">MAX(I1948,H1949)</f>
        <v>43.9309628600509</v>
      </c>
      <c r="J1949" s="14" t="n">
        <f aca="false">I1949-H1949</f>
        <v>46.2155238954678</v>
      </c>
    </row>
    <row r="1950" customFormat="false" ht="15" hidden="false" customHeight="false" outlineLevel="0" collapsed="false">
      <c r="A1950" s="12" t="n">
        <f aca="false">Data!A1950</f>
        <v>44834</v>
      </c>
      <c r="B1950" s="14" t="n">
        <f aca="false">Data!B1950</f>
        <v>79.49</v>
      </c>
      <c r="C1950" s="0" t="str">
        <f aca="false">IF(Data!D1950="","HOLD",IF(AND(G1949&lt;&gt;"IN",Data!E1950&lt;-5),"BUY",IF(AND(G1949="IN",Data!E1950&gt;0),"SELL","HOLD")))</f>
        <v>HOLD</v>
      </c>
      <c r="D1950" s="14" t="n">
        <f aca="false">IF(C1950="BUY",B1950,IF(G1949="IN",D1949,""))</f>
        <v>81.94</v>
      </c>
      <c r="E1950" s="14" t="str">
        <f aca="false">IF(C1950="SELL",B1950,"")</f>
        <v/>
      </c>
      <c r="F1950" s="14" t="str">
        <f aca="false">IF(E1950="","",(E1950-D1950)/D1950*100)</f>
        <v/>
      </c>
      <c r="G1950" s="0" t="str">
        <f aca="false">IF(C1950="BUY","IN",IF(C1950="SELL","OUT",IF(G1949="IN","IN","OUT")))</f>
        <v>IN</v>
      </c>
      <c r="H1950" s="14" t="n">
        <f aca="false">H1949+IF(F1950="",0,F1950)</f>
        <v>-2.28456103541696</v>
      </c>
      <c r="I1950" s="14" t="n">
        <f aca="false">MAX(I1949,H1950)</f>
        <v>43.9309628600509</v>
      </c>
      <c r="J1950" s="14" t="n">
        <f aca="false">I1950-H1950</f>
        <v>46.2155238954678</v>
      </c>
    </row>
    <row r="1951" customFormat="false" ht="15" hidden="false" customHeight="false" outlineLevel="0" collapsed="false">
      <c r="A1951" s="12" t="n">
        <f aca="false">Data!A1951</f>
        <v>44837</v>
      </c>
      <c r="B1951" s="14" t="n">
        <f aca="false">Data!B1951</f>
        <v>83.63</v>
      </c>
      <c r="C1951" s="0" t="str">
        <f aca="false">IF(Data!D1951="","HOLD",IF(AND(G1950&lt;&gt;"IN",Data!E1951&lt;-5),"BUY",IF(AND(G1950="IN",Data!E1951&gt;0),"SELL","HOLD")))</f>
        <v>SELL</v>
      </c>
      <c r="D1951" s="14" t="n">
        <f aca="false">IF(C1951="BUY",B1951,IF(G1950="IN",D1950,""))</f>
        <v>81.94</v>
      </c>
      <c r="E1951" s="14" t="n">
        <f aca="false">IF(C1951="SELL",B1951,"")</f>
        <v>83.63</v>
      </c>
      <c r="F1951" s="14" t="n">
        <f aca="false">IF(E1951="","",(E1951-D1951)/D1951*100)</f>
        <v>2.06248474493532</v>
      </c>
      <c r="G1951" s="0" t="str">
        <f aca="false">IF(C1951="BUY","IN",IF(C1951="SELL","OUT",IF(G1950="IN","IN","OUT")))</f>
        <v>OUT</v>
      </c>
      <c r="H1951" s="14" t="n">
        <f aca="false">H1950+IF(F1951="",0,F1951)</f>
        <v>-0.222076290481646</v>
      </c>
      <c r="I1951" s="14" t="n">
        <f aca="false">MAX(I1950,H1951)</f>
        <v>43.9309628600509</v>
      </c>
      <c r="J1951" s="14" t="n">
        <f aca="false">I1951-H1951</f>
        <v>44.1530391505325</v>
      </c>
    </row>
    <row r="1952" customFormat="false" ht="15" hidden="false" customHeight="false" outlineLevel="0" collapsed="false">
      <c r="A1952" s="12" t="n">
        <f aca="false">Data!A1952</f>
        <v>44838</v>
      </c>
      <c r="B1952" s="14" t="n">
        <f aca="false">Data!B1952</f>
        <v>86.52</v>
      </c>
      <c r="C1952" s="0" t="str">
        <f aca="false">IF(Data!D1952="","HOLD",IF(AND(G1951&lt;&gt;"IN",Data!E1952&lt;-5),"BUY",IF(AND(G1951="IN",Data!E1952&gt;0),"SELL","HOLD")))</f>
        <v>HOLD</v>
      </c>
      <c r="D1952" s="14" t="str">
        <f aca="false">IF(C1952="BUY",B1952,IF(G1951="IN",D1951,""))</f>
        <v/>
      </c>
      <c r="E1952" s="14" t="str">
        <f aca="false">IF(C1952="SELL",B1952,"")</f>
        <v/>
      </c>
      <c r="F1952" s="14" t="str">
        <f aca="false">IF(E1952="","",(E1952-D1952)/D1952*100)</f>
        <v/>
      </c>
      <c r="G1952" s="0" t="str">
        <f aca="false">IF(C1952="BUY","IN",IF(C1952="SELL","OUT",IF(G1951="IN","IN","OUT")))</f>
        <v>OUT</v>
      </c>
      <c r="H1952" s="14" t="n">
        <f aca="false">H1951+IF(F1952="",0,F1952)</f>
        <v>-0.222076290481646</v>
      </c>
      <c r="I1952" s="14" t="n">
        <f aca="false">MAX(I1951,H1952)</f>
        <v>43.9309628600509</v>
      </c>
      <c r="J1952" s="14" t="n">
        <f aca="false">I1952-H1952</f>
        <v>44.1530391505325</v>
      </c>
    </row>
    <row r="1953" customFormat="false" ht="15" hidden="false" customHeight="false" outlineLevel="0" collapsed="false">
      <c r="A1953" s="12" t="n">
        <f aca="false">Data!A1953</f>
        <v>44839</v>
      </c>
      <c r="B1953" s="14" t="n">
        <f aca="false">Data!B1953</f>
        <v>87.76</v>
      </c>
      <c r="C1953" s="0" t="str">
        <f aca="false">IF(Data!D1953="","HOLD",IF(AND(G1952&lt;&gt;"IN",Data!E1953&lt;-5),"BUY",IF(AND(G1952="IN",Data!E1953&gt;0),"SELL","HOLD")))</f>
        <v>HOLD</v>
      </c>
      <c r="D1953" s="14" t="str">
        <f aca="false">IF(C1953="BUY",B1953,IF(G1952="IN",D1952,""))</f>
        <v/>
      </c>
      <c r="E1953" s="14" t="str">
        <f aca="false">IF(C1953="SELL",B1953,"")</f>
        <v/>
      </c>
      <c r="F1953" s="14" t="str">
        <f aca="false">IF(E1953="","",(E1953-D1953)/D1953*100)</f>
        <v/>
      </c>
      <c r="G1953" s="0" t="str">
        <f aca="false">IF(C1953="BUY","IN",IF(C1953="SELL","OUT",IF(G1952="IN","IN","OUT")))</f>
        <v>OUT</v>
      </c>
      <c r="H1953" s="14" t="n">
        <f aca="false">H1952+IF(F1953="",0,F1953)</f>
        <v>-0.222076290481646</v>
      </c>
      <c r="I1953" s="14" t="n">
        <f aca="false">MAX(I1952,H1953)</f>
        <v>43.9309628600509</v>
      </c>
      <c r="J1953" s="14" t="n">
        <f aca="false">I1953-H1953</f>
        <v>44.1530391505325</v>
      </c>
    </row>
    <row r="1954" customFormat="false" ht="15" hidden="false" customHeight="false" outlineLevel="0" collapsed="false">
      <c r="A1954" s="12" t="n">
        <f aca="false">Data!A1954</f>
        <v>44840</v>
      </c>
      <c r="B1954" s="14" t="n">
        <f aca="false">Data!B1954</f>
        <v>88.45</v>
      </c>
      <c r="C1954" s="0" t="str">
        <f aca="false">IF(Data!D1954="","HOLD",IF(AND(G1953&lt;&gt;"IN",Data!E1954&lt;-5),"BUY",IF(AND(G1953="IN",Data!E1954&gt;0),"SELL","HOLD")))</f>
        <v>HOLD</v>
      </c>
      <c r="D1954" s="14" t="str">
        <f aca="false">IF(C1954="BUY",B1954,IF(G1953="IN",D1953,""))</f>
        <v/>
      </c>
      <c r="E1954" s="14" t="str">
        <f aca="false">IF(C1954="SELL",B1954,"")</f>
        <v/>
      </c>
      <c r="F1954" s="14" t="str">
        <f aca="false">IF(E1954="","",(E1954-D1954)/D1954*100)</f>
        <v/>
      </c>
      <c r="G1954" s="0" t="str">
        <f aca="false">IF(C1954="BUY","IN",IF(C1954="SELL","OUT",IF(G1953="IN","IN","OUT")))</f>
        <v>OUT</v>
      </c>
      <c r="H1954" s="14" t="n">
        <f aca="false">H1953+IF(F1954="",0,F1954)</f>
        <v>-0.222076290481646</v>
      </c>
      <c r="I1954" s="14" t="n">
        <f aca="false">MAX(I1953,H1954)</f>
        <v>43.9309628600509</v>
      </c>
      <c r="J1954" s="14" t="n">
        <f aca="false">I1954-H1954</f>
        <v>44.1530391505325</v>
      </c>
    </row>
    <row r="1955" customFormat="false" ht="15" hidden="false" customHeight="false" outlineLevel="0" collapsed="false">
      <c r="A1955" s="12" t="n">
        <f aca="false">Data!A1955</f>
        <v>44841</v>
      </c>
      <c r="B1955" s="14" t="n">
        <f aca="false">Data!B1955</f>
        <v>92.64</v>
      </c>
      <c r="C1955" s="0" t="str">
        <f aca="false">IF(Data!D1955="","HOLD",IF(AND(G1954&lt;&gt;"IN",Data!E1955&lt;-5),"BUY",IF(AND(G1954="IN",Data!E1955&gt;0),"SELL","HOLD")))</f>
        <v>HOLD</v>
      </c>
      <c r="D1955" s="14" t="str">
        <f aca="false">IF(C1955="BUY",B1955,IF(G1954="IN",D1954,""))</f>
        <v/>
      </c>
      <c r="E1955" s="14" t="str">
        <f aca="false">IF(C1955="SELL",B1955,"")</f>
        <v/>
      </c>
      <c r="F1955" s="14" t="str">
        <f aca="false">IF(E1955="","",(E1955-D1955)/D1955*100)</f>
        <v/>
      </c>
      <c r="G1955" s="0" t="str">
        <f aca="false">IF(C1955="BUY","IN",IF(C1955="SELL","OUT",IF(G1954="IN","IN","OUT")))</f>
        <v>OUT</v>
      </c>
      <c r="H1955" s="14" t="n">
        <f aca="false">H1954+IF(F1955="",0,F1955)</f>
        <v>-0.222076290481646</v>
      </c>
      <c r="I1955" s="14" t="n">
        <f aca="false">MAX(I1954,H1955)</f>
        <v>43.9309628600509</v>
      </c>
      <c r="J1955" s="14" t="n">
        <f aca="false">I1955-H1955</f>
        <v>44.1530391505325</v>
      </c>
    </row>
    <row r="1956" customFormat="false" ht="15" hidden="false" customHeight="false" outlineLevel="0" collapsed="false">
      <c r="A1956" s="12" t="n">
        <f aca="false">Data!A1956</f>
        <v>44844</v>
      </c>
      <c r="B1956" s="14" t="n">
        <f aca="false">Data!B1956</f>
        <v>91.13</v>
      </c>
      <c r="C1956" s="0" t="str">
        <f aca="false">IF(Data!D1956="","HOLD",IF(AND(G1955&lt;&gt;"IN",Data!E1956&lt;-5),"BUY",IF(AND(G1955="IN",Data!E1956&gt;0),"SELL","HOLD")))</f>
        <v>HOLD</v>
      </c>
      <c r="D1956" s="14" t="str">
        <f aca="false">IF(C1956="BUY",B1956,IF(G1955="IN",D1955,""))</f>
        <v/>
      </c>
      <c r="E1956" s="14" t="str">
        <f aca="false">IF(C1956="SELL",B1956,"")</f>
        <v/>
      </c>
      <c r="F1956" s="14" t="str">
        <f aca="false">IF(E1956="","",(E1956-D1956)/D1956*100)</f>
        <v/>
      </c>
      <c r="G1956" s="0" t="str">
        <f aca="false">IF(C1956="BUY","IN",IF(C1956="SELL","OUT",IF(G1955="IN","IN","OUT")))</f>
        <v>OUT</v>
      </c>
      <c r="H1956" s="14" t="n">
        <f aca="false">H1955+IF(F1956="",0,F1956)</f>
        <v>-0.222076290481646</v>
      </c>
      <c r="I1956" s="14" t="n">
        <f aca="false">MAX(I1955,H1956)</f>
        <v>43.9309628600509</v>
      </c>
      <c r="J1956" s="14" t="n">
        <f aca="false">I1956-H1956</f>
        <v>44.1530391505325</v>
      </c>
    </row>
    <row r="1957" customFormat="false" ht="15" hidden="false" customHeight="false" outlineLevel="0" collapsed="false">
      <c r="A1957" s="12" t="n">
        <f aca="false">Data!A1957</f>
        <v>44845</v>
      </c>
      <c r="B1957" s="14" t="n">
        <f aca="false">Data!B1957</f>
        <v>89.35</v>
      </c>
      <c r="C1957" s="0" t="str">
        <f aca="false">IF(Data!D1957="","HOLD",IF(AND(G1956&lt;&gt;"IN",Data!E1957&lt;-5),"BUY",IF(AND(G1956="IN",Data!E1957&gt;0),"SELL","HOLD")))</f>
        <v>HOLD</v>
      </c>
      <c r="D1957" s="14" t="str">
        <f aca="false">IF(C1957="BUY",B1957,IF(G1956="IN",D1956,""))</f>
        <v/>
      </c>
      <c r="E1957" s="14" t="str">
        <f aca="false">IF(C1957="SELL",B1957,"")</f>
        <v/>
      </c>
      <c r="F1957" s="14" t="str">
        <f aca="false">IF(E1957="","",(E1957-D1957)/D1957*100)</f>
        <v/>
      </c>
      <c r="G1957" s="0" t="str">
        <f aca="false">IF(C1957="BUY","IN",IF(C1957="SELL","OUT",IF(G1956="IN","IN","OUT")))</f>
        <v>OUT</v>
      </c>
      <c r="H1957" s="14" t="n">
        <f aca="false">H1956+IF(F1957="",0,F1957)</f>
        <v>-0.222076290481646</v>
      </c>
      <c r="I1957" s="14" t="n">
        <f aca="false">MAX(I1956,H1957)</f>
        <v>43.9309628600509</v>
      </c>
      <c r="J1957" s="14" t="n">
        <f aca="false">I1957-H1957</f>
        <v>44.1530391505325</v>
      </c>
    </row>
    <row r="1958" customFormat="false" ht="15" hidden="false" customHeight="false" outlineLevel="0" collapsed="false">
      <c r="A1958" s="12" t="n">
        <f aca="false">Data!A1958</f>
        <v>44846</v>
      </c>
      <c r="B1958" s="14" t="n">
        <f aca="false">Data!B1958</f>
        <v>87.27</v>
      </c>
      <c r="C1958" s="0" t="str">
        <f aca="false">IF(Data!D1958="","HOLD",IF(AND(G1957&lt;&gt;"IN",Data!E1958&lt;-5),"BUY",IF(AND(G1957="IN",Data!E1958&gt;0),"SELL","HOLD")))</f>
        <v>HOLD</v>
      </c>
      <c r="D1958" s="14" t="str">
        <f aca="false">IF(C1958="BUY",B1958,IF(G1957="IN",D1957,""))</f>
        <v/>
      </c>
      <c r="E1958" s="14" t="str">
        <f aca="false">IF(C1958="SELL",B1958,"")</f>
        <v/>
      </c>
      <c r="F1958" s="14" t="str">
        <f aca="false">IF(E1958="","",(E1958-D1958)/D1958*100)</f>
        <v/>
      </c>
      <c r="G1958" s="0" t="str">
        <f aca="false">IF(C1958="BUY","IN",IF(C1958="SELL","OUT",IF(G1957="IN","IN","OUT")))</f>
        <v>OUT</v>
      </c>
      <c r="H1958" s="14" t="n">
        <f aca="false">H1957+IF(F1958="",0,F1958)</f>
        <v>-0.222076290481646</v>
      </c>
      <c r="I1958" s="14" t="n">
        <f aca="false">MAX(I1957,H1958)</f>
        <v>43.9309628600509</v>
      </c>
      <c r="J1958" s="14" t="n">
        <f aca="false">I1958-H1958</f>
        <v>44.1530391505325</v>
      </c>
    </row>
    <row r="1959" customFormat="false" ht="15" hidden="false" customHeight="false" outlineLevel="0" collapsed="false">
      <c r="A1959" s="12" t="n">
        <f aca="false">Data!A1959</f>
        <v>44847</v>
      </c>
      <c r="B1959" s="14" t="n">
        <f aca="false">Data!B1959</f>
        <v>89.11</v>
      </c>
      <c r="C1959" s="0" t="str">
        <f aca="false">IF(Data!D1959="","HOLD",IF(AND(G1958&lt;&gt;"IN",Data!E1959&lt;-5),"BUY",IF(AND(G1958="IN",Data!E1959&gt;0),"SELL","HOLD")))</f>
        <v>HOLD</v>
      </c>
      <c r="D1959" s="14" t="str">
        <f aca="false">IF(C1959="BUY",B1959,IF(G1958="IN",D1958,""))</f>
        <v/>
      </c>
      <c r="E1959" s="14" t="str">
        <f aca="false">IF(C1959="SELL",B1959,"")</f>
        <v/>
      </c>
      <c r="F1959" s="14" t="str">
        <f aca="false">IF(E1959="","",(E1959-D1959)/D1959*100)</f>
        <v/>
      </c>
      <c r="G1959" s="0" t="str">
        <f aca="false">IF(C1959="BUY","IN",IF(C1959="SELL","OUT",IF(G1958="IN","IN","OUT")))</f>
        <v>OUT</v>
      </c>
      <c r="H1959" s="14" t="n">
        <f aca="false">H1958+IF(F1959="",0,F1959)</f>
        <v>-0.222076290481646</v>
      </c>
      <c r="I1959" s="14" t="n">
        <f aca="false">MAX(I1958,H1959)</f>
        <v>43.9309628600509</v>
      </c>
      <c r="J1959" s="14" t="n">
        <f aca="false">I1959-H1959</f>
        <v>44.1530391505325</v>
      </c>
    </row>
    <row r="1960" customFormat="false" ht="15" hidden="false" customHeight="false" outlineLevel="0" collapsed="false">
      <c r="A1960" s="12" t="n">
        <f aca="false">Data!A1960</f>
        <v>44848</v>
      </c>
      <c r="B1960" s="14" t="n">
        <f aca="false">Data!B1960</f>
        <v>85.61</v>
      </c>
      <c r="C1960" s="0" t="str">
        <f aca="false">IF(Data!D1960="","HOLD",IF(AND(G1959&lt;&gt;"IN",Data!E1960&lt;-5),"BUY",IF(AND(G1959="IN",Data!E1960&gt;0),"SELL","HOLD")))</f>
        <v>HOLD</v>
      </c>
      <c r="D1960" s="14" t="str">
        <f aca="false">IF(C1960="BUY",B1960,IF(G1959="IN",D1959,""))</f>
        <v/>
      </c>
      <c r="E1960" s="14" t="str">
        <f aca="false">IF(C1960="SELL",B1960,"")</f>
        <v/>
      </c>
      <c r="F1960" s="14" t="str">
        <f aca="false">IF(E1960="","",(E1960-D1960)/D1960*100)</f>
        <v/>
      </c>
      <c r="G1960" s="0" t="str">
        <f aca="false">IF(C1960="BUY","IN",IF(C1960="SELL","OUT",IF(G1959="IN","IN","OUT")))</f>
        <v>OUT</v>
      </c>
      <c r="H1960" s="14" t="n">
        <f aca="false">H1959+IF(F1960="",0,F1960)</f>
        <v>-0.222076290481646</v>
      </c>
      <c r="I1960" s="14" t="n">
        <f aca="false">MAX(I1959,H1960)</f>
        <v>43.9309628600509</v>
      </c>
      <c r="J1960" s="14" t="n">
        <f aca="false">I1960-H1960</f>
        <v>44.1530391505325</v>
      </c>
    </row>
    <row r="1961" customFormat="false" ht="15" hidden="false" customHeight="false" outlineLevel="0" collapsed="false">
      <c r="A1961" s="12" t="n">
        <f aca="false">Data!A1961</f>
        <v>44851</v>
      </c>
      <c r="B1961" s="14" t="n">
        <f aca="false">Data!B1961</f>
        <v>85.46</v>
      </c>
      <c r="C1961" s="0" t="str">
        <f aca="false">IF(Data!D1961="","HOLD",IF(AND(G1960&lt;&gt;"IN",Data!E1961&lt;-5),"BUY",IF(AND(G1960="IN",Data!E1961&gt;0),"SELL","HOLD")))</f>
        <v>HOLD</v>
      </c>
      <c r="D1961" s="14" t="str">
        <f aca="false">IF(C1961="BUY",B1961,IF(G1960="IN",D1960,""))</f>
        <v/>
      </c>
      <c r="E1961" s="14" t="str">
        <f aca="false">IF(C1961="SELL",B1961,"")</f>
        <v/>
      </c>
      <c r="F1961" s="14" t="str">
        <f aca="false">IF(E1961="","",(E1961-D1961)/D1961*100)</f>
        <v/>
      </c>
      <c r="G1961" s="0" t="str">
        <f aca="false">IF(C1961="BUY","IN",IF(C1961="SELL","OUT",IF(G1960="IN","IN","OUT")))</f>
        <v>OUT</v>
      </c>
      <c r="H1961" s="14" t="n">
        <f aca="false">H1960+IF(F1961="",0,F1961)</f>
        <v>-0.222076290481646</v>
      </c>
      <c r="I1961" s="14" t="n">
        <f aca="false">MAX(I1960,H1961)</f>
        <v>43.9309628600509</v>
      </c>
      <c r="J1961" s="14" t="n">
        <f aca="false">I1961-H1961</f>
        <v>44.1530391505325</v>
      </c>
    </row>
    <row r="1962" customFormat="false" ht="15" hidden="false" customHeight="false" outlineLevel="0" collapsed="false">
      <c r="A1962" s="12" t="n">
        <f aca="false">Data!A1962</f>
        <v>44852</v>
      </c>
      <c r="B1962" s="14" t="n">
        <f aca="false">Data!B1962</f>
        <v>82.82</v>
      </c>
      <c r="C1962" s="0" t="str">
        <f aca="false">IF(Data!D1962="","HOLD",IF(AND(G1961&lt;&gt;"IN",Data!E1962&lt;-5),"BUY",IF(AND(G1961="IN",Data!E1962&gt;0),"SELL","HOLD")))</f>
        <v>HOLD</v>
      </c>
      <c r="D1962" s="14" t="str">
        <f aca="false">IF(C1962="BUY",B1962,IF(G1961="IN",D1961,""))</f>
        <v/>
      </c>
      <c r="E1962" s="14" t="str">
        <f aca="false">IF(C1962="SELL",B1962,"")</f>
        <v/>
      </c>
      <c r="F1962" s="14" t="str">
        <f aca="false">IF(E1962="","",(E1962-D1962)/D1962*100)</f>
        <v/>
      </c>
      <c r="G1962" s="0" t="str">
        <f aca="false">IF(C1962="BUY","IN",IF(C1962="SELL","OUT",IF(G1961="IN","IN","OUT")))</f>
        <v>OUT</v>
      </c>
      <c r="H1962" s="14" t="n">
        <f aca="false">H1961+IF(F1962="",0,F1962)</f>
        <v>-0.222076290481646</v>
      </c>
      <c r="I1962" s="14" t="n">
        <f aca="false">MAX(I1961,H1962)</f>
        <v>43.9309628600509</v>
      </c>
      <c r="J1962" s="14" t="n">
        <f aca="false">I1962-H1962</f>
        <v>44.1530391505325</v>
      </c>
    </row>
    <row r="1963" customFormat="false" ht="15" hidden="false" customHeight="false" outlineLevel="0" collapsed="false">
      <c r="A1963" s="12" t="n">
        <f aca="false">Data!A1963</f>
        <v>44853</v>
      </c>
      <c r="B1963" s="14" t="n">
        <f aca="false">Data!B1963</f>
        <v>85.55</v>
      </c>
      <c r="C1963" s="0" t="str">
        <f aca="false">IF(Data!D1963="","HOLD",IF(AND(G1962&lt;&gt;"IN",Data!E1963&lt;-5),"BUY",IF(AND(G1962="IN",Data!E1963&gt;0),"SELL","HOLD")))</f>
        <v>HOLD</v>
      </c>
      <c r="D1963" s="14" t="str">
        <f aca="false">IF(C1963="BUY",B1963,IF(G1962="IN",D1962,""))</f>
        <v/>
      </c>
      <c r="E1963" s="14" t="str">
        <f aca="false">IF(C1963="SELL",B1963,"")</f>
        <v/>
      </c>
      <c r="F1963" s="14" t="str">
        <f aca="false">IF(E1963="","",(E1963-D1963)/D1963*100)</f>
        <v/>
      </c>
      <c r="G1963" s="0" t="str">
        <f aca="false">IF(C1963="BUY","IN",IF(C1963="SELL","OUT",IF(G1962="IN","IN","OUT")))</f>
        <v>OUT</v>
      </c>
      <c r="H1963" s="14" t="n">
        <f aca="false">H1962+IF(F1963="",0,F1963)</f>
        <v>-0.222076290481646</v>
      </c>
      <c r="I1963" s="14" t="n">
        <f aca="false">MAX(I1962,H1963)</f>
        <v>43.9309628600509</v>
      </c>
      <c r="J1963" s="14" t="n">
        <f aca="false">I1963-H1963</f>
        <v>44.1530391505325</v>
      </c>
    </row>
    <row r="1964" customFormat="false" ht="15" hidden="false" customHeight="false" outlineLevel="0" collapsed="false">
      <c r="A1964" s="12" t="n">
        <f aca="false">Data!A1964</f>
        <v>44854</v>
      </c>
      <c r="B1964" s="14" t="n">
        <f aca="false">Data!B1964</f>
        <v>85.98</v>
      </c>
      <c r="C1964" s="0" t="str">
        <f aca="false">IF(Data!D1964="","HOLD",IF(AND(G1963&lt;&gt;"IN",Data!E1964&lt;-5),"BUY",IF(AND(G1963="IN",Data!E1964&gt;0),"SELL","HOLD")))</f>
        <v>HOLD</v>
      </c>
      <c r="D1964" s="14" t="str">
        <f aca="false">IF(C1964="BUY",B1964,IF(G1963="IN",D1963,""))</f>
        <v/>
      </c>
      <c r="E1964" s="14" t="str">
        <f aca="false">IF(C1964="SELL",B1964,"")</f>
        <v/>
      </c>
      <c r="F1964" s="14" t="str">
        <f aca="false">IF(E1964="","",(E1964-D1964)/D1964*100)</f>
        <v/>
      </c>
      <c r="G1964" s="0" t="str">
        <f aca="false">IF(C1964="BUY","IN",IF(C1964="SELL","OUT",IF(G1963="IN","IN","OUT")))</f>
        <v>OUT</v>
      </c>
      <c r="H1964" s="14" t="n">
        <f aca="false">H1963+IF(F1964="",0,F1964)</f>
        <v>-0.222076290481646</v>
      </c>
      <c r="I1964" s="14" t="n">
        <f aca="false">MAX(I1963,H1964)</f>
        <v>43.9309628600509</v>
      </c>
      <c r="J1964" s="14" t="n">
        <f aca="false">I1964-H1964</f>
        <v>44.1530391505325</v>
      </c>
    </row>
    <row r="1965" customFormat="false" ht="15" hidden="false" customHeight="false" outlineLevel="0" collapsed="false">
      <c r="A1965" s="12" t="n">
        <f aca="false">Data!A1965</f>
        <v>44855</v>
      </c>
      <c r="B1965" s="14" t="n">
        <f aca="false">Data!B1965</f>
        <v>85.05</v>
      </c>
      <c r="C1965" s="0" t="str">
        <f aca="false">IF(Data!D1965="","HOLD",IF(AND(G1964&lt;&gt;"IN",Data!E1965&lt;-5),"BUY",IF(AND(G1964="IN",Data!E1965&gt;0),"SELL","HOLD")))</f>
        <v>HOLD</v>
      </c>
      <c r="D1965" s="14" t="str">
        <f aca="false">IF(C1965="BUY",B1965,IF(G1964="IN",D1964,""))</f>
        <v/>
      </c>
      <c r="E1965" s="14" t="str">
        <f aca="false">IF(C1965="SELL",B1965,"")</f>
        <v/>
      </c>
      <c r="F1965" s="14" t="str">
        <f aca="false">IF(E1965="","",(E1965-D1965)/D1965*100)</f>
        <v/>
      </c>
      <c r="G1965" s="0" t="str">
        <f aca="false">IF(C1965="BUY","IN",IF(C1965="SELL","OUT",IF(G1964="IN","IN","OUT")))</f>
        <v>OUT</v>
      </c>
      <c r="H1965" s="14" t="n">
        <f aca="false">H1964+IF(F1965="",0,F1965)</f>
        <v>-0.222076290481646</v>
      </c>
      <c r="I1965" s="14" t="n">
        <f aca="false">MAX(I1964,H1965)</f>
        <v>43.9309628600509</v>
      </c>
      <c r="J1965" s="14" t="n">
        <f aca="false">I1965-H1965</f>
        <v>44.1530391505325</v>
      </c>
    </row>
    <row r="1966" customFormat="false" ht="15" hidden="false" customHeight="false" outlineLevel="0" collapsed="false">
      <c r="A1966" s="12" t="n">
        <f aca="false">Data!A1966</f>
        <v>44858</v>
      </c>
      <c r="B1966" s="14" t="n">
        <f aca="false">Data!B1966</f>
        <v>84.58</v>
      </c>
      <c r="C1966" s="0" t="str">
        <f aca="false">IF(Data!D1966="","HOLD",IF(AND(G1965&lt;&gt;"IN",Data!E1966&lt;-5),"BUY",IF(AND(G1965="IN",Data!E1966&gt;0),"SELL","HOLD")))</f>
        <v>HOLD</v>
      </c>
      <c r="D1966" s="14" t="str">
        <f aca="false">IF(C1966="BUY",B1966,IF(G1965="IN",D1965,""))</f>
        <v/>
      </c>
      <c r="E1966" s="14" t="str">
        <f aca="false">IF(C1966="SELL",B1966,"")</f>
        <v/>
      </c>
      <c r="F1966" s="14" t="str">
        <f aca="false">IF(E1966="","",(E1966-D1966)/D1966*100)</f>
        <v/>
      </c>
      <c r="G1966" s="0" t="str">
        <f aca="false">IF(C1966="BUY","IN",IF(C1966="SELL","OUT",IF(G1965="IN","IN","OUT")))</f>
        <v>OUT</v>
      </c>
      <c r="H1966" s="14" t="n">
        <f aca="false">H1965+IF(F1966="",0,F1966)</f>
        <v>-0.222076290481646</v>
      </c>
      <c r="I1966" s="14" t="n">
        <f aca="false">MAX(I1965,H1966)</f>
        <v>43.9309628600509</v>
      </c>
      <c r="J1966" s="14" t="n">
        <f aca="false">I1966-H1966</f>
        <v>44.1530391505325</v>
      </c>
    </row>
    <row r="1967" customFormat="false" ht="15" hidden="false" customHeight="false" outlineLevel="0" collapsed="false">
      <c r="A1967" s="12" t="n">
        <f aca="false">Data!A1967</f>
        <v>44859</v>
      </c>
      <c r="B1967" s="14" t="n">
        <f aca="false">Data!B1967</f>
        <v>85.32</v>
      </c>
      <c r="C1967" s="0" t="str">
        <f aca="false">IF(Data!D1967="","HOLD",IF(AND(G1966&lt;&gt;"IN",Data!E1967&lt;-5),"BUY",IF(AND(G1966="IN",Data!E1967&gt;0),"SELL","HOLD")))</f>
        <v>HOLD</v>
      </c>
      <c r="D1967" s="14" t="str">
        <f aca="false">IF(C1967="BUY",B1967,IF(G1966="IN",D1966,""))</f>
        <v/>
      </c>
      <c r="E1967" s="14" t="str">
        <f aca="false">IF(C1967="SELL",B1967,"")</f>
        <v/>
      </c>
      <c r="F1967" s="14" t="str">
        <f aca="false">IF(E1967="","",(E1967-D1967)/D1967*100)</f>
        <v/>
      </c>
      <c r="G1967" s="0" t="str">
        <f aca="false">IF(C1967="BUY","IN",IF(C1967="SELL","OUT",IF(G1966="IN","IN","OUT")))</f>
        <v>OUT</v>
      </c>
      <c r="H1967" s="14" t="n">
        <f aca="false">H1966+IF(F1967="",0,F1967)</f>
        <v>-0.222076290481646</v>
      </c>
      <c r="I1967" s="14" t="n">
        <f aca="false">MAX(I1966,H1967)</f>
        <v>43.9309628600509</v>
      </c>
      <c r="J1967" s="14" t="n">
        <f aca="false">I1967-H1967</f>
        <v>44.1530391505325</v>
      </c>
    </row>
    <row r="1968" customFormat="false" ht="15" hidden="false" customHeight="false" outlineLevel="0" collapsed="false">
      <c r="A1968" s="12" t="n">
        <f aca="false">Data!A1968</f>
        <v>44860</v>
      </c>
      <c r="B1968" s="14" t="n">
        <f aca="false">Data!B1968</f>
        <v>87.91</v>
      </c>
      <c r="C1968" s="0" t="str">
        <f aca="false">IF(Data!D1968="","HOLD",IF(AND(G1967&lt;&gt;"IN",Data!E1968&lt;-5),"BUY",IF(AND(G1967="IN",Data!E1968&gt;0),"SELL","HOLD")))</f>
        <v>HOLD</v>
      </c>
      <c r="D1968" s="14" t="str">
        <f aca="false">IF(C1968="BUY",B1968,IF(G1967="IN",D1967,""))</f>
        <v/>
      </c>
      <c r="E1968" s="14" t="str">
        <f aca="false">IF(C1968="SELL",B1968,"")</f>
        <v/>
      </c>
      <c r="F1968" s="14" t="str">
        <f aca="false">IF(E1968="","",(E1968-D1968)/D1968*100)</f>
        <v/>
      </c>
      <c r="G1968" s="0" t="str">
        <f aca="false">IF(C1968="BUY","IN",IF(C1968="SELL","OUT",IF(G1967="IN","IN","OUT")))</f>
        <v>OUT</v>
      </c>
      <c r="H1968" s="14" t="n">
        <f aca="false">H1967+IF(F1968="",0,F1968)</f>
        <v>-0.222076290481646</v>
      </c>
      <c r="I1968" s="14" t="n">
        <f aca="false">MAX(I1967,H1968)</f>
        <v>43.9309628600509</v>
      </c>
      <c r="J1968" s="14" t="n">
        <f aca="false">I1968-H1968</f>
        <v>44.1530391505325</v>
      </c>
    </row>
    <row r="1969" customFormat="false" ht="15" hidden="false" customHeight="false" outlineLevel="0" collapsed="false">
      <c r="A1969" s="12" t="n">
        <f aca="false">Data!A1969</f>
        <v>44861</v>
      </c>
      <c r="B1969" s="14" t="n">
        <f aca="false">Data!B1969</f>
        <v>89.08</v>
      </c>
      <c r="C1969" s="0" t="str">
        <f aca="false">IF(Data!D1969="","HOLD",IF(AND(G1968&lt;&gt;"IN",Data!E1969&lt;-5),"BUY",IF(AND(G1968="IN",Data!E1969&gt;0),"SELL","HOLD")))</f>
        <v>HOLD</v>
      </c>
      <c r="D1969" s="14" t="str">
        <f aca="false">IF(C1969="BUY",B1969,IF(G1968="IN",D1968,""))</f>
        <v/>
      </c>
      <c r="E1969" s="14" t="str">
        <f aca="false">IF(C1969="SELL",B1969,"")</f>
        <v/>
      </c>
      <c r="F1969" s="14" t="str">
        <f aca="false">IF(E1969="","",(E1969-D1969)/D1969*100)</f>
        <v/>
      </c>
      <c r="G1969" s="0" t="str">
        <f aca="false">IF(C1969="BUY","IN",IF(C1969="SELL","OUT",IF(G1968="IN","IN","OUT")))</f>
        <v>OUT</v>
      </c>
      <c r="H1969" s="14" t="n">
        <f aca="false">H1968+IF(F1969="",0,F1969)</f>
        <v>-0.222076290481646</v>
      </c>
      <c r="I1969" s="14" t="n">
        <f aca="false">MAX(I1968,H1969)</f>
        <v>43.9309628600509</v>
      </c>
      <c r="J1969" s="14" t="n">
        <f aca="false">I1969-H1969</f>
        <v>44.1530391505325</v>
      </c>
    </row>
    <row r="1970" customFormat="false" ht="15" hidden="false" customHeight="false" outlineLevel="0" collapsed="false">
      <c r="A1970" s="12" t="n">
        <f aca="false">Data!A1970</f>
        <v>44862</v>
      </c>
      <c r="B1970" s="14" t="n">
        <f aca="false">Data!B1970</f>
        <v>87.9</v>
      </c>
      <c r="C1970" s="0" t="str">
        <f aca="false">IF(Data!D1970="","HOLD",IF(AND(G1969&lt;&gt;"IN",Data!E1970&lt;-5),"BUY",IF(AND(G1969="IN",Data!E1970&gt;0),"SELL","HOLD")))</f>
        <v>HOLD</v>
      </c>
      <c r="D1970" s="14" t="str">
        <f aca="false">IF(C1970="BUY",B1970,IF(G1969="IN",D1969,""))</f>
        <v/>
      </c>
      <c r="E1970" s="14" t="str">
        <f aca="false">IF(C1970="SELL",B1970,"")</f>
        <v/>
      </c>
      <c r="F1970" s="14" t="str">
        <f aca="false">IF(E1970="","",(E1970-D1970)/D1970*100)</f>
        <v/>
      </c>
      <c r="G1970" s="0" t="str">
        <f aca="false">IF(C1970="BUY","IN",IF(C1970="SELL","OUT",IF(G1969="IN","IN","OUT")))</f>
        <v>OUT</v>
      </c>
      <c r="H1970" s="14" t="n">
        <f aca="false">H1969+IF(F1970="",0,F1970)</f>
        <v>-0.222076290481646</v>
      </c>
      <c r="I1970" s="14" t="n">
        <f aca="false">MAX(I1969,H1970)</f>
        <v>43.9309628600509</v>
      </c>
      <c r="J1970" s="14" t="n">
        <f aca="false">I1970-H1970</f>
        <v>44.1530391505325</v>
      </c>
    </row>
    <row r="1971" customFormat="false" ht="15" hidden="false" customHeight="false" outlineLevel="0" collapsed="false">
      <c r="A1971" s="12" t="n">
        <f aca="false">Data!A1971</f>
        <v>44865</v>
      </c>
      <c r="B1971" s="14" t="n">
        <f aca="false">Data!B1971</f>
        <v>86.53</v>
      </c>
      <c r="C1971" s="0" t="str">
        <f aca="false">IF(Data!D1971="","HOLD",IF(AND(G1970&lt;&gt;"IN",Data!E1971&lt;-5),"BUY",IF(AND(G1970="IN",Data!E1971&gt;0),"SELL","HOLD")))</f>
        <v>HOLD</v>
      </c>
      <c r="D1971" s="14" t="str">
        <f aca="false">IF(C1971="BUY",B1971,IF(G1970="IN",D1970,""))</f>
        <v/>
      </c>
      <c r="E1971" s="14" t="str">
        <f aca="false">IF(C1971="SELL",B1971,"")</f>
        <v/>
      </c>
      <c r="F1971" s="14" t="str">
        <f aca="false">IF(E1971="","",(E1971-D1971)/D1971*100)</f>
        <v/>
      </c>
      <c r="G1971" s="0" t="str">
        <f aca="false">IF(C1971="BUY","IN",IF(C1971="SELL","OUT",IF(G1970="IN","IN","OUT")))</f>
        <v>OUT</v>
      </c>
      <c r="H1971" s="14" t="n">
        <f aca="false">H1970+IF(F1971="",0,F1971)</f>
        <v>-0.222076290481646</v>
      </c>
      <c r="I1971" s="14" t="n">
        <f aca="false">MAX(I1970,H1971)</f>
        <v>43.9309628600509</v>
      </c>
      <c r="J1971" s="14" t="n">
        <f aca="false">I1971-H1971</f>
        <v>44.1530391505325</v>
      </c>
    </row>
    <row r="1972" customFormat="false" ht="15" hidden="false" customHeight="false" outlineLevel="0" collapsed="false">
      <c r="A1972" s="12" t="n">
        <f aca="false">Data!A1972</f>
        <v>44866</v>
      </c>
      <c r="B1972" s="14" t="n">
        <f aca="false">Data!B1972</f>
        <v>88.37</v>
      </c>
      <c r="C1972" s="0" t="str">
        <f aca="false">IF(Data!D1972="","HOLD",IF(AND(G1971&lt;&gt;"IN",Data!E1972&lt;-5),"BUY",IF(AND(G1971="IN",Data!E1972&gt;0),"SELL","HOLD")))</f>
        <v>HOLD</v>
      </c>
      <c r="D1972" s="14" t="str">
        <f aca="false">IF(C1972="BUY",B1972,IF(G1971="IN",D1971,""))</f>
        <v/>
      </c>
      <c r="E1972" s="14" t="str">
        <f aca="false">IF(C1972="SELL",B1972,"")</f>
        <v/>
      </c>
      <c r="F1972" s="14" t="str">
        <f aca="false">IF(E1972="","",(E1972-D1972)/D1972*100)</f>
        <v/>
      </c>
      <c r="G1972" s="0" t="str">
        <f aca="false">IF(C1972="BUY","IN",IF(C1972="SELL","OUT",IF(G1971="IN","IN","OUT")))</f>
        <v>OUT</v>
      </c>
      <c r="H1972" s="14" t="n">
        <f aca="false">H1971+IF(F1972="",0,F1972)</f>
        <v>-0.222076290481646</v>
      </c>
      <c r="I1972" s="14" t="n">
        <f aca="false">MAX(I1971,H1972)</f>
        <v>43.9309628600509</v>
      </c>
      <c r="J1972" s="14" t="n">
        <f aca="false">I1972-H1972</f>
        <v>44.1530391505325</v>
      </c>
    </row>
    <row r="1973" customFormat="false" ht="15" hidden="false" customHeight="false" outlineLevel="0" collapsed="false">
      <c r="A1973" s="12" t="n">
        <f aca="false">Data!A1973</f>
        <v>44867</v>
      </c>
      <c r="B1973" s="14" t="n">
        <f aca="false">Data!B1973</f>
        <v>90</v>
      </c>
      <c r="C1973" s="0" t="str">
        <f aca="false">IF(Data!D1973="","HOLD",IF(AND(G1972&lt;&gt;"IN",Data!E1973&lt;-5),"BUY",IF(AND(G1972="IN",Data!E1973&gt;0),"SELL","HOLD")))</f>
        <v>HOLD</v>
      </c>
      <c r="D1973" s="14" t="str">
        <f aca="false">IF(C1973="BUY",B1973,IF(G1972="IN",D1972,""))</f>
        <v/>
      </c>
      <c r="E1973" s="14" t="str">
        <f aca="false">IF(C1973="SELL",B1973,"")</f>
        <v/>
      </c>
      <c r="F1973" s="14" t="str">
        <f aca="false">IF(E1973="","",(E1973-D1973)/D1973*100)</f>
        <v/>
      </c>
      <c r="G1973" s="0" t="str">
        <f aca="false">IF(C1973="BUY","IN",IF(C1973="SELL","OUT",IF(G1972="IN","IN","OUT")))</f>
        <v>OUT</v>
      </c>
      <c r="H1973" s="14" t="n">
        <f aca="false">H1972+IF(F1973="",0,F1973)</f>
        <v>-0.222076290481646</v>
      </c>
      <c r="I1973" s="14" t="n">
        <f aca="false">MAX(I1972,H1973)</f>
        <v>43.9309628600509</v>
      </c>
      <c r="J1973" s="14" t="n">
        <f aca="false">I1973-H1973</f>
        <v>44.1530391505325</v>
      </c>
    </row>
    <row r="1974" customFormat="false" ht="15" hidden="false" customHeight="false" outlineLevel="0" collapsed="false">
      <c r="A1974" s="12" t="n">
        <f aca="false">Data!A1974</f>
        <v>44868</v>
      </c>
      <c r="B1974" s="14" t="n">
        <f aca="false">Data!B1974</f>
        <v>88.17</v>
      </c>
      <c r="C1974" s="0" t="str">
        <f aca="false">IF(Data!D1974="","HOLD",IF(AND(G1973&lt;&gt;"IN",Data!E1974&lt;-5),"BUY",IF(AND(G1973="IN",Data!E1974&gt;0),"SELL","HOLD")))</f>
        <v>HOLD</v>
      </c>
      <c r="D1974" s="14" t="str">
        <f aca="false">IF(C1974="BUY",B1974,IF(G1973="IN",D1973,""))</f>
        <v/>
      </c>
      <c r="E1974" s="14" t="str">
        <f aca="false">IF(C1974="SELL",B1974,"")</f>
        <v/>
      </c>
      <c r="F1974" s="14" t="str">
        <f aca="false">IF(E1974="","",(E1974-D1974)/D1974*100)</f>
        <v/>
      </c>
      <c r="G1974" s="0" t="str">
        <f aca="false">IF(C1974="BUY","IN",IF(C1974="SELL","OUT",IF(G1973="IN","IN","OUT")))</f>
        <v>OUT</v>
      </c>
      <c r="H1974" s="14" t="n">
        <f aca="false">H1973+IF(F1974="",0,F1974)</f>
        <v>-0.222076290481646</v>
      </c>
      <c r="I1974" s="14" t="n">
        <f aca="false">MAX(I1973,H1974)</f>
        <v>43.9309628600509</v>
      </c>
      <c r="J1974" s="14" t="n">
        <f aca="false">I1974-H1974</f>
        <v>44.1530391505325</v>
      </c>
    </row>
    <row r="1975" customFormat="false" ht="15" hidden="false" customHeight="false" outlineLevel="0" collapsed="false">
      <c r="A1975" s="12" t="n">
        <f aca="false">Data!A1975</f>
        <v>44869</v>
      </c>
      <c r="B1975" s="14" t="n">
        <f aca="false">Data!B1975</f>
        <v>92.61</v>
      </c>
      <c r="C1975" s="0" t="str">
        <f aca="false">IF(Data!D1975="","HOLD",IF(AND(G1974&lt;&gt;"IN",Data!E1975&lt;-5),"BUY",IF(AND(G1974="IN",Data!E1975&gt;0),"SELL","HOLD")))</f>
        <v>HOLD</v>
      </c>
      <c r="D1975" s="14" t="str">
        <f aca="false">IF(C1975="BUY",B1975,IF(G1974="IN",D1974,""))</f>
        <v/>
      </c>
      <c r="E1975" s="14" t="str">
        <f aca="false">IF(C1975="SELL",B1975,"")</f>
        <v/>
      </c>
      <c r="F1975" s="14" t="str">
        <f aca="false">IF(E1975="","",(E1975-D1975)/D1975*100)</f>
        <v/>
      </c>
      <c r="G1975" s="0" t="str">
        <f aca="false">IF(C1975="BUY","IN",IF(C1975="SELL","OUT",IF(G1974="IN","IN","OUT")))</f>
        <v>OUT</v>
      </c>
      <c r="H1975" s="14" t="n">
        <f aca="false">H1974+IF(F1975="",0,F1975)</f>
        <v>-0.222076290481646</v>
      </c>
      <c r="I1975" s="14" t="n">
        <f aca="false">MAX(I1974,H1975)</f>
        <v>43.9309628600509</v>
      </c>
      <c r="J1975" s="14" t="n">
        <f aca="false">I1975-H1975</f>
        <v>44.1530391505325</v>
      </c>
    </row>
    <row r="1976" customFormat="false" ht="15" hidden="false" customHeight="false" outlineLevel="0" collapsed="false">
      <c r="A1976" s="12" t="n">
        <f aca="false">Data!A1976</f>
        <v>44872</v>
      </c>
      <c r="B1976" s="14" t="n">
        <f aca="false">Data!B1976</f>
        <v>91.79</v>
      </c>
      <c r="C1976" s="0" t="str">
        <f aca="false">IF(Data!D1976="","HOLD",IF(AND(G1975&lt;&gt;"IN",Data!E1976&lt;-5),"BUY",IF(AND(G1975="IN",Data!E1976&gt;0),"SELL","HOLD")))</f>
        <v>HOLD</v>
      </c>
      <c r="D1976" s="14" t="str">
        <f aca="false">IF(C1976="BUY",B1976,IF(G1975="IN",D1975,""))</f>
        <v/>
      </c>
      <c r="E1976" s="14" t="str">
        <f aca="false">IF(C1976="SELL",B1976,"")</f>
        <v/>
      </c>
      <c r="F1976" s="14" t="str">
        <f aca="false">IF(E1976="","",(E1976-D1976)/D1976*100)</f>
        <v/>
      </c>
      <c r="G1976" s="0" t="str">
        <f aca="false">IF(C1976="BUY","IN",IF(C1976="SELL","OUT",IF(G1975="IN","IN","OUT")))</f>
        <v>OUT</v>
      </c>
      <c r="H1976" s="14" t="n">
        <f aca="false">H1975+IF(F1976="",0,F1976)</f>
        <v>-0.222076290481646</v>
      </c>
      <c r="I1976" s="14" t="n">
        <f aca="false">MAX(I1975,H1976)</f>
        <v>43.9309628600509</v>
      </c>
      <c r="J1976" s="14" t="n">
        <f aca="false">I1976-H1976</f>
        <v>44.1530391505325</v>
      </c>
    </row>
    <row r="1977" customFormat="false" ht="15" hidden="false" customHeight="false" outlineLevel="0" collapsed="false">
      <c r="A1977" s="12" t="n">
        <f aca="false">Data!A1977</f>
        <v>44873</v>
      </c>
      <c r="B1977" s="14" t="n">
        <f aca="false">Data!B1977</f>
        <v>88.91</v>
      </c>
      <c r="C1977" s="0" t="str">
        <f aca="false">IF(Data!D1977="","HOLD",IF(AND(G1976&lt;&gt;"IN",Data!E1977&lt;-5),"BUY",IF(AND(G1976="IN",Data!E1977&gt;0),"SELL","HOLD")))</f>
        <v>HOLD</v>
      </c>
      <c r="D1977" s="14" t="str">
        <f aca="false">IF(C1977="BUY",B1977,IF(G1976="IN",D1976,""))</f>
        <v/>
      </c>
      <c r="E1977" s="14" t="str">
        <f aca="false">IF(C1977="SELL",B1977,"")</f>
        <v/>
      </c>
      <c r="F1977" s="14" t="str">
        <f aca="false">IF(E1977="","",(E1977-D1977)/D1977*100)</f>
        <v/>
      </c>
      <c r="G1977" s="0" t="str">
        <f aca="false">IF(C1977="BUY","IN",IF(C1977="SELL","OUT",IF(G1976="IN","IN","OUT")))</f>
        <v>OUT</v>
      </c>
      <c r="H1977" s="14" t="n">
        <f aca="false">H1976+IF(F1977="",0,F1977)</f>
        <v>-0.222076290481646</v>
      </c>
      <c r="I1977" s="14" t="n">
        <f aca="false">MAX(I1976,H1977)</f>
        <v>43.9309628600509</v>
      </c>
      <c r="J1977" s="14" t="n">
        <f aca="false">I1977-H1977</f>
        <v>44.1530391505325</v>
      </c>
    </row>
    <row r="1978" customFormat="false" ht="15" hidden="false" customHeight="false" outlineLevel="0" collapsed="false">
      <c r="A1978" s="12" t="n">
        <f aca="false">Data!A1978</f>
        <v>44874</v>
      </c>
      <c r="B1978" s="14" t="n">
        <f aca="false">Data!B1978</f>
        <v>85.83</v>
      </c>
      <c r="C1978" s="0" t="str">
        <f aca="false">IF(Data!D1978="","HOLD",IF(AND(G1977&lt;&gt;"IN",Data!E1978&lt;-5),"BUY",IF(AND(G1977="IN",Data!E1978&gt;0),"SELL","HOLD")))</f>
        <v>HOLD</v>
      </c>
      <c r="D1978" s="14" t="str">
        <f aca="false">IF(C1978="BUY",B1978,IF(G1977="IN",D1977,""))</f>
        <v/>
      </c>
      <c r="E1978" s="14" t="str">
        <f aca="false">IF(C1978="SELL",B1978,"")</f>
        <v/>
      </c>
      <c r="F1978" s="14" t="str">
        <f aca="false">IF(E1978="","",(E1978-D1978)/D1978*100)</f>
        <v/>
      </c>
      <c r="G1978" s="0" t="str">
        <f aca="false">IF(C1978="BUY","IN",IF(C1978="SELL","OUT",IF(G1977="IN","IN","OUT")))</f>
        <v>OUT</v>
      </c>
      <c r="H1978" s="14" t="n">
        <f aca="false">H1977+IF(F1978="",0,F1978)</f>
        <v>-0.222076290481646</v>
      </c>
      <c r="I1978" s="14" t="n">
        <f aca="false">MAX(I1977,H1978)</f>
        <v>43.9309628600509</v>
      </c>
      <c r="J1978" s="14" t="n">
        <f aca="false">I1978-H1978</f>
        <v>44.1530391505325</v>
      </c>
    </row>
    <row r="1979" customFormat="false" ht="15" hidden="false" customHeight="false" outlineLevel="0" collapsed="false">
      <c r="A1979" s="12" t="n">
        <f aca="false">Data!A1979</f>
        <v>44875</v>
      </c>
      <c r="B1979" s="14" t="n">
        <f aca="false">Data!B1979</f>
        <v>86.47</v>
      </c>
      <c r="C1979" s="0" t="str">
        <f aca="false">IF(Data!D1979="","HOLD",IF(AND(G1978&lt;&gt;"IN",Data!E1979&lt;-5),"BUY",IF(AND(G1978="IN",Data!E1979&gt;0),"SELL","HOLD")))</f>
        <v>HOLD</v>
      </c>
      <c r="D1979" s="14" t="str">
        <f aca="false">IF(C1979="BUY",B1979,IF(G1978="IN",D1978,""))</f>
        <v/>
      </c>
      <c r="E1979" s="14" t="str">
        <f aca="false">IF(C1979="SELL",B1979,"")</f>
        <v/>
      </c>
      <c r="F1979" s="14" t="str">
        <f aca="false">IF(E1979="","",(E1979-D1979)/D1979*100)</f>
        <v/>
      </c>
      <c r="G1979" s="0" t="str">
        <f aca="false">IF(C1979="BUY","IN",IF(C1979="SELL","OUT",IF(G1978="IN","IN","OUT")))</f>
        <v>OUT</v>
      </c>
      <c r="H1979" s="14" t="n">
        <f aca="false">H1978+IF(F1979="",0,F1979)</f>
        <v>-0.222076290481646</v>
      </c>
      <c r="I1979" s="14" t="n">
        <f aca="false">MAX(I1978,H1979)</f>
        <v>43.9309628600509</v>
      </c>
      <c r="J1979" s="14" t="n">
        <f aca="false">I1979-H1979</f>
        <v>44.1530391505325</v>
      </c>
    </row>
    <row r="1980" customFormat="false" ht="15" hidden="false" customHeight="false" outlineLevel="0" collapsed="false">
      <c r="A1980" s="12" t="n">
        <f aca="false">Data!A1980</f>
        <v>44876</v>
      </c>
      <c r="B1980" s="14" t="n">
        <f aca="false">Data!B1980</f>
        <v>88.96</v>
      </c>
      <c r="C1980" s="0" t="str">
        <f aca="false">IF(Data!D1980="","HOLD",IF(AND(G1979&lt;&gt;"IN",Data!E1980&lt;-5),"BUY",IF(AND(G1979="IN",Data!E1980&gt;0),"SELL","HOLD")))</f>
        <v>HOLD</v>
      </c>
      <c r="D1980" s="14" t="str">
        <f aca="false">IF(C1980="BUY",B1980,IF(G1979="IN",D1979,""))</f>
        <v/>
      </c>
      <c r="E1980" s="14" t="str">
        <f aca="false">IF(C1980="SELL",B1980,"")</f>
        <v/>
      </c>
      <c r="F1980" s="14" t="str">
        <f aca="false">IF(E1980="","",(E1980-D1980)/D1980*100)</f>
        <v/>
      </c>
      <c r="G1980" s="0" t="str">
        <f aca="false">IF(C1980="BUY","IN",IF(C1980="SELL","OUT",IF(G1979="IN","IN","OUT")))</f>
        <v>OUT</v>
      </c>
      <c r="H1980" s="14" t="n">
        <f aca="false">H1979+IF(F1980="",0,F1980)</f>
        <v>-0.222076290481646</v>
      </c>
      <c r="I1980" s="14" t="n">
        <f aca="false">MAX(I1979,H1980)</f>
        <v>43.9309628600509</v>
      </c>
      <c r="J1980" s="14" t="n">
        <f aca="false">I1980-H1980</f>
        <v>44.1530391505325</v>
      </c>
    </row>
    <row r="1981" customFormat="false" ht="15" hidden="false" customHeight="false" outlineLevel="0" collapsed="false">
      <c r="A1981" s="12" t="n">
        <f aca="false">Data!A1981</f>
        <v>44879</v>
      </c>
      <c r="B1981" s="14" t="n">
        <f aca="false">Data!B1981</f>
        <v>85.87</v>
      </c>
      <c r="C1981" s="0" t="str">
        <f aca="false">IF(Data!D1981="","HOLD",IF(AND(G1980&lt;&gt;"IN",Data!E1981&lt;-5),"BUY",IF(AND(G1980="IN",Data!E1981&gt;0),"SELL","HOLD")))</f>
        <v>HOLD</v>
      </c>
      <c r="D1981" s="14" t="str">
        <f aca="false">IF(C1981="BUY",B1981,IF(G1980="IN",D1980,""))</f>
        <v/>
      </c>
      <c r="E1981" s="14" t="str">
        <f aca="false">IF(C1981="SELL",B1981,"")</f>
        <v/>
      </c>
      <c r="F1981" s="14" t="str">
        <f aca="false">IF(E1981="","",(E1981-D1981)/D1981*100)</f>
        <v/>
      </c>
      <c r="G1981" s="0" t="str">
        <f aca="false">IF(C1981="BUY","IN",IF(C1981="SELL","OUT",IF(G1980="IN","IN","OUT")))</f>
        <v>OUT</v>
      </c>
      <c r="H1981" s="14" t="n">
        <f aca="false">H1980+IF(F1981="",0,F1981)</f>
        <v>-0.222076290481646</v>
      </c>
      <c r="I1981" s="14" t="n">
        <f aca="false">MAX(I1980,H1981)</f>
        <v>43.9309628600509</v>
      </c>
      <c r="J1981" s="14" t="n">
        <f aca="false">I1981-H1981</f>
        <v>44.1530391505325</v>
      </c>
    </row>
    <row r="1982" customFormat="false" ht="15" hidden="false" customHeight="false" outlineLevel="0" collapsed="false">
      <c r="A1982" s="12" t="n">
        <f aca="false">Data!A1982</f>
        <v>44880</v>
      </c>
      <c r="B1982" s="14" t="n">
        <f aca="false">Data!B1982</f>
        <v>86.92</v>
      </c>
      <c r="C1982" s="0" t="str">
        <f aca="false">IF(Data!D1982="","HOLD",IF(AND(G1981&lt;&gt;"IN",Data!E1982&lt;-5),"BUY",IF(AND(G1981="IN",Data!E1982&gt;0),"SELL","HOLD")))</f>
        <v>HOLD</v>
      </c>
      <c r="D1982" s="14" t="str">
        <f aca="false">IF(C1982="BUY",B1982,IF(G1981="IN",D1981,""))</f>
        <v/>
      </c>
      <c r="E1982" s="14" t="str">
        <f aca="false">IF(C1982="SELL",B1982,"")</f>
        <v/>
      </c>
      <c r="F1982" s="14" t="str">
        <f aca="false">IF(E1982="","",(E1982-D1982)/D1982*100)</f>
        <v/>
      </c>
      <c r="G1982" s="0" t="str">
        <f aca="false">IF(C1982="BUY","IN",IF(C1982="SELL","OUT",IF(G1981="IN","IN","OUT")))</f>
        <v>OUT</v>
      </c>
      <c r="H1982" s="14" t="n">
        <f aca="false">H1981+IF(F1982="",0,F1982)</f>
        <v>-0.222076290481646</v>
      </c>
      <c r="I1982" s="14" t="n">
        <f aca="false">MAX(I1981,H1982)</f>
        <v>43.9309628600509</v>
      </c>
      <c r="J1982" s="14" t="n">
        <f aca="false">I1982-H1982</f>
        <v>44.1530391505325</v>
      </c>
    </row>
    <row r="1983" customFormat="false" ht="15" hidden="false" customHeight="false" outlineLevel="0" collapsed="false">
      <c r="A1983" s="12" t="n">
        <f aca="false">Data!A1983</f>
        <v>44881</v>
      </c>
      <c r="B1983" s="14" t="n">
        <f aca="false">Data!B1983</f>
        <v>85.59</v>
      </c>
      <c r="C1983" s="0" t="str">
        <f aca="false">IF(Data!D1983="","HOLD",IF(AND(G1982&lt;&gt;"IN",Data!E1983&lt;-5),"BUY",IF(AND(G1982="IN",Data!E1983&gt;0),"SELL","HOLD")))</f>
        <v>HOLD</v>
      </c>
      <c r="D1983" s="14" t="str">
        <f aca="false">IF(C1983="BUY",B1983,IF(G1982="IN",D1982,""))</f>
        <v/>
      </c>
      <c r="E1983" s="14" t="str">
        <f aca="false">IF(C1983="SELL",B1983,"")</f>
        <v/>
      </c>
      <c r="F1983" s="14" t="str">
        <f aca="false">IF(E1983="","",(E1983-D1983)/D1983*100)</f>
        <v/>
      </c>
      <c r="G1983" s="0" t="str">
        <f aca="false">IF(C1983="BUY","IN",IF(C1983="SELL","OUT",IF(G1982="IN","IN","OUT")))</f>
        <v>OUT</v>
      </c>
      <c r="H1983" s="14" t="n">
        <f aca="false">H1982+IF(F1983="",0,F1983)</f>
        <v>-0.222076290481646</v>
      </c>
      <c r="I1983" s="14" t="n">
        <f aca="false">MAX(I1982,H1983)</f>
        <v>43.9309628600509</v>
      </c>
      <c r="J1983" s="14" t="n">
        <f aca="false">I1983-H1983</f>
        <v>44.1530391505325</v>
      </c>
    </row>
    <row r="1984" customFormat="false" ht="15" hidden="false" customHeight="false" outlineLevel="0" collapsed="false">
      <c r="A1984" s="12" t="n">
        <f aca="false">Data!A1984</f>
        <v>44882</v>
      </c>
      <c r="B1984" s="14" t="n">
        <f aca="false">Data!B1984</f>
        <v>81.64</v>
      </c>
      <c r="C1984" s="0" t="str">
        <f aca="false">IF(Data!D1984="","HOLD",IF(AND(G1983&lt;&gt;"IN",Data!E1984&lt;-5),"BUY",IF(AND(G1983="IN",Data!E1984&gt;0),"SELL","HOLD")))</f>
        <v>BUY</v>
      </c>
      <c r="D1984" s="14" t="n">
        <f aca="false">IF(C1984="BUY",B1984,IF(G1983="IN",D1983,""))</f>
        <v>81.64</v>
      </c>
      <c r="E1984" s="14" t="str">
        <f aca="false">IF(C1984="SELL",B1984,"")</f>
        <v/>
      </c>
      <c r="F1984" s="14" t="str">
        <f aca="false">IF(E1984="","",(E1984-D1984)/D1984*100)</f>
        <v/>
      </c>
      <c r="G1984" s="0" t="str">
        <f aca="false">IF(C1984="BUY","IN",IF(C1984="SELL","OUT",IF(G1983="IN","IN","OUT")))</f>
        <v>IN</v>
      </c>
      <c r="H1984" s="14" t="n">
        <f aca="false">H1983+IF(F1984="",0,F1984)</f>
        <v>-0.222076290481646</v>
      </c>
      <c r="I1984" s="14" t="n">
        <f aca="false">MAX(I1983,H1984)</f>
        <v>43.9309628600509</v>
      </c>
      <c r="J1984" s="14" t="n">
        <f aca="false">I1984-H1984</f>
        <v>44.1530391505325</v>
      </c>
    </row>
    <row r="1985" customFormat="false" ht="15" hidden="false" customHeight="false" outlineLevel="0" collapsed="false">
      <c r="A1985" s="12" t="n">
        <f aca="false">Data!A1985</f>
        <v>44883</v>
      </c>
      <c r="B1985" s="14" t="n">
        <f aca="false">Data!B1985</f>
        <v>80.08</v>
      </c>
      <c r="C1985" s="0" t="str">
        <f aca="false">IF(Data!D1985="","HOLD",IF(AND(G1984&lt;&gt;"IN",Data!E1985&lt;-5),"BUY",IF(AND(G1984="IN",Data!E1985&gt;0),"SELL","HOLD")))</f>
        <v>HOLD</v>
      </c>
      <c r="D1985" s="14" t="n">
        <f aca="false">IF(C1985="BUY",B1985,IF(G1984="IN",D1984,""))</f>
        <v>81.64</v>
      </c>
      <c r="E1985" s="14" t="str">
        <f aca="false">IF(C1985="SELL",B1985,"")</f>
        <v/>
      </c>
      <c r="F1985" s="14" t="str">
        <f aca="false">IF(E1985="","",(E1985-D1985)/D1985*100)</f>
        <v/>
      </c>
      <c r="G1985" s="0" t="str">
        <f aca="false">IF(C1985="BUY","IN",IF(C1985="SELL","OUT",IF(G1984="IN","IN","OUT")))</f>
        <v>IN</v>
      </c>
      <c r="H1985" s="14" t="n">
        <f aca="false">H1984+IF(F1985="",0,F1985)</f>
        <v>-0.222076290481646</v>
      </c>
      <c r="I1985" s="14" t="n">
        <f aca="false">MAX(I1984,H1985)</f>
        <v>43.9309628600509</v>
      </c>
      <c r="J1985" s="14" t="n">
        <f aca="false">I1985-H1985</f>
        <v>44.1530391505325</v>
      </c>
    </row>
    <row r="1986" customFormat="false" ht="15" hidden="false" customHeight="false" outlineLevel="0" collapsed="false">
      <c r="A1986" s="12" t="n">
        <f aca="false">Data!A1986</f>
        <v>44886</v>
      </c>
      <c r="B1986" s="14" t="n">
        <f aca="false">Data!B1986</f>
        <v>79.73</v>
      </c>
      <c r="C1986" s="0" t="str">
        <f aca="false">IF(Data!D1986="","HOLD",IF(AND(G1985&lt;&gt;"IN",Data!E1986&lt;-5),"BUY",IF(AND(G1985="IN",Data!E1986&gt;0),"SELL","HOLD")))</f>
        <v>HOLD</v>
      </c>
      <c r="D1986" s="14" t="n">
        <f aca="false">IF(C1986="BUY",B1986,IF(G1985="IN",D1985,""))</f>
        <v>81.64</v>
      </c>
      <c r="E1986" s="14" t="str">
        <f aca="false">IF(C1986="SELL",B1986,"")</f>
        <v/>
      </c>
      <c r="F1986" s="14" t="str">
        <f aca="false">IF(E1986="","",(E1986-D1986)/D1986*100)</f>
        <v/>
      </c>
      <c r="G1986" s="0" t="str">
        <f aca="false">IF(C1986="BUY","IN",IF(C1986="SELL","OUT",IF(G1985="IN","IN","OUT")))</f>
        <v>IN</v>
      </c>
      <c r="H1986" s="14" t="n">
        <f aca="false">H1985+IF(F1986="",0,F1986)</f>
        <v>-0.222076290481646</v>
      </c>
      <c r="I1986" s="14" t="n">
        <f aca="false">MAX(I1985,H1986)</f>
        <v>43.9309628600509</v>
      </c>
      <c r="J1986" s="14" t="n">
        <f aca="false">I1986-H1986</f>
        <v>44.1530391505325</v>
      </c>
    </row>
    <row r="1987" customFormat="false" ht="15" hidden="false" customHeight="false" outlineLevel="0" collapsed="false">
      <c r="A1987" s="12" t="n">
        <f aca="false">Data!A1987</f>
        <v>44887</v>
      </c>
      <c r="B1987" s="14" t="n">
        <f aca="false">Data!B1987</f>
        <v>80.95</v>
      </c>
      <c r="C1987" s="0" t="str">
        <f aca="false">IF(Data!D1987="","HOLD",IF(AND(G1986&lt;&gt;"IN",Data!E1987&lt;-5),"BUY",IF(AND(G1986="IN",Data!E1987&gt;0),"SELL","HOLD")))</f>
        <v>HOLD</v>
      </c>
      <c r="D1987" s="14" t="n">
        <f aca="false">IF(C1987="BUY",B1987,IF(G1986="IN",D1986,""))</f>
        <v>81.64</v>
      </c>
      <c r="E1987" s="14" t="str">
        <f aca="false">IF(C1987="SELL",B1987,"")</f>
        <v/>
      </c>
      <c r="F1987" s="14" t="str">
        <f aca="false">IF(E1987="","",(E1987-D1987)/D1987*100)</f>
        <v/>
      </c>
      <c r="G1987" s="0" t="str">
        <f aca="false">IF(C1987="BUY","IN",IF(C1987="SELL","OUT",IF(G1986="IN","IN","OUT")))</f>
        <v>IN</v>
      </c>
      <c r="H1987" s="14" t="n">
        <f aca="false">H1986+IF(F1987="",0,F1987)</f>
        <v>-0.222076290481646</v>
      </c>
      <c r="I1987" s="14" t="n">
        <f aca="false">MAX(I1986,H1987)</f>
        <v>43.9309628600509</v>
      </c>
      <c r="J1987" s="14" t="n">
        <f aca="false">I1987-H1987</f>
        <v>44.1530391505325</v>
      </c>
    </row>
    <row r="1988" customFormat="false" ht="15" hidden="false" customHeight="false" outlineLevel="0" collapsed="false">
      <c r="A1988" s="12" t="n">
        <f aca="false">Data!A1988</f>
        <v>44888</v>
      </c>
      <c r="B1988" s="14" t="n">
        <f aca="false">Data!B1988</f>
        <v>77.94</v>
      </c>
      <c r="C1988" s="0" t="str">
        <f aca="false">IF(Data!D1988="","HOLD",IF(AND(G1987&lt;&gt;"IN",Data!E1988&lt;-5),"BUY",IF(AND(G1987="IN",Data!E1988&gt;0),"SELL","HOLD")))</f>
        <v>HOLD</v>
      </c>
      <c r="D1988" s="14" t="n">
        <f aca="false">IF(C1988="BUY",B1988,IF(G1987="IN",D1987,""))</f>
        <v>81.64</v>
      </c>
      <c r="E1988" s="14" t="str">
        <f aca="false">IF(C1988="SELL",B1988,"")</f>
        <v/>
      </c>
      <c r="F1988" s="14" t="str">
        <f aca="false">IF(E1988="","",(E1988-D1988)/D1988*100)</f>
        <v/>
      </c>
      <c r="G1988" s="0" t="str">
        <f aca="false">IF(C1988="BUY","IN",IF(C1988="SELL","OUT",IF(G1987="IN","IN","OUT")))</f>
        <v>IN</v>
      </c>
      <c r="H1988" s="14" t="n">
        <f aca="false">H1987+IF(F1988="",0,F1988)</f>
        <v>-0.222076290481646</v>
      </c>
      <c r="I1988" s="14" t="n">
        <f aca="false">MAX(I1987,H1988)</f>
        <v>43.9309628600509</v>
      </c>
      <c r="J1988" s="14" t="n">
        <f aca="false">I1988-H1988</f>
        <v>44.1530391505325</v>
      </c>
    </row>
    <row r="1989" customFormat="false" ht="15" hidden="false" customHeight="false" outlineLevel="0" collapsed="false">
      <c r="A1989" s="12" t="n">
        <f aca="false">Data!A1989</f>
        <v>44890</v>
      </c>
      <c r="B1989" s="14" t="n">
        <f aca="false">Data!B1989</f>
        <v>76.28</v>
      </c>
      <c r="C1989" s="0" t="str">
        <f aca="false">IF(Data!D1989="","HOLD",IF(AND(G1988&lt;&gt;"IN",Data!E1989&lt;-5),"BUY",IF(AND(G1988="IN",Data!E1989&gt;0),"SELL","HOLD")))</f>
        <v>HOLD</v>
      </c>
      <c r="D1989" s="14" t="n">
        <f aca="false">IF(C1989="BUY",B1989,IF(G1988="IN",D1988,""))</f>
        <v>81.64</v>
      </c>
      <c r="E1989" s="14" t="str">
        <f aca="false">IF(C1989="SELL",B1989,"")</f>
        <v/>
      </c>
      <c r="F1989" s="14" t="str">
        <f aca="false">IF(E1989="","",(E1989-D1989)/D1989*100)</f>
        <v/>
      </c>
      <c r="G1989" s="0" t="str">
        <f aca="false">IF(C1989="BUY","IN",IF(C1989="SELL","OUT",IF(G1988="IN","IN","OUT")))</f>
        <v>IN</v>
      </c>
      <c r="H1989" s="14" t="n">
        <f aca="false">H1988+IF(F1989="",0,F1989)</f>
        <v>-0.222076290481646</v>
      </c>
      <c r="I1989" s="14" t="n">
        <f aca="false">MAX(I1988,H1989)</f>
        <v>43.9309628600509</v>
      </c>
      <c r="J1989" s="14" t="n">
        <f aca="false">I1989-H1989</f>
        <v>44.1530391505325</v>
      </c>
    </row>
    <row r="1990" customFormat="false" ht="15" hidden="false" customHeight="false" outlineLevel="0" collapsed="false">
      <c r="A1990" s="12" t="n">
        <f aca="false">Data!A1990</f>
        <v>44893</v>
      </c>
      <c r="B1990" s="14" t="n">
        <f aca="false">Data!B1990</f>
        <v>77.24</v>
      </c>
      <c r="C1990" s="0" t="str">
        <f aca="false">IF(Data!D1990="","HOLD",IF(AND(G1989&lt;&gt;"IN",Data!E1990&lt;-5),"BUY",IF(AND(G1989="IN",Data!E1990&gt;0),"SELL","HOLD")))</f>
        <v>HOLD</v>
      </c>
      <c r="D1990" s="14" t="n">
        <f aca="false">IF(C1990="BUY",B1990,IF(G1989="IN",D1989,""))</f>
        <v>81.64</v>
      </c>
      <c r="E1990" s="14" t="str">
        <f aca="false">IF(C1990="SELL",B1990,"")</f>
        <v/>
      </c>
      <c r="F1990" s="14" t="str">
        <f aca="false">IF(E1990="","",(E1990-D1990)/D1990*100)</f>
        <v/>
      </c>
      <c r="G1990" s="0" t="str">
        <f aca="false">IF(C1990="BUY","IN",IF(C1990="SELL","OUT",IF(G1989="IN","IN","OUT")))</f>
        <v>IN</v>
      </c>
      <c r="H1990" s="14" t="n">
        <f aca="false">H1989+IF(F1990="",0,F1990)</f>
        <v>-0.222076290481646</v>
      </c>
      <c r="I1990" s="14" t="n">
        <f aca="false">MAX(I1989,H1990)</f>
        <v>43.9309628600509</v>
      </c>
      <c r="J1990" s="14" t="n">
        <f aca="false">I1990-H1990</f>
        <v>44.1530391505325</v>
      </c>
    </row>
    <row r="1991" customFormat="false" ht="15" hidden="false" customHeight="false" outlineLevel="0" collapsed="false">
      <c r="A1991" s="12" t="n">
        <f aca="false">Data!A1991</f>
        <v>44894</v>
      </c>
      <c r="B1991" s="14" t="n">
        <f aca="false">Data!B1991</f>
        <v>78.2</v>
      </c>
      <c r="C1991" s="0" t="str">
        <f aca="false">IF(Data!D1991="","HOLD",IF(AND(G1990&lt;&gt;"IN",Data!E1991&lt;-5),"BUY",IF(AND(G1990="IN",Data!E1991&gt;0),"SELL","HOLD")))</f>
        <v>HOLD</v>
      </c>
      <c r="D1991" s="14" t="n">
        <f aca="false">IF(C1991="BUY",B1991,IF(G1990="IN",D1990,""))</f>
        <v>81.64</v>
      </c>
      <c r="E1991" s="14" t="str">
        <f aca="false">IF(C1991="SELL",B1991,"")</f>
        <v/>
      </c>
      <c r="F1991" s="14" t="str">
        <f aca="false">IF(E1991="","",(E1991-D1991)/D1991*100)</f>
        <v/>
      </c>
      <c r="G1991" s="0" t="str">
        <f aca="false">IF(C1991="BUY","IN",IF(C1991="SELL","OUT",IF(G1990="IN","IN","OUT")))</f>
        <v>IN</v>
      </c>
      <c r="H1991" s="14" t="n">
        <f aca="false">H1990+IF(F1991="",0,F1991)</f>
        <v>-0.222076290481646</v>
      </c>
      <c r="I1991" s="14" t="n">
        <f aca="false">MAX(I1990,H1991)</f>
        <v>43.9309628600509</v>
      </c>
      <c r="J1991" s="14" t="n">
        <f aca="false">I1991-H1991</f>
        <v>44.1530391505325</v>
      </c>
    </row>
    <row r="1992" customFormat="false" ht="15" hidden="false" customHeight="false" outlineLevel="0" collapsed="false">
      <c r="A1992" s="12" t="n">
        <f aca="false">Data!A1992</f>
        <v>44895</v>
      </c>
      <c r="B1992" s="14" t="n">
        <f aca="false">Data!B1992</f>
        <v>80.55</v>
      </c>
      <c r="C1992" s="0" t="str">
        <f aca="false">IF(Data!D1992="","HOLD",IF(AND(G1991&lt;&gt;"IN",Data!E1992&lt;-5),"BUY",IF(AND(G1991="IN",Data!E1992&gt;0),"SELL","HOLD")))</f>
        <v>HOLD</v>
      </c>
      <c r="D1992" s="14" t="n">
        <f aca="false">IF(C1992="BUY",B1992,IF(G1991="IN",D1991,""))</f>
        <v>81.64</v>
      </c>
      <c r="E1992" s="14" t="str">
        <f aca="false">IF(C1992="SELL",B1992,"")</f>
        <v/>
      </c>
      <c r="F1992" s="14" t="str">
        <f aca="false">IF(E1992="","",(E1992-D1992)/D1992*100)</f>
        <v/>
      </c>
      <c r="G1992" s="0" t="str">
        <f aca="false">IF(C1992="BUY","IN",IF(C1992="SELL","OUT",IF(G1991="IN","IN","OUT")))</f>
        <v>IN</v>
      </c>
      <c r="H1992" s="14" t="n">
        <f aca="false">H1991+IF(F1992="",0,F1992)</f>
        <v>-0.222076290481646</v>
      </c>
      <c r="I1992" s="14" t="n">
        <f aca="false">MAX(I1991,H1992)</f>
        <v>43.9309628600509</v>
      </c>
      <c r="J1992" s="14" t="n">
        <f aca="false">I1992-H1992</f>
        <v>44.1530391505325</v>
      </c>
    </row>
    <row r="1993" customFormat="false" ht="15" hidden="false" customHeight="false" outlineLevel="0" collapsed="false">
      <c r="A1993" s="12" t="n">
        <f aca="false">Data!A1993</f>
        <v>44896</v>
      </c>
      <c r="B1993" s="14" t="n">
        <f aca="false">Data!B1993</f>
        <v>81.22</v>
      </c>
      <c r="C1993" s="0" t="str">
        <f aca="false">IF(Data!D1993="","HOLD",IF(AND(G1992&lt;&gt;"IN",Data!E1993&lt;-5),"BUY",IF(AND(G1992="IN",Data!E1993&gt;0),"SELL","HOLD")))</f>
        <v>HOLD</v>
      </c>
      <c r="D1993" s="14" t="n">
        <f aca="false">IF(C1993="BUY",B1993,IF(G1992="IN",D1992,""))</f>
        <v>81.64</v>
      </c>
      <c r="E1993" s="14" t="str">
        <f aca="false">IF(C1993="SELL",B1993,"")</f>
        <v/>
      </c>
      <c r="F1993" s="14" t="str">
        <f aca="false">IF(E1993="","",(E1993-D1993)/D1993*100)</f>
        <v/>
      </c>
      <c r="G1993" s="0" t="str">
        <f aca="false">IF(C1993="BUY","IN",IF(C1993="SELL","OUT",IF(G1992="IN","IN","OUT")))</f>
        <v>IN</v>
      </c>
      <c r="H1993" s="14" t="n">
        <f aca="false">H1992+IF(F1993="",0,F1993)</f>
        <v>-0.222076290481646</v>
      </c>
      <c r="I1993" s="14" t="n">
        <f aca="false">MAX(I1992,H1993)</f>
        <v>43.9309628600509</v>
      </c>
      <c r="J1993" s="14" t="n">
        <f aca="false">I1993-H1993</f>
        <v>44.1530391505325</v>
      </c>
    </row>
    <row r="1994" customFormat="false" ht="15" hidden="false" customHeight="false" outlineLevel="0" collapsed="false">
      <c r="A1994" s="12" t="n">
        <f aca="false">Data!A1994</f>
        <v>44897</v>
      </c>
      <c r="B1994" s="14" t="n">
        <f aca="false">Data!B1994</f>
        <v>79.98</v>
      </c>
      <c r="C1994" s="0" t="str">
        <f aca="false">IF(Data!D1994="","HOLD",IF(AND(G1993&lt;&gt;"IN",Data!E1994&lt;-5),"BUY",IF(AND(G1993="IN",Data!E1994&gt;0),"SELL","HOLD")))</f>
        <v>HOLD</v>
      </c>
      <c r="D1994" s="14" t="n">
        <f aca="false">IF(C1994="BUY",B1994,IF(G1993="IN",D1993,""))</f>
        <v>81.64</v>
      </c>
      <c r="E1994" s="14" t="str">
        <f aca="false">IF(C1994="SELL",B1994,"")</f>
        <v/>
      </c>
      <c r="F1994" s="14" t="str">
        <f aca="false">IF(E1994="","",(E1994-D1994)/D1994*100)</f>
        <v/>
      </c>
      <c r="G1994" s="0" t="str">
        <f aca="false">IF(C1994="BUY","IN",IF(C1994="SELL","OUT",IF(G1993="IN","IN","OUT")))</f>
        <v>IN</v>
      </c>
      <c r="H1994" s="14" t="n">
        <f aca="false">H1993+IF(F1994="",0,F1994)</f>
        <v>-0.222076290481646</v>
      </c>
      <c r="I1994" s="14" t="n">
        <f aca="false">MAX(I1993,H1994)</f>
        <v>43.9309628600509</v>
      </c>
      <c r="J1994" s="14" t="n">
        <f aca="false">I1994-H1994</f>
        <v>44.1530391505325</v>
      </c>
    </row>
    <row r="1995" customFormat="false" ht="15" hidden="false" customHeight="false" outlineLevel="0" collapsed="false">
      <c r="A1995" s="12" t="n">
        <f aca="false">Data!A1995</f>
        <v>44900</v>
      </c>
      <c r="B1995" s="14" t="n">
        <f aca="false">Data!B1995</f>
        <v>76.93</v>
      </c>
      <c r="C1995" s="0" t="str">
        <f aca="false">IF(Data!D1995="","HOLD",IF(AND(G1994&lt;&gt;"IN",Data!E1995&lt;-5),"BUY",IF(AND(G1994="IN",Data!E1995&gt;0),"SELL","HOLD")))</f>
        <v>HOLD</v>
      </c>
      <c r="D1995" s="14" t="n">
        <f aca="false">IF(C1995="BUY",B1995,IF(G1994="IN",D1994,""))</f>
        <v>81.64</v>
      </c>
      <c r="E1995" s="14" t="str">
        <f aca="false">IF(C1995="SELL",B1995,"")</f>
        <v/>
      </c>
      <c r="F1995" s="14" t="str">
        <f aca="false">IF(E1995="","",(E1995-D1995)/D1995*100)</f>
        <v/>
      </c>
      <c r="G1995" s="0" t="str">
        <f aca="false">IF(C1995="BUY","IN",IF(C1995="SELL","OUT",IF(G1994="IN","IN","OUT")))</f>
        <v>IN</v>
      </c>
      <c r="H1995" s="14" t="n">
        <f aca="false">H1994+IF(F1995="",0,F1995)</f>
        <v>-0.222076290481646</v>
      </c>
      <c r="I1995" s="14" t="n">
        <f aca="false">MAX(I1994,H1995)</f>
        <v>43.9309628600509</v>
      </c>
      <c r="J1995" s="14" t="n">
        <f aca="false">I1995-H1995</f>
        <v>44.1530391505325</v>
      </c>
    </row>
    <row r="1996" customFormat="false" ht="15" hidden="false" customHeight="false" outlineLevel="0" collapsed="false">
      <c r="A1996" s="12" t="n">
        <f aca="false">Data!A1996</f>
        <v>44901</v>
      </c>
      <c r="B1996" s="14" t="n">
        <f aca="false">Data!B1996</f>
        <v>74.25</v>
      </c>
      <c r="C1996" s="0" t="str">
        <f aca="false">IF(Data!D1996="","HOLD",IF(AND(G1995&lt;&gt;"IN",Data!E1996&lt;-5),"BUY",IF(AND(G1995="IN",Data!E1996&gt;0),"SELL","HOLD")))</f>
        <v>HOLD</v>
      </c>
      <c r="D1996" s="14" t="n">
        <f aca="false">IF(C1996="BUY",B1996,IF(G1995="IN",D1995,""))</f>
        <v>81.64</v>
      </c>
      <c r="E1996" s="14" t="str">
        <f aca="false">IF(C1996="SELL",B1996,"")</f>
        <v/>
      </c>
      <c r="F1996" s="14" t="str">
        <f aca="false">IF(E1996="","",(E1996-D1996)/D1996*100)</f>
        <v/>
      </c>
      <c r="G1996" s="0" t="str">
        <f aca="false">IF(C1996="BUY","IN",IF(C1996="SELL","OUT",IF(G1995="IN","IN","OUT")))</f>
        <v>IN</v>
      </c>
      <c r="H1996" s="14" t="n">
        <f aca="false">H1995+IF(F1996="",0,F1996)</f>
        <v>-0.222076290481646</v>
      </c>
      <c r="I1996" s="14" t="n">
        <f aca="false">MAX(I1995,H1996)</f>
        <v>43.9309628600509</v>
      </c>
      <c r="J1996" s="14" t="n">
        <f aca="false">I1996-H1996</f>
        <v>44.1530391505325</v>
      </c>
    </row>
    <row r="1997" customFormat="false" ht="15" hidden="false" customHeight="false" outlineLevel="0" collapsed="false">
      <c r="A1997" s="12" t="n">
        <f aca="false">Data!A1997</f>
        <v>44902</v>
      </c>
      <c r="B1997" s="14" t="n">
        <f aca="false">Data!B1997</f>
        <v>72.01</v>
      </c>
      <c r="C1997" s="0" t="str">
        <f aca="false">IF(Data!D1997="","HOLD",IF(AND(G1996&lt;&gt;"IN",Data!E1997&lt;-5),"BUY",IF(AND(G1996="IN",Data!E1997&gt;0),"SELL","HOLD")))</f>
        <v>HOLD</v>
      </c>
      <c r="D1997" s="14" t="n">
        <f aca="false">IF(C1997="BUY",B1997,IF(G1996="IN",D1996,""))</f>
        <v>81.64</v>
      </c>
      <c r="E1997" s="14" t="str">
        <f aca="false">IF(C1997="SELL",B1997,"")</f>
        <v/>
      </c>
      <c r="F1997" s="14" t="str">
        <f aca="false">IF(E1997="","",(E1997-D1997)/D1997*100)</f>
        <v/>
      </c>
      <c r="G1997" s="0" t="str">
        <f aca="false">IF(C1997="BUY","IN",IF(C1997="SELL","OUT",IF(G1996="IN","IN","OUT")))</f>
        <v>IN</v>
      </c>
      <c r="H1997" s="14" t="n">
        <f aca="false">H1996+IF(F1997="",0,F1997)</f>
        <v>-0.222076290481646</v>
      </c>
      <c r="I1997" s="14" t="n">
        <f aca="false">MAX(I1996,H1997)</f>
        <v>43.9309628600509</v>
      </c>
      <c r="J1997" s="14" t="n">
        <f aca="false">I1997-H1997</f>
        <v>44.1530391505325</v>
      </c>
    </row>
    <row r="1998" customFormat="false" ht="15" hidden="false" customHeight="false" outlineLevel="0" collapsed="false">
      <c r="A1998" s="12" t="n">
        <f aca="false">Data!A1998</f>
        <v>44903</v>
      </c>
      <c r="B1998" s="14" t="n">
        <f aca="false">Data!B1998</f>
        <v>71.46</v>
      </c>
      <c r="C1998" s="0" t="str">
        <f aca="false">IF(Data!D1998="","HOLD",IF(AND(G1997&lt;&gt;"IN",Data!E1998&lt;-5),"BUY",IF(AND(G1997="IN",Data!E1998&gt;0),"SELL","HOLD")))</f>
        <v>HOLD</v>
      </c>
      <c r="D1998" s="14" t="n">
        <f aca="false">IF(C1998="BUY",B1998,IF(G1997="IN",D1997,""))</f>
        <v>81.64</v>
      </c>
      <c r="E1998" s="14" t="str">
        <f aca="false">IF(C1998="SELL",B1998,"")</f>
        <v/>
      </c>
      <c r="F1998" s="14" t="str">
        <f aca="false">IF(E1998="","",(E1998-D1998)/D1998*100)</f>
        <v/>
      </c>
      <c r="G1998" s="0" t="str">
        <f aca="false">IF(C1998="BUY","IN",IF(C1998="SELL","OUT",IF(G1997="IN","IN","OUT")))</f>
        <v>IN</v>
      </c>
      <c r="H1998" s="14" t="n">
        <f aca="false">H1997+IF(F1998="",0,F1998)</f>
        <v>-0.222076290481646</v>
      </c>
      <c r="I1998" s="14" t="n">
        <f aca="false">MAX(I1997,H1998)</f>
        <v>43.9309628600509</v>
      </c>
      <c r="J1998" s="14" t="n">
        <f aca="false">I1998-H1998</f>
        <v>44.1530391505325</v>
      </c>
    </row>
    <row r="1999" customFormat="false" ht="15" hidden="false" customHeight="false" outlineLevel="0" collapsed="false">
      <c r="A1999" s="12" t="n">
        <f aca="false">Data!A1999</f>
        <v>44904</v>
      </c>
      <c r="B1999" s="14" t="n">
        <f aca="false">Data!B1999</f>
        <v>71.02</v>
      </c>
      <c r="C1999" s="0" t="str">
        <f aca="false">IF(Data!D1999="","HOLD",IF(AND(G1998&lt;&gt;"IN",Data!E1999&lt;-5),"BUY",IF(AND(G1998="IN",Data!E1999&gt;0),"SELL","HOLD")))</f>
        <v>HOLD</v>
      </c>
      <c r="D1999" s="14" t="n">
        <f aca="false">IF(C1999="BUY",B1999,IF(G1998="IN",D1998,""))</f>
        <v>81.64</v>
      </c>
      <c r="E1999" s="14" t="str">
        <f aca="false">IF(C1999="SELL",B1999,"")</f>
        <v/>
      </c>
      <c r="F1999" s="14" t="str">
        <f aca="false">IF(E1999="","",(E1999-D1999)/D1999*100)</f>
        <v/>
      </c>
      <c r="G1999" s="0" t="str">
        <f aca="false">IF(C1999="BUY","IN",IF(C1999="SELL","OUT",IF(G1998="IN","IN","OUT")))</f>
        <v>IN</v>
      </c>
      <c r="H1999" s="14" t="n">
        <f aca="false">H1998+IF(F1999="",0,F1999)</f>
        <v>-0.222076290481646</v>
      </c>
      <c r="I1999" s="14" t="n">
        <f aca="false">MAX(I1998,H1999)</f>
        <v>43.9309628600509</v>
      </c>
      <c r="J1999" s="14" t="n">
        <f aca="false">I1999-H1999</f>
        <v>44.1530391505325</v>
      </c>
    </row>
    <row r="2000" customFormat="false" ht="15" hidden="false" customHeight="false" outlineLevel="0" collapsed="false">
      <c r="A2000" s="12" t="n">
        <f aca="false">Data!A2000</f>
        <v>44907</v>
      </c>
      <c r="B2000" s="14" t="n">
        <f aca="false">Data!B2000</f>
        <v>73.17</v>
      </c>
      <c r="C2000" s="0" t="str">
        <f aca="false">IF(Data!D2000="","HOLD",IF(AND(G1999&lt;&gt;"IN",Data!E2000&lt;-5),"BUY",IF(AND(G1999="IN",Data!E2000&gt;0),"SELL","HOLD")))</f>
        <v>HOLD</v>
      </c>
      <c r="D2000" s="14" t="n">
        <f aca="false">IF(C2000="BUY",B2000,IF(G1999="IN",D1999,""))</f>
        <v>81.64</v>
      </c>
      <c r="E2000" s="14" t="str">
        <f aca="false">IF(C2000="SELL",B2000,"")</f>
        <v/>
      </c>
      <c r="F2000" s="14" t="str">
        <f aca="false">IF(E2000="","",(E2000-D2000)/D2000*100)</f>
        <v/>
      </c>
      <c r="G2000" s="0" t="str">
        <f aca="false">IF(C2000="BUY","IN",IF(C2000="SELL","OUT",IF(G1999="IN","IN","OUT")))</f>
        <v>IN</v>
      </c>
      <c r="H2000" s="14" t="n">
        <f aca="false">H1999+IF(F2000="",0,F2000)</f>
        <v>-0.222076290481646</v>
      </c>
      <c r="I2000" s="14" t="n">
        <f aca="false">MAX(I1999,H2000)</f>
        <v>43.9309628600509</v>
      </c>
      <c r="J2000" s="14" t="n">
        <f aca="false">I2000-H2000</f>
        <v>44.1530391505325</v>
      </c>
    </row>
    <row r="2001" customFormat="false" ht="15" hidden="false" customHeight="false" outlineLevel="0" collapsed="false">
      <c r="A2001" s="12" t="n">
        <f aca="false">Data!A2001</f>
        <v>44908</v>
      </c>
      <c r="B2001" s="14" t="n">
        <f aca="false">Data!B2001</f>
        <v>75.39</v>
      </c>
      <c r="C2001" s="0" t="str">
        <f aca="false">IF(Data!D2001="","HOLD",IF(AND(G2000&lt;&gt;"IN",Data!E2001&lt;-5),"BUY",IF(AND(G2000="IN",Data!E2001&gt;0),"SELL","HOLD")))</f>
        <v>HOLD</v>
      </c>
      <c r="D2001" s="14" t="n">
        <f aca="false">IF(C2001="BUY",B2001,IF(G2000="IN",D2000,""))</f>
        <v>81.64</v>
      </c>
      <c r="E2001" s="14" t="str">
        <f aca="false">IF(C2001="SELL",B2001,"")</f>
        <v/>
      </c>
      <c r="F2001" s="14" t="str">
        <f aca="false">IF(E2001="","",(E2001-D2001)/D2001*100)</f>
        <v/>
      </c>
      <c r="G2001" s="0" t="str">
        <f aca="false">IF(C2001="BUY","IN",IF(C2001="SELL","OUT",IF(G2000="IN","IN","OUT")))</f>
        <v>IN</v>
      </c>
      <c r="H2001" s="14" t="n">
        <f aca="false">H2000+IF(F2001="",0,F2001)</f>
        <v>-0.222076290481646</v>
      </c>
      <c r="I2001" s="14" t="n">
        <f aca="false">MAX(I2000,H2001)</f>
        <v>43.9309628600509</v>
      </c>
      <c r="J2001" s="14" t="n">
        <f aca="false">I2001-H2001</f>
        <v>44.1530391505325</v>
      </c>
    </row>
    <row r="2002" customFormat="false" ht="15" hidden="false" customHeight="false" outlineLevel="0" collapsed="false">
      <c r="A2002" s="12" t="n">
        <f aca="false">Data!A2002</f>
        <v>44909</v>
      </c>
      <c r="B2002" s="14" t="n">
        <f aca="false">Data!B2002</f>
        <v>77.28</v>
      </c>
      <c r="C2002" s="0" t="str">
        <f aca="false">IF(Data!D2002="","HOLD",IF(AND(G2001&lt;&gt;"IN",Data!E2002&lt;-5),"BUY",IF(AND(G2001="IN",Data!E2002&gt;0),"SELL","HOLD")))</f>
        <v>HOLD</v>
      </c>
      <c r="D2002" s="14" t="n">
        <f aca="false">IF(C2002="BUY",B2002,IF(G2001="IN",D2001,""))</f>
        <v>81.64</v>
      </c>
      <c r="E2002" s="14" t="str">
        <f aca="false">IF(C2002="SELL",B2002,"")</f>
        <v/>
      </c>
      <c r="F2002" s="14" t="str">
        <f aca="false">IF(E2002="","",(E2002-D2002)/D2002*100)</f>
        <v/>
      </c>
      <c r="G2002" s="0" t="str">
        <f aca="false">IF(C2002="BUY","IN",IF(C2002="SELL","OUT",IF(G2001="IN","IN","OUT")))</f>
        <v>IN</v>
      </c>
      <c r="H2002" s="14" t="n">
        <f aca="false">H2001+IF(F2002="",0,F2002)</f>
        <v>-0.222076290481646</v>
      </c>
      <c r="I2002" s="14" t="n">
        <f aca="false">MAX(I2001,H2002)</f>
        <v>43.9309628600509</v>
      </c>
      <c r="J2002" s="14" t="n">
        <f aca="false">I2002-H2002</f>
        <v>44.1530391505325</v>
      </c>
    </row>
    <row r="2003" customFormat="false" ht="15" hidden="false" customHeight="false" outlineLevel="0" collapsed="false">
      <c r="A2003" s="12" t="n">
        <f aca="false">Data!A2003</f>
        <v>44910</v>
      </c>
      <c r="B2003" s="14" t="n">
        <f aca="false">Data!B2003</f>
        <v>76.11</v>
      </c>
      <c r="C2003" s="0" t="str">
        <f aca="false">IF(Data!D2003="","HOLD",IF(AND(G2002&lt;&gt;"IN",Data!E2003&lt;-5),"BUY",IF(AND(G2002="IN",Data!E2003&gt;0),"SELL","HOLD")))</f>
        <v>HOLD</v>
      </c>
      <c r="D2003" s="14" t="n">
        <f aca="false">IF(C2003="BUY",B2003,IF(G2002="IN",D2002,""))</f>
        <v>81.64</v>
      </c>
      <c r="E2003" s="14" t="str">
        <f aca="false">IF(C2003="SELL",B2003,"")</f>
        <v/>
      </c>
      <c r="F2003" s="14" t="str">
        <f aca="false">IF(E2003="","",(E2003-D2003)/D2003*100)</f>
        <v/>
      </c>
      <c r="G2003" s="0" t="str">
        <f aca="false">IF(C2003="BUY","IN",IF(C2003="SELL","OUT",IF(G2002="IN","IN","OUT")))</f>
        <v>IN</v>
      </c>
      <c r="H2003" s="14" t="n">
        <f aca="false">H2002+IF(F2003="",0,F2003)</f>
        <v>-0.222076290481646</v>
      </c>
      <c r="I2003" s="14" t="n">
        <f aca="false">MAX(I2002,H2003)</f>
        <v>43.9309628600509</v>
      </c>
      <c r="J2003" s="14" t="n">
        <f aca="false">I2003-H2003</f>
        <v>44.1530391505325</v>
      </c>
    </row>
    <row r="2004" customFormat="false" ht="15" hidden="false" customHeight="false" outlineLevel="0" collapsed="false">
      <c r="A2004" s="12" t="n">
        <f aca="false">Data!A2004</f>
        <v>44911</v>
      </c>
      <c r="B2004" s="14" t="n">
        <f aca="false">Data!B2004</f>
        <v>74.29</v>
      </c>
      <c r="C2004" s="0" t="str">
        <f aca="false">IF(Data!D2004="","HOLD",IF(AND(G2003&lt;&gt;"IN",Data!E2004&lt;-5),"BUY",IF(AND(G2003="IN",Data!E2004&gt;0),"SELL","HOLD")))</f>
        <v>HOLD</v>
      </c>
      <c r="D2004" s="14" t="n">
        <f aca="false">IF(C2004="BUY",B2004,IF(G2003="IN",D2003,""))</f>
        <v>81.64</v>
      </c>
      <c r="E2004" s="14" t="str">
        <f aca="false">IF(C2004="SELL",B2004,"")</f>
        <v/>
      </c>
      <c r="F2004" s="14" t="str">
        <f aca="false">IF(E2004="","",(E2004-D2004)/D2004*100)</f>
        <v/>
      </c>
      <c r="G2004" s="0" t="str">
        <f aca="false">IF(C2004="BUY","IN",IF(C2004="SELL","OUT",IF(G2003="IN","IN","OUT")))</f>
        <v>IN</v>
      </c>
      <c r="H2004" s="14" t="n">
        <f aca="false">H2003+IF(F2004="",0,F2004)</f>
        <v>-0.222076290481646</v>
      </c>
      <c r="I2004" s="14" t="n">
        <f aca="false">MAX(I2003,H2004)</f>
        <v>43.9309628600509</v>
      </c>
      <c r="J2004" s="14" t="n">
        <f aca="false">I2004-H2004</f>
        <v>44.1530391505325</v>
      </c>
    </row>
    <row r="2005" customFormat="false" ht="15" hidden="false" customHeight="false" outlineLevel="0" collapsed="false">
      <c r="A2005" s="12" t="n">
        <f aca="false">Data!A2005</f>
        <v>44914</v>
      </c>
      <c r="B2005" s="14" t="n">
        <f aca="false">Data!B2005</f>
        <v>75.19</v>
      </c>
      <c r="C2005" s="0" t="str">
        <f aca="false">IF(Data!D2005="","HOLD",IF(AND(G2004&lt;&gt;"IN",Data!E2005&lt;-5),"BUY",IF(AND(G2004="IN",Data!E2005&gt;0),"SELL","HOLD")))</f>
        <v>HOLD</v>
      </c>
      <c r="D2005" s="14" t="n">
        <f aca="false">IF(C2005="BUY",B2005,IF(G2004="IN",D2004,""))</f>
        <v>81.64</v>
      </c>
      <c r="E2005" s="14" t="str">
        <f aca="false">IF(C2005="SELL",B2005,"")</f>
        <v/>
      </c>
      <c r="F2005" s="14" t="str">
        <f aca="false">IF(E2005="","",(E2005-D2005)/D2005*100)</f>
        <v/>
      </c>
      <c r="G2005" s="0" t="str">
        <f aca="false">IF(C2005="BUY","IN",IF(C2005="SELL","OUT",IF(G2004="IN","IN","OUT")))</f>
        <v>IN</v>
      </c>
      <c r="H2005" s="14" t="n">
        <f aca="false">H2004+IF(F2005="",0,F2005)</f>
        <v>-0.222076290481646</v>
      </c>
      <c r="I2005" s="14" t="n">
        <f aca="false">MAX(I2004,H2005)</f>
        <v>43.9309628600509</v>
      </c>
      <c r="J2005" s="14" t="n">
        <f aca="false">I2005-H2005</f>
        <v>44.1530391505325</v>
      </c>
    </row>
    <row r="2006" customFormat="false" ht="15" hidden="false" customHeight="false" outlineLevel="0" collapsed="false">
      <c r="A2006" s="12" t="n">
        <f aca="false">Data!A2006</f>
        <v>44915</v>
      </c>
      <c r="B2006" s="14" t="n">
        <f aca="false">Data!B2006</f>
        <v>76.09</v>
      </c>
      <c r="C2006" s="0" t="str">
        <f aca="false">IF(Data!D2006="","HOLD",IF(AND(G2005&lt;&gt;"IN",Data!E2006&lt;-5),"BUY",IF(AND(G2005="IN",Data!E2006&gt;0),"SELL","HOLD")))</f>
        <v>HOLD</v>
      </c>
      <c r="D2006" s="14" t="n">
        <f aca="false">IF(C2006="BUY",B2006,IF(G2005="IN",D2005,""))</f>
        <v>81.64</v>
      </c>
      <c r="E2006" s="14" t="str">
        <f aca="false">IF(C2006="SELL",B2006,"")</f>
        <v/>
      </c>
      <c r="F2006" s="14" t="str">
        <f aca="false">IF(E2006="","",(E2006-D2006)/D2006*100)</f>
        <v/>
      </c>
      <c r="G2006" s="0" t="str">
        <f aca="false">IF(C2006="BUY","IN",IF(C2006="SELL","OUT",IF(G2005="IN","IN","OUT")))</f>
        <v>IN</v>
      </c>
      <c r="H2006" s="14" t="n">
        <f aca="false">H2005+IF(F2006="",0,F2006)</f>
        <v>-0.222076290481646</v>
      </c>
      <c r="I2006" s="14" t="n">
        <f aca="false">MAX(I2005,H2006)</f>
        <v>43.9309628600509</v>
      </c>
      <c r="J2006" s="14" t="n">
        <f aca="false">I2006-H2006</f>
        <v>44.1530391505325</v>
      </c>
    </row>
    <row r="2007" customFormat="false" ht="15" hidden="false" customHeight="false" outlineLevel="0" collapsed="false">
      <c r="A2007" s="12" t="n">
        <f aca="false">Data!A2007</f>
        <v>44916</v>
      </c>
      <c r="B2007" s="14" t="n">
        <f aca="false">Data!B2007</f>
        <v>78.29</v>
      </c>
      <c r="C2007" s="0" t="str">
        <f aca="false">IF(Data!D2007="","HOLD",IF(AND(G2006&lt;&gt;"IN",Data!E2007&lt;-5),"BUY",IF(AND(G2006="IN",Data!E2007&gt;0),"SELL","HOLD")))</f>
        <v>SELL</v>
      </c>
      <c r="D2007" s="14" t="n">
        <f aca="false">IF(C2007="BUY",B2007,IF(G2006="IN",D2006,""))</f>
        <v>81.64</v>
      </c>
      <c r="E2007" s="14" t="n">
        <f aca="false">IF(C2007="SELL",B2007,"")</f>
        <v>78.29</v>
      </c>
      <c r="F2007" s="14" t="n">
        <f aca="false">IF(E2007="","",(E2007-D2007)/D2007*100)</f>
        <v>-4.10338069573738</v>
      </c>
      <c r="G2007" s="0" t="str">
        <f aca="false">IF(C2007="BUY","IN",IF(C2007="SELL","OUT",IF(G2006="IN","IN","OUT")))</f>
        <v>OUT</v>
      </c>
      <c r="H2007" s="14" t="n">
        <f aca="false">H2006+IF(F2007="",0,F2007)</f>
        <v>-4.32545698621902</v>
      </c>
      <c r="I2007" s="14" t="n">
        <f aca="false">MAX(I2006,H2007)</f>
        <v>43.9309628600509</v>
      </c>
      <c r="J2007" s="14" t="n">
        <f aca="false">I2007-H2007</f>
        <v>48.2564198462699</v>
      </c>
    </row>
    <row r="2008" customFormat="false" ht="15" hidden="false" customHeight="false" outlineLevel="0" collapsed="false">
      <c r="A2008" s="12" t="n">
        <f aca="false">Data!A2008</f>
        <v>44917</v>
      </c>
      <c r="B2008" s="14" t="n">
        <f aca="false">Data!B2008</f>
        <v>77.49</v>
      </c>
      <c r="C2008" s="0" t="str">
        <f aca="false">IF(Data!D2008="","HOLD",IF(AND(G2007&lt;&gt;"IN",Data!E2008&lt;-5),"BUY",IF(AND(G2007="IN",Data!E2008&gt;0),"SELL","HOLD")))</f>
        <v>HOLD</v>
      </c>
      <c r="D2008" s="14" t="str">
        <f aca="false">IF(C2008="BUY",B2008,IF(G2007="IN",D2007,""))</f>
        <v/>
      </c>
      <c r="E2008" s="14" t="str">
        <f aca="false">IF(C2008="SELL",B2008,"")</f>
        <v/>
      </c>
      <c r="F2008" s="14" t="str">
        <f aca="false">IF(E2008="","",(E2008-D2008)/D2008*100)</f>
        <v/>
      </c>
      <c r="G2008" s="0" t="str">
        <f aca="false">IF(C2008="BUY","IN",IF(C2008="SELL","OUT",IF(G2007="IN","IN","OUT")))</f>
        <v>OUT</v>
      </c>
      <c r="H2008" s="14" t="n">
        <f aca="false">H2007+IF(F2008="",0,F2008)</f>
        <v>-4.32545698621902</v>
      </c>
      <c r="I2008" s="14" t="n">
        <f aca="false">MAX(I2007,H2008)</f>
        <v>43.9309628600509</v>
      </c>
      <c r="J2008" s="14" t="n">
        <f aca="false">I2008-H2008</f>
        <v>48.2564198462699</v>
      </c>
    </row>
    <row r="2009" customFormat="false" ht="15" hidden="false" customHeight="false" outlineLevel="0" collapsed="false">
      <c r="A2009" s="12" t="n">
        <f aca="false">Data!A2009</f>
        <v>44918</v>
      </c>
      <c r="B2009" s="14" t="n">
        <f aca="false">Data!B2009</f>
        <v>79.56</v>
      </c>
      <c r="C2009" s="0" t="str">
        <f aca="false">IF(Data!D2009="","HOLD",IF(AND(G2008&lt;&gt;"IN",Data!E2009&lt;-5),"BUY",IF(AND(G2008="IN",Data!E2009&gt;0),"SELL","HOLD")))</f>
        <v>HOLD</v>
      </c>
      <c r="D2009" s="14" t="str">
        <f aca="false">IF(C2009="BUY",B2009,IF(G2008="IN",D2008,""))</f>
        <v/>
      </c>
      <c r="E2009" s="14" t="str">
        <f aca="false">IF(C2009="SELL",B2009,"")</f>
        <v/>
      </c>
      <c r="F2009" s="14" t="str">
        <f aca="false">IF(E2009="","",(E2009-D2009)/D2009*100)</f>
        <v/>
      </c>
      <c r="G2009" s="0" t="str">
        <f aca="false">IF(C2009="BUY","IN",IF(C2009="SELL","OUT",IF(G2008="IN","IN","OUT")))</f>
        <v>OUT</v>
      </c>
      <c r="H2009" s="14" t="n">
        <f aca="false">H2008+IF(F2009="",0,F2009)</f>
        <v>-4.32545698621902</v>
      </c>
      <c r="I2009" s="14" t="n">
        <f aca="false">MAX(I2008,H2009)</f>
        <v>43.9309628600509</v>
      </c>
      <c r="J2009" s="14" t="n">
        <f aca="false">I2009-H2009</f>
        <v>48.2564198462699</v>
      </c>
    </row>
    <row r="2010" customFormat="false" ht="15" hidden="false" customHeight="false" outlineLevel="0" collapsed="false">
      <c r="A2010" s="12" t="n">
        <f aca="false">Data!A2010</f>
        <v>44922</v>
      </c>
      <c r="B2010" s="14" t="n">
        <f aca="false">Data!B2010</f>
        <v>79.53</v>
      </c>
      <c r="C2010" s="0" t="str">
        <f aca="false">IF(Data!D2010="","HOLD",IF(AND(G2009&lt;&gt;"IN",Data!E2010&lt;-5),"BUY",IF(AND(G2009="IN",Data!E2010&gt;0),"SELL","HOLD")))</f>
        <v>HOLD</v>
      </c>
      <c r="D2010" s="14" t="str">
        <f aca="false">IF(C2010="BUY",B2010,IF(G2009="IN",D2009,""))</f>
        <v/>
      </c>
      <c r="E2010" s="14" t="str">
        <f aca="false">IF(C2010="SELL",B2010,"")</f>
        <v/>
      </c>
      <c r="F2010" s="14" t="str">
        <f aca="false">IF(E2010="","",(E2010-D2010)/D2010*100)</f>
        <v/>
      </c>
      <c r="G2010" s="0" t="str">
        <f aca="false">IF(C2010="BUY","IN",IF(C2010="SELL","OUT",IF(G2009="IN","IN","OUT")))</f>
        <v>OUT</v>
      </c>
      <c r="H2010" s="14" t="n">
        <f aca="false">H2009+IF(F2010="",0,F2010)</f>
        <v>-4.32545698621902</v>
      </c>
      <c r="I2010" s="14" t="n">
        <f aca="false">MAX(I2009,H2010)</f>
        <v>43.9309628600509</v>
      </c>
      <c r="J2010" s="14" t="n">
        <f aca="false">I2010-H2010</f>
        <v>48.2564198462699</v>
      </c>
    </row>
    <row r="2011" customFormat="false" ht="15" hidden="false" customHeight="false" outlineLevel="0" collapsed="false">
      <c r="A2011" s="12" t="n">
        <f aca="false">Data!A2011</f>
        <v>44923</v>
      </c>
      <c r="B2011" s="14" t="n">
        <f aca="false">Data!B2011</f>
        <v>78.96</v>
      </c>
      <c r="C2011" s="0" t="str">
        <f aca="false">IF(Data!D2011="","HOLD",IF(AND(G2010&lt;&gt;"IN",Data!E2011&lt;-5),"BUY",IF(AND(G2010="IN",Data!E2011&gt;0),"SELL","HOLD")))</f>
        <v>HOLD</v>
      </c>
      <c r="D2011" s="14" t="str">
        <f aca="false">IF(C2011="BUY",B2011,IF(G2010="IN",D2010,""))</f>
        <v/>
      </c>
      <c r="E2011" s="14" t="str">
        <f aca="false">IF(C2011="SELL",B2011,"")</f>
        <v/>
      </c>
      <c r="F2011" s="14" t="str">
        <f aca="false">IF(E2011="","",(E2011-D2011)/D2011*100)</f>
        <v/>
      </c>
      <c r="G2011" s="0" t="str">
        <f aca="false">IF(C2011="BUY","IN",IF(C2011="SELL","OUT",IF(G2010="IN","IN","OUT")))</f>
        <v>OUT</v>
      </c>
      <c r="H2011" s="14" t="n">
        <f aca="false">H2010+IF(F2011="",0,F2011)</f>
        <v>-4.32545698621902</v>
      </c>
      <c r="I2011" s="14" t="n">
        <f aca="false">MAX(I2010,H2011)</f>
        <v>43.9309628600509</v>
      </c>
      <c r="J2011" s="14" t="n">
        <f aca="false">I2011-H2011</f>
        <v>48.2564198462699</v>
      </c>
    </row>
    <row r="2012" customFormat="false" ht="15" hidden="false" customHeight="false" outlineLevel="0" collapsed="false">
      <c r="A2012" s="12" t="n">
        <f aca="false">Data!A2012</f>
        <v>44924</v>
      </c>
      <c r="B2012" s="14" t="n">
        <f aca="false">Data!B2012</f>
        <v>78.4</v>
      </c>
      <c r="C2012" s="0" t="str">
        <f aca="false">IF(Data!D2012="","HOLD",IF(AND(G2011&lt;&gt;"IN",Data!E2012&lt;-5),"BUY",IF(AND(G2011="IN",Data!E2012&gt;0),"SELL","HOLD")))</f>
        <v>HOLD</v>
      </c>
      <c r="D2012" s="14" t="str">
        <f aca="false">IF(C2012="BUY",B2012,IF(G2011="IN",D2011,""))</f>
        <v/>
      </c>
      <c r="E2012" s="14" t="str">
        <f aca="false">IF(C2012="SELL",B2012,"")</f>
        <v/>
      </c>
      <c r="F2012" s="14" t="str">
        <f aca="false">IF(E2012="","",(E2012-D2012)/D2012*100)</f>
        <v/>
      </c>
      <c r="G2012" s="0" t="str">
        <f aca="false">IF(C2012="BUY","IN",IF(C2012="SELL","OUT",IF(G2011="IN","IN","OUT")))</f>
        <v>OUT</v>
      </c>
      <c r="H2012" s="14" t="n">
        <f aca="false">H2011+IF(F2012="",0,F2012)</f>
        <v>-4.32545698621902</v>
      </c>
      <c r="I2012" s="14" t="n">
        <f aca="false">MAX(I2011,H2012)</f>
        <v>43.9309628600509</v>
      </c>
      <c r="J2012" s="14" t="n">
        <f aca="false">I2012-H2012</f>
        <v>48.2564198462699</v>
      </c>
    </row>
    <row r="2013" customFormat="false" ht="15" hidden="false" customHeight="false" outlineLevel="0" collapsed="false">
      <c r="A2013" s="12" t="n">
        <f aca="false">Data!A2013</f>
        <v>44925</v>
      </c>
      <c r="B2013" s="14" t="n">
        <f aca="false">Data!B2013</f>
        <v>80.26</v>
      </c>
      <c r="C2013" s="0" t="str">
        <f aca="false">IF(Data!D2013="","HOLD",IF(AND(G2012&lt;&gt;"IN",Data!E2013&lt;-5),"BUY",IF(AND(G2012="IN",Data!E2013&gt;0),"SELL","HOLD")))</f>
        <v>HOLD</v>
      </c>
      <c r="D2013" s="14" t="str">
        <f aca="false">IF(C2013="BUY",B2013,IF(G2012="IN",D2012,""))</f>
        <v/>
      </c>
      <c r="E2013" s="14" t="str">
        <f aca="false">IF(C2013="SELL",B2013,"")</f>
        <v/>
      </c>
      <c r="F2013" s="14" t="str">
        <f aca="false">IF(E2013="","",(E2013-D2013)/D2013*100)</f>
        <v/>
      </c>
      <c r="G2013" s="0" t="str">
        <f aca="false">IF(C2013="BUY","IN",IF(C2013="SELL","OUT",IF(G2012="IN","IN","OUT")))</f>
        <v>OUT</v>
      </c>
      <c r="H2013" s="14" t="n">
        <f aca="false">H2012+IF(F2013="",0,F2013)</f>
        <v>-4.32545698621902</v>
      </c>
      <c r="I2013" s="14" t="n">
        <f aca="false">MAX(I2012,H2013)</f>
        <v>43.9309628600509</v>
      </c>
      <c r="J2013" s="14" t="n">
        <f aca="false">I2013-H2013</f>
        <v>48.2564198462699</v>
      </c>
    </row>
    <row r="2014" customFormat="false" ht="15" hidden="false" customHeight="false" outlineLevel="0" collapsed="false">
      <c r="A2014" s="12" t="n">
        <f aca="false">Data!A2014</f>
        <v>44929</v>
      </c>
      <c r="B2014" s="14" t="n">
        <f aca="false">Data!B2014</f>
        <v>76.93</v>
      </c>
      <c r="C2014" s="0" t="str">
        <f aca="false">IF(Data!D2014="","HOLD",IF(AND(G2013&lt;&gt;"IN",Data!E2014&lt;-5),"BUY",IF(AND(G2013="IN",Data!E2014&gt;0),"SELL","HOLD")))</f>
        <v>HOLD</v>
      </c>
      <c r="D2014" s="14" t="str">
        <f aca="false">IF(C2014="BUY",B2014,IF(G2013="IN",D2013,""))</f>
        <v/>
      </c>
      <c r="E2014" s="14" t="str">
        <f aca="false">IF(C2014="SELL",B2014,"")</f>
        <v/>
      </c>
      <c r="F2014" s="14" t="str">
        <f aca="false">IF(E2014="","",(E2014-D2014)/D2014*100)</f>
        <v/>
      </c>
      <c r="G2014" s="0" t="str">
        <f aca="false">IF(C2014="BUY","IN",IF(C2014="SELL","OUT",IF(G2013="IN","IN","OUT")))</f>
        <v>OUT</v>
      </c>
      <c r="H2014" s="14" t="n">
        <f aca="false">H2013+IF(F2014="",0,F2014)</f>
        <v>-4.32545698621902</v>
      </c>
      <c r="I2014" s="14" t="n">
        <f aca="false">MAX(I2013,H2014)</f>
        <v>43.9309628600509</v>
      </c>
      <c r="J2014" s="14" t="n">
        <f aca="false">I2014-H2014</f>
        <v>48.2564198462699</v>
      </c>
    </row>
    <row r="2015" customFormat="false" ht="15" hidden="false" customHeight="false" outlineLevel="0" collapsed="false">
      <c r="A2015" s="12" t="n">
        <f aca="false">Data!A2015</f>
        <v>44930</v>
      </c>
      <c r="B2015" s="14" t="n">
        <f aca="false">Data!B2015</f>
        <v>72.84</v>
      </c>
      <c r="C2015" s="0" t="str">
        <f aca="false">IF(Data!D2015="","HOLD",IF(AND(G2014&lt;&gt;"IN",Data!E2015&lt;-5),"BUY",IF(AND(G2014="IN",Data!E2015&gt;0),"SELL","HOLD")))</f>
        <v>HOLD</v>
      </c>
      <c r="D2015" s="14" t="str">
        <f aca="false">IF(C2015="BUY",B2015,IF(G2014="IN",D2014,""))</f>
        <v/>
      </c>
      <c r="E2015" s="14" t="str">
        <f aca="false">IF(C2015="SELL",B2015,"")</f>
        <v/>
      </c>
      <c r="F2015" s="14" t="str">
        <f aca="false">IF(E2015="","",(E2015-D2015)/D2015*100)</f>
        <v/>
      </c>
      <c r="G2015" s="0" t="str">
        <f aca="false">IF(C2015="BUY","IN",IF(C2015="SELL","OUT",IF(G2014="IN","IN","OUT")))</f>
        <v>OUT</v>
      </c>
      <c r="H2015" s="14" t="n">
        <f aca="false">H2014+IF(F2015="",0,F2015)</f>
        <v>-4.32545698621902</v>
      </c>
      <c r="I2015" s="14" t="n">
        <f aca="false">MAX(I2014,H2015)</f>
        <v>43.9309628600509</v>
      </c>
      <c r="J2015" s="14" t="n">
        <f aca="false">I2015-H2015</f>
        <v>48.2564198462699</v>
      </c>
    </row>
    <row r="2016" customFormat="false" ht="15" hidden="false" customHeight="false" outlineLevel="0" collapsed="false">
      <c r="A2016" s="12" t="n">
        <f aca="false">Data!A2016</f>
        <v>44931</v>
      </c>
      <c r="B2016" s="14" t="n">
        <f aca="false">Data!B2016</f>
        <v>73.67</v>
      </c>
      <c r="C2016" s="0" t="str">
        <f aca="false">IF(Data!D2016="","HOLD",IF(AND(G2015&lt;&gt;"IN",Data!E2016&lt;-5),"BUY",IF(AND(G2015="IN",Data!E2016&gt;0),"SELL","HOLD")))</f>
        <v>HOLD</v>
      </c>
      <c r="D2016" s="14" t="str">
        <f aca="false">IF(C2016="BUY",B2016,IF(G2015="IN",D2015,""))</f>
        <v/>
      </c>
      <c r="E2016" s="14" t="str">
        <f aca="false">IF(C2016="SELL",B2016,"")</f>
        <v/>
      </c>
      <c r="F2016" s="14" t="str">
        <f aca="false">IF(E2016="","",(E2016-D2016)/D2016*100)</f>
        <v/>
      </c>
      <c r="G2016" s="0" t="str">
        <f aca="false">IF(C2016="BUY","IN",IF(C2016="SELL","OUT",IF(G2015="IN","IN","OUT")))</f>
        <v>OUT</v>
      </c>
      <c r="H2016" s="14" t="n">
        <f aca="false">H2015+IF(F2016="",0,F2016)</f>
        <v>-4.32545698621902</v>
      </c>
      <c r="I2016" s="14" t="n">
        <f aca="false">MAX(I2015,H2016)</f>
        <v>43.9309628600509</v>
      </c>
      <c r="J2016" s="14" t="n">
        <f aca="false">I2016-H2016</f>
        <v>48.2564198462699</v>
      </c>
    </row>
    <row r="2017" customFormat="false" ht="15" hidden="false" customHeight="false" outlineLevel="0" collapsed="false">
      <c r="A2017" s="12" t="n">
        <f aca="false">Data!A2017</f>
        <v>44932</v>
      </c>
      <c r="B2017" s="14" t="n">
        <f aca="false">Data!B2017</f>
        <v>73.77</v>
      </c>
      <c r="C2017" s="0" t="str">
        <f aca="false">IF(Data!D2017="","HOLD",IF(AND(G2016&lt;&gt;"IN",Data!E2017&lt;-5),"BUY",IF(AND(G2016="IN",Data!E2017&gt;0),"SELL","HOLD")))</f>
        <v>HOLD</v>
      </c>
      <c r="D2017" s="14" t="str">
        <f aca="false">IF(C2017="BUY",B2017,IF(G2016="IN",D2016,""))</f>
        <v/>
      </c>
      <c r="E2017" s="14" t="str">
        <f aca="false">IF(C2017="SELL",B2017,"")</f>
        <v/>
      </c>
      <c r="F2017" s="14" t="str">
        <f aca="false">IF(E2017="","",(E2017-D2017)/D2017*100)</f>
        <v/>
      </c>
      <c r="G2017" s="0" t="str">
        <f aca="false">IF(C2017="BUY","IN",IF(C2017="SELL","OUT",IF(G2016="IN","IN","OUT")))</f>
        <v>OUT</v>
      </c>
      <c r="H2017" s="14" t="n">
        <f aca="false">H2016+IF(F2017="",0,F2017)</f>
        <v>-4.32545698621902</v>
      </c>
      <c r="I2017" s="14" t="n">
        <f aca="false">MAX(I2016,H2017)</f>
        <v>43.9309628600509</v>
      </c>
      <c r="J2017" s="14" t="n">
        <f aca="false">I2017-H2017</f>
        <v>48.2564198462699</v>
      </c>
    </row>
    <row r="2018" customFormat="false" ht="15" hidden="false" customHeight="false" outlineLevel="0" collapsed="false">
      <c r="A2018" s="12" t="n">
        <f aca="false">Data!A2018</f>
        <v>44935</v>
      </c>
      <c r="B2018" s="14" t="n">
        <f aca="false">Data!B2018</f>
        <v>74.63</v>
      </c>
      <c r="C2018" s="0" t="str">
        <f aca="false">IF(Data!D2018="","HOLD",IF(AND(G2017&lt;&gt;"IN",Data!E2018&lt;-5),"BUY",IF(AND(G2017="IN",Data!E2018&gt;0),"SELL","HOLD")))</f>
        <v>HOLD</v>
      </c>
      <c r="D2018" s="14" t="str">
        <f aca="false">IF(C2018="BUY",B2018,IF(G2017="IN",D2017,""))</f>
        <v/>
      </c>
      <c r="E2018" s="14" t="str">
        <f aca="false">IF(C2018="SELL",B2018,"")</f>
        <v/>
      </c>
      <c r="F2018" s="14" t="str">
        <f aca="false">IF(E2018="","",(E2018-D2018)/D2018*100)</f>
        <v/>
      </c>
      <c r="G2018" s="0" t="str">
        <f aca="false">IF(C2018="BUY","IN",IF(C2018="SELL","OUT",IF(G2017="IN","IN","OUT")))</f>
        <v>OUT</v>
      </c>
      <c r="H2018" s="14" t="n">
        <f aca="false">H2017+IF(F2018="",0,F2018)</f>
        <v>-4.32545698621902</v>
      </c>
      <c r="I2018" s="14" t="n">
        <f aca="false">MAX(I2017,H2018)</f>
        <v>43.9309628600509</v>
      </c>
      <c r="J2018" s="14" t="n">
        <f aca="false">I2018-H2018</f>
        <v>48.2564198462699</v>
      </c>
    </row>
    <row r="2019" customFormat="false" ht="15" hidden="false" customHeight="false" outlineLevel="0" collapsed="false">
      <c r="A2019" s="12" t="n">
        <f aca="false">Data!A2019</f>
        <v>44936</v>
      </c>
      <c r="B2019" s="14" t="n">
        <f aca="false">Data!B2019</f>
        <v>75.12</v>
      </c>
      <c r="C2019" s="0" t="str">
        <f aca="false">IF(Data!D2019="","HOLD",IF(AND(G2018&lt;&gt;"IN",Data!E2019&lt;-5),"BUY",IF(AND(G2018="IN",Data!E2019&gt;0),"SELL","HOLD")))</f>
        <v>HOLD</v>
      </c>
      <c r="D2019" s="14" t="str">
        <f aca="false">IF(C2019="BUY",B2019,IF(G2018="IN",D2018,""))</f>
        <v/>
      </c>
      <c r="E2019" s="14" t="str">
        <f aca="false">IF(C2019="SELL",B2019,"")</f>
        <v/>
      </c>
      <c r="F2019" s="14" t="str">
        <f aca="false">IF(E2019="","",(E2019-D2019)/D2019*100)</f>
        <v/>
      </c>
      <c r="G2019" s="0" t="str">
        <f aca="false">IF(C2019="BUY","IN",IF(C2019="SELL","OUT",IF(G2018="IN","IN","OUT")))</f>
        <v>OUT</v>
      </c>
      <c r="H2019" s="14" t="n">
        <f aca="false">H2018+IF(F2019="",0,F2019)</f>
        <v>-4.32545698621902</v>
      </c>
      <c r="I2019" s="14" t="n">
        <f aca="false">MAX(I2018,H2019)</f>
        <v>43.9309628600509</v>
      </c>
      <c r="J2019" s="14" t="n">
        <f aca="false">I2019-H2019</f>
        <v>48.2564198462699</v>
      </c>
    </row>
    <row r="2020" customFormat="false" ht="15" hidden="false" customHeight="false" outlineLevel="0" collapsed="false">
      <c r="A2020" s="12" t="n">
        <f aca="false">Data!A2020</f>
        <v>44937</v>
      </c>
      <c r="B2020" s="14" t="n">
        <f aca="false">Data!B2020</f>
        <v>77.41</v>
      </c>
      <c r="C2020" s="0" t="str">
        <f aca="false">IF(Data!D2020="","HOLD",IF(AND(G2019&lt;&gt;"IN",Data!E2020&lt;-5),"BUY",IF(AND(G2019="IN",Data!E2020&gt;0),"SELL","HOLD")))</f>
        <v>HOLD</v>
      </c>
      <c r="D2020" s="14" t="str">
        <f aca="false">IF(C2020="BUY",B2020,IF(G2019="IN",D2019,""))</f>
        <v/>
      </c>
      <c r="E2020" s="14" t="str">
        <f aca="false">IF(C2020="SELL",B2020,"")</f>
        <v/>
      </c>
      <c r="F2020" s="14" t="str">
        <f aca="false">IF(E2020="","",(E2020-D2020)/D2020*100)</f>
        <v/>
      </c>
      <c r="G2020" s="0" t="str">
        <f aca="false">IF(C2020="BUY","IN",IF(C2020="SELL","OUT",IF(G2019="IN","IN","OUT")))</f>
        <v>OUT</v>
      </c>
      <c r="H2020" s="14" t="n">
        <f aca="false">H2019+IF(F2020="",0,F2020)</f>
        <v>-4.32545698621902</v>
      </c>
      <c r="I2020" s="14" t="n">
        <f aca="false">MAX(I2019,H2020)</f>
        <v>43.9309628600509</v>
      </c>
      <c r="J2020" s="14" t="n">
        <f aca="false">I2020-H2020</f>
        <v>48.2564198462699</v>
      </c>
    </row>
    <row r="2021" customFormat="false" ht="15" hidden="false" customHeight="false" outlineLevel="0" collapsed="false">
      <c r="A2021" s="12" t="n">
        <f aca="false">Data!A2021</f>
        <v>44938</v>
      </c>
      <c r="B2021" s="14" t="n">
        <f aca="false">Data!B2021</f>
        <v>78.39</v>
      </c>
      <c r="C2021" s="0" t="str">
        <f aca="false">IF(Data!D2021="","HOLD",IF(AND(G2020&lt;&gt;"IN",Data!E2021&lt;-5),"BUY",IF(AND(G2020="IN",Data!E2021&gt;0),"SELL","HOLD")))</f>
        <v>HOLD</v>
      </c>
      <c r="D2021" s="14" t="str">
        <f aca="false">IF(C2021="BUY",B2021,IF(G2020="IN",D2020,""))</f>
        <v/>
      </c>
      <c r="E2021" s="14" t="str">
        <f aca="false">IF(C2021="SELL",B2021,"")</f>
        <v/>
      </c>
      <c r="F2021" s="14" t="str">
        <f aca="false">IF(E2021="","",(E2021-D2021)/D2021*100)</f>
        <v/>
      </c>
      <c r="G2021" s="0" t="str">
        <f aca="false">IF(C2021="BUY","IN",IF(C2021="SELL","OUT",IF(G2020="IN","IN","OUT")))</f>
        <v>OUT</v>
      </c>
      <c r="H2021" s="14" t="n">
        <f aca="false">H2020+IF(F2021="",0,F2021)</f>
        <v>-4.32545698621902</v>
      </c>
      <c r="I2021" s="14" t="n">
        <f aca="false">MAX(I2020,H2021)</f>
        <v>43.9309628600509</v>
      </c>
      <c r="J2021" s="14" t="n">
        <f aca="false">I2021-H2021</f>
        <v>48.2564198462699</v>
      </c>
    </row>
    <row r="2022" customFormat="false" ht="15" hidden="false" customHeight="false" outlineLevel="0" collapsed="false">
      <c r="A2022" s="12" t="n">
        <f aca="false">Data!A2022</f>
        <v>44939</v>
      </c>
      <c r="B2022" s="14" t="n">
        <f aca="false">Data!B2022</f>
        <v>79.86</v>
      </c>
      <c r="C2022" s="0" t="str">
        <f aca="false">IF(Data!D2022="","HOLD",IF(AND(G2021&lt;&gt;"IN",Data!E2022&lt;-5),"BUY",IF(AND(G2021="IN",Data!E2022&gt;0),"SELL","HOLD")))</f>
        <v>HOLD</v>
      </c>
      <c r="D2022" s="14" t="str">
        <f aca="false">IF(C2022="BUY",B2022,IF(G2021="IN",D2021,""))</f>
        <v/>
      </c>
      <c r="E2022" s="14" t="str">
        <f aca="false">IF(C2022="SELL",B2022,"")</f>
        <v/>
      </c>
      <c r="F2022" s="14" t="str">
        <f aca="false">IF(E2022="","",(E2022-D2022)/D2022*100)</f>
        <v/>
      </c>
      <c r="G2022" s="0" t="str">
        <f aca="false">IF(C2022="BUY","IN",IF(C2022="SELL","OUT",IF(G2021="IN","IN","OUT")))</f>
        <v>OUT</v>
      </c>
      <c r="H2022" s="14" t="n">
        <f aca="false">H2021+IF(F2022="",0,F2022)</f>
        <v>-4.32545698621902</v>
      </c>
      <c r="I2022" s="14" t="n">
        <f aca="false">MAX(I2021,H2022)</f>
        <v>43.9309628600509</v>
      </c>
      <c r="J2022" s="14" t="n">
        <f aca="false">I2022-H2022</f>
        <v>48.2564198462699</v>
      </c>
    </row>
    <row r="2023" customFormat="false" ht="15" hidden="false" customHeight="false" outlineLevel="0" collapsed="false">
      <c r="A2023" s="12" t="n">
        <f aca="false">Data!A2023</f>
        <v>44943</v>
      </c>
      <c r="B2023" s="14" t="n">
        <f aca="false">Data!B2023</f>
        <v>80.18</v>
      </c>
      <c r="C2023" s="0" t="str">
        <f aca="false">IF(Data!D2023="","HOLD",IF(AND(G2022&lt;&gt;"IN",Data!E2023&lt;-5),"BUY",IF(AND(G2022="IN",Data!E2023&gt;0),"SELL","HOLD")))</f>
        <v>HOLD</v>
      </c>
      <c r="D2023" s="14" t="str">
        <f aca="false">IF(C2023="BUY",B2023,IF(G2022="IN",D2022,""))</f>
        <v/>
      </c>
      <c r="E2023" s="14" t="str">
        <f aca="false">IF(C2023="SELL",B2023,"")</f>
        <v/>
      </c>
      <c r="F2023" s="14" t="str">
        <f aca="false">IF(E2023="","",(E2023-D2023)/D2023*100)</f>
        <v/>
      </c>
      <c r="G2023" s="0" t="str">
        <f aca="false">IF(C2023="BUY","IN",IF(C2023="SELL","OUT",IF(G2022="IN","IN","OUT")))</f>
        <v>OUT</v>
      </c>
      <c r="H2023" s="14" t="n">
        <f aca="false">H2022+IF(F2023="",0,F2023)</f>
        <v>-4.32545698621902</v>
      </c>
      <c r="I2023" s="14" t="n">
        <f aca="false">MAX(I2022,H2023)</f>
        <v>43.9309628600509</v>
      </c>
      <c r="J2023" s="14" t="n">
        <f aca="false">I2023-H2023</f>
        <v>48.2564198462699</v>
      </c>
    </row>
    <row r="2024" customFormat="false" ht="15" hidden="false" customHeight="false" outlineLevel="0" collapsed="false">
      <c r="A2024" s="12" t="n">
        <f aca="false">Data!A2024</f>
        <v>44944</v>
      </c>
      <c r="B2024" s="14" t="n">
        <f aca="false">Data!B2024</f>
        <v>79.48</v>
      </c>
      <c r="C2024" s="0" t="str">
        <f aca="false">IF(Data!D2024="","HOLD",IF(AND(G2023&lt;&gt;"IN",Data!E2024&lt;-5),"BUY",IF(AND(G2023="IN",Data!E2024&gt;0),"SELL","HOLD")))</f>
        <v>HOLD</v>
      </c>
      <c r="D2024" s="14" t="str">
        <f aca="false">IF(C2024="BUY",B2024,IF(G2023="IN",D2023,""))</f>
        <v/>
      </c>
      <c r="E2024" s="14" t="str">
        <f aca="false">IF(C2024="SELL",B2024,"")</f>
        <v/>
      </c>
      <c r="F2024" s="14" t="str">
        <f aca="false">IF(E2024="","",(E2024-D2024)/D2024*100)</f>
        <v/>
      </c>
      <c r="G2024" s="0" t="str">
        <f aca="false">IF(C2024="BUY","IN",IF(C2024="SELL","OUT",IF(G2023="IN","IN","OUT")))</f>
        <v>OUT</v>
      </c>
      <c r="H2024" s="14" t="n">
        <f aca="false">H2023+IF(F2024="",0,F2024)</f>
        <v>-4.32545698621902</v>
      </c>
      <c r="I2024" s="14" t="n">
        <f aca="false">MAX(I2023,H2024)</f>
        <v>43.9309628600509</v>
      </c>
      <c r="J2024" s="14" t="n">
        <f aca="false">I2024-H2024</f>
        <v>48.2564198462699</v>
      </c>
    </row>
    <row r="2025" customFormat="false" ht="15" hidden="false" customHeight="false" outlineLevel="0" collapsed="false">
      <c r="A2025" s="12" t="n">
        <f aca="false">Data!A2025</f>
        <v>44945</v>
      </c>
      <c r="B2025" s="14" t="n">
        <f aca="false">Data!B2025</f>
        <v>80.33</v>
      </c>
      <c r="C2025" s="0" t="str">
        <f aca="false">IF(Data!D2025="","HOLD",IF(AND(G2024&lt;&gt;"IN",Data!E2025&lt;-5),"BUY",IF(AND(G2024="IN",Data!E2025&gt;0),"SELL","HOLD")))</f>
        <v>HOLD</v>
      </c>
      <c r="D2025" s="14" t="str">
        <f aca="false">IF(C2025="BUY",B2025,IF(G2024="IN",D2024,""))</f>
        <v/>
      </c>
      <c r="E2025" s="14" t="str">
        <f aca="false">IF(C2025="SELL",B2025,"")</f>
        <v/>
      </c>
      <c r="F2025" s="14" t="str">
        <f aca="false">IF(E2025="","",(E2025-D2025)/D2025*100)</f>
        <v/>
      </c>
      <c r="G2025" s="0" t="str">
        <f aca="false">IF(C2025="BUY","IN",IF(C2025="SELL","OUT",IF(G2024="IN","IN","OUT")))</f>
        <v>OUT</v>
      </c>
      <c r="H2025" s="14" t="n">
        <f aca="false">H2024+IF(F2025="",0,F2025)</f>
        <v>-4.32545698621902</v>
      </c>
      <c r="I2025" s="14" t="n">
        <f aca="false">MAX(I2024,H2025)</f>
        <v>43.9309628600509</v>
      </c>
      <c r="J2025" s="14" t="n">
        <f aca="false">I2025-H2025</f>
        <v>48.2564198462699</v>
      </c>
    </row>
    <row r="2026" customFormat="false" ht="15" hidden="false" customHeight="false" outlineLevel="0" collapsed="false">
      <c r="A2026" s="12" t="n">
        <f aca="false">Data!A2026</f>
        <v>44946</v>
      </c>
      <c r="B2026" s="14" t="n">
        <f aca="false">Data!B2026</f>
        <v>81.31</v>
      </c>
      <c r="C2026" s="0" t="str">
        <f aca="false">IF(Data!D2026="","HOLD",IF(AND(G2025&lt;&gt;"IN",Data!E2026&lt;-5),"BUY",IF(AND(G2025="IN",Data!E2026&gt;0),"SELL","HOLD")))</f>
        <v>HOLD</v>
      </c>
      <c r="D2026" s="14" t="str">
        <f aca="false">IF(C2026="BUY",B2026,IF(G2025="IN",D2025,""))</f>
        <v/>
      </c>
      <c r="E2026" s="14" t="str">
        <f aca="false">IF(C2026="SELL",B2026,"")</f>
        <v/>
      </c>
      <c r="F2026" s="14" t="str">
        <f aca="false">IF(E2026="","",(E2026-D2026)/D2026*100)</f>
        <v/>
      </c>
      <c r="G2026" s="0" t="str">
        <f aca="false">IF(C2026="BUY","IN",IF(C2026="SELL","OUT",IF(G2025="IN","IN","OUT")))</f>
        <v>OUT</v>
      </c>
      <c r="H2026" s="14" t="n">
        <f aca="false">H2025+IF(F2026="",0,F2026)</f>
        <v>-4.32545698621902</v>
      </c>
      <c r="I2026" s="14" t="n">
        <f aca="false">MAX(I2025,H2026)</f>
        <v>43.9309628600509</v>
      </c>
      <c r="J2026" s="14" t="n">
        <f aca="false">I2026-H2026</f>
        <v>48.2564198462699</v>
      </c>
    </row>
    <row r="2027" customFormat="false" ht="15" hidden="false" customHeight="false" outlineLevel="0" collapsed="false">
      <c r="A2027" s="12" t="n">
        <f aca="false">Data!A2027</f>
        <v>44949</v>
      </c>
      <c r="B2027" s="14" t="n">
        <f aca="false">Data!B2027</f>
        <v>81.62</v>
      </c>
      <c r="C2027" s="0" t="str">
        <f aca="false">IF(Data!D2027="","HOLD",IF(AND(G2026&lt;&gt;"IN",Data!E2027&lt;-5),"BUY",IF(AND(G2026="IN",Data!E2027&gt;0),"SELL","HOLD")))</f>
        <v>HOLD</v>
      </c>
      <c r="D2027" s="14" t="str">
        <f aca="false">IF(C2027="BUY",B2027,IF(G2026="IN",D2026,""))</f>
        <v/>
      </c>
      <c r="E2027" s="14" t="str">
        <f aca="false">IF(C2027="SELL",B2027,"")</f>
        <v/>
      </c>
      <c r="F2027" s="14" t="str">
        <f aca="false">IF(E2027="","",(E2027-D2027)/D2027*100)</f>
        <v/>
      </c>
      <c r="G2027" s="0" t="str">
        <f aca="false">IF(C2027="BUY","IN",IF(C2027="SELL","OUT",IF(G2026="IN","IN","OUT")))</f>
        <v>OUT</v>
      </c>
      <c r="H2027" s="14" t="n">
        <f aca="false">H2026+IF(F2027="",0,F2027)</f>
        <v>-4.32545698621902</v>
      </c>
      <c r="I2027" s="14" t="n">
        <f aca="false">MAX(I2026,H2027)</f>
        <v>43.9309628600509</v>
      </c>
      <c r="J2027" s="14" t="n">
        <f aca="false">I2027-H2027</f>
        <v>48.2564198462699</v>
      </c>
    </row>
    <row r="2028" customFormat="false" ht="15" hidden="false" customHeight="false" outlineLevel="0" collapsed="false">
      <c r="A2028" s="12" t="n">
        <f aca="false">Data!A2028</f>
        <v>44950</v>
      </c>
      <c r="B2028" s="14" t="n">
        <f aca="false">Data!B2028</f>
        <v>80.13</v>
      </c>
      <c r="C2028" s="0" t="str">
        <f aca="false">IF(Data!D2028="","HOLD",IF(AND(G2027&lt;&gt;"IN",Data!E2028&lt;-5),"BUY",IF(AND(G2027="IN",Data!E2028&gt;0),"SELL","HOLD")))</f>
        <v>HOLD</v>
      </c>
      <c r="D2028" s="14" t="str">
        <f aca="false">IF(C2028="BUY",B2028,IF(G2027="IN",D2027,""))</f>
        <v/>
      </c>
      <c r="E2028" s="14" t="str">
        <f aca="false">IF(C2028="SELL",B2028,"")</f>
        <v/>
      </c>
      <c r="F2028" s="14" t="str">
        <f aca="false">IF(E2028="","",(E2028-D2028)/D2028*100)</f>
        <v/>
      </c>
      <c r="G2028" s="0" t="str">
        <f aca="false">IF(C2028="BUY","IN",IF(C2028="SELL","OUT",IF(G2027="IN","IN","OUT")))</f>
        <v>OUT</v>
      </c>
      <c r="H2028" s="14" t="n">
        <f aca="false">H2027+IF(F2028="",0,F2028)</f>
        <v>-4.32545698621902</v>
      </c>
      <c r="I2028" s="14" t="n">
        <f aca="false">MAX(I2027,H2028)</f>
        <v>43.9309628600509</v>
      </c>
      <c r="J2028" s="14" t="n">
        <f aca="false">I2028-H2028</f>
        <v>48.2564198462699</v>
      </c>
    </row>
    <row r="2029" customFormat="false" ht="15" hidden="false" customHeight="false" outlineLevel="0" collapsed="false">
      <c r="A2029" s="12" t="n">
        <f aca="false">Data!A2029</f>
        <v>44951</v>
      </c>
      <c r="B2029" s="14" t="n">
        <f aca="false">Data!B2029</f>
        <v>80.15</v>
      </c>
      <c r="C2029" s="0" t="str">
        <f aca="false">IF(Data!D2029="","HOLD",IF(AND(G2028&lt;&gt;"IN",Data!E2029&lt;-5),"BUY",IF(AND(G2028="IN",Data!E2029&gt;0),"SELL","HOLD")))</f>
        <v>HOLD</v>
      </c>
      <c r="D2029" s="14" t="str">
        <f aca="false">IF(C2029="BUY",B2029,IF(G2028="IN",D2028,""))</f>
        <v/>
      </c>
      <c r="E2029" s="14" t="str">
        <f aca="false">IF(C2029="SELL",B2029,"")</f>
        <v/>
      </c>
      <c r="F2029" s="14" t="str">
        <f aca="false">IF(E2029="","",(E2029-D2029)/D2029*100)</f>
        <v/>
      </c>
      <c r="G2029" s="0" t="str">
        <f aca="false">IF(C2029="BUY","IN",IF(C2029="SELL","OUT",IF(G2028="IN","IN","OUT")))</f>
        <v>OUT</v>
      </c>
      <c r="H2029" s="14" t="n">
        <f aca="false">H2028+IF(F2029="",0,F2029)</f>
        <v>-4.32545698621902</v>
      </c>
      <c r="I2029" s="14" t="n">
        <f aca="false">MAX(I2028,H2029)</f>
        <v>43.9309628600509</v>
      </c>
      <c r="J2029" s="14" t="n">
        <f aca="false">I2029-H2029</f>
        <v>48.2564198462699</v>
      </c>
    </row>
    <row r="2030" customFormat="false" ht="15" hidden="false" customHeight="false" outlineLevel="0" collapsed="false">
      <c r="A2030" s="12" t="n">
        <f aca="false">Data!A2030</f>
        <v>44952</v>
      </c>
      <c r="B2030" s="14" t="n">
        <f aca="false">Data!B2030</f>
        <v>81.01</v>
      </c>
      <c r="C2030" s="0" t="str">
        <f aca="false">IF(Data!D2030="","HOLD",IF(AND(G2029&lt;&gt;"IN",Data!E2030&lt;-5),"BUY",IF(AND(G2029="IN",Data!E2030&gt;0),"SELL","HOLD")))</f>
        <v>HOLD</v>
      </c>
      <c r="D2030" s="14" t="str">
        <f aca="false">IF(C2030="BUY",B2030,IF(G2029="IN",D2029,""))</f>
        <v/>
      </c>
      <c r="E2030" s="14" t="str">
        <f aca="false">IF(C2030="SELL",B2030,"")</f>
        <v/>
      </c>
      <c r="F2030" s="14" t="str">
        <f aca="false">IF(E2030="","",(E2030-D2030)/D2030*100)</f>
        <v/>
      </c>
      <c r="G2030" s="0" t="str">
        <f aca="false">IF(C2030="BUY","IN",IF(C2030="SELL","OUT",IF(G2029="IN","IN","OUT")))</f>
        <v>OUT</v>
      </c>
      <c r="H2030" s="14" t="n">
        <f aca="false">H2029+IF(F2030="",0,F2030)</f>
        <v>-4.32545698621902</v>
      </c>
      <c r="I2030" s="14" t="n">
        <f aca="false">MAX(I2029,H2030)</f>
        <v>43.9309628600509</v>
      </c>
      <c r="J2030" s="14" t="n">
        <f aca="false">I2030-H2030</f>
        <v>48.2564198462699</v>
      </c>
    </row>
    <row r="2031" customFormat="false" ht="15" hidden="false" customHeight="false" outlineLevel="0" collapsed="false">
      <c r="A2031" s="12" t="n">
        <f aca="false">Data!A2031</f>
        <v>44953</v>
      </c>
      <c r="B2031" s="14" t="n">
        <f aca="false">Data!B2031</f>
        <v>79.68</v>
      </c>
      <c r="C2031" s="0" t="str">
        <f aca="false">IF(Data!D2031="","HOLD",IF(AND(G2030&lt;&gt;"IN",Data!E2031&lt;-5),"BUY",IF(AND(G2030="IN",Data!E2031&gt;0),"SELL","HOLD")))</f>
        <v>HOLD</v>
      </c>
      <c r="D2031" s="14" t="str">
        <f aca="false">IF(C2031="BUY",B2031,IF(G2030="IN",D2030,""))</f>
        <v/>
      </c>
      <c r="E2031" s="14" t="str">
        <f aca="false">IF(C2031="SELL",B2031,"")</f>
        <v/>
      </c>
      <c r="F2031" s="14" t="str">
        <f aca="false">IF(E2031="","",(E2031-D2031)/D2031*100)</f>
        <v/>
      </c>
      <c r="G2031" s="0" t="str">
        <f aca="false">IF(C2031="BUY","IN",IF(C2031="SELL","OUT",IF(G2030="IN","IN","OUT")))</f>
        <v>OUT</v>
      </c>
      <c r="H2031" s="14" t="n">
        <f aca="false">H2030+IF(F2031="",0,F2031)</f>
        <v>-4.32545698621902</v>
      </c>
      <c r="I2031" s="14" t="n">
        <f aca="false">MAX(I2030,H2031)</f>
        <v>43.9309628600509</v>
      </c>
      <c r="J2031" s="14" t="n">
        <f aca="false">I2031-H2031</f>
        <v>48.2564198462699</v>
      </c>
    </row>
    <row r="2032" customFormat="false" ht="15" hidden="false" customHeight="false" outlineLevel="0" collapsed="false">
      <c r="A2032" s="12" t="n">
        <f aca="false">Data!A2032</f>
        <v>44956</v>
      </c>
      <c r="B2032" s="14" t="n">
        <f aca="false">Data!B2032</f>
        <v>77.9</v>
      </c>
      <c r="C2032" s="0" t="str">
        <f aca="false">IF(Data!D2032="","HOLD",IF(AND(G2031&lt;&gt;"IN",Data!E2032&lt;-5),"BUY",IF(AND(G2031="IN",Data!E2032&gt;0),"SELL","HOLD")))</f>
        <v>HOLD</v>
      </c>
      <c r="D2032" s="14" t="str">
        <f aca="false">IF(C2032="BUY",B2032,IF(G2031="IN",D2031,""))</f>
        <v/>
      </c>
      <c r="E2032" s="14" t="str">
        <f aca="false">IF(C2032="SELL",B2032,"")</f>
        <v/>
      </c>
      <c r="F2032" s="14" t="str">
        <f aca="false">IF(E2032="","",(E2032-D2032)/D2032*100)</f>
        <v/>
      </c>
      <c r="G2032" s="0" t="str">
        <f aca="false">IF(C2032="BUY","IN",IF(C2032="SELL","OUT",IF(G2031="IN","IN","OUT")))</f>
        <v>OUT</v>
      </c>
      <c r="H2032" s="14" t="n">
        <f aca="false">H2031+IF(F2032="",0,F2032)</f>
        <v>-4.32545698621902</v>
      </c>
      <c r="I2032" s="14" t="n">
        <f aca="false">MAX(I2031,H2032)</f>
        <v>43.9309628600509</v>
      </c>
      <c r="J2032" s="14" t="n">
        <f aca="false">I2032-H2032</f>
        <v>48.2564198462699</v>
      </c>
    </row>
    <row r="2033" customFormat="false" ht="15" hidden="false" customHeight="false" outlineLevel="0" collapsed="false">
      <c r="A2033" s="12" t="n">
        <f aca="false">Data!A2033</f>
        <v>44957</v>
      </c>
      <c r="B2033" s="14" t="n">
        <f aca="false">Data!B2033</f>
        <v>78.87</v>
      </c>
      <c r="C2033" s="0" t="str">
        <f aca="false">IF(Data!D2033="","HOLD",IF(AND(G2032&lt;&gt;"IN",Data!E2033&lt;-5),"BUY",IF(AND(G2032="IN",Data!E2033&gt;0),"SELL","HOLD")))</f>
        <v>HOLD</v>
      </c>
      <c r="D2033" s="14" t="str">
        <f aca="false">IF(C2033="BUY",B2033,IF(G2032="IN",D2032,""))</f>
        <v/>
      </c>
      <c r="E2033" s="14" t="str">
        <f aca="false">IF(C2033="SELL",B2033,"")</f>
        <v/>
      </c>
      <c r="F2033" s="14" t="str">
        <f aca="false">IF(E2033="","",(E2033-D2033)/D2033*100)</f>
        <v/>
      </c>
      <c r="G2033" s="0" t="str">
        <f aca="false">IF(C2033="BUY","IN",IF(C2033="SELL","OUT",IF(G2032="IN","IN","OUT")))</f>
        <v>OUT</v>
      </c>
      <c r="H2033" s="14" t="n">
        <f aca="false">H2032+IF(F2033="",0,F2033)</f>
        <v>-4.32545698621902</v>
      </c>
      <c r="I2033" s="14" t="n">
        <f aca="false">MAX(I2032,H2033)</f>
        <v>43.9309628600509</v>
      </c>
      <c r="J2033" s="14" t="n">
        <f aca="false">I2033-H2033</f>
        <v>48.2564198462699</v>
      </c>
    </row>
    <row r="2034" customFormat="false" ht="15" hidden="false" customHeight="false" outlineLevel="0" collapsed="false">
      <c r="A2034" s="12" t="n">
        <f aca="false">Data!A2034</f>
        <v>44958</v>
      </c>
      <c r="B2034" s="14" t="n">
        <f aca="false">Data!B2034</f>
        <v>76.41</v>
      </c>
      <c r="C2034" s="0" t="str">
        <f aca="false">IF(Data!D2034="","HOLD",IF(AND(G2033&lt;&gt;"IN",Data!E2034&lt;-5),"BUY",IF(AND(G2033="IN",Data!E2034&gt;0),"SELL","HOLD")))</f>
        <v>HOLD</v>
      </c>
      <c r="D2034" s="14" t="str">
        <f aca="false">IF(C2034="BUY",B2034,IF(G2033="IN",D2033,""))</f>
        <v/>
      </c>
      <c r="E2034" s="14" t="str">
        <f aca="false">IF(C2034="SELL",B2034,"")</f>
        <v/>
      </c>
      <c r="F2034" s="14" t="str">
        <f aca="false">IF(E2034="","",(E2034-D2034)/D2034*100)</f>
        <v/>
      </c>
      <c r="G2034" s="0" t="str">
        <f aca="false">IF(C2034="BUY","IN",IF(C2034="SELL","OUT",IF(G2033="IN","IN","OUT")))</f>
        <v>OUT</v>
      </c>
      <c r="H2034" s="14" t="n">
        <f aca="false">H2033+IF(F2034="",0,F2034)</f>
        <v>-4.32545698621902</v>
      </c>
      <c r="I2034" s="14" t="n">
        <f aca="false">MAX(I2033,H2034)</f>
        <v>43.9309628600509</v>
      </c>
      <c r="J2034" s="14" t="n">
        <f aca="false">I2034-H2034</f>
        <v>48.2564198462699</v>
      </c>
    </row>
    <row r="2035" customFormat="false" ht="15" hidden="false" customHeight="false" outlineLevel="0" collapsed="false">
      <c r="A2035" s="12" t="n">
        <f aca="false">Data!A2035</f>
        <v>44959</v>
      </c>
      <c r="B2035" s="14" t="n">
        <f aca="false">Data!B2035</f>
        <v>75.88</v>
      </c>
      <c r="C2035" s="0" t="str">
        <f aca="false">IF(Data!D2035="","HOLD",IF(AND(G2034&lt;&gt;"IN",Data!E2035&lt;-5),"BUY",IF(AND(G2034="IN",Data!E2035&gt;0),"SELL","HOLD")))</f>
        <v>HOLD</v>
      </c>
      <c r="D2035" s="14" t="str">
        <f aca="false">IF(C2035="BUY",B2035,IF(G2034="IN",D2034,""))</f>
        <v/>
      </c>
      <c r="E2035" s="14" t="str">
        <f aca="false">IF(C2035="SELL",B2035,"")</f>
        <v/>
      </c>
      <c r="F2035" s="14" t="str">
        <f aca="false">IF(E2035="","",(E2035-D2035)/D2035*100)</f>
        <v/>
      </c>
      <c r="G2035" s="0" t="str">
        <f aca="false">IF(C2035="BUY","IN",IF(C2035="SELL","OUT",IF(G2034="IN","IN","OUT")))</f>
        <v>OUT</v>
      </c>
      <c r="H2035" s="14" t="n">
        <f aca="false">H2034+IF(F2035="",0,F2035)</f>
        <v>-4.32545698621902</v>
      </c>
      <c r="I2035" s="14" t="n">
        <f aca="false">MAX(I2034,H2035)</f>
        <v>43.9309628600509</v>
      </c>
      <c r="J2035" s="14" t="n">
        <f aca="false">I2035-H2035</f>
        <v>48.2564198462699</v>
      </c>
    </row>
    <row r="2036" customFormat="false" ht="15" hidden="false" customHeight="false" outlineLevel="0" collapsed="false">
      <c r="A2036" s="12" t="n">
        <f aca="false">Data!A2036</f>
        <v>44960</v>
      </c>
      <c r="B2036" s="14" t="n">
        <f aca="false">Data!B2036</f>
        <v>73.39</v>
      </c>
      <c r="C2036" s="0" t="str">
        <f aca="false">IF(Data!D2036="","HOLD",IF(AND(G2035&lt;&gt;"IN",Data!E2036&lt;-5),"BUY",IF(AND(G2035="IN",Data!E2036&gt;0),"SELL","HOLD")))</f>
        <v>BUY</v>
      </c>
      <c r="D2036" s="14" t="n">
        <f aca="false">IF(C2036="BUY",B2036,IF(G2035="IN",D2035,""))</f>
        <v>73.39</v>
      </c>
      <c r="E2036" s="14" t="str">
        <f aca="false">IF(C2036="SELL",B2036,"")</f>
        <v/>
      </c>
      <c r="F2036" s="14" t="str">
        <f aca="false">IF(E2036="","",(E2036-D2036)/D2036*100)</f>
        <v/>
      </c>
      <c r="G2036" s="0" t="str">
        <f aca="false">IF(C2036="BUY","IN",IF(C2036="SELL","OUT",IF(G2035="IN","IN","OUT")))</f>
        <v>IN</v>
      </c>
      <c r="H2036" s="14" t="n">
        <f aca="false">H2035+IF(F2036="",0,F2036)</f>
        <v>-4.32545698621902</v>
      </c>
      <c r="I2036" s="14" t="n">
        <f aca="false">MAX(I2035,H2036)</f>
        <v>43.9309628600509</v>
      </c>
      <c r="J2036" s="14" t="n">
        <f aca="false">I2036-H2036</f>
        <v>48.2564198462699</v>
      </c>
    </row>
    <row r="2037" customFormat="false" ht="15" hidden="false" customHeight="false" outlineLevel="0" collapsed="false">
      <c r="A2037" s="12" t="n">
        <f aca="false">Data!A2037</f>
        <v>44963</v>
      </c>
      <c r="B2037" s="14" t="n">
        <f aca="false">Data!B2037</f>
        <v>74.11</v>
      </c>
      <c r="C2037" s="0" t="str">
        <f aca="false">IF(Data!D2037="","HOLD",IF(AND(G2036&lt;&gt;"IN",Data!E2037&lt;-5),"BUY",IF(AND(G2036="IN",Data!E2037&gt;0),"SELL","HOLD")))</f>
        <v>HOLD</v>
      </c>
      <c r="D2037" s="14" t="n">
        <f aca="false">IF(C2037="BUY",B2037,IF(G2036="IN",D2036,""))</f>
        <v>73.39</v>
      </c>
      <c r="E2037" s="14" t="str">
        <f aca="false">IF(C2037="SELL",B2037,"")</f>
        <v/>
      </c>
      <c r="F2037" s="14" t="str">
        <f aca="false">IF(E2037="","",(E2037-D2037)/D2037*100)</f>
        <v/>
      </c>
      <c r="G2037" s="0" t="str">
        <f aca="false">IF(C2037="BUY","IN",IF(C2037="SELL","OUT",IF(G2036="IN","IN","OUT")))</f>
        <v>IN</v>
      </c>
      <c r="H2037" s="14" t="n">
        <f aca="false">H2036+IF(F2037="",0,F2037)</f>
        <v>-4.32545698621902</v>
      </c>
      <c r="I2037" s="14" t="n">
        <f aca="false">MAX(I2036,H2037)</f>
        <v>43.9309628600509</v>
      </c>
      <c r="J2037" s="14" t="n">
        <f aca="false">I2037-H2037</f>
        <v>48.2564198462699</v>
      </c>
    </row>
    <row r="2038" customFormat="false" ht="15" hidden="false" customHeight="false" outlineLevel="0" collapsed="false">
      <c r="A2038" s="12" t="n">
        <f aca="false">Data!A2038</f>
        <v>44964</v>
      </c>
      <c r="B2038" s="14" t="n">
        <f aca="false">Data!B2038</f>
        <v>77.14</v>
      </c>
      <c r="C2038" s="0" t="str">
        <f aca="false">IF(Data!D2038="","HOLD",IF(AND(G2037&lt;&gt;"IN",Data!E2038&lt;-5),"BUY",IF(AND(G2037="IN",Data!E2038&gt;0),"SELL","HOLD")))</f>
        <v>HOLD</v>
      </c>
      <c r="D2038" s="14" t="n">
        <f aca="false">IF(C2038="BUY",B2038,IF(G2037="IN",D2037,""))</f>
        <v>73.39</v>
      </c>
      <c r="E2038" s="14" t="str">
        <f aca="false">IF(C2038="SELL",B2038,"")</f>
        <v/>
      </c>
      <c r="F2038" s="14" t="str">
        <f aca="false">IF(E2038="","",(E2038-D2038)/D2038*100)</f>
        <v/>
      </c>
      <c r="G2038" s="0" t="str">
        <f aca="false">IF(C2038="BUY","IN",IF(C2038="SELL","OUT",IF(G2037="IN","IN","OUT")))</f>
        <v>IN</v>
      </c>
      <c r="H2038" s="14" t="n">
        <f aca="false">H2037+IF(F2038="",0,F2038)</f>
        <v>-4.32545698621902</v>
      </c>
      <c r="I2038" s="14" t="n">
        <f aca="false">MAX(I2037,H2038)</f>
        <v>43.9309628600509</v>
      </c>
      <c r="J2038" s="14" t="n">
        <f aca="false">I2038-H2038</f>
        <v>48.2564198462699</v>
      </c>
    </row>
    <row r="2039" customFormat="false" ht="15" hidden="false" customHeight="false" outlineLevel="0" collapsed="false">
      <c r="A2039" s="12" t="n">
        <f aca="false">Data!A2039</f>
        <v>44965</v>
      </c>
      <c r="B2039" s="14" t="n">
        <f aca="false">Data!B2039</f>
        <v>78.47</v>
      </c>
      <c r="C2039" s="0" t="str">
        <f aca="false">IF(Data!D2039="","HOLD",IF(AND(G2038&lt;&gt;"IN",Data!E2039&lt;-5),"BUY",IF(AND(G2038="IN",Data!E2039&gt;0),"SELL","HOLD")))</f>
        <v>HOLD</v>
      </c>
      <c r="D2039" s="14" t="n">
        <f aca="false">IF(C2039="BUY",B2039,IF(G2038="IN",D2038,""))</f>
        <v>73.39</v>
      </c>
      <c r="E2039" s="14" t="str">
        <f aca="false">IF(C2039="SELL",B2039,"")</f>
        <v/>
      </c>
      <c r="F2039" s="14" t="str">
        <f aca="false">IF(E2039="","",(E2039-D2039)/D2039*100)</f>
        <v/>
      </c>
      <c r="G2039" s="0" t="str">
        <f aca="false">IF(C2039="BUY","IN",IF(C2039="SELL","OUT",IF(G2038="IN","IN","OUT")))</f>
        <v>IN</v>
      </c>
      <c r="H2039" s="14" t="n">
        <f aca="false">H2038+IF(F2039="",0,F2039)</f>
        <v>-4.32545698621902</v>
      </c>
      <c r="I2039" s="14" t="n">
        <f aca="false">MAX(I2038,H2039)</f>
        <v>43.9309628600509</v>
      </c>
      <c r="J2039" s="14" t="n">
        <f aca="false">I2039-H2039</f>
        <v>48.2564198462699</v>
      </c>
    </row>
    <row r="2040" customFormat="false" ht="15" hidden="false" customHeight="false" outlineLevel="0" collapsed="false">
      <c r="A2040" s="12" t="n">
        <f aca="false">Data!A2040</f>
        <v>44966</v>
      </c>
      <c r="B2040" s="14" t="n">
        <f aca="false">Data!B2040</f>
        <v>78.06</v>
      </c>
      <c r="C2040" s="0" t="str">
        <f aca="false">IF(Data!D2040="","HOLD",IF(AND(G2039&lt;&gt;"IN",Data!E2040&lt;-5),"BUY",IF(AND(G2039="IN",Data!E2040&gt;0),"SELL","HOLD")))</f>
        <v>HOLD</v>
      </c>
      <c r="D2040" s="14" t="n">
        <f aca="false">IF(C2040="BUY",B2040,IF(G2039="IN",D2039,""))</f>
        <v>73.39</v>
      </c>
      <c r="E2040" s="14" t="str">
        <f aca="false">IF(C2040="SELL",B2040,"")</f>
        <v/>
      </c>
      <c r="F2040" s="14" t="str">
        <f aca="false">IF(E2040="","",(E2040-D2040)/D2040*100)</f>
        <v/>
      </c>
      <c r="G2040" s="0" t="str">
        <f aca="false">IF(C2040="BUY","IN",IF(C2040="SELL","OUT",IF(G2039="IN","IN","OUT")))</f>
        <v>IN</v>
      </c>
      <c r="H2040" s="14" t="n">
        <f aca="false">H2039+IF(F2040="",0,F2040)</f>
        <v>-4.32545698621902</v>
      </c>
      <c r="I2040" s="14" t="n">
        <f aca="false">MAX(I2039,H2040)</f>
        <v>43.9309628600509</v>
      </c>
      <c r="J2040" s="14" t="n">
        <f aca="false">I2040-H2040</f>
        <v>48.2564198462699</v>
      </c>
    </row>
    <row r="2041" customFormat="false" ht="15" hidden="false" customHeight="false" outlineLevel="0" collapsed="false">
      <c r="A2041" s="12" t="n">
        <f aca="false">Data!A2041</f>
        <v>44967</v>
      </c>
      <c r="B2041" s="14" t="n">
        <f aca="false">Data!B2041</f>
        <v>79.72</v>
      </c>
      <c r="C2041" s="0" t="str">
        <f aca="false">IF(Data!D2041="","HOLD",IF(AND(G2040&lt;&gt;"IN",Data!E2041&lt;-5),"BUY",IF(AND(G2040="IN",Data!E2041&gt;0),"SELL","HOLD")))</f>
        <v>SELL</v>
      </c>
      <c r="D2041" s="14" t="n">
        <f aca="false">IF(C2041="BUY",B2041,IF(G2040="IN",D2040,""))</f>
        <v>73.39</v>
      </c>
      <c r="E2041" s="14" t="n">
        <f aca="false">IF(C2041="SELL",B2041,"")</f>
        <v>79.72</v>
      </c>
      <c r="F2041" s="14" t="n">
        <f aca="false">IF(E2041="","",(E2041-D2041)/D2041*100)</f>
        <v>8.62515329063905</v>
      </c>
      <c r="G2041" s="0" t="str">
        <f aca="false">IF(C2041="BUY","IN",IF(C2041="SELL","OUT",IF(G2040="IN","IN","OUT")))</f>
        <v>OUT</v>
      </c>
      <c r="H2041" s="14" t="n">
        <f aca="false">H2040+IF(F2041="",0,F2041)</f>
        <v>4.29969630442003</v>
      </c>
      <c r="I2041" s="14" t="n">
        <f aca="false">MAX(I2040,H2041)</f>
        <v>43.9309628600509</v>
      </c>
      <c r="J2041" s="14" t="n">
        <f aca="false">I2041-H2041</f>
        <v>39.6312665556308</v>
      </c>
    </row>
    <row r="2042" customFormat="false" ht="15" hidden="false" customHeight="false" outlineLevel="0" collapsed="false">
      <c r="A2042" s="12" t="n">
        <f aca="false">Data!A2042</f>
        <v>44970</v>
      </c>
      <c r="B2042" s="14" t="n">
        <f aca="false">Data!B2042</f>
        <v>80.14</v>
      </c>
      <c r="C2042" s="0" t="str">
        <f aca="false">IF(Data!D2042="","HOLD",IF(AND(G2041&lt;&gt;"IN",Data!E2042&lt;-5),"BUY",IF(AND(G2041="IN",Data!E2042&gt;0),"SELL","HOLD")))</f>
        <v>HOLD</v>
      </c>
      <c r="D2042" s="14" t="str">
        <f aca="false">IF(C2042="BUY",B2042,IF(G2041="IN",D2041,""))</f>
        <v/>
      </c>
      <c r="E2042" s="14" t="str">
        <f aca="false">IF(C2042="SELL",B2042,"")</f>
        <v/>
      </c>
      <c r="F2042" s="14" t="str">
        <f aca="false">IF(E2042="","",(E2042-D2042)/D2042*100)</f>
        <v/>
      </c>
      <c r="G2042" s="0" t="str">
        <f aca="false">IF(C2042="BUY","IN",IF(C2042="SELL","OUT",IF(G2041="IN","IN","OUT")))</f>
        <v>OUT</v>
      </c>
      <c r="H2042" s="14" t="n">
        <f aca="false">H2041+IF(F2042="",0,F2042)</f>
        <v>4.29969630442003</v>
      </c>
      <c r="I2042" s="14" t="n">
        <f aca="false">MAX(I2041,H2042)</f>
        <v>43.9309628600509</v>
      </c>
      <c r="J2042" s="14" t="n">
        <f aca="false">I2042-H2042</f>
        <v>39.6312665556308</v>
      </c>
    </row>
    <row r="2043" customFormat="false" ht="15" hidden="false" customHeight="false" outlineLevel="0" collapsed="false">
      <c r="A2043" s="12" t="n">
        <f aca="false">Data!A2043</f>
        <v>44971</v>
      </c>
      <c r="B2043" s="14" t="n">
        <f aca="false">Data!B2043</f>
        <v>79.06</v>
      </c>
      <c r="C2043" s="0" t="str">
        <f aca="false">IF(Data!D2043="","HOLD",IF(AND(G2042&lt;&gt;"IN",Data!E2043&lt;-5),"BUY",IF(AND(G2042="IN",Data!E2043&gt;0),"SELL","HOLD")))</f>
        <v>HOLD</v>
      </c>
      <c r="D2043" s="14" t="str">
        <f aca="false">IF(C2043="BUY",B2043,IF(G2042="IN",D2042,""))</f>
        <v/>
      </c>
      <c r="E2043" s="14" t="str">
        <f aca="false">IF(C2043="SELL",B2043,"")</f>
        <v/>
      </c>
      <c r="F2043" s="14" t="str">
        <f aca="false">IF(E2043="","",(E2043-D2043)/D2043*100)</f>
        <v/>
      </c>
      <c r="G2043" s="0" t="str">
        <f aca="false">IF(C2043="BUY","IN",IF(C2043="SELL","OUT",IF(G2042="IN","IN","OUT")))</f>
        <v>OUT</v>
      </c>
      <c r="H2043" s="14" t="n">
        <f aca="false">H2042+IF(F2043="",0,F2043)</f>
        <v>4.29969630442003</v>
      </c>
      <c r="I2043" s="14" t="n">
        <f aca="false">MAX(I2042,H2043)</f>
        <v>43.9309628600509</v>
      </c>
      <c r="J2043" s="14" t="n">
        <f aca="false">I2043-H2043</f>
        <v>39.6312665556308</v>
      </c>
    </row>
    <row r="2044" customFormat="false" ht="15" hidden="false" customHeight="false" outlineLevel="0" collapsed="false">
      <c r="A2044" s="12" t="n">
        <f aca="false">Data!A2044</f>
        <v>44972</v>
      </c>
      <c r="B2044" s="14" t="n">
        <f aca="false">Data!B2044</f>
        <v>78.59</v>
      </c>
      <c r="C2044" s="0" t="str">
        <f aca="false">IF(Data!D2044="","HOLD",IF(AND(G2043&lt;&gt;"IN",Data!E2044&lt;-5),"BUY",IF(AND(G2043="IN",Data!E2044&gt;0),"SELL","HOLD")))</f>
        <v>HOLD</v>
      </c>
      <c r="D2044" s="14" t="str">
        <f aca="false">IF(C2044="BUY",B2044,IF(G2043="IN",D2043,""))</f>
        <v/>
      </c>
      <c r="E2044" s="14" t="str">
        <f aca="false">IF(C2044="SELL",B2044,"")</f>
        <v/>
      </c>
      <c r="F2044" s="14" t="str">
        <f aca="false">IF(E2044="","",(E2044-D2044)/D2044*100)</f>
        <v/>
      </c>
      <c r="G2044" s="0" t="str">
        <f aca="false">IF(C2044="BUY","IN",IF(C2044="SELL","OUT",IF(G2043="IN","IN","OUT")))</f>
        <v>OUT</v>
      </c>
      <c r="H2044" s="14" t="n">
        <f aca="false">H2043+IF(F2044="",0,F2044)</f>
        <v>4.29969630442003</v>
      </c>
      <c r="I2044" s="14" t="n">
        <f aca="false">MAX(I2043,H2044)</f>
        <v>43.9309628600509</v>
      </c>
      <c r="J2044" s="14" t="n">
        <f aca="false">I2044-H2044</f>
        <v>39.6312665556308</v>
      </c>
    </row>
    <row r="2045" customFormat="false" ht="15" hidden="false" customHeight="false" outlineLevel="0" collapsed="false">
      <c r="A2045" s="12" t="n">
        <f aca="false">Data!A2045</f>
        <v>44973</v>
      </c>
      <c r="B2045" s="14" t="n">
        <f aca="false">Data!B2045</f>
        <v>78.49</v>
      </c>
      <c r="C2045" s="0" t="str">
        <f aca="false">IF(Data!D2045="","HOLD",IF(AND(G2044&lt;&gt;"IN",Data!E2045&lt;-5),"BUY",IF(AND(G2044="IN",Data!E2045&gt;0),"SELL","HOLD")))</f>
        <v>HOLD</v>
      </c>
      <c r="D2045" s="14" t="str">
        <f aca="false">IF(C2045="BUY",B2045,IF(G2044="IN",D2044,""))</f>
        <v/>
      </c>
      <c r="E2045" s="14" t="str">
        <f aca="false">IF(C2045="SELL",B2045,"")</f>
        <v/>
      </c>
      <c r="F2045" s="14" t="str">
        <f aca="false">IF(E2045="","",(E2045-D2045)/D2045*100)</f>
        <v/>
      </c>
      <c r="G2045" s="0" t="str">
        <f aca="false">IF(C2045="BUY","IN",IF(C2045="SELL","OUT",IF(G2044="IN","IN","OUT")))</f>
        <v>OUT</v>
      </c>
      <c r="H2045" s="14" t="n">
        <f aca="false">H2044+IF(F2045="",0,F2045)</f>
        <v>4.29969630442003</v>
      </c>
      <c r="I2045" s="14" t="n">
        <f aca="false">MAX(I2044,H2045)</f>
        <v>43.9309628600509</v>
      </c>
      <c r="J2045" s="14" t="n">
        <f aca="false">I2045-H2045</f>
        <v>39.6312665556308</v>
      </c>
    </row>
    <row r="2046" customFormat="false" ht="15" hidden="false" customHeight="false" outlineLevel="0" collapsed="false">
      <c r="A2046" s="12" t="n">
        <f aca="false">Data!A2046</f>
        <v>44974</v>
      </c>
      <c r="B2046" s="14" t="n">
        <f aca="false">Data!B2046</f>
        <v>76.34</v>
      </c>
      <c r="C2046" s="0" t="str">
        <f aca="false">IF(Data!D2046="","HOLD",IF(AND(G2045&lt;&gt;"IN",Data!E2046&lt;-5),"BUY",IF(AND(G2045="IN",Data!E2046&gt;0),"SELL","HOLD")))</f>
        <v>HOLD</v>
      </c>
      <c r="D2046" s="14" t="str">
        <f aca="false">IF(C2046="BUY",B2046,IF(G2045="IN",D2045,""))</f>
        <v/>
      </c>
      <c r="E2046" s="14" t="str">
        <f aca="false">IF(C2046="SELL",B2046,"")</f>
        <v/>
      </c>
      <c r="F2046" s="14" t="str">
        <f aca="false">IF(E2046="","",(E2046-D2046)/D2046*100)</f>
        <v/>
      </c>
      <c r="G2046" s="0" t="str">
        <f aca="false">IF(C2046="BUY","IN",IF(C2046="SELL","OUT",IF(G2045="IN","IN","OUT")))</f>
        <v>OUT</v>
      </c>
      <c r="H2046" s="14" t="n">
        <f aca="false">H2045+IF(F2046="",0,F2046)</f>
        <v>4.29969630442003</v>
      </c>
      <c r="I2046" s="14" t="n">
        <f aca="false">MAX(I2045,H2046)</f>
        <v>43.9309628600509</v>
      </c>
      <c r="J2046" s="14" t="n">
        <f aca="false">I2046-H2046</f>
        <v>39.6312665556308</v>
      </c>
    </row>
    <row r="2047" customFormat="false" ht="15" hidden="false" customHeight="false" outlineLevel="0" collapsed="false">
      <c r="A2047" s="12" t="n">
        <f aca="false">Data!A2047</f>
        <v>44978</v>
      </c>
      <c r="B2047" s="14" t="n">
        <f aca="false">Data!B2047</f>
        <v>76.16</v>
      </c>
      <c r="C2047" s="0" t="str">
        <f aca="false">IF(Data!D2047="","HOLD",IF(AND(G2046&lt;&gt;"IN",Data!E2047&lt;-5),"BUY",IF(AND(G2046="IN",Data!E2047&gt;0),"SELL","HOLD")))</f>
        <v>HOLD</v>
      </c>
      <c r="D2047" s="14" t="str">
        <f aca="false">IF(C2047="BUY",B2047,IF(G2046="IN",D2046,""))</f>
        <v/>
      </c>
      <c r="E2047" s="14" t="str">
        <f aca="false">IF(C2047="SELL",B2047,"")</f>
        <v/>
      </c>
      <c r="F2047" s="14" t="str">
        <f aca="false">IF(E2047="","",(E2047-D2047)/D2047*100)</f>
        <v/>
      </c>
      <c r="G2047" s="0" t="str">
        <f aca="false">IF(C2047="BUY","IN",IF(C2047="SELL","OUT",IF(G2046="IN","IN","OUT")))</f>
        <v>OUT</v>
      </c>
      <c r="H2047" s="14" t="n">
        <f aca="false">H2046+IF(F2047="",0,F2047)</f>
        <v>4.29969630442003</v>
      </c>
      <c r="I2047" s="14" t="n">
        <f aca="false">MAX(I2046,H2047)</f>
        <v>43.9309628600509</v>
      </c>
      <c r="J2047" s="14" t="n">
        <f aca="false">I2047-H2047</f>
        <v>39.6312665556308</v>
      </c>
    </row>
    <row r="2048" customFormat="false" ht="15" hidden="false" customHeight="false" outlineLevel="0" collapsed="false">
      <c r="A2048" s="12" t="n">
        <f aca="false">Data!A2048</f>
        <v>44979</v>
      </c>
      <c r="B2048" s="14" t="n">
        <f aca="false">Data!B2048</f>
        <v>73.95</v>
      </c>
      <c r="C2048" s="0" t="str">
        <f aca="false">IF(Data!D2048="","HOLD",IF(AND(G2047&lt;&gt;"IN",Data!E2048&lt;-5),"BUY",IF(AND(G2047="IN",Data!E2048&gt;0),"SELL","HOLD")))</f>
        <v>HOLD</v>
      </c>
      <c r="D2048" s="14" t="str">
        <f aca="false">IF(C2048="BUY",B2048,IF(G2047="IN",D2047,""))</f>
        <v/>
      </c>
      <c r="E2048" s="14" t="str">
        <f aca="false">IF(C2048="SELL",B2048,"")</f>
        <v/>
      </c>
      <c r="F2048" s="14" t="str">
        <f aca="false">IF(E2048="","",(E2048-D2048)/D2048*100)</f>
        <v/>
      </c>
      <c r="G2048" s="0" t="str">
        <f aca="false">IF(C2048="BUY","IN",IF(C2048="SELL","OUT",IF(G2047="IN","IN","OUT")))</f>
        <v>OUT</v>
      </c>
      <c r="H2048" s="14" t="n">
        <f aca="false">H2047+IF(F2048="",0,F2048)</f>
        <v>4.29969630442003</v>
      </c>
      <c r="I2048" s="14" t="n">
        <f aca="false">MAX(I2047,H2048)</f>
        <v>43.9309628600509</v>
      </c>
      <c r="J2048" s="14" t="n">
        <f aca="false">I2048-H2048</f>
        <v>39.6312665556308</v>
      </c>
    </row>
    <row r="2049" customFormat="false" ht="15" hidden="false" customHeight="false" outlineLevel="0" collapsed="false">
      <c r="A2049" s="12" t="n">
        <f aca="false">Data!A2049</f>
        <v>44980</v>
      </c>
      <c r="B2049" s="14" t="n">
        <f aca="false">Data!B2049</f>
        <v>75.39</v>
      </c>
      <c r="C2049" s="0" t="str">
        <f aca="false">IF(Data!D2049="","HOLD",IF(AND(G2048&lt;&gt;"IN",Data!E2049&lt;-5),"BUY",IF(AND(G2048="IN",Data!E2049&gt;0),"SELL","HOLD")))</f>
        <v>HOLD</v>
      </c>
      <c r="D2049" s="14" t="str">
        <f aca="false">IF(C2049="BUY",B2049,IF(G2048="IN",D2048,""))</f>
        <v/>
      </c>
      <c r="E2049" s="14" t="str">
        <f aca="false">IF(C2049="SELL",B2049,"")</f>
        <v/>
      </c>
      <c r="F2049" s="14" t="str">
        <f aca="false">IF(E2049="","",(E2049-D2049)/D2049*100)</f>
        <v/>
      </c>
      <c r="G2049" s="0" t="str">
        <f aca="false">IF(C2049="BUY","IN",IF(C2049="SELL","OUT",IF(G2048="IN","IN","OUT")))</f>
        <v>OUT</v>
      </c>
      <c r="H2049" s="14" t="n">
        <f aca="false">H2048+IF(F2049="",0,F2049)</f>
        <v>4.29969630442003</v>
      </c>
      <c r="I2049" s="14" t="n">
        <f aca="false">MAX(I2048,H2049)</f>
        <v>43.9309628600509</v>
      </c>
      <c r="J2049" s="14" t="n">
        <f aca="false">I2049-H2049</f>
        <v>39.6312665556308</v>
      </c>
    </row>
    <row r="2050" customFormat="false" ht="15" hidden="false" customHeight="false" outlineLevel="0" collapsed="false">
      <c r="A2050" s="12" t="n">
        <f aca="false">Data!A2050</f>
        <v>44981</v>
      </c>
      <c r="B2050" s="14" t="n">
        <f aca="false">Data!B2050</f>
        <v>76.32</v>
      </c>
      <c r="C2050" s="0" t="str">
        <f aca="false">IF(Data!D2050="","HOLD",IF(AND(G2049&lt;&gt;"IN",Data!E2050&lt;-5),"BUY",IF(AND(G2049="IN",Data!E2050&gt;0),"SELL","HOLD")))</f>
        <v>HOLD</v>
      </c>
      <c r="D2050" s="14" t="str">
        <f aca="false">IF(C2050="BUY",B2050,IF(G2049="IN",D2049,""))</f>
        <v/>
      </c>
      <c r="E2050" s="14" t="str">
        <f aca="false">IF(C2050="SELL",B2050,"")</f>
        <v/>
      </c>
      <c r="F2050" s="14" t="str">
        <f aca="false">IF(E2050="","",(E2050-D2050)/D2050*100)</f>
        <v/>
      </c>
      <c r="G2050" s="0" t="str">
        <f aca="false">IF(C2050="BUY","IN",IF(C2050="SELL","OUT",IF(G2049="IN","IN","OUT")))</f>
        <v>OUT</v>
      </c>
      <c r="H2050" s="14" t="n">
        <f aca="false">H2049+IF(F2050="",0,F2050)</f>
        <v>4.29969630442003</v>
      </c>
      <c r="I2050" s="14" t="n">
        <f aca="false">MAX(I2049,H2050)</f>
        <v>43.9309628600509</v>
      </c>
      <c r="J2050" s="14" t="n">
        <f aca="false">I2050-H2050</f>
        <v>39.6312665556308</v>
      </c>
    </row>
    <row r="2051" customFormat="false" ht="15" hidden="false" customHeight="false" outlineLevel="0" collapsed="false">
      <c r="A2051" s="12" t="n">
        <f aca="false">Data!A2051</f>
        <v>44984</v>
      </c>
      <c r="B2051" s="14" t="n">
        <f aca="false">Data!B2051</f>
        <v>75.68</v>
      </c>
      <c r="C2051" s="0" t="str">
        <f aca="false">IF(Data!D2051="","HOLD",IF(AND(G2050&lt;&gt;"IN",Data!E2051&lt;-5),"BUY",IF(AND(G2050="IN",Data!E2051&gt;0),"SELL","HOLD")))</f>
        <v>HOLD</v>
      </c>
      <c r="D2051" s="14" t="str">
        <f aca="false">IF(C2051="BUY",B2051,IF(G2050="IN",D2050,""))</f>
        <v/>
      </c>
      <c r="E2051" s="14" t="str">
        <f aca="false">IF(C2051="SELL",B2051,"")</f>
        <v/>
      </c>
      <c r="F2051" s="14" t="str">
        <f aca="false">IF(E2051="","",(E2051-D2051)/D2051*100)</f>
        <v/>
      </c>
      <c r="G2051" s="0" t="str">
        <f aca="false">IF(C2051="BUY","IN",IF(C2051="SELL","OUT",IF(G2050="IN","IN","OUT")))</f>
        <v>OUT</v>
      </c>
      <c r="H2051" s="14" t="n">
        <f aca="false">H2050+IF(F2051="",0,F2051)</f>
        <v>4.29969630442003</v>
      </c>
      <c r="I2051" s="14" t="n">
        <f aca="false">MAX(I2050,H2051)</f>
        <v>43.9309628600509</v>
      </c>
      <c r="J2051" s="14" t="n">
        <f aca="false">I2051-H2051</f>
        <v>39.6312665556308</v>
      </c>
    </row>
    <row r="2052" customFormat="false" ht="15" hidden="false" customHeight="false" outlineLevel="0" collapsed="false">
      <c r="A2052" s="12" t="n">
        <f aca="false">Data!A2052</f>
        <v>44985</v>
      </c>
      <c r="B2052" s="14" t="n">
        <f aca="false">Data!B2052</f>
        <v>77.05</v>
      </c>
      <c r="C2052" s="0" t="str">
        <f aca="false">IF(Data!D2052="","HOLD",IF(AND(G2051&lt;&gt;"IN",Data!E2052&lt;-5),"BUY",IF(AND(G2051="IN",Data!E2052&gt;0),"SELL","HOLD")))</f>
        <v>HOLD</v>
      </c>
      <c r="D2052" s="14" t="str">
        <f aca="false">IF(C2052="BUY",B2052,IF(G2051="IN",D2051,""))</f>
        <v/>
      </c>
      <c r="E2052" s="14" t="str">
        <f aca="false">IF(C2052="SELL",B2052,"")</f>
        <v/>
      </c>
      <c r="F2052" s="14" t="str">
        <f aca="false">IF(E2052="","",(E2052-D2052)/D2052*100)</f>
        <v/>
      </c>
      <c r="G2052" s="0" t="str">
        <f aca="false">IF(C2052="BUY","IN",IF(C2052="SELL","OUT",IF(G2051="IN","IN","OUT")))</f>
        <v>OUT</v>
      </c>
      <c r="H2052" s="14" t="n">
        <f aca="false">H2051+IF(F2052="",0,F2052)</f>
        <v>4.29969630442003</v>
      </c>
      <c r="I2052" s="14" t="n">
        <f aca="false">MAX(I2051,H2052)</f>
        <v>43.9309628600509</v>
      </c>
      <c r="J2052" s="14" t="n">
        <f aca="false">I2052-H2052</f>
        <v>39.6312665556308</v>
      </c>
    </row>
    <row r="2053" customFormat="false" ht="15" hidden="false" customHeight="false" outlineLevel="0" collapsed="false">
      <c r="A2053" s="12" t="n">
        <f aca="false">Data!A2053</f>
        <v>44986</v>
      </c>
      <c r="B2053" s="14" t="n">
        <f aca="false">Data!B2053</f>
        <v>77.69</v>
      </c>
      <c r="C2053" s="0" t="str">
        <f aca="false">IF(Data!D2053="","HOLD",IF(AND(G2052&lt;&gt;"IN",Data!E2053&lt;-5),"BUY",IF(AND(G2052="IN",Data!E2053&gt;0),"SELL","HOLD")))</f>
        <v>HOLD</v>
      </c>
      <c r="D2053" s="14" t="str">
        <f aca="false">IF(C2053="BUY",B2053,IF(G2052="IN",D2052,""))</f>
        <v/>
      </c>
      <c r="E2053" s="14" t="str">
        <f aca="false">IF(C2053="SELL",B2053,"")</f>
        <v/>
      </c>
      <c r="F2053" s="14" t="str">
        <f aca="false">IF(E2053="","",(E2053-D2053)/D2053*100)</f>
        <v/>
      </c>
      <c r="G2053" s="0" t="str">
        <f aca="false">IF(C2053="BUY","IN",IF(C2053="SELL","OUT",IF(G2052="IN","IN","OUT")))</f>
        <v>OUT</v>
      </c>
      <c r="H2053" s="14" t="n">
        <f aca="false">H2052+IF(F2053="",0,F2053)</f>
        <v>4.29969630442003</v>
      </c>
      <c r="I2053" s="14" t="n">
        <f aca="false">MAX(I2052,H2053)</f>
        <v>43.9309628600509</v>
      </c>
      <c r="J2053" s="14" t="n">
        <f aca="false">I2053-H2053</f>
        <v>39.6312665556308</v>
      </c>
    </row>
    <row r="2054" customFormat="false" ht="15" hidden="false" customHeight="false" outlineLevel="0" collapsed="false">
      <c r="A2054" s="12" t="n">
        <f aca="false">Data!A2054</f>
        <v>44987</v>
      </c>
      <c r="B2054" s="14" t="n">
        <f aca="false">Data!B2054</f>
        <v>78.16</v>
      </c>
      <c r="C2054" s="0" t="str">
        <f aca="false">IF(Data!D2054="","HOLD",IF(AND(G2053&lt;&gt;"IN",Data!E2054&lt;-5),"BUY",IF(AND(G2053="IN",Data!E2054&gt;0),"SELL","HOLD")))</f>
        <v>HOLD</v>
      </c>
      <c r="D2054" s="14" t="str">
        <f aca="false">IF(C2054="BUY",B2054,IF(G2053="IN",D2053,""))</f>
        <v/>
      </c>
      <c r="E2054" s="14" t="str">
        <f aca="false">IF(C2054="SELL",B2054,"")</f>
        <v/>
      </c>
      <c r="F2054" s="14" t="str">
        <f aca="false">IF(E2054="","",(E2054-D2054)/D2054*100)</f>
        <v/>
      </c>
      <c r="G2054" s="0" t="str">
        <f aca="false">IF(C2054="BUY","IN",IF(C2054="SELL","OUT",IF(G2053="IN","IN","OUT")))</f>
        <v>OUT</v>
      </c>
      <c r="H2054" s="14" t="n">
        <f aca="false">H2053+IF(F2054="",0,F2054)</f>
        <v>4.29969630442003</v>
      </c>
      <c r="I2054" s="14" t="n">
        <f aca="false">MAX(I2053,H2054)</f>
        <v>43.9309628600509</v>
      </c>
      <c r="J2054" s="14" t="n">
        <f aca="false">I2054-H2054</f>
        <v>39.6312665556308</v>
      </c>
    </row>
    <row r="2055" customFormat="false" ht="15" hidden="false" customHeight="false" outlineLevel="0" collapsed="false">
      <c r="A2055" s="12" t="n">
        <f aca="false">Data!A2055</f>
        <v>44988</v>
      </c>
      <c r="B2055" s="14" t="n">
        <f aca="false">Data!B2055</f>
        <v>79.68</v>
      </c>
      <c r="C2055" s="0" t="str">
        <f aca="false">IF(Data!D2055="","HOLD",IF(AND(G2054&lt;&gt;"IN",Data!E2055&lt;-5),"BUY",IF(AND(G2054="IN",Data!E2055&gt;0),"SELL","HOLD")))</f>
        <v>HOLD</v>
      </c>
      <c r="D2055" s="14" t="str">
        <f aca="false">IF(C2055="BUY",B2055,IF(G2054="IN",D2054,""))</f>
        <v/>
      </c>
      <c r="E2055" s="14" t="str">
        <f aca="false">IF(C2055="SELL",B2055,"")</f>
        <v/>
      </c>
      <c r="F2055" s="14" t="str">
        <f aca="false">IF(E2055="","",(E2055-D2055)/D2055*100)</f>
        <v/>
      </c>
      <c r="G2055" s="0" t="str">
        <f aca="false">IF(C2055="BUY","IN",IF(C2055="SELL","OUT",IF(G2054="IN","IN","OUT")))</f>
        <v>OUT</v>
      </c>
      <c r="H2055" s="14" t="n">
        <f aca="false">H2054+IF(F2055="",0,F2055)</f>
        <v>4.29969630442003</v>
      </c>
      <c r="I2055" s="14" t="n">
        <f aca="false">MAX(I2054,H2055)</f>
        <v>43.9309628600509</v>
      </c>
      <c r="J2055" s="14" t="n">
        <f aca="false">I2055-H2055</f>
        <v>39.6312665556308</v>
      </c>
    </row>
    <row r="2056" customFormat="false" ht="15" hidden="false" customHeight="false" outlineLevel="0" collapsed="false">
      <c r="A2056" s="12" t="n">
        <f aca="false">Data!A2056</f>
        <v>44991</v>
      </c>
      <c r="B2056" s="14" t="n">
        <f aca="false">Data!B2056</f>
        <v>80.46</v>
      </c>
      <c r="C2056" s="0" t="str">
        <f aca="false">IF(Data!D2056="","HOLD",IF(AND(G2055&lt;&gt;"IN",Data!E2056&lt;-5),"BUY",IF(AND(G2055="IN",Data!E2056&gt;0),"SELL","HOLD")))</f>
        <v>HOLD</v>
      </c>
      <c r="D2056" s="14" t="str">
        <f aca="false">IF(C2056="BUY",B2056,IF(G2055="IN",D2055,""))</f>
        <v/>
      </c>
      <c r="E2056" s="14" t="str">
        <f aca="false">IF(C2056="SELL",B2056,"")</f>
        <v/>
      </c>
      <c r="F2056" s="14" t="str">
        <f aca="false">IF(E2056="","",(E2056-D2056)/D2056*100)</f>
        <v/>
      </c>
      <c r="G2056" s="0" t="str">
        <f aca="false">IF(C2056="BUY","IN",IF(C2056="SELL","OUT",IF(G2055="IN","IN","OUT")))</f>
        <v>OUT</v>
      </c>
      <c r="H2056" s="14" t="n">
        <f aca="false">H2055+IF(F2056="",0,F2056)</f>
        <v>4.29969630442003</v>
      </c>
      <c r="I2056" s="14" t="n">
        <f aca="false">MAX(I2055,H2056)</f>
        <v>43.9309628600509</v>
      </c>
      <c r="J2056" s="14" t="n">
        <f aca="false">I2056-H2056</f>
        <v>39.6312665556308</v>
      </c>
    </row>
    <row r="2057" customFormat="false" ht="15" hidden="false" customHeight="false" outlineLevel="0" collapsed="false">
      <c r="A2057" s="12" t="n">
        <f aca="false">Data!A2057</f>
        <v>44992</v>
      </c>
      <c r="B2057" s="14" t="n">
        <f aca="false">Data!B2057</f>
        <v>77.58</v>
      </c>
      <c r="C2057" s="0" t="str">
        <f aca="false">IF(Data!D2057="","HOLD",IF(AND(G2056&lt;&gt;"IN",Data!E2057&lt;-5),"BUY",IF(AND(G2056="IN",Data!E2057&gt;0),"SELL","HOLD")))</f>
        <v>HOLD</v>
      </c>
      <c r="D2057" s="14" t="str">
        <f aca="false">IF(C2057="BUY",B2057,IF(G2056="IN",D2056,""))</f>
        <v/>
      </c>
      <c r="E2057" s="14" t="str">
        <f aca="false">IF(C2057="SELL",B2057,"")</f>
        <v/>
      </c>
      <c r="F2057" s="14" t="str">
        <f aca="false">IF(E2057="","",(E2057-D2057)/D2057*100)</f>
        <v/>
      </c>
      <c r="G2057" s="0" t="str">
        <f aca="false">IF(C2057="BUY","IN",IF(C2057="SELL","OUT",IF(G2056="IN","IN","OUT")))</f>
        <v>OUT</v>
      </c>
      <c r="H2057" s="14" t="n">
        <f aca="false">H2056+IF(F2057="",0,F2057)</f>
        <v>4.29969630442003</v>
      </c>
      <c r="I2057" s="14" t="n">
        <f aca="false">MAX(I2056,H2057)</f>
        <v>43.9309628600509</v>
      </c>
      <c r="J2057" s="14" t="n">
        <f aca="false">I2057-H2057</f>
        <v>39.6312665556308</v>
      </c>
    </row>
    <row r="2058" customFormat="false" ht="15" hidden="false" customHeight="false" outlineLevel="0" collapsed="false">
      <c r="A2058" s="12" t="n">
        <f aca="false">Data!A2058</f>
        <v>44993</v>
      </c>
      <c r="B2058" s="14" t="n">
        <f aca="false">Data!B2058</f>
        <v>76.66</v>
      </c>
      <c r="C2058" s="0" t="str">
        <f aca="false">IF(Data!D2058="","HOLD",IF(AND(G2057&lt;&gt;"IN",Data!E2058&lt;-5),"BUY",IF(AND(G2057="IN",Data!E2058&gt;0),"SELL","HOLD")))</f>
        <v>HOLD</v>
      </c>
      <c r="D2058" s="14" t="str">
        <f aca="false">IF(C2058="BUY",B2058,IF(G2057="IN",D2057,""))</f>
        <v/>
      </c>
      <c r="E2058" s="14" t="str">
        <f aca="false">IF(C2058="SELL",B2058,"")</f>
        <v/>
      </c>
      <c r="F2058" s="14" t="str">
        <f aca="false">IF(E2058="","",(E2058-D2058)/D2058*100)</f>
        <v/>
      </c>
      <c r="G2058" s="0" t="str">
        <f aca="false">IF(C2058="BUY","IN",IF(C2058="SELL","OUT",IF(G2057="IN","IN","OUT")))</f>
        <v>OUT</v>
      </c>
      <c r="H2058" s="14" t="n">
        <f aca="false">H2057+IF(F2058="",0,F2058)</f>
        <v>4.29969630442003</v>
      </c>
      <c r="I2058" s="14" t="n">
        <f aca="false">MAX(I2057,H2058)</f>
        <v>43.9309628600509</v>
      </c>
      <c r="J2058" s="14" t="n">
        <f aca="false">I2058-H2058</f>
        <v>39.6312665556308</v>
      </c>
    </row>
    <row r="2059" customFormat="false" ht="15" hidden="false" customHeight="false" outlineLevel="0" collapsed="false">
      <c r="A2059" s="12" t="n">
        <f aca="false">Data!A2059</f>
        <v>44994</v>
      </c>
      <c r="B2059" s="14" t="n">
        <f aca="false">Data!B2059</f>
        <v>75.72</v>
      </c>
      <c r="C2059" s="0" t="str">
        <f aca="false">IF(Data!D2059="","HOLD",IF(AND(G2058&lt;&gt;"IN",Data!E2059&lt;-5),"BUY",IF(AND(G2058="IN",Data!E2059&gt;0),"SELL","HOLD")))</f>
        <v>HOLD</v>
      </c>
      <c r="D2059" s="14" t="str">
        <f aca="false">IF(C2059="BUY",B2059,IF(G2058="IN",D2058,""))</f>
        <v/>
      </c>
      <c r="E2059" s="14" t="str">
        <f aca="false">IF(C2059="SELL",B2059,"")</f>
        <v/>
      </c>
      <c r="F2059" s="14" t="str">
        <f aca="false">IF(E2059="","",(E2059-D2059)/D2059*100)</f>
        <v/>
      </c>
      <c r="G2059" s="0" t="str">
        <f aca="false">IF(C2059="BUY","IN",IF(C2059="SELL","OUT",IF(G2058="IN","IN","OUT")))</f>
        <v>OUT</v>
      </c>
      <c r="H2059" s="14" t="n">
        <f aca="false">H2058+IF(F2059="",0,F2059)</f>
        <v>4.29969630442003</v>
      </c>
      <c r="I2059" s="14" t="n">
        <f aca="false">MAX(I2058,H2059)</f>
        <v>43.9309628600509</v>
      </c>
      <c r="J2059" s="14" t="n">
        <f aca="false">I2059-H2059</f>
        <v>39.6312665556308</v>
      </c>
    </row>
    <row r="2060" customFormat="false" ht="15" hidden="false" customHeight="false" outlineLevel="0" collapsed="false">
      <c r="A2060" s="12" t="n">
        <f aca="false">Data!A2060</f>
        <v>44995</v>
      </c>
      <c r="B2060" s="14" t="n">
        <f aca="false">Data!B2060</f>
        <v>76.68</v>
      </c>
      <c r="C2060" s="0" t="str">
        <f aca="false">IF(Data!D2060="","HOLD",IF(AND(G2059&lt;&gt;"IN",Data!E2060&lt;-5),"BUY",IF(AND(G2059="IN",Data!E2060&gt;0),"SELL","HOLD")))</f>
        <v>HOLD</v>
      </c>
      <c r="D2060" s="14" t="str">
        <f aca="false">IF(C2060="BUY",B2060,IF(G2059="IN",D2059,""))</f>
        <v/>
      </c>
      <c r="E2060" s="14" t="str">
        <f aca="false">IF(C2060="SELL",B2060,"")</f>
        <v/>
      </c>
      <c r="F2060" s="14" t="str">
        <f aca="false">IF(E2060="","",(E2060-D2060)/D2060*100)</f>
        <v/>
      </c>
      <c r="G2060" s="0" t="str">
        <f aca="false">IF(C2060="BUY","IN",IF(C2060="SELL","OUT",IF(G2059="IN","IN","OUT")))</f>
        <v>OUT</v>
      </c>
      <c r="H2060" s="14" t="n">
        <f aca="false">H2059+IF(F2060="",0,F2060)</f>
        <v>4.29969630442003</v>
      </c>
      <c r="I2060" s="14" t="n">
        <f aca="false">MAX(I2059,H2060)</f>
        <v>43.9309628600509</v>
      </c>
      <c r="J2060" s="14" t="n">
        <f aca="false">I2060-H2060</f>
        <v>39.6312665556308</v>
      </c>
    </row>
    <row r="2061" customFormat="false" ht="15" hidden="false" customHeight="false" outlineLevel="0" collapsed="false">
      <c r="A2061" s="12" t="n">
        <f aca="false">Data!A2061</f>
        <v>44998</v>
      </c>
      <c r="B2061" s="14" t="n">
        <f aca="false">Data!B2061</f>
        <v>74.8</v>
      </c>
      <c r="C2061" s="0" t="str">
        <f aca="false">IF(Data!D2061="","HOLD",IF(AND(G2060&lt;&gt;"IN",Data!E2061&lt;-5),"BUY",IF(AND(G2060="IN",Data!E2061&gt;0),"SELL","HOLD")))</f>
        <v>HOLD</v>
      </c>
      <c r="D2061" s="14" t="str">
        <f aca="false">IF(C2061="BUY",B2061,IF(G2060="IN",D2060,""))</f>
        <v/>
      </c>
      <c r="E2061" s="14" t="str">
        <f aca="false">IF(C2061="SELL",B2061,"")</f>
        <v/>
      </c>
      <c r="F2061" s="14" t="str">
        <f aca="false">IF(E2061="","",(E2061-D2061)/D2061*100)</f>
        <v/>
      </c>
      <c r="G2061" s="0" t="str">
        <f aca="false">IF(C2061="BUY","IN",IF(C2061="SELL","OUT",IF(G2060="IN","IN","OUT")))</f>
        <v>OUT</v>
      </c>
      <c r="H2061" s="14" t="n">
        <f aca="false">H2060+IF(F2061="",0,F2061)</f>
        <v>4.29969630442003</v>
      </c>
      <c r="I2061" s="14" t="n">
        <f aca="false">MAX(I2060,H2061)</f>
        <v>43.9309628600509</v>
      </c>
      <c r="J2061" s="14" t="n">
        <f aca="false">I2061-H2061</f>
        <v>39.6312665556308</v>
      </c>
    </row>
    <row r="2062" customFormat="false" ht="15" hidden="false" customHeight="false" outlineLevel="0" collapsed="false">
      <c r="A2062" s="12" t="n">
        <f aca="false">Data!A2062</f>
        <v>44999</v>
      </c>
      <c r="B2062" s="14" t="n">
        <f aca="false">Data!B2062</f>
        <v>71.33</v>
      </c>
      <c r="C2062" s="0" t="str">
        <f aca="false">IF(Data!D2062="","HOLD",IF(AND(G2061&lt;&gt;"IN",Data!E2062&lt;-5),"BUY",IF(AND(G2061="IN",Data!E2062&gt;0),"SELL","HOLD")))</f>
        <v>BUY</v>
      </c>
      <c r="D2062" s="14" t="n">
        <f aca="false">IF(C2062="BUY",B2062,IF(G2061="IN",D2061,""))</f>
        <v>71.33</v>
      </c>
      <c r="E2062" s="14" t="str">
        <f aca="false">IF(C2062="SELL",B2062,"")</f>
        <v/>
      </c>
      <c r="F2062" s="14" t="str">
        <f aca="false">IF(E2062="","",(E2062-D2062)/D2062*100)</f>
        <v/>
      </c>
      <c r="G2062" s="0" t="str">
        <f aca="false">IF(C2062="BUY","IN",IF(C2062="SELL","OUT",IF(G2061="IN","IN","OUT")))</f>
        <v>IN</v>
      </c>
      <c r="H2062" s="14" t="n">
        <f aca="false">H2061+IF(F2062="",0,F2062)</f>
        <v>4.29969630442003</v>
      </c>
      <c r="I2062" s="14" t="n">
        <f aca="false">MAX(I2061,H2062)</f>
        <v>43.9309628600509</v>
      </c>
      <c r="J2062" s="14" t="n">
        <f aca="false">I2062-H2062</f>
        <v>39.6312665556308</v>
      </c>
    </row>
    <row r="2063" customFormat="false" ht="15" hidden="false" customHeight="false" outlineLevel="0" collapsed="false">
      <c r="A2063" s="12" t="n">
        <f aca="false">Data!A2063</f>
        <v>45000</v>
      </c>
      <c r="B2063" s="14" t="n">
        <f aca="false">Data!B2063</f>
        <v>67.61</v>
      </c>
      <c r="C2063" s="0" t="str">
        <f aca="false">IF(Data!D2063="","HOLD",IF(AND(G2062&lt;&gt;"IN",Data!E2063&lt;-5),"BUY",IF(AND(G2062="IN",Data!E2063&gt;0),"SELL","HOLD")))</f>
        <v>HOLD</v>
      </c>
      <c r="D2063" s="14" t="n">
        <f aca="false">IF(C2063="BUY",B2063,IF(G2062="IN",D2062,""))</f>
        <v>71.33</v>
      </c>
      <c r="E2063" s="14" t="str">
        <f aca="false">IF(C2063="SELL",B2063,"")</f>
        <v/>
      </c>
      <c r="F2063" s="14" t="str">
        <f aca="false">IF(E2063="","",(E2063-D2063)/D2063*100)</f>
        <v/>
      </c>
      <c r="G2063" s="0" t="str">
        <f aca="false">IF(C2063="BUY","IN",IF(C2063="SELL","OUT",IF(G2062="IN","IN","OUT")))</f>
        <v>IN</v>
      </c>
      <c r="H2063" s="14" t="n">
        <f aca="false">H2062+IF(F2063="",0,F2063)</f>
        <v>4.29969630442003</v>
      </c>
      <c r="I2063" s="14" t="n">
        <f aca="false">MAX(I2062,H2063)</f>
        <v>43.9309628600509</v>
      </c>
      <c r="J2063" s="14" t="n">
        <f aca="false">I2063-H2063</f>
        <v>39.6312665556308</v>
      </c>
    </row>
    <row r="2064" customFormat="false" ht="15" hidden="false" customHeight="false" outlineLevel="0" collapsed="false">
      <c r="A2064" s="12" t="n">
        <f aca="false">Data!A2064</f>
        <v>45001</v>
      </c>
      <c r="B2064" s="14" t="n">
        <f aca="false">Data!B2064</f>
        <v>68.35</v>
      </c>
      <c r="C2064" s="0" t="str">
        <f aca="false">IF(Data!D2064="","HOLD",IF(AND(G2063&lt;&gt;"IN",Data!E2064&lt;-5),"BUY",IF(AND(G2063="IN",Data!E2064&gt;0),"SELL","HOLD")))</f>
        <v>HOLD</v>
      </c>
      <c r="D2064" s="14" t="n">
        <f aca="false">IF(C2064="BUY",B2064,IF(G2063="IN",D2063,""))</f>
        <v>71.33</v>
      </c>
      <c r="E2064" s="14" t="str">
        <f aca="false">IF(C2064="SELL",B2064,"")</f>
        <v/>
      </c>
      <c r="F2064" s="14" t="str">
        <f aca="false">IF(E2064="","",(E2064-D2064)/D2064*100)</f>
        <v/>
      </c>
      <c r="G2064" s="0" t="str">
        <f aca="false">IF(C2064="BUY","IN",IF(C2064="SELL","OUT",IF(G2063="IN","IN","OUT")))</f>
        <v>IN</v>
      </c>
      <c r="H2064" s="14" t="n">
        <f aca="false">H2063+IF(F2064="",0,F2064)</f>
        <v>4.29969630442003</v>
      </c>
      <c r="I2064" s="14" t="n">
        <f aca="false">MAX(I2063,H2064)</f>
        <v>43.9309628600509</v>
      </c>
      <c r="J2064" s="14" t="n">
        <f aca="false">I2064-H2064</f>
        <v>39.6312665556308</v>
      </c>
    </row>
    <row r="2065" customFormat="false" ht="15" hidden="false" customHeight="false" outlineLevel="0" collapsed="false">
      <c r="A2065" s="12" t="n">
        <f aca="false">Data!A2065</f>
        <v>45002</v>
      </c>
      <c r="B2065" s="14" t="n">
        <f aca="false">Data!B2065</f>
        <v>66.74</v>
      </c>
      <c r="C2065" s="0" t="str">
        <f aca="false">IF(Data!D2065="","HOLD",IF(AND(G2064&lt;&gt;"IN",Data!E2065&lt;-5),"BUY",IF(AND(G2064="IN",Data!E2065&gt;0),"SELL","HOLD")))</f>
        <v>HOLD</v>
      </c>
      <c r="D2065" s="14" t="n">
        <f aca="false">IF(C2065="BUY",B2065,IF(G2064="IN",D2064,""))</f>
        <v>71.33</v>
      </c>
      <c r="E2065" s="14" t="str">
        <f aca="false">IF(C2065="SELL",B2065,"")</f>
        <v/>
      </c>
      <c r="F2065" s="14" t="str">
        <f aca="false">IF(E2065="","",(E2065-D2065)/D2065*100)</f>
        <v/>
      </c>
      <c r="G2065" s="0" t="str">
        <f aca="false">IF(C2065="BUY","IN",IF(C2065="SELL","OUT",IF(G2064="IN","IN","OUT")))</f>
        <v>IN</v>
      </c>
      <c r="H2065" s="14" t="n">
        <f aca="false">H2064+IF(F2065="",0,F2065)</f>
        <v>4.29969630442003</v>
      </c>
      <c r="I2065" s="14" t="n">
        <f aca="false">MAX(I2064,H2065)</f>
        <v>43.9309628600509</v>
      </c>
      <c r="J2065" s="14" t="n">
        <f aca="false">I2065-H2065</f>
        <v>39.6312665556308</v>
      </c>
    </row>
    <row r="2066" customFormat="false" ht="15" hidden="false" customHeight="false" outlineLevel="0" collapsed="false">
      <c r="A2066" s="12" t="n">
        <f aca="false">Data!A2066</f>
        <v>45005</v>
      </c>
      <c r="B2066" s="14" t="n">
        <f aca="false">Data!B2066</f>
        <v>67.64</v>
      </c>
      <c r="C2066" s="0" t="str">
        <f aca="false">IF(Data!D2066="","HOLD",IF(AND(G2065&lt;&gt;"IN",Data!E2066&lt;-5),"BUY",IF(AND(G2065="IN",Data!E2066&gt;0),"SELL","HOLD")))</f>
        <v>HOLD</v>
      </c>
      <c r="D2066" s="14" t="n">
        <f aca="false">IF(C2066="BUY",B2066,IF(G2065="IN",D2065,""))</f>
        <v>71.33</v>
      </c>
      <c r="E2066" s="14" t="str">
        <f aca="false">IF(C2066="SELL",B2066,"")</f>
        <v/>
      </c>
      <c r="F2066" s="14" t="str">
        <f aca="false">IF(E2066="","",(E2066-D2066)/D2066*100)</f>
        <v/>
      </c>
      <c r="G2066" s="0" t="str">
        <f aca="false">IF(C2066="BUY","IN",IF(C2066="SELL","OUT",IF(G2065="IN","IN","OUT")))</f>
        <v>IN</v>
      </c>
      <c r="H2066" s="14" t="n">
        <f aca="false">H2065+IF(F2066="",0,F2066)</f>
        <v>4.29969630442003</v>
      </c>
      <c r="I2066" s="14" t="n">
        <f aca="false">MAX(I2065,H2066)</f>
        <v>43.9309628600509</v>
      </c>
      <c r="J2066" s="14" t="n">
        <f aca="false">I2066-H2066</f>
        <v>39.6312665556308</v>
      </c>
    </row>
    <row r="2067" customFormat="false" ht="15" hidden="false" customHeight="false" outlineLevel="0" collapsed="false">
      <c r="A2067" s="12" t="n">
        <f aca="false">Data!A2067</f>
        <v>45006</v>
      </c>
      <c r="B2067" s="14" t="n">
        <f aca="false">Data!B2067</f>
        <v>69.33</v>
      </c>
      <c r="C2067" s="0" t="str">
        <f aca="false">IF(Data!D2067="","HOLD",IF(AND(G2066&lt;&gt;"IN",Data!E2067&lt;-5),"BUY",IF(AND(G2066="IN",Data!E2067&gt;0),"SELL","HOLD")))</f>
        <v>HOLD</v>
      </c>
      <c r="D2067" s="14" t="n">
        <f aca="false">IF(C2067="BUY",B2067,IF(G2066="IN",D2066,""))</f>
        <v>71.33</v>
      </c>
      <c r="E2067" s="14" t="str">
        <f aca="false">IF(C2067="SELL",B2067,"")</f>
        <v/>
      </c>
      <c r="F2067" s="14" t="str">
        <f aca="false">IF(E2067="","",(E2067-D2067)/D2067*100)</f>
        <v/>
      </c>
      <c r="G2067" s="0" t="str">
        <f aca="false">IF(C2067="BUY","IN",IF(C2067="SELL","OUT",IF(G2066="IN","IN","OUT")))</f>
        <v>IN</v>
      </c>
      <c r="H2067" s="14" t="n">
        <f aca="false">H2066+IF(F2067="",0,F2067)</f>
        <v>4.29969630442003</v>
      </c>
      <c r="I2067" s="14" t="n">
        <f aca="false">MAX(I2066,H2067)</f>
        <v>43.9309628600509</v>
      </c>
      <c r="J2067" s="14" t="n">
        <f aca="false">I2067-H2067</f>
        <v>39.6312665556308</v>
      </c>
    </row>
    <row r="2068" customFormat="false" ht="15" hidden="false" customHeight="false" outlineLevel="0" collapsed="false">
      <c r="A2068" s="12" t="n">
        <f aca="false">Data!A2068</f>
        <v>45007</v>
      </c>
      <c r="B2068" s="14" t="n">
        <f aca="false">Data!B2068</f>
        <v>70.9</v>
      </c>
      <c r="C2068" s="0" t="str">
        <f aca="false">IF(Data!D2068="","HOLD",IF(AND(G2067&lt;&gt;"IN",Data!E2068&lt;-5),"BUY",IF(AND(G2067="IN",Data!E2068&gt;0),"SELL","HOLD")))</f>
        <v>HOLD</v>
      </c>
      <c r="D2068" s="14" t="n">
        <f aca="false">IF(C2068="BUY",B2068,IF(G2067="IN",D2067,""))</f>
        <v>71.33</v>
      </c>
      <c r="E2068" s="14" t="str">
        <f aca="false">IF(C2068="SELL",B2068,"")</f>
        <v/>
      </c>
      <c r="F2068" s="14" t="str">
        <f aca="false">IF(E2068="","",(E2068-D2068)/D2068*100)</f>
        <v/>
      </c>
      <c r="G2068" s="0" t="str">
        <f aca="false">IF(C2068="BUY","IN",IF(C2068="SELL","OUT",IF(G2067="IN","IN","OUT")))</f>
        <v>IN</v>
      </c>
      <c r="H2068" s="14" t="n">
        <f aca="false">H2067+IF(F2068="",0,F2068)</f>
        <v>4.29969630442003</v>
      </c>
      <c r="I2068" s="14" t="n">
        <f aca="false">MAX(I2067,H2068)</f>
        <v>43.9309628600509</v>
      </c>
      <c r="J2068" s="14" t="n">
        <f aca="false">I2068-H2068</f>
        <v>39.6312665556308</v>
      </c>
    </row>
    <row r="2069" customFormat="false" ht="15" hidden="false" customHeight="false" outlineLevel="0" collapsed="false">
      <c r="A2069" s="12" t="n">
        <f aca="false">Data!A2069</f>
        <v>45008</v>
      </c>
      <c r="B2069" s="14" t="n">
        <f aca="false">Data!B2069</f>
        <v>69.96</v>
      </c>
      <c r="C2069" s="0" t="str">
        <f aca="false">IF(Data!D2069="","HOLD",IF(AND(G2068&lt;&gt;"IN",Data!E2069&lt;-5),"BUY",IF(AND(G2068="IN",Data!E2069&gt;0),"SELL","HOLD")))</f>
        <v>HOLD</v>
      </c>
      <c r="D2069" s="14" t="n">
        <f aca="false">IF(C2069="BUY",B2069,IF(G2068="IN",D2068,""))</f>
        <v>71.33</v>
      </c>
      <c r="E2069" s="14" t="str">
        <f aca="false">IF(C2069="SELL",B2069,"")</f>
        <v/>
      </c>
      <c r="F2069" s="14" t="str">
        <f aca="false">IF(E2069="","",(E2069-D2069)/D2069*100)</f>
        <v/>
      </c>
      <c r="G2069" s="0" t="str">
        <f aca="false">IF(C2069="BUY","IN",IF(C2069="SELL","OUT",IF(G2068="IN","IN","OUT")))</f>
        <v>IN</v>
      </c>
      <c r="H2069" s="14" t="n">
        <f aca="false">H2068+IF(F2069="",0,F2069)</f>
        <v>4.29969630442003</v>
      </c>
      <c r="I2069" s="14" t="n">
        <f aca="false">MAX(I2068,H2069)</f>
        <v>43.9309628600509</v>
      </c>
      <c r="J2069" s="14" t="n">
        <f aca="false">I2069-H2069</f>
        <v>39.6312665556308</v>
      </c>
    </row>
    <row r="2070" customFormat="false" ht="15" hidden="false" customHeight="false" outlineLevel="0" collapsed="false">
      <c r="A2070" s="12" t="n">
        <f aca="false">Data!A2070</f>
        <v>45009</v>
      </c>
      <c r="B2070" s="14" t="n">
        <f aca="false">Data!B2070</f>
        <v>69.26</v>
      </c>
      <c r="C2070" s="0" t="str">
        <f aca="false">IF(Data!D2070="","HOLD",IF(AND(G2069&lt;&gt;"IN",Data!E2070&lt;-5),"BUY",IF(AND(G2069="IN",Data!E2070&gt;0),"SELL","HOLD")))</f>
        <v>HOLD</v>
      </c>
      <c r="D2070" s="14" t="n">
        <f aca="false">IF(C2070="BUY",B2070,IF(G2069="IN",D2069,""))</f>
        <v>71.33</v>
      </c>
      <c r="E2070" s="14" t="str">
        <f aca="false">IF(C2070="SELL",B2070,"")</f>
        <v/>
      </c>
      <c r="F2070" s="14" t="str">
        <f aca="false">IF(E2070="","",(E2070-D2070)/D2070*100)</f>
        <v/>
      </c>
      <c r="G2070" s="0" t="str">
        <f aca="false">IF(C2070="BUY","IN",IF(C2070="SELL","OUT",IF(G2069="IN","IN","OUT")))</f>
        <v>IN</v>
      </c>
      <c r="H2070" s="14" t="n">
        <f aca="false">H2069+IF(F2070="",0,F2070)</f>
        <v>4.29969630442003</v>
      </c>
      <c r="I2070" s="14" t="n">
        <f aca="false">MAX(I2069,H2070)</f>
        <v>43.9309628600509</v>
      </c>
      <c r="J2070" s="14" t="n">
        <f aca="false">I2070-H2070</f>
        <v>39.6312665556308</v>
      </c>
    </row>
    <row r="2071" customFormat="false" ht="15" hidden="false" customHeight="false" outlineLevel="0" collapsed="false">
      <c r="A2071" s="12" t="n">
        <f aca="false">Data!A2071</f>
        <v>45012</v>
      </c>
      <c r="B2071" s="14" t="n">
        <f aca="false">Data!B2071</f>
        <v>72.81</v>
      </c>
      <c r="C2071" s="0" t="str">
        <f aca="false">IF(Data!D2071="","HOLD",IF(AND(G2070&lt;&gt;"IN",Data!E2071&lt;-5),"BUY",IF(AND(G2070="IN",Data!E2071&gt;0),"SELL","HOLD")))</f>
        <v>HOLD</v>
      </c>
      <c r="D2071" s="14" t="n">
        <f aca="false">IF(C2071="BUY",B2071,IF(G2070="IN",D2070,""))</f>
        <v>71.33</v>
      </c>
      <c r="E2071" s="14" t="str">
        <f aca="false">IF(C2071="SELL",B2071,"")</f>
        <v/>
      </c>
      <c r="F2071" s="14" t="str">
        <f aca="false">IF(E2071="","",(E2071-D2071)/D2071*100)</f>
        <v/>
      </c>
      <c r="G2071" s="0" t="str">
        <f aca="false">IF(C2071="BUY","IN",IF(C2071="SELL","OUT",IF(G2070="IN","IN","OUT")))</f>
        <v>IN</v>
      </c>
      <c r="H2071" s="14" t="n">
        <f aca="false">H2070+IF(F2071="",0,F2071)</f>
        <v>4.29969630442003</v>
      </c>
      <c r="I2071" s="14" t="n">
        <f aca="false">MAX(I2070,H2071)</f>
        <v>43.9309628600509</v>
      </c>
      <c r="J2071" s="14" t="n">
        <f aca="false">I2071-H2071</f>
        <v>39.6312665556308</v>
      </c>
    </row>
    <row r="2072" customFormat="false" ht="15" hidden="false" customHeight="false" outlineLevel="0" collapsed="false">
      <c r="A2072" s="12" t="n">
        <f aca="false">Data!A2072</f>
        <v>45013</v>
      </c>
      <c r="B2072" s="14" t="n">
        <f aca="false">Data!B2072</f>
        <v>73.2</v>
      </c>
      <c r="C2072" s="0" t="str">
        <f aca="false">IF(Data!D2072="","HOLD",IF(AND(G2071&lt;&gt;"IN",Data!E2072&lt;-5),"BUY",IF(AND(G2071="IN",Data!E2072&gt;0),"SELL","HOLD")))</f>
        <v>HOLD</v>
      </c>
      <c r="D2072" s="14" t="n">
        <f aca="false">IF(C2072="BUY",B2072,IF(G2071="IN",D2071,""))</f>
        <v>71.33</v>
      </c>
      <c r="E2072" s="14" t="str">
        <f aca="false">IF(C2072="SELL",B2072,"")</f>
        <v/>
      </c>
      <c r="F2072" s="14" t="str">
        <f aca="false">IF(E2072="","",(E2072-D2072)/D2072*100)</f>
        <v/>
      </c>
      <c r="G2072" s="0" t="str">
        <f aca="false">IF(C2072="BUY","IN",IF(C2072="SELL","OUT",IF(G2071="IN","IN","OUT")))</f>
        <v>IN</v>
      </c>
      <c r="H2072" s="14" t="n">
        <f aca="false">H2071+IF(F2072="",0,F2072)</f>
        <v>4.29969630442003</v>
      </c>
      <c r="I2072" s="14" t="n">
        <f aca="false">MAX(I2071,H2072)</f>
        <v>43.9309628600509</v>
      </c>
      <c r="J2072" s="14" t="n">
        <f aca="false">I2072-H2072</f>
        <v>39.6312665556308</v>
      </c>
    </row>
    <row r="2073" customFormat="false" ht="15" hidden="false" customHeight="false" outlineLevel="0" collapsed="false">
      <c r="A2073" s="12" t="n">
        <f aca="false">Data!A2073</f>
        <v>45014</v>
      </c>
      <c r="B2073" s="14" t="n">
        <f aca="false">Data!B2073</f>
        <v>72.97</v>
      </c>
      <c r="C2073" s="0" t="str">
        <f aca="false">IF(Data!D2073="","HOLD",IF(AND(G2072&lt;&gt;"IN",Data!E2073&lt;-5),"BUY",IF(AND(G2072="IN",Data!E2073&gt;0),"SELL","HOLD")))</f>
        <v>HOLD</v>
      </c>
      <c r="D2073" s="14" t="n">
        <f aca="false">IF(C2073="BUY",B2073,IF(G2072="IN",D2072,""))</f>
        <v>71.33</v>
      </c>
      <c r="E2073" s="14" t="str">
        <f aca="false">IF(C2073="SELL",B2073,"")</f>
        <v/>
      </c>
      <c r="F2073" s="14" t="str">
        <f aca="false">IF(E2073="","",(E2073-D2073)/D2073*100)</f>
        <v/>
      </c>
      <c r="G2073" s="0" t="str">
        <f aca="false">IF(C2073="BUY","IN",IF(C2073="SELL","OUT",IF(G2072="IN","IN","OUT")))</f>
        <v>IN</v>
      </c>
      <c r="H2073" s="14" t="n">
        <f aca="false">H2072+IF(F2073="",0,F2073)</f>
        <v>4.29969630442003</v>
      </c>
      <c r="I2073" s="14" t="n">
        <f aca="false">MAX(I2072,H2073)</f>
        <v>43.9309628600509</v>
      </c>
      <c r="J2073" s="14" t="n">
        <f aca="false">I2073-H2073</f>
        <v>39.6312665556308</v>
      </c>
    </row>
    <row r="2074" customFormat="false" ht="15" hidden="false" customHeight="false" outlineLevel="0" collapsed="false">
      <c r="A2074" s="12" t="n">
        <f aca="false">Data!A2074</f>
        <v>45015</v>
      </c>
      <c r="B2074" s="14" t="n">
        <f aca="false">Data!B2074</f>
        <v>74.37</v>
      </c>
      <c r="C2074" s="0" t="str">
        <f aca="false">IF(Data!D2074="","HOLD",IF(AND(G2073&lt;&gt;"IN",Data!E2074&lt;-5),"BUY",IF(AND(G2073="IN",Data!E2074&gt;0),"SELL","HOLD")))</f>
        <v>SELL</v>
      </c>
      <c r="D2074" s="14" t="n">
        <f aca="false">IF(C2074="BUY",B2074,IF(G2073="IN",D2073,""))</f>
        <v>71.33</v>
      </c>
      <c r="E2074" s="14" t="n">
        <f aca="false">IF(C2074="SELL",B2074,"")</f>
        <v>74.37</v>
      </c>
      <c r="F2074" s="14" t="n">
        <f aca="false">IF(E2074="","",(E2074-D2074)/D2074*100)</f>
        <v>4.26188139632694</v>
      </c>
      <c r="G2074" s="0" t="str">
        <f aca="false">IF(C2074="BUY","IN",IF(C2074="SELL","OUT",IF(G2073="IN","IN","OUT")))</f>
        <v>OUT</v>
      </c>
      <c r="H2074" s="14" t="n">
        <f aca="false">H2073+IF(F2074="",0,F2074)</f>
        <v>8.56157770074697</v>
      </c>
      <c r="I2074" s="14" t="n">
        <f aca="false">MAX(I2073,H2074)</f>
        <v>43.9309628600509</v>
      </c>
      <c r="J2074" s="14" t="n">
        <f aca="false">I2074-H2074</f>
        <v>35.3693851593039</v>
      </c>
    </row>
    <row r="2075" customFormat="false" ht="15" hidden="false" customHeight="false" outlineLevel="0" collapsed="false">
      <c r="A2075" s="12" t="n">
        <f aca="false">Data!A2075</f>
        <v>45016</v>
      </c>
      <c r="B2075" s="14" t="n">
        <f aca="false">Data!B2075</f>
        <v>75.67</v>
      </c>
      <c r="C2075" s="0" t="str">
        <f aca="false">IF(Data!D2075="","HOLD",IF(AND(G2074&lt;&gt;"IN",Data!E2075&lt;-5),"BUY",IF(AND(G2074="IN",Data!E2075&gt;0),"SELL","HOLD")))</f>
        <v>HOLD</v>
      </c>
      <c r="D2075" s="14" t="str">
        <f aca="false">IF(C2075="BUY",B2075,IF(G2074="IN",D2074,""))</f>
        <v/>
      </c>
      <c r="E2075" s="14" t="str">
        <f aca="false">IF(C2075="SELL",B2075,"")</f>
        <v/>
      </c>
      <c r="F2075" s="14" t="str">
        <f aca="false">IF(E2075="","",(E2075-D2075)/D2075*100)</f>
        <v/>
      </c>
      <c r="G2075" s="0" t="str">
        <f aca="false">IF(C2075="BUY","IN",IF(C2075="SELL","OUT",IF(G2074="IN","IN","OUT")))</f>
        <v>OUT</v>
      </c>
      <c r="H2075" s="14" t="n">
        <f aca="false">H2074+IF(F2075="",0,F2075)</f>
        <v>8.56157770074697</v>
      </c>
      <c r="I2075" s="14" t="n">
        <f aca="false">MAX(I2074,H2075)</f>
        <v>43.9309628600509</v>
      </c>
      <c r="J2075" s="14" t="n">
        <f aca="false">I2075-H2075</f>
        <v>35.3693851593039</v>
      </c>
    </row>
    <row r="2076" customFormat="false" ht="15" hidden="false" customHeight="false" outlineLevel="0" collapsed="false">
      <c r="A2076" s="12" t="n">
        <f aca="false">Data!A2076</f>
        <v>45019</v>
      </c>
      <c r="B2076" s="14" t="n">
        <f aca="false">Data!B2076</f>
        <v>80.42</v>
      </c>
      <c r="C2076" s="0" t="str">
        <f aca="false">IF(Data!D2076="","HOLD",IF(AND(G2075&lt;&gt;"IN",Data!E2076&lt;-5),"BUY",IF(AND(G2075="IN",Data!E2076&gt;0),"SELL","HOLD")))</f>
        <v>HOLD</v>
      </c>
      <c r="D2076" s="14" t="str">
        <f aca="false">IF(C2076="BUY",B2076,IF(G2075="IN",D2075,""))</f>
        <v/>
      </c>
      <c r="E2076" s="14" t="str">
        <f aca="false">IF(C2076="SELL",B2076,"")</f>
        <v/>
      </c>
      <c r="F2076" s="14" t="str">
        <f aca="false">IF(E2076="","",(E2076-D2076)/D2076*100)</f>
        <v/>
      </c>
      <c r="G2076" s="0" t="str">
        <f aca="false">IF(C2076="BUY","IN",IF(C2076="SELL","OUT",IF(G2075="IN","IN","OUT")))</f>
        <v>OUT</v>
      </c>
      <c r="H2076" s="14" t="n">
        <f aca="false">H2075+IF(F2076="",0,F2076)</f>
        <v>8.56157770074697</v>
      </c>
      <c r="I2076" s="14" t="n">
        <f aca="false">MAX(I2075,H2076)</f>
        <v>43.9309628600509</v>
      </c>
      <c r="J2076" s="14" t="n">
        <f aca="false">I2076-H2076</f>
        <v>35.3693851593039</v>
      </c>
    </row>
    <row r="2077" customFormat="false" ht="15" hidden="false" customHeight="false" outlineLevel="0" collapsed="false">
      <c r="A2077" s="12" t="n">
        <f aca="false">Data!A2077</f>
        <v>45020</v>
      </c>
      <c r="B2077" s="14" t="n">
        <f aca="false">Data!B2077</f>
        <v>80.71</v>
      </c>
      <c r="C2077" s="0" t="str">
        <f aca="false">IF(Data!D2077="","HOLD",IF(AND(G2076&lt;&gt;"IN",Data!E2077&lt;-5),"BUY",IF(AND(G2076="IN",Data!E2077&gt;0),"SELL","HOLD")))</f>
        <v>HOLD</v>
      </c>
      <c r="D2077" s="14" t="str">
        <f aca="false">IF(C2077="BUY",B2077,IF(G2076="IN",D2076,""))</f>
        <v/>
      </c>
      <c r="E2077" s="14" t="str">
        <f aca="false">IF(C2077="SELL",B2077,"")</f>
        <v/>
      </c>
      <c r="F2077" s="14" t="str">
        <f aca="false">IF(E2077="","",(E2077-D2077)/D2077*100)</f>
        <v/>
      </c>
      <c r="G2077" s="0" t="str">
        <f aca="false">IF(C2077="BUY","IN",IF(C2077="SELL","OUT",IF(G2076="IN","IN","OUT")))</f>
        <v>OUT</v>
      </c>
      <c r="H2077" s="14" t="n">
        <f aca="false">H2076+IF(F2077="",0,F2077)</f>
        <v>8.56157770074697</v>
      </c>
      <c r="I2077" s="14" t="n">
        <f aca="false">MAX(I2076,H2077)</f>
        <v>43.9309628600509</v>
      </c>
      <c r="J2077" s="14" t="n">
        <f aca="false">I2077-H2077</f>
        <v>35.3693851593039</v>
      </c>
    </row>
    <row r="2078" customFormat="false" ht="15" hidden="false" customHeight="false" outlineLevel="0" collapsed="false">
      <c r="A2078" s="12" t="n">
        <f aca="false">Data!A2078</f>
        <v>45021</v>
      </c>
      <c r="B2078" s="14" t="n">
        <f aca="false">Data!B2078</f>
        <v>80.61</v>
      </c>
      <c r="C2078" s="0" t="str">
        <f aca="false">IF(Data!D2078="","HOLD",IF(AND(G2077&lt;&gt;"IN",Data!E2078&lt;-5),"BUY",IF(AND(G2077="IN",Data!E2078&gt;0),"SELL","HOLD")))</f>
        <v>HOLD</v>
      </c>
      <c r="D2078" s="14" t="str">
        <f aca="false">IF(C2078="BUY",B2078,IF(G2077="IN",D2077,""))</f>
        <v/>
      </c>
      <c r="E2078" s="14" t="str">
        <f aca="false">IF(C2078="SELL",B2078,"")</f>
        <v/>
      </c>
      <c r="F2078" s="14" t="str">
        <f aca="false">IF(E2078="","",(E2078-D2078)/D2078*100)</f>
        <v/>
      </c>
      <c r="G2078" s="0" t="str">
        <f aca="false">IF(C2078="BUY","IN",IF(C2078="SELL","OUT",IF(G2077="IN","IN","OUT")))</f>
        <v>OUT</v>
      </c>
      <c r="H2078" s="14" t="n">
        <f aca="false">H2077+IF(F2078="",0,F2078)</f>
        <v>8.56157770074697</v>
      </c>
      <c r="I2078" s="14" t="n">
        <f aca="false">MAX(I2077,H2078)</f>
        <v>43.9309628600509</v>
      </c>
      <c r="J2078" s="14" t="n">
        <f aca="false">I2078-H2078</f>
        <v>35.3693851593039</v>
      </c>
    </row>
    <row r="2079" customFormat="false" ht="15" hidden="false" customHeight="false" outlineLevel="0" collapsed="false">
      <c r="A2079" s="12" t="n">
        <f aca="false">Data!A2079</f>
        <v>45022</v>
      </c>
      <c r="B2079" s="14" t="n">
        <f aca="false">Data!B2079</f>
        <v>80.7</v>
      </c>
      <c r="C2079" s="0" t="str">
        <f aca="false">IF(Data!D2079="","HOLD",IF(AND(G2078&lt;&gt;"IN",Data!E2079&lt;-5),"BUY",IF(AND(G2078="IN",Data!E2079&gt;0),"SELL","HOLD")))</f>
        <v>HOLD</v>
      </c>
      <c r="D2079" s="14" t="str">
        <f aca="false">IF(C2079="BUY",B2079,IF(G2078="IN",D2078,""))</f>
        <v/>
      </c>
      <c r="E2079" s="14" t="str">
        <f aca="false">IF(C2079="SELL",B2079,"")</f>
        <v/>
      </c>
      <c r="F2079" s="14" t="str">
        <f aca="false">IF(E2079="","",(E2079-D2079)/D2079*100)</f>
        <v/>
      </c>
      <c r="G2079" s="0" t="str">
        <f aca="false">IF(C2079="BUY","IN",IF(C2079="SELL","OUT",IF(G2078="IN","IN","OUT")))</f>
        <v>OUT</v>
      </c>
      <c r="H2079" s="14" t="n">
        <f aca="false">H2078+IF(F2079="",0,F2079)</f>
        <v>8.56157770074697</v>
      </c>
      <c r="I2079" s="14" t="n">
        <f aca="false">MAX(I2078,H2079)</f>
        <v>43.9309628600509</v>
      </c>
      <c r="J2079" s="14" t="n">
        <f aca="false">I2079-H2079</f>
        <v>35.3693851593039</v>
      </c>
    </row>
    <row r="2080" customFormat="false" ht="15" hidden="false" customHeight="false" outlineLevel="0" collapsed="false">
      <c r="A2080" s="12" t="n">
        <f aca="false">Data!A2080</f>
        <v>45026</v>
      </c>
      <c r="B2080" s="14" t="n">
        <f aca="false">Data!B2080</f>
        <v>79.74</v>
      </c>
      <c r="C2080" s="0" t="str">
        <f aca="false">IF(Data!D2080="","HOLD",IF(AND(G2079&lt;&gt;"IN",Data!E2080&lt;-5),"BUY",IF(AND(G2079="IN",Data!E2080&gt;0),"SELL","HOLD")))</f>
        <v>HOLD</v>
      </c>
      <c r="D2080" s="14" t="str">
        <f aca="false">IF(C2080="BUY",B2080,IF(G2079="IN",D2079,""))</f>
        <v/>
      </c>
      <c r="E2080" s="14" t="str">
        <f aca="false">IF(C2080="SELL",B2080,"")</f>
        <v/>
      </c>
      <c r="F2080" s="14" t="str">
        <f aca="false">IF(E2080="","",(E2080-D2080)/D2080*100)</f>
        <v/>
      </c>
      <c r="G2080" s="0" t="str">
        <f aca="false">IF(C2080="BUY","IN",IF(C2080="SELL","OUT",IF(G2079="IN","IN","OUT")))</f>
        <v>OUT</v>
      </c>
      <c r="H2080" s="14" t="n">
        <f aca="false">H2079+IF(F2080="",0,F2080)</f>
        <v>8.56157770074697</v>
      </c>
      <c r="I2080" s="14" t="n">
        <f aca="false">MAX(I2079,H2080)</f>
        <v>43.9309628600509</v>
      </c>
      <c r="J2080" s="14" t="n">
        <f aca="false">I2080-H2080</f>
        <v>35.3693851593039</v>
      </c>
    </row>
    <row r="2081" customFormat="false" ht="15" hidden="false" customHeight="false" outlineLevel="0" collapsed="false">
      <c r="A2081" s="12" t="n">
        <f aca="false">Data!A2081</f>
        <v>45027</v>
      </c>
      <c r="B2081" s="14" t="n">
        <f aca="false">Data!B2081</f>
        <v>81.53</v>
      </c>
      <c r="C2081" s="0" t="str">
        <f aca="false">IF(Data!D2081="","HOLD",IF(AND(G2080&lt;&gt;"IN",Data!E2081&lt;-5),"BUY",IF(AND(G2080="IN",Data!E2081&gt;0),"SELL","HOLD")))</f>
        <v>HOLD</v>
      </c>
      <c r="D2081" s="14" t="str">
        <f aca="false">IF(C2081="BUY",B2081,IF(G2080="IN",D2080,""))</f>
        <v/>
      </c>
      <c r="E2081" s="14" t="str">
        <f aca="false">IF(C2081="SELL",B2081,"")</f>
        <v/>
      </c>
      <c r="F2081" s="14" t="str">
        <f aca="false">IF(E2081="","",(E2081-D2081)/D2081*100)</f>
        <v/>
      </c>
      <c r="G2081" s="0" t="str">
        <f aca="false">IF(C2081="BUY","IN",IF(C2081="SELL","OUT",IF(G2080="IN","IN","OUT")))</f>
        <v>OUT</v>
      </c>
      <c r="H2081" s="14" t="n">
        <f aca="false">H2080+IF(F2081="",0,F2081)</f>
        <v>8.56157770074697</v>
      </c>
      <c r="I2081" s="14" t="n">
        <f aca="false">MAX(I2080,H2081)</f>
        <v>43.9309628600509</v>
      </c>
      <c r="J2081" s="14" t="n">
        <f aca="false">I2081-H2081</f>
        <v>35.3693851593039</v>
      </c>
    </row>
    <row r="2082" customFormat="false" ht="15" hidden="false" customHeight="false" outlineLevel="0" collapsed="false">
      <c r="A2082" s="12" t="n">
        <f aca="false">Data!A2082</f>
        <v>45028</v>
      </c>
      <c r="B2082" s="14" t="n">
        <f aca="false">Data!B2082</f>
        <v>83.26</v>
      </c>
      <c r="C2082" s="0" t="str">
        <f aca="false">IF(Data!D2082="","HOLD",IF(AND(G2081&lt;&gt;"IN",Data!E2082&lt;-5),"BUY",IF(AND(G2081="IN",Data!E2082&gt;0),"SELL","HOLD")))</f>
        <v>HOLD</v>
      </c>
      <c r="D2082" s="14" t="str">
        <f aca="false">IF(C2082="BUY",B2082,IF(G2081="IN",D2081,""))</f>
        <v/>
      </c>
      <c r="E2082" s="14" t="str">
        <f aca="false">IF(C2082="SELL",B2082,"")</f>
        <v/>
      </c>
      <c r="F2082" s="14" t="str">
        <f aca="false">IF(E2082="","",(E2082-D2082)/D2082*100)</f>
        <v/>
      </c>
      <c r="G2082" s="0" t="str">
        <f aca="false">IF(C2082="BUY","IN",IF(C2082="SELL","OUT",IF(G2081="IN","IN","OUT")))</f>
        <v>OUT</v>
      </c>
      <c r="H2082" s="14" t="n">
        <f aca="false">H2081+IF(F2082="",0,F2082)</f>
        <v>8.56157770074697</v>
      </c>
      <c r="I2082" s="14" t="n">
        <f aca="false">MAX(I2081,H2082)</f>
        <v>43.9309628600509</v>
      </c>
      <c r="J2082" s="14" t="n">
        <f aca="false">I2082-H2082</f>
        <v>35.3693851593039</v>
      </c>
    </row>
    <row r="2083" customFormat="false" ht="15" hidden="false" customHeight="false" outlineLevel="0" collapsed="false">
      <c r="A2083" s="12" t="n">
        <f aca="false">Data!A2083</f>
        <v>45029</v>
      </c>
      <c r="B2083" s="14" t="n">
        <f aca="false">Data!B2083</f>
        <v>82.16</v>
      </c>
      <c r="C2083" s="0" t="str">
        <f aca="false">IF(Data!D2083="","HOLD",IF(AND(G2082&lt;&gt;"IN",Data!E2083&lt;-5),"BUY",IF(AND(G2082="IN",Data!E2083&gt;0),"SELL","HOLD")))</f>
        <v>HOLD</v>
      </c>
      <c r="D2083" s="14" t="str">
        <f aca="false">IF(C2083="BUY",B2083,IF(G2082="IN",D2082,""))</f>
        <v/>
      </c>
      <c r="E2083" s="14" t="str">
        <f aca="false">IF(C2083="SELL",B2083,"")</f>
        <v/>
      </c>
      <c r="F2083" s="14" t="str">
        <f aca="false">IF(E2083="","",(E2083-D2083)/D2083*100)</f>
        <v/>
      </c>
      <c r="G2083" s="0" t="str">
        <f aca="false">IF(C2083="BUY","IN",IF(C2083="SELL","OUT",IF(G2082="IN","IN","OUT")))</f>
        <v>OUT</v>
      </c>
      <c r="H2083" s="14" t="n">
        <f aca="false">H2082+IF(F2083="",0,F2083)</f>
        <v>8.56157770074697</v>
      </c>
      <c r="I2083" s="14" t="n">
        <f aca="false">MAX(I2082,H2083)</f>
        <v>43.9309628600509</v>
      </c>
      <c r="J2083" s="14" t="n">
        <f aca="false">I2083-H2083</f>
        <v>35.3693851593039</v>
      </c>
    </row>
    <row r="2084" customFormat="false" ht="15" hidden="false" customHeight="false" outlineLevel="0" collapsed="false">
      <c r="A2084" s="12" t="n">
        <f aca="false">Data!A2084</f>
        <v>45030</v>
      </c>
      <c r="B2084" s="14" t="n">
        <f aca="false">Data!B2084</f>
        <v>82.52</v>
      </c>
      <c r="C2084" s="0" t="str">
        <f aca="false">IF(Data!D2084="","HOLD",IF(AND(G2083&lt;&gt;"IN",Data!E2084&lt;-5),"BUY",IF(AND(G2083="IN",Data!E2084&gt;0),"SELL","HOLD")))</f>
        <v>HOLD</v>
      </c>
      <c r="D2084" s="14" t="str">
        <f aca="false">IF(C2084="BUY",B2084,IF(G2083="IN",D2083,""))</f>
        <v/>
      </c>
      <c r="E2084" s="14" t="str">
        <f aca="false">IF(C2084="SELL",B2084,"")</f>
        <v/>
      </c>
      <c r="F2084" s="14" t="str">
        <f aca="false">IF(E2084="","",(E2084-D2084)/D2084*100)</f>
        <v/>
      </c>
      <c r="G2084" s="0" t="str">
        <f aca="false">IF(C2084="BUY","IN",IF(C2084="SELL","OUT",IF(G2083="IN","IN","OUT")))</f>
        <v>OUT</v>
      </c>
      <c r="H2084" s="14" t="n">
        <f aca="false">H2083+IF(F2084="",0,F2084)</f>
        <v>8.56157770074697</v>
      </c>
      <c r="I2084" s="14" t="n">
        <f aca="false">MAX(I2083,H2084)</f>
        <v>43.9309628600509</v>
      </c>
      <c r="J2084" s="14" t="n">
        <f aca="false">I2084-H2084</f>
        <v>35.3693851593039</v>
      </c>
    </row>
    <row r="2085" customFormat="false" ht="15" hidden="false" customHeight="false" outlineLevel="0" collapsed="false">
      <c r="A2085" s="12" t="n">
        <f aca="false">Data!A2085</f>
        <v>45033</v>
      </c>
      <c r="B2085" s="14" t="n">
        <f aca="false">Data!B2085</f>
        <v>80.83</v>
      </c>
      <c r="C2085" s="0" t="str">
        <f aca="false">IF(Data!D2085="","HOLD",IF(AND(G2084&lt;&gt;"IN",Data!E2085&lt;-5),"BUY",IF(AND(G2084="IN",Data!E2085&gt;0),"SELL","HOLD")))</f>
        <v>HOLD</v>
      </c>
      <c r="D2085" s="14" t="str">
        <f aca="false">IF(C2085="BUY",B2085,IF(G2084="IN",D2084,""))</f>
        <v/>
      </c>
      <c r="E2085" s="14" t="str">
        <f aca="false">IF(C2085="SELL",B2085,"")</f>
        <v/>
      </c>
      <c r="F2085" s="14" t="str">
        <f aca="false">IF(E2085="","",(E2085-D2085)/D2085*100)</f>
        <v/>
      </c>
      <c r="G2085" s="0" t="str">
        <f aca="false">IF(C2085="BUY","IN",IF(C2085="SELL","OUT",IF(G2084="IN","IN","OUT")))</f>
        <v>OUT</v>
      </c>
      <c r="H2085" s="14" t="n">
        <f aca="false">H2084+IF(F2085="",0,F2085)</f>
        <v>8.56157770074697</v>
      </c>
      <c r="I2085" s="14" t="n">
        <f aca="false">MAX(I2084,H2085)</f>
        <v>43.9309628600509</v>
      </c>
      <c r="J2085" s="14" t="n">
        <f aca="false">I2085-H2085</f>
        <v>35.3693851593039</v>
      </c>
    </row>
    <row r="2086" customFormat="false" ht="15" hidden="false" customHeight="false" outlineLevel="0" collapsed="false">
      <c r="A2086" s="12" t="n">
        <f aca="false">Data!A2086</f>
        <v>45034</v>
      </c>
      <c r="B2086" s="14" t="n">
        <f aca="false">Data!B2086</f>
        <v>80.86</v>
      </c>
      <c r="C2086" s="0" t="str">
        <f aca="false">IF(Data!D2086="","HOLD",IF(AND(G2085&lt;&gt;"IN",Data!E2086&lt;-5),"BUY",IF(AND(G2085="IN",Data!E2086&gt;0),"SELL","HOLD")))</f>
        <v>HOLD</v>
      </c>
      <c r="D2086" s="14" t="str">
        <f aca="false">IF(C2086="BUY",B2086,IF(G2085="IN",D2085,""))</f>
        <v/>
      </c>
      <c r="E2086" s="14" t="str">
        <f aca="false">IF(C2086="SELL",B2086,"")</f>
        <v/>
      </c>
      <c r="F2086" s="14" t="str">
        <f aca="false">IF(E2086="","",(E2086-D2086)/D2086*100)</f>
        <v/>
      </c>
      <c r="G2086" s="0" t="str">
        <f aca="false">IF(C2086="BUY","IN",IF(C2086="SELL","OUT",IF(G2085="IN","IN","OUT")))</f>
        <v>OUT</v>
      </c>
      <c r="H2086" s="14" t="n">
        <f aca="false">H2085+IF(F2086="",0,F2086)</f>
        <v>8.56157770074697</v>
      </c>
      <c r="I2086" s="14" t="n">
        <f aca="false">MAX(I2085,H2086)</f>
        <v>43.9309628600509</v>
      </c>
      <c r="J2086" s="14" t="n">
        <f aca="false">I2086-H2086</f>
        <v>35.3693851593039</v>
      </c>
    </row>
    <row r="2087" customFormat="false" ht="15" hidden="false" customHeight="false" outlineLevel="0" collapsed="false">
      <c r="A2087" s="12" t="n">
        <f aca="false">Data!A2087</f>
        <v>45035</v>
      </c>
      <c r="B2087" s="14" t="n">
        <f aca="false">Data!B2087</f>
        <v>79.16</v>
      </c>
      <c r="C2087" s="0" t="str">
        <f aca="false">IF(Data!D2087="","HOLD",IF(AND(G2086&lt;&gt;"IN",Data!E2087&lt;-5),"BUY",IF(AND(G2086="IN",Data!E2087&gt;0),"SELL","HOLD")))</f>
        <v>HOLD</v>
      </c>
      <c r="D2087" s="14" t="str">
        <f aca="false">IF(C2087="BUY",B2087,IF(G2086="IN",D2086,""))</f>
        <v/>
      </c>
      <c r="E2087" s="14" t="str">
        <f aca="false">IF(C2087="SELL",B2087,"")</f>
        <v/>
      </c>
      <c r="F2087" s="14" t="str">
        <f aca="false">IF(E2087="","",(E2087-D2087)/D2087*100)</f>
        <v/>
      </c>
      <c r="G2087" s="0" t="str">
        <f aca="false">IF(C2087="BUY","IN",IF(C2087="SELL","OUT",IF(G2086="IN","IN","OUT")))</f>
        <v>OUT</v>
      </c>
      <c r="H2087" s="14" t="n">
        <f aca="false">H2086+IF(F2087="",0,F2087)</f>
        <v>8.56157770074697</v>
      </c>
      <c r="I2087" s="14" t="n">
        <f aca="false">MAX(I2086,H2087)</f>
        <v>43.9309628600509</v>
      </c>
      <c r="J2087" s="14" t="n">
        <f aca="false">I2087-H2087</f>
        <v>35.3693851593039</v>
      </c>
    </row>
    <row r="2088" customFormat="false" ht="15" hidden="false" customHeight="false" outlineLevel="0" collapsed="false">
      <c r="A2088" s="12" t="n">
        <f aca="false">Data!A2088</f>
        <v>45036</v>
      </c>
      <c r="B2088" s="14" t="n">
        <f aca="false">Data!B2088</f>
        <v>77.29</v>
      </c>
      <c r="C2088" s="0" t="str">
        <f aca="false">IF(Data!D2088="","HOLD",IF(AND(G2087&lt;&gt;"IN",Data!E2088&lt;-5),"BUY",IF(AND(G2087="IN",Data!E2088&gt;0),"SELL","HOLD")))</f>
        <v>HOLD</v>
      </c>
      <c r="D2088" s="14" t="str">
        <f aca="false">IF(C2088="BUY",B2088,IF(G2087="IN",D2087,""))</f>
        <v/>
      </c>
      <c r="E2088" s="14" t="str">
        <f aca="false">IF(C2088="SELL",B2088,"")</f>
        <v/>
      </c>
      <c r="F2088" s="14" t="str">
        <f aca="false">IF(E2088="","",(E2088-D2088)/D2088*100)</f>
        <v/>
      </c>
      <c r="G2088" s="0" t="str">
        <f aca="false">IF(C2088="BUY","IN",IF(C2088="SELL","OUT",IF(G2087="IN","IN","OUT")))</f>
        <v>OUT</v>
      </c>
      <c r="H2088" s="14" t="n">
        <f aca="false">H2087+IF(F2088="",0,F2088)</f>
        <v>8.56157770074697</v>
      </c>
      <c r="I2088" s="14" t="n">
        <f aca="false">MAX(I2087,H2088)</f>
        <v>43.9309628600509</v>
      </c>
      <c r="J2088" s="14" t="n">
        <f aca="false">I2088-H2088</f>
        <v>35.3693851593039</v>
      </c>
    </row>
    <row r="2089" customFormat="false" ht="15" hidden="false" customHeight="false" outlineLevel="0" collapsed="false">
      <c r="A2089" s="12" t="n">
        <f aca="false">Data!A2089</f>
        <v>45037</v>
      </c>
      <c r="B2089" s="14" t="n">
        <f aca="false">Data!B2089</f>
        <v>77.87</v>
      </c>
      <c r="C2089" s="0" t="str">
        <f aca="false">IF(Data!D2089="","HOLD",IF(AND(G2088&lt;&gt;"IN",Data!E2089&lt;-5),"BUY",IF(AND(G2088="IN",Data!E2089&gt;0),"SELL","HOLD")))</f>
        <v>HOLD</v>
      </c>
      <c r="D2089" s="14" t="str">
        <f aca="false">IF(C2089="BUY",B2089,IF(G2088="IN",D2088,""))</f>
        <v/>
      </c>
      <c r="E2089" s="14" t="str">
        <f aca="false">IF(C2089="SELL",B2089,"")</f>
        <v/>
      </c>
      <c r="F2089" s="14" t="str">
        <f aca="false">IF(E2089="","",(E2089-D2089)/D2089*100)</f>
        <v/>
      </c>
      <c r="G2089" s="0" t="str">
        <f aca="false">IF(C2089="BUY","IN",IF(C2089="SELL","OUT",IF(G2088="IN","IN","OUT")))</f>
        <v>OUT</v>
      </c>
      <c r="H2089" s="14" t="n">
        <f aca="false">H2088+IF(F2089="",0,F2089)</f>
        <v>8.56157770074697</v>
      </c>
      <c r="I2089" s="14" t="n">
        <f aca="false">MAX(I2088,H2089)</f>
        <v>43.9309628600509</v>
      </c>
      <c r="J2089" s="14" t="n">
        <f aca="false">I2089-H2089</f>
        <v>35.3693851593039</v>
      </c>
    </row>
    <row r="2090" customFormat="false" ht="15" hidden="false" customHeight="false" outlineLevel="0" collapsed="false">
      <c r="A2090" s="12" t="n">
        <f aca="false">Data!A2090</f>
        <v>45040</v>
      </c>
      <c r="B2090" s="14" t="n">
        <f aca="false">Data!B2090</f>
        <v>78.76</v>
      </c>
      <c r="C2090" s="0" t="str">
        <f aca="false">IF(Data!D2090="","HOLD",IF(AND(G2089&lt;&gt;"IN",Data!E2090&lt;-5),"BUY",IF(AND(G2089="IN",Data!E2090&gt;0),"SELL","HOLD")))</f>
        <v>HOLD</v>
      </c>
      <c r="D2090" s="14" t="str">
        <f aca="false">IF(C2090="BUY",B2090,IF(G2089="IN",D2089,""))</f>
        <v/>
      </c>
      <c r="E2090" s="14" t="str">
        <f aca="false">IF(C2090="SELL",B2090,"")</f>
        <v/>
      </c>
      <c r="F2090" s="14" t="str">
        <f aca="false">IF(E2090="","",(E2090-D2090)/D2090*100)</f>
        <v/>
      </c>
      <c r="G2090" s="0" t="str">
        <f aca="false">IF(C2090="BUY","IN",IF(C2090="SELL","OUT",IF(G2089="IN","IN","OUT")))</f>
        <v>OUT</v>
      </c>
      <c r="H2090" s="14" t="n">
        <f aca="false">H2089+IF(F2090="",0,F2090)</f>
        <v>8.56157770074697</v>
      </c>
      <c r="I2090" s="14" t="n">
        <f aca="false">MAX(I2089,H2090)</f>
        <v>43.9309628600509</v>
      </c>
      <c r="J2090" s="14" t="n">
        <f aca="false">I2090-H2090</f>
        <v>35.3693851593039</v>
      </c>
    </row>
    <row r="2091" customFormat="false" ht="15" hidden="false" customHeight="false" outlineLevel="0" collapsed="false">
      <c r="A2091" s="12" t="n">
        <f aca="false">Data!A2091</f>
        <v>45041</v>
      </c>
      <c r="B2091" s="14" t="n">
        <f aca="false">Data!B2091</f>
        <v>77.07</v>
      </c>
      <c r="C2091" s="0" t="str">
        <f aca="false">IF(Data!D2091="","HOLD",IF(AND(G2090&lt;&gt;"IN",Data!E2091&lt;-5),"BUY",IF(AND(G2090="IN",Data!E2091&gt;0),"SELL","HOLD")))</f>
        <v>HOLD</v>
      </c>
      <c r="D2091" s="14" t="str">
        <f aca="false">IF(C2091="BUY",B2091,IF(G2090="IN",D2090,""))</f>
        <v/>
      </c>
      <c r="E2091" s="14" t="str">
        <f aca="false">IF(C2091="SELL",B2091,"")</f>
        <v/>
      </c>
      <c r="F2091" s="14" t="str">
        <f aca="false">IF(E2091="","",(E2091-D2091)/D2091*100)</f>
        <v/>
      </c>
      <c r="G2091" s="0" t="str">
        <f aca="false">IF(C2091="BUY","IN",IF(C2091="SELL","OUT",IF(G2090="IN","IN","OUT")))</f>
        <v>OUT</v>
      </c>
      <c r="H2091" s="14" t="n">
        <f aca="false">H2090+IF(F2091="",0,F2091)</f>
        <v>8.56157770074697</v>
      </c>
      <c r="I2091" s="14" t="n">
        <f aca="false">MAX(I2090,H2091)</f>
        <v>43.9309628600509</v>
      </c>
      <c r="J2091" s="14" t="n">
        <f aca="false">I2091-H2091</f>
        <v>35.3693851593039</v>
      </c>
    </row>
    <row r="2092" customFormat="false" ht="15" hidden="false" customHeight="false" outlineLevel="0" collapsed="false">
      <c r="A2092" s="12" t="n">
        <f aca="false">Data!A2092</f>
        <v>45042</v>
      </c>
      <c r="B2092" s="14" t="n">
        <f aca="false">Data!B2092</f>
        <v>74.3</v>
      </c>
      <c r="C2092" s="0" t="str">
        <f aca="false">IF(Data!D2092="","HOLD",IF(AND(G2091&lt;&gt;"IN",Data!E2092&lt;-5),"BUY",IF(AND(G2091="IN",Data!E2092&gt;0),"SELL","HOLD")))</f>
        <v>BUY</v>
      </c>
      <c r="D2092" s="14" t="n">
        <f aca="false">IF(C2092="BUY",B2092,IF(G2091="IN",D2091,""))</f>
        <v>74.3</v>
      </c>
      <c r="E2092" s="14" t="str">
        <f aca="false">IF(C2092="SELL",B2092,"")</f>
        <v/>
      </c>
      <c r="F2092" s="14" t="str">
        <f aca="false">IF(E2092="","",(E2092-D2092)/D2092*100)</f>
        <v/>
      </c>
      <c r="G2092" s="0" t="str">
        <f aca="false">IF(C2092="BUY","IN",IF(C2092="SELL","OUT",IF(G2091="IN","IN","OUT")))</f>
        <v>IN</v>
      </c>
      <c r="H2092" s="14" t="n">
        <f aca="false">H2091+IF(F2092="",0,F2092)</f>
        <v>8.56157770074697</v>
      </c>
      <c r="I2092" s="14" t="n">
        <f aca="false">MAX(I2091,H2092)</f>
        <v>43.9309628600509</v>
      </c>
      <c r="J2092" s="14" t="n">
        <f aca="false">I2092-H2092</f>
        <v>35.3693851593039</v>
      </c>
    </row>
    <row r="2093" customFormat="false" ht="15" hidden="false" customHeight="false" outlineLevel="0" collapsed="false">
      <c r="A2093" s="12" t="n">
        <f aca="false">Data!A2093</f>
        <v>45043</v>
      </c>
      <c r="B2093" s="14" t="n">
        <f aca="false">Data!B2093</f>
        <v>74.76</v>
      </c>
      <c r="C2093" s="0" t="str">
        <f aca="false">IF(Data!D2093="","HOLD",IF(AND(G2092&lt;&gt;"IN",Data!E2093&lt;-5),"BUY",IF(AND(G2092="IN",Data!E2093&gt;0),"SELL","HOLD")))</f>
        <v>HOLD</v>
      </c>
      <c r="D2093" s="14" t="n">
        <f aca="false">IF(C2093="BUY",B2093,IF(G2092="IN",D2092,""))</f>
        <v>74.3</v>
      </c>
      <c r="E2093" s="14" t="str">
        <f aca="false">IF(C2093="SELL",B2093,"")</f>
        <v/>
      </c>
      <c r="F2093" s="14" t="str">
        <f aca="false">IF(E2093="","",(E2093-D2093)/D2093*100)</f>
        <v/>
      </c>
      <c r="G2093" s="0" t="str">
        <f aca="false">IF(C2093="BUY","IN",IF(C2093="SELL","OUT",IF(G2092="IN","IN","OUT")))</f>
        <v>IN</v>
      </c>
      <c r="H2093" s="14" t="n">
        <f aca="false">H2092+IF(F2093="",0,F2093)</f>
        <v>8.56157770074697</v>
      </c>
      <c r="I2093" s="14" t="n">
        <f aca="false">MAX(I2092,H2093)</f>
        <v>43.9309628600509</v>
      </c>
      <c r="J2093" s="14" t="n">
        <f aca="false">I2093-H2093</f>
        <v>35.3693851593039</v>
      </c>
    </row>
    <row r="2094" customFormat="false" ht="15" hidden="false" customHeight="false" outlineLevel="0" collapsed="false">
      <c r="A2094" s="12" t="n">
        <f aca="false">Data!A2094</f>
        <v>45044</v>
      </c>
      <c r="B2094" s="14" t="n">
        <f aca="false">Data!B2094</f>
        <v>76.78</v>
      </c>
      <c r="C2094" s="0" t="str">
        <f aca="false">IF(Data!D2094="","HOLD",IF(AND(G2093&lt;&gt;"IN",Data!E2094&lt;-5),"BUY",IF(AND(G2093="IN",Data!E2094&gt;0),"SELL","HOLD")))</f>
        <v>HOLD</v>
      </c>
      <c r="D2094" s="14" t="n">
        <f aca="false">IF(C2094="BUY",B2094,IF(G2093="IN",D2093,""))</f>
        <v>74.3</v>
      </c>
      <c r="E2094" s="14" t="str">
        <f aca="false">IF(C2094="SELL",B2094,"")</f>
        <v/>
      </c>
      <c r="F2094" s="14" t="str">
        <f aca="false">IF(E2094="","",(E2094-D2094)/D2094*100)</f>
        <v/>
      </c>
      <c r="G2094" s="0" t="str">
        <f aca="false">IF(C2094="BUY","IN",IF(C2094="SELL","OUT",IF(G2093="IN","IN","OUT")))</f>
        <v>IN</v>
      </c>
      <c r="H2094" s="14" t="n">
        <f aca="false">H2093+IF(F2094="",0,F2094)</f>
        <v>8.56157770074697</v>
      </c>
      <c r="I2094" s="14" t="n">
        <f aca="false">MAX(I2093,H2094)</f>
        <v>43.9309628600509</v>
      </c>
      <c r="J2094" s="14" t="n">
        <f aca="false">I2094-H2094</f>
        <v>35.3693851593039</v>
      </c>
    </row>
    <row r="2095" customFormat="false" ht="15" hidden="false" customHeight="false" outlineLevel="0" collapsed="false">
      <c r="A2095" s="12" t="n">
        <f aca="false">Data!A2095</f>
        <v>45047</v>
      </c>
      <c r="B2095" s="14" t="n">
        <f aca="false">Data!B2095</f>
        <v>75.66</v>
      </c>
      <c r="C2095" s="0" t="str">
        <f aca="false">IF(Data!D2095="","HOLD",IF(AND(G2094&lt;&gt;"IN",Data!E2095&lt;-5),"BUY",IF(AND(G2094="IN",Data!E2095&gt;0),"SELL","HOLD")))</f>
        <v>HOLD</v>
      </c>
      <c r="D2095" s="14" t="n">
        <f aca="false">IF(C2095="BUY",B2095,IF(G2094="IN",D2094,""))</f>
        <v>74.3</v>
      </c>
      <c r="E2095" s="14" t="str">
        <f aca="false">IF(C2095="SELL",B2095,"")</f>
        <v/>
      </c>
      <c r="F2095" s="14" t="str">
        <f aca="false">IF(E2095="","",(E2095-D2095)/D2095*100)</f>
        <v/>
      </c>
      <c r="G2095" s="0" t="str">
        <f aca="false">IF(C2095="BUY","IN",IF(C2095="SELL","OUT",IF(G2094="IN","IN","OUT")))</f>
        <v>IN</v>
      </c>
      <c r="H2095" s="14" t="n">
        <f aca="false">H2094+IF(F2095="",0,F2095)</f>
        <v>8.56157770074697</v>
      </c>
      <c r="I2095" s="14" t="n">
        <f aca="false">MAX(I2094,H2095)</f>
        <v>43.9309628600509</v>
      </c>
      <c r="J2095" s="14" t="n">
        <f aca="false">I2095-H2095</f>
        <v>35.3693851593039</v>
      </c>
    </row>
    <row r="2096" customFormat="false" ht="15" hidden="false" customHeight="false" outlineLevel="0" collapsed="false">
      <c r="A2096" s="12" t="n">
        <f aca="false">Data!A2096</f>
        <v>45048</v>
      </c>
      <c r="B2096" s="14" t="n">
        <f aca="false">Data!B2096</f>
        <v>71.66</v>
      </c>
      <c r="C2096" s="0" t="str">
        <f aca="false">IF(Data!D2096="","HOLD",IF(AND(G2095&lt;&gt;"IN",Data!E2096&lt;-5),"BUY",IF(AND(G2095="IN",Data!E2096&gt;0),"SELL","HOLD")))</f>
        <v>HOLD</v>
      </c>
      <c r="D2096" s="14" t="n">
        <f aca="false">IF(C2096="BUY",B2096,IF(G2095="IN",D2095,""))</f>
        <v>74.3</v>
      </c>
      <c r="E2096" s="14" t="str">
        <f aca="false">IF(C2096="SELL",B2096,"")</f>
        <v/>
      </c>
      <c r="F2096" s="14" t="str">
        <f aca="false">IF(E2096="","",(E2096-D2096)/D2096*100)</f>
        <v/>
      </c>
      <c r="G2096" s="0" t="str">
        <f aca="false">IF(C2096="BUY","IN",IF(C2096="SELL","OUT",IF(G2095="IN","IN","OUT")))</f>
        <v>IN</v>
      </c>
      <c r="H2096" s="14" t="n">
        <f aca="false">H2095+IF(F2096="",0,F2096)</f>
        <v>8.56157770074697</v>
      </c>
      <c r="I2096" s="14" t="n">
        <f aca="false">MAX(I2095,H2096)</f>
        <v>43.9309628600509</v>
      </c>
      <c r="J2096" s="14" t="n">
        <f aca="false">I2096-H2096</f>
        <v>35.3693851593039</v>
      </c>
    </row>
    <row r="2097" customFormat="false" ht="15" hidden="false" customHeight="false" outlineLevel="0" collapsed="false">
      <c r="A2097" s="12" t="n">
        <f aca="false">Data!A2097</f>
        <v>45049</v>
      </c>
      <c r="B2097" s="14" t="n">
        <f aca="false">Data!B2097</f>
        <v>68.6</v>
      </c>
      <c r="C2097" s="0" t="str">
        <f aca="false">IF(Data!D2097="","HOLD",IF(AND(G2096&lt;&gt;"IN",Data!E2097&lt;-5),"BUY",IF(AND(G2096="IN",Data!E2097&gt;0),"SELL","HOLD")))</f>
        <v>HOLD</v>
      </c>
      <c r="D2097" s="14" t="n">
        <f aca="false">IF(C2097="BUY",B2097,IF(G2096="IN",D2096,""))</f>
        <v>74.3</v>
      </c>
      <c r="E2097" s="14" t="str">
        <f aca="false">IF(C2097="SELL",B2097,"")</f>
        <v/>
      </c>
      <c r="F2097" s="14" t="str">
        <f aca="false">IF(E2097="","",(E2097-D2097)/D2097*100)</f>
        <v/>
      </c>
      <c r="G2097" s="0" t="str">
        <f aca="false">IF(C2097="BUY","IN",IF(C2097="SELL","OUT",IF(G2096="IN","IN","OUT")))</f>
        <v>IN</v>
      </c>
      <c r="H2097" s="14" t="n">
        <f aca="false">H2096+IF(F2097="",0,F2097)</f>
        <v>8.56157770074697</v>
      </c>
      <c r="I2097" s="14" t="n">
        <f aca="false">MAX(I2096,H2097)</f>
        <v>43.9309628600509</v>
      </c>
      <c r="J2097" s="14" t="n">
        <f aca="false">I2097-H2097</f>
        <v>35.3693851593039</v>
      </c>
    </row>
    <row r="2098" customFormat="false" ht="15" hidden="false" customHeight="false" outlineLevel="0" collapsed="false">
      <c r="A2098" s="12" t="n">
        <f aca="false">Data!A2098</f>
        <v>45050</v>
      </c>
      <c r="B2098" s="14" t="n">
        <f aca="false">Data!B2098</f>
        <v>68.56</v>
      </c>
      <c r="C2098" s="0" t="str">
        <f aca="false">IF(Data!D2098="","HOLD",IF(AND(G2097&lt;&gt;"IN",Data!E2098&lt;-5),"BUY",IF(AND(G2097="IN",Data!E2098&gt;0),"SELL","HOLD")))</f>
        <v>HOLD</v>
      </c>
      <c r="D2098" s="14" t="n">
        <f aca="false">IF(C2098="BUY",B2098,IF(G2097="IN",D2097,""))</f>
        <v>74.3</v>
      </c>
      <c r="E2098" s="14" t="str">
        <f aca="false">IF(C2098="SELL",B2098,"")</f>
        <v/>
      </c>
      <c r="F2098" s="14" t="str">
        <f aca="false">IF(E2098="","",(E2098-D2098)/D2098*100)</f>
        <v/>
      </c>
      <c r="G2098" s="0" t="str">
        <f aca="false">IF(C2098="BUY","IN",IF(C2098="SELL","OUT",IF(G2097="IN","IN","OUT")))</f>
        <v>IN</v>
      </c>
      <c r="H2098" s="14" t="n">
        <f aca="false">H2097+IF(F2098="",0,F2098)</f>
        <v>8.56157770074697</v>
      </c>
      <c r="I2098" s="14" t="n">
        <f aca="false">MAX(I2097,H2098)</f>
        <v>43.9309628600509</v>
      </c>
      <c r="J2098" s="14" t="n">
        <f aca="false">I2098-H2098</f>
        <v>35.3693851593039</v>
      </c>
    </row>
    <row r="2099" customFormat="false" ht="15" hidden="false" customHeight="false" outlineLevel="0" collapsed="false">
      <c r="A2099" s="12" t="n">
        <f aca="false">Data!A2099</f>
        <v>45051</v>
      </c>
      <c r="B2099" s="14" t="n">
        <f aca="false">Data!B2099</f>
        <v>71.34</v>
      </c>
      <c r="C2099" s="0" t="str">
        <f aca="false">IF(Data!D2099="","HOLD",IF(AND(G2098&lt;&gt;"IN",Data!E2099&lt;-5),"BUY",IF(AND(G2098="IN",Data!E2099&gt;0),"SELL","HOLD")))</f>
        <v>HOLD</v>
      </c>
      <c r="D2099" s="14" t="n">
        <f aca="false">IF(C2099="BUY",B2099,IF(G2098="IN",D2098,""))</f>
        <v>74.3</v>
      </c>
      <c r="E2099" s="14" t="str">
        <f aca="false">IF(C2099="SELL",B2099,"")</f>
        <v/>
      </c>
      <c r="F2099" s="14" t="str">
        <f aca="false">IF(E2099="","",(E2099-D2099)/D2099*100)</f>
        <v/>
      </c>
      <c r="G2099" s="0" t="str">
        <f aca="false">IF(C2099="BUY","IN",IF(C2099="SELL","OUT",IF(G2098="IN","IN","OUT")))</f>
        <v>IN</v>
      </c>
      <c r="H2099" s="14" t="n">
        <f aca="false">H2098+IF(F2099="",0,F2099)</f>
        <v>8.56157770074697</v>
      </c>
      <c r="I2099" s="14" t="n">
        <f aca="false">MAX(I2098,H2099)</f>
        <v>43.9309628600509</v>
      </c>
      <c r="J2099" s="14" t="n">
        <f aca="false">I2099-H2099</f>
        <v>35.3693851593039</v>
      </c>
    </row>
    <row r="2100" customFormat="false" ht="15" hidden="false" customHeight="false" outlineLevel="0" collapsed="false">
      <c r="A2100" s="12" t="n">
        <f aca="false">Data!A2100</f>
        <v>45054</v>
      </c>
      <c r="B2100" s="14" t="n">
        <f aca="false">Data!B2100</f>
        <v>73.16</v>
      </c>
      <c r="C2100" s="0" t="str">
        <f aca="false">IF(Data!D2100="","HOLD",IF(AND(G2099&lt;&gt;"IN",Data!E2100&lt;-5),"BUY",IF(AND(G2099="IN",Data!E2100&gt;0),"SELL","HOLD")))</f>
        <v>HOLD</v>
      </c>
      <c r="D2100" s="14" t="n">
        <f aca="false">IF(C2100="BUY",B2100,IF(G2099="IN",D2099,""))</f>
        <v>74.3</v>
      </c>
      <c r="E2100" s="14" t="str">
        <f aca="false">IF(C2100="SELL",B2100,"")</f>
        <v/>
      </c>
      <c r="F2100" s="14" t="str">
        <f aca="false">IF(E2100="","",(E2100-D2100)/D2100*100)</f>
        <v/>
      </c>
      <c r="G2100" s="0" t="str">
        <f aca="false">IF(C2100="BUY","IN",IF(C2100="SELL","OUT",IF(G2099="IN","IN","OUT")))</f>
        <v>IN</v>
      </c>
      <c r="H2100" s="14" t="n">
        <f aca="false">H2099+IF(F2100="",0,F2100)</f>
        <v>8.56157770074697</v>
      </c>
      <c r="I2100" s="14" t="n">
        <f aca="false">MAX(I2099,H2100)</f>
        <v>43.9309628600509</v>
      </c>
      <c r="J2100" s="14" t="n">
        <f aca="false">I2100-H2100</f>
        <v>35.3693851593039</v>
      </c>
    </row>
    <row r="2101" customFormat="false" ht="15" hidden="false" customHeight="false" outlineLevel="0" collapsed="false">
      <c r="A2101" s="12" t="n">
        <f aca="false">Data!A2101</f>
        <v>45055</v>
      </c>
      <c r="B2101" s="14" t="n">
        <f aca="false">Data!B2101</f>
        <v>73.71</v>
      </c>
      <c r="C2101" s="0" t="str">
        <f aca="false">IF(Data!D2101="","HOLD",IF(AND(G2100&lt;&gt;"IN",Data!E2101&lt;-5),"BUY",IF(AND(G2100="IN",Data!E2101&gt;0),"SELL","HOLD")))</f>
        <v>HOLD</v>
      </c>
      <c r="D2101" s="14" t="n">
        <f aca="false">IF(C2101="BUY",B2101,IF(G2100="IN",D2100,""))</f>
        <v>74.3</v>
      </c>
      <c r="E2101" s="14" t="str">
        <f aca="false">IF(C2101="SELL",B2101,"")</f>
        <v/>
      </c>
      <c r="F2101" s="14" t="str">
        <f aca="false">IF(E2101="","",(E2101-D2101)/D2101*100)</f>
        <v/>
      </c>
      <c r="G2101" s="0" t="str">
        <f aca="false">IF(C2101="BUY","IN",IF(C2101="SELL","OUT",IF(G2100="IN","IN","OUT")))</f>
        <v>IN</v>
      </c>
      <c r="H2101" s="14" t="n">
        <f aca="false">H2100+IF(F2101="",0,F2101)</f>
        <v>8.56157770074697</v>
      </c>
      <c r="I2101" s="14" t="n">
        <f aca="false">MAX(I2100,H2101)</f>
        <v>43.9309628600509</v>
      </c>
      <c r="J2101" s="14" t="n">
        <f aca="false">I2101-H2101</f>
        <v>35.3693851593039</v>
      </c>
    </row>
    <row r="2102" customFormat="false" ht="15" hidden="false" customHeight="false" outlineLevel="0" collapsed="false">
      <c r="A2102" s="12" t="n">
        <f aca="false">Data!A2102</f>
        <v>45056</v>
      </c>
      <c r="B2102" s="14" t="n">
        <f aca="false">Data!B2102</f>
        <v>72.56</v>
      </c>
      <c r="C2102" s="0" t="str">
        <f aca="false">IF(Data!D2102="","HOLD",IF(AND(G2101&lt;&gt;"IN",Data!E2102&lt;-5),"BUY",IF(AND(G2101="IN",Data!E2102&gt;0),"SELL","HOLD")))</f>
        <v>HOLD</v>
      </c>
      <c r="D2102" s="14" t="n">
        <f aca="false">IF(C2102="BUY",B2102,IF(G2101="IN",D2101,""))</f>
        <v>74.3</v>
      </c>
      <c r="E2102" s="14" t="str">
        <f aca="false">IF(C2102="SELL",B2102,"")</f>
        <v/>
      </c>
      <c r="F2102" s="14" t="str">
        <f aca="false">IF(E2102="","",(E2102-D2102)/D2102*100)</f>
        <v/>
      </c>
      <c r="G2102" s="0" t="str">
        <f aca="false">IF(C2102="BUY","IN",IF(C2102="SELL","OUT",IF(G2101="IN","IN","OUT")))</f>
        <v>IN</v>
      </c>
      <c r="H2102" s="14" t="n">
        <f aca="false">H2101+IF(F2102="",0,F2102)</f>
        <v>8.56157770074697</v>
      </c>
      <c r="I2102" s="14" t="n">
        <f aca="false">MAX(I2101,H2102)</f>
        <v>43.9309628600509</v>
      </c>
      <c r="J2102" s="14" t="n">
        <f aca="false">I2102-H2102</f>
        <v>35.3693851593039</v>
      </c>
    </row>
    <row r="2103" customFormat="false" ht="15" hidden="false" customHeight="false" outlineLevel="0" collapsed="false">
      <c r="A2103" s="12" t="n">
        <f aca="false">Data!A2103</f>
        <v>45057</v>
      </c>
      <c r="B2103" s="14" t="n">
        <f aca="false">Data!B2103</f>
        <v>70.87</v>
      </c>
      <c r="C2103" s="0" t="str">
        <f aca="false">IF(Data!D2103="","HOLD",IF(AND(G2102&lt;&gt;"IN",Data!E2103&lt;-5),"BUY",IF(AND(G2102="IN",Data!E2103&gt;0),"SELL","HOLD")))</f>
        <v>HOLD</v>
      </c>
      <c r="D2103" s="14" t="n">
        <f aca="false">IF(C2103="BUY",B2103,IF(G2102="IN",D2102,""))</f>
        <v>74.3</v>
      </c>
      <c r="E2103" s="14" t="str">
        <f aca="false">IF(C2103="SELL",B2103,"")</f>
        <v/>
      </c>
      <c r="F2103" s="14" t="str">
        <f aca="false">IF(E2103="","",(E2103-D2103)/D2103*100)</f>
        <v/>
      </c>
      <c r="G2103" s="0" t="str">
        <f aca="false">IF(C2103="BUY","IN",IF(C2103="SELL","OUT",IF(G2102="IN","IN","OUT")))</f>
        <v>IN</v>
      </c>
      <c r="H2103" s="14" t="n">
        <f aca="false">H2102+IF(F2103="",0,F2103)</f>
        <v>8.56157770074697</v>
      </c>
      <c r="I2103" s="14" t="n">
        <f aca="false">MAX(I2102,H2103)</f>
        <v>43.9309628600509</v>
      </c>
      <c r="J2103" s="14" t="n">
        <f aca="false">I2103-H2103</f>
        <v>35.3693851593039</v>
      </c>
    </row>
    <row r="2104" customFormat="false" ht="15" hidden="false" customHeight="false" outlineLevel="0" collapsed="false">
      <c r="A2104" s="12" t="n">
        <f aca="false">Data!A2104</f>
        <v>45058</v>
      </c>
      <c r="B2104" s="14" t="n">
        <f aca="false">Data!B2104</f>
        <v>70.04</v>
      </c>
      <c r="C2104" s="0" t="str">
        <f aca="false">IF(Data!D2104="","HOLD",IF(AND(G2103&lt;&gt;"IN",Data!E2104&lt;-5),"BUY",IF(AND(G2103="IN",Data!E2104&gt;0),"SELL","HOLD")))</f>
        <v>HOLD</v>
      </c>
      <c r="D2104" s="14" t="n">
        <f aca="false">IF(C2104="BUY",B2104,IF(G2103="IN",D2103,""))</f>
        <v>74.3</v>
      </c>
      <c r="E2104" s="14" t="str">
        <f aca="false">IF(C2104="SELL",B2104,"")</f>
        <v/>
      </c>
      <c r="F2104" s="14" t="str">
        <f aca="false">IF(E2104="","",(E2104-D2104)/D2104*100)</f>
        <v/>
      </c>
      <c r="G2104" s="0" t="str">
        <f aca="false">IF(C2104="BUY","IN",IF(C2104="SELL","OUT",IF(G2103="IN","IN","OUT")))</f>
        <v>IN</v>
      </c>
      <c r="H2104" s="14" t="n">
        <f aca="false">H2103+IF(F2104="",0,F2104)</f>
        <v>8.56157770074697</v>
      </c>
      <c r="I2104" s="14" t="n">
        <f aca="false">MAX(I2103,H2104)</f>
        <v>43.9309628600509</v>
      </c>
      <c r="J2104" s="14" t="n">
        <f aca="false">I2104-H2104</f>
        <v>35.3693851593039</v>
      </c>
    </row>
    <row r="2105" customFormat="false" ht="15" hidden="false" customHeight="false" outlineLevel="0" collapsed="false">
      <c r="A2105" s="12" t="n">
        <f aca="false">Data!A2105</f>
        <v>45061</v>
      </c>
      <c r="B2105" s="14" t="n">
        <f aca="false">Data!B2105</f>
        <v>71.11</v>
      </c>
      <c r="C2105" s="0" t="str">
        <f aca="false">IF(Data!D2105="","HOLD",IF(AND(G2104&lt;&gt;"IN",Data!E2105&lt;-5),"BUY",IF(AND(G2104="IN",Data!E2105&gt;0),"SELL","HOLD")))</f>
        <v>HOLD</v>
      </c>
      <c r="D2105" s="14" t="n">
        <f aca="false">IF(C2105="BUY",B2105,IF(G2104="IN",D2104,""))</f>
        <v>74.3</v>
      </c>
      <c r="E2105" s="14" t="str">
        <f aca="false">IF(C2105="SELL",B2105,"")</f>
        <v/>
      </c>
      <c r="F2105" s="14" t="str">
        <f aca="false">IF(E2105="","",(E2105-D2105)/D2105*100)</f>
        <v/>
      </c>
      <c r="G2105" s="0" t="str">
        <f aca="false">IF(C2105="BUY","IN",IF(C2105="SELL","OUT",IF(G2104="IN","IN","OUT")))</f>
        <v>IN</v>
      </c>
      <c r="H2105" s="14" t="n">
        <f aca="false">H2104+IF(F2105="",0,F2105)</f>
        <v>8.56157770074697</v>
      </c>
      <c r="I2105" s="14" t="n">
        <f aca="false">MAX(I2104,H2105)</f>
        <v>43.9309628600509</v>
      </c>
      <c r="J2105" s="14" t="n">
        <f aca="false">I2105-H2105</f>
        <v>35.3693851593039</v>
      </c>
    </row>
    <row r="2106" customFormat="false" ht="15" hidden="false" customHeight="false" outlineLevel="0" collapsed="false">
      <c r="A2106" s="12" t="n">
        <f aca="false">Data!A2106</f>
        <v>45062</v>
      </c>
      <c r="B2106" s="14" t="n">
        <f aca="false">Data!B2106</f>
        <v>70.86</v>
      </c>
      <c r="C2106" s="0" t="str">
        <f aca="false">IF(Data!D2106="","HOLD",IF(AND(G2105&lt;&gt;"IN",Data!E2106&lt;-5),"BUY",IF(AND(G2105="IN",Data!E2106&gt;0),"SELL","HOLD")))</f>
        <v>HOLD</v>
      </c>
      <c r="D2106" s="14" t="n">
        <f aca="false">IF(C2106="BUY",B2106,IF(G2105="IN",D2105,""))</f>
        <v>74.3</v>
      </c>
      <c r="E2106" s="14" t="str">
        <f aca="false">IF(C2106="SELL",B2106,"")</f>
        <v/>
      </c>
      <c r="F2106" s="14" t="str">
        <f aca="false">IF(E2106="","",(E2106-D2106)/D2106*100)</f>
        <v/>
      </c>
      <c r="G2106" s="0" t="str">
        <f aca="false">IF(C2106="BUY","IN",IF(C2106="SELL","OUT",IF(G2105="IN","IN","OUT")))</f>
        <v>IN</v>
      </c>
      <c r="H2106" s="14" t="n">
        <f aca="false">H2105+IF(F2106="",0,F2106)</f>
        <v>8.56157770074697</v>
      </c>
      <c r="I2106" s="14" t="n">
        <f aca="false">MAX(I2105,H2106)</f>
        <v>43.9309628600509</v>
      </c>
      <c r="J2106" s="14" t="n">
        <f aca="false">I2106-H2106</f>
        <v>35.3693851593039</v>
      </c>
    </row>
    <row r="2107" customFormat="false" ht="15" hidden="false" customHeight="false" outlineLevel="0" collapsed="false">
      <c r="A2107" s="12" t="n">
        <f aca="false">Data!A2107</f>
        <v>45063</v>
      </c>
      <c r="B2107" s="14" t="n">
        <f aca="false">Data!B2107</f>
        <v>72.83</v>
      </c>
      <c r="C2107" s="0" t="str">
        <f aca="false">IF(Data!D2107="","HOLD",IF(AND(G2106&lt;&gt;"IN",Data!E2107&lt;-5),"BUY",IF(AND(G2106="IN",Data!E2107&gt;0),"SELL","HOLD")))</f>
        <v>HOLD</v>
      </c>
      <c r="D2107" s="14" t="n">
        <f aca="false">IF(C2107="BUY",B2107,IF(G2106="IN",D2106,""))</f>
        <v>74.3</v>
      </c>
      <c r="E2107" s="14" t="str">
        <f aca="false">IF(C2107="SELL",B2107,"")</f>
        <v/>
      </c>
      <c r="F2107" s="14" t="str">
        <f aca="false">IF(E2107="","",(E2107-D2107)/D2107*100)</f>
        <v/>
      </c>
      <c r="G2107" s="0" t="str">
        <f aca="false">IF(C2107="BUY","IN",IF(C2107="SELL","OUT",IF(G2106="IN","IN","OUT")))</f>
        <v>IN</v>
      </c>
      <c r="H2107" s="14" t="n">
        <f aca="false">H2106+IF(F2107="",0,F2107)</f>
        <v>8.56157770074697</v>
      </c>
      <c r="I2107" s="14" t="n">
        <f aca="false">MAX(I2106,H2107)</f>
        <v>43.9309628600509</v>
      </c>
      <c r="J2107" s="14" t="n">
        <f aca="false">I2107-H2107</f>
        <v>35.3693851593039</v>
      </c>
    </row>
    <row r="2108" customFormat="false" ht="15" hidden="false" customHeight="false" outlineLevel="0" collapsed="false">
      <c r="A2108" s="12" t="n">
        <f aca="false">Data!A2108</f>
        <v>45064</v>
      </c>
      <c r="B2108" s="14" t="n">
        <f aca="false">Data!B2108</f>
        <v>71.86</v>
      </c>
      <c r="C2108" s="0" t="str">
        <f aca="false">IF(Data!D2108="","HOLD",IF(AND(G2107&lt;&gt;"IN",Data!E2108&lt;-5),"BUY",IF(AND(G2107="IN",Data!E2108&gt;0),"SELL","HOLD")))</f>
        <v>HOLD</v>
      </c>
      <c r="D2108" s="14" t="n">
        <f aca="false">IF(C2108="BUY",B2108,IF(G2107="IN",D2107,""))</f>
        <v>74.3</v>
      </c>
      <c r="E2108" s="14" t="str">
        <f aca="false">IF(C2108="SELL",B2108,"")</f>
        <v/>
      </c>
      <c r="F2108" s="14" t="str">
        <f aca="false">IF(E2108="","",(E2108-D2108)/D2108*100)</f>
        <v/>
      </c>
      <c r="G2108" s="0" t="str">
        <f aca="false">IF(C2108="BUY","IN",IF(C2108="SELL","OUT",IF(G2107="IN","IN","OUT")))</f>
        <v>IN</v>
      </c>
      <c r="H2108" s="14" t="n">
        <f aca="false">H2107+IF(F2108="",0,F2108)</f>
        <v>8.56157770074697</v>
      </c>
      <c r="I2108" s="14" t="n">
        <f aca="false">MAX(I2107,H2108)</f>
        <v>43.9309628600509</v>
      </c>
      <c r="J2108" s="14" t="n">
        <f aca="false">I2108-H2108</f>
        <v>35.3693851593039</v>
      </c>
    </row>
    <row r="2109" customFormat="false" ht="15" hidden="false" customHeight="false" outlineLevel="0" collapsed="false">
      <c r="A2109" s="12" t="n">
        <f aca="false">Data!A2109</f>
        <v>45065</v>
      </c>
      <c r="B2109" s="14" t="n">
        <f aca="false">Data!B2109</f>
        <v>71.55</v>
      </c>
      <c r="C2109" s="0" t="str">
        <f aca="false">IF(Data!D2109="","HOLD",IF(AND(G2108&lt;&gt;"IN",Data!E2109&lt;-5),"BUY",IF(AND(G2108="IN",Data!E2109&gt;0),"SELL","HOLD")))</f>
        <v>HOLD</v>
      </c>
      <c r="D2109" s="14" t="n">
        <f aca="false">IF(C2109="BUY",B2109,IF(G2108="IN",D2108,""))</f>
        <v>74.3</v>
      </c>
      <c r="E2109" s="14" t="str">
        <f aca="false">IF(C2109="SELL",B2109,"")</f>
        <v/>
      </c>
      <c r="F2109" s="14" t="str">
        <f aca="false">IF(E2109="","",(E2109-D2109)/D2109*100)</f>
        <v/>
      </c>
      <c r="G2109" s="0" t="str">
        <f aca="false">IF(C2109="BUY","IN",IF(C2109="SELL","OUT",IF(G2108="IN","IN","OUT")))</f>
        <v>IN</v>
      </c>
      <c r="H2109" s="14" t="n">
        <f aca="false">H2108+IF(F2109="",0,F2109)</f>
        <v>8.56157770074697</v>
      </c>
      <c r="I2109" s="14" t="n">
        <f aca="false">MAX(I2108,H2109)</f>
        <v>43.9309628600509</v>
      </c>
      <c r="J2109" s="14" t="n">
        <f aca="false">I2109-H2109</f>
        <v>35.3693851593039</v>
      </c>
    </row>
    <row r="2110" customFormat="false" ht="15" hidden="false" customHeight="false" outlineLevel="0" collapsed="false">
      <c r="A2110" s="12" t="n">
        <f aca="false">Data!A2110</f>
        <v>45068</v>
      </c>
      <c r="B2110" s="14" t="n">
        <f aca="false">Data!B2110</f>
        <v>71.99</v>
      </c>
      <c r="C2110" s="0" t="str">
        <f aca="false">IF(Data!D2110="","HOLD",IF(AND(G2109&lt;&gt;"IN",Data!E2110&lt;-5),"BUY",IF(AND(G2109="IN",Data!E2110&gt;0),"SELL","HOLD")))</f>
        <v>HOLD</v>
      </c>
      <c r="D2110" s="14" t="n">
        <f aca="false">IF(C2110="BUY",B2110,IF(G2109="IN",D2109,""))</f>
        <v>74.3</v>
      </c>
      <c r="E2110" s="14" t="str">
        <f aca="false">IF(C2110="SELL",B2110,"")</f>
        <v/>
      </c>
      <c r="F2110" s="14" t="str">
        <f aca="false">IF(E2110="","",(E2110-D2110)/D2110*100)</f>
        <v/>
      </c>
      <c r="G2110" s="0" t="str">
        <f aca="false">IF(C2110="BUY","IN",IF(C2110="SELL","OUT",IF(G2109="IN","IN","OUT")))</f>
        <v>IN</v>
      </c>
      <c r="H2110" s="14" t="n">
        <f aca="false">H2109+IF(F2110="",0,F2110)</f>
        <v>8.56157770074697</v>
      </c>
      <c r="I2110" s="14" t="n">
        <f aca="false">MAX(I2109,H2110)</f>
        <v>43.9309628600509</v>
      </c>
      <c r="J2110" s="14" t="n">
        <f aca="false">I2110-H2110</f>
        <v>35.3693851593039</v>
      </c>
    </row>
    <row r="2111" customFormat="false" ht="15" hidden="false" customHeight="false" outlineLevel="0" collapsed="false">
      <c r="A2111" s="12" t="n">
        <f aca="false">Data!A2111</f>
        <v>45069</v>
      </c>
      <c r="B2111" s="14" t="n">
        <f aca="false">Data!B2111</f>
        <v>72.91</v>
      </c>
      <c r="C2111" s="0" t="str">
        <f aca="false">IF(Data!D2111="","HOLD",IF(AND(G2110&lt;&gt;"IN",Data!E2111&lt;-5),"BUY",IF(AND(G2110="IN",Data!E2111&gt;0),"SELL","HOLD")))</f>
        <v>SELL</v>
      </c>
      <c r="D2111" s="14" t="n">
        <f aca="false">IF(C2111="BUY",B2111,IF(G2110="IN",D2110,""))</f>
        <v>74.3</v>
      </c>
      <c r="E2111" s="14" t="n">
        <f aca="false">IF(C2111="SELL",B2111,"")</f>
        <v>72.91</v>
      </c>
      <c r="F2111" s="14" t="n">
        <f aca="false">IF(E2111="","",(E2111-D2111)/D2111*100)</f>
        <v>-1.87079407806191</v>
      </c>
      <c r="G2111" s="0" t="str">
        <f aca="false">IF(C2111="BUY","IN",IF(C2111="SELL","OUT",IF(G2110="IN","IN","OUT")))</f>
        <v>OUT</v>
      </c>
      <c r="H2111" s="14" t="n">
        <f aca="false">H2110+IF(F2111="",0,F2111)</f>
        <v>6.69078362268505</v>
      </c>
      <c r="I2111" s="14" t="n">
        <f aca="false">MAX(I2110,H2111)</f>
        <v>43.9309628600509</v>
      </c>
      <c r="J2111" s="14" t="n">
        <f aca="false">I2111-H2111</f>
        <v>37.2401792373658</v>
      </c>
    </row>
    <row r="2112" customFormat="false" ht="15" hidden="false" customHeight="false" outlineLevel="0" collapsed="false">
      <c r="A2112" s="12" t="n">
        <f aca="false">Data!A2112</f>
        <v>45070</v>
      </c>
      <c r="B2112" s="14" t="n">
        <f aca="false">Data!B2112</f>
        <v>74.34</v>
      </c>
      <c r="C2112" s="0" t="str">
        <f aca="false">IF(Data!D2112="","HOLD",IF(AND(G2111&lt;&gt;"IN",Data!E2112&lt;-5),"BUY",IF(AND(G2111="IN",Data!E2112&gt;0),"SELL","HOLD")))</f>
        <v>HOLD</v>
      </c>
      <c r="D2112" s="14" t="str">
        <f aca="false">IF(C2112="BUY",B2112,IF(G2111="IN",D2111,""))</f>
        <v/>
      </c>
      <c r="E2112" s="14" t="str">
        <f aca="false">IF(C2112="SELL",B2112,"")</f>
        <v/>
      </c>
      <c r="F2112" s="14" t="str">
        <f aca="false">IF(E2112="","",(E2112-D2112)/D2112*100)</f>
        <v/>
      </c>
      <c r="G2112" s="0" t="str">
        <f aca="false">IF(C2112="BUY","IN",IF(C2112="SELL","OUT",IF(G2111="IN","IN","OUT")))</f>
        <v>OUT</v>
      </c>
      <c r="H2112" s="14" t="n">
        <f aca="false">H2111+IF(F2112="",0,F2112)</f>
        <v>6.69078362268505</v>
      </c>
      <c r="I2112" s="14" t="n">
        <f aca="false">MAX(I2111,H2112)</f>
        <v>43.9309628600509</v>
      </c>
      <c r="J2112" s="14" t="n">
        <f aca="false">I2112-H2112</f>
        <v>37.2401792373658</v>
      </c>
    </row>
    <row r="2113" customFormat="false" ht="15" hidden="false" customHeight="false" outlineLevel="0" collapsed="false">
      <c r="A2113" s="12" t="n">
        <f aca="false">Data!A2113</f>
        <v>45071</v>
      </c>
      <c r="B2113" s="14" t="n">
        <f aca="false">Data!B2113</f>
        <v>71.83</v>
      </c>
      <c r="C2113" s="0" t="str">
        <f aca="false">IF(Data!D2113="","HOLD",IF(AND(G2112&lt;&gt;"IN",Data!E2113&lt;-5),"BUY",IF(AND(G2112="IN",Data!E2113&gt;0),"SELL","HOLD")))</f>
        <v>HOLD</v>
      </c>
      <c r="D2113" s="14" t="str">
        <f aca="false">IF(C2113="BUY",B2113,IF(G2112="IN",D2112,""))</f>
        <v/>
      </c>
      <c r="E2113" s="14" t="str">
        <f aca="false">IF(C2113="SELL",B2113,"")</f>
        <v/>
      </c>
      <c r="F2113" s="14" t="str">
        <f aca="false">IF(E2113="","",(E2113-D2113)/D2113*100)</f>
        <v/>
      </c>
      <c r="G2113" s="0" t="str">
        <f aca="false">IF(C2113="BUY","IN",IF(C2113="SELL","OUT",IF(G2112="IN","IN","OUT")))</f>
        <v>OUT</v>
      </c>
      <c r="H2113" s="14" t="n">
        <f aca="false">H2112+IF(F2113="",0,F2113)</f>
        <v>6.69078362268505</v>
      </c>
      <c r="I2113" s="14" t="n">
        <f aca="false">MAX(I2112,H2113)</f>
        <v>43.9309628600509</v>
      </c>
      <c r="J2113" s="14" t="n">
        <f aca="false">I2113-H2113</f>
        <v>37.2401792373658</v>
      </c>
    </row>
    <row r="2114" customFormat="false" ht="15" hidden="false" customHeight="false" outlineLevel="0" collapsed="false">
      <c r="A2114" s="12" t="n">
        <f aca="false">Data!A2114</f>
        <v>45072</v>
      </c>
      <c r="B2114" s="14" t="n">
        <f aca="false">Data!B2114</f>
        <v>72.67</v>
      </c>
      <c r="C2114" s="0" t="str">
        <f aca="false">IF(Data!D2114="","HOLD",IF(AND(G2113&lt;&gt;"IN",Data!E2114&lt;-5),"BUY",IF(AND(G2113="IN",Data!E2114&gt;0),"SELL","HOLD")))</f>
        <v>HOLD</v>
      </c>
      <c r="D2114" s="14" t="str">
        <f aca="false">IF(C2114="BUY",B2114,IF(G2113="IN",D2113,""))</f>
        <v/>
      </c>
      <c r="E2114" s="14" t="str">
        <f aca="false">IF(C2114="SELL",B2114,"")</f>
        <v/>
      </c>
      <c r="F2114" s="14" t="str">
        <f aca="false">IF(E2114="","",(E2114-D2114)/D2114*100)</f>
        <v/>
      </c>
      <c r="G2114" s="0" t="str">
        <f aca="false">IF(C2114="BUY","IN",IF(C2114="SELL","OUT",IF(G2113="IN","IN","OUT")))</f>
        <v>OUT</v>
      </c>
      <c r="H2114" s="14" t="n">
        <f aca="false">H2113+IF(F2114="",0,F2114)</f>
        <v>6.69078362268505</v>
      </c>
      <c r="I2114" s="14" t="n">
        <f aca="false">MAX(I2113,H2114)</f>
        <v>43.9309628600509</v>
      </c>
      <c r="J2114" s="14" t="n">
        <f aca="false">I2114-H2114</f>
        <v>37.2401792373658</v>
      </c>
    </row>
    <row r="2115" customFormat="false" ht="15" hidden="false" customHeight="false" outlineLevel="0" collapsed="false">
      <c r="A2115" s="12" t="n">
        <f aca="false">Data!A2115</f>
        <v>45076</v>
      </c>
      <c r="B2115" s="14" t="n">
        <f aca="false">Data!B2115</f>
        <v>69.46</v>
      </c>
      <c r="C2115" s="0" t="str">
        <f aca="false">IF(Data!D2115="","HOLD",IF(AND(G2114&lt;&gt;"IN",Data!E2115&lt;-5),"BUY",IF(AND(G2114="IN",Data!E2115&gt;0),"SELL","HOLD")))</f>
        <v>HOLD</v>
      </c>
      <c r="D2115" s="14" t="str">
        <f aca="false">IF(C2115="BUY",B2115,IF(G2114="IN",D2114,""))</f>
        <v/>
      </c>
      <c r="E2115" s="14" t="str">
        <f aca="false">IF(C2115="SELL",B2115,"")</f>
        <v/>
      </c>
      <c r="F2115" s="14" t="str">
        <f aca="false">IF(E2115="","",(E2115-D2115)/D2115*100)</f>
        <v/>
      </c>
      <c r="G2115" s="0" t="str">
        <f aca="false">IF(C2115="BUY","IN",IF(C2115="SELL","OUT",IF(G2114="IN","IN","OUT")))</f>
        <v>OUT</v>
      </c>
      <c r="H2115" s="14" t="n">
        <f aca="false">H2114+IF(F2115="",0,F2115)</f>
        <v>6.69078362268505</v>
      </c>
      <c r="I2115" s="14" t="n">
        <f aca="false">MAX(I2114,H2115)</f>
        <v>43.9309628600509</v>
      </c>
      <c r="J2115" s="14" t="n">
        <f aca="false">I2115-H2115</f>
        <v>37.2401792373658</v>
      </c>
    </row>
    <row r="2116" customFormat="false" ht="15" hidden="false" customHeight="false" outlineLevel="0" collapsed="false">
      <c r="A2116" s="12" t="n">
        <f aca="false">Data!A2116</f>
        <v>45077</v>
      </c>
      <c r="B2116" s="14" t="n">
        <f aca="false">Data!B2116</f>
        <v>68.09</v>
      </c>
      <c r="C2116" s="0" t="str">
        <f aca="false">IF(Data!D2116="","HOLD",IF(AND(G2115&lt;&gt;"IN",Data!E2116&lt;-5),"BUY",IF(AND(G2115="IN",Data!E2116&gt;0),"SELL","HOLD")))</f>
        <v>HOLD</v>
      </c>
      <c r="D2116" s="14" t="str">
        <f aca="false">IF(C2116="BUY",B2116,IF(G2115="IN",D2115,""))</f>
        <v/>
      </c>
      <c r="E2116" s="14" t="str">
        <f aca="false">IF(C2116="SELL",B2116,"")</f>
        <v/>
      </c>
      <c r="F2116" s="14" t="str">
        <f aca="false">IF(E2116="","",(E2116-D2116)/D2116*100)</f>
        <v/>
      </c>
      <c r="G2116" s="0" t="str">
        <f aca="false">IF(C2116="BUY","IN",IF(C2116="SELL","OUT",IF(G2115="IN","IN","OUT")))</f>
        <v>OUT</v>
      </c>
      <c r="H2116" s="14" t="n">
        <f aca="false">H2115+IF(F2116="",0,F2116)</f>
        <v>6.69078362268505</v>
      </c>
      <c r="I2116" s="14" t="n">
        <f aca="false">MAX(I2115,H2116)</f>
        <v>43.9309628600509</v>
      </c>
      <c r="J2116" s="14" t="n">
        <f aca="false">I2116-H2116</f>
        <v>37.2401792373658</v>
      </c>
    </row>
    <row r="2117" customFormat="false" ht="15" hidden="false" customHeight="false" outlineLevel="0" collapsed="false">
      <c r="A2117" s="12" t="n">
        <f aca="false">Data!A2117</f>
        <v>45078</v>
      </c>
      <c r="B2117" s="14" t="n">
        <f aca="false">Data!B2117</f>
        <v>70.1</v>
      </c>
      <c r="C2117" s="0" t="str">
        <f aca="false">IF(Data!D2117="","HOLD",IF(AND(G2116&lt;&gt;"IN",Data!E2117&lt;-5),"BUY",IF(AND(G2116="IN",Data!E2117&gt;0),"SELL","HOLD")))</f>
        <v>HOLD</v>
      </c>
      <c r="D2117" s="14" t="str">
        <f aca="false">IF(C2117="BUY",B2117,IF(G2116="IN",D2116,""))</f>
        <v/>
      </c>
      <c r="E2117" s="14" t="str">
        <f aca="false">IF(C2117="SELL",B2117,"")</f>
        <v/>
      </c>
      <c r="F2117" s="14" t="str">
        <f aca="false">IF(E2117="","",(E2117-D2117)/D2117*100)</f>
        <v/>
      </c>
      <c r="G2117" s="0" t="str">
        <f aca="false">IF(C2117="BUY","IN",IF(C2117="SELL","OUT",IF(G2116="IN","IN","OUT")))</f>
        <v>OUT</v>
      </c>
      <c r="H2117" s="14" t="n">
        <f aca="false">H2116+IF(F2117="",0,F2117)</f>
        <v>6.69078362268505</v>
      </c>
      <c r="I2117" s="14" t="n">
        <f aca="false">MAX(I2116,H2117)</f>
        <v>43.9309628600509</v>
      </c>
      <c r="J2117" s="14" t="n">
        <f aca="false">I2117-H2117</f>
        <v>37.2401792373658</v>
      </c>
    </row>
    <row r="2118" customFormat="false" ht="15" hidden="false" customHeight="false" outlineLevel="0" collapsed="false">
      <c r="A2118" s="12" t="n">
        <f aca="false">Data!A2118</f>
        <v>45079</v>
      </c>
      <c r="B2118" s="14" t="n">
        <f aca="false">Data!B2118</f>
        <v>71.74</v>
      </c>
      <c r="C2118" s="0" t="str">
        <f aca="false">IF(Data!D2118="","HOLD",IF(AND(G2117&lt;&gt;"IN",Data!E2118&lt;-5),"BUY",IF(AND(G2117="IN",Data!E2118&gt;0),"SELL","HOLD")))</f>
        <v>HOLD</v>
      </c>
      <c r="D2118" s="14" t="str">
        <f aca="false">IF(C2118="BUY",B2118,IF(G2117="IN",D2117,""))</f>
        <v/>
      </c>
      <c r="E2118" s="14" t="str">
        <f aca="false">IF(C2118="SELL",B2118,"")</f>
        <v/>
      </c>
      <c r="F2118" s="14" t="str">
        <f aca="false">IF(E2118="","",(E2118-D2118)/D2118*100)</f>
        <v/>
      </c>
      <c r="G2118" s="0" t="str">
        <f aca="false">IF(C2118="BUY","IN",IF(C2118="SELL","OUT",IF(G2117="IN","IN","OUT")))</f>
        <v>OUT</v>
      </c>
      <c r="H2118" s="14" t="n">
        <f aca="false">H2117+IF(F2118="",0,F2118)</f>
        <v>6.69078362268505</v>
      </c>
      <c r="I2118" s="14" t="n">
        <f aca="false">MAX(I2117,H2118)</f>
        <v>43.9309628600509</v>
      </c>
      <c r="J2118" s="14" t="n">
        <f aca="false">I2118-H2118</f>
        <v>37.2401792373658</v>
      </c>
    </row>
    <row r="2119" customFormat="false" ht="15" hidden="false" customHeight="false" outlineLevel="0" collapsed="false">
      <c r="A2119" s="12" t="n">
        <f aca="false">Data!A2119</f>
        <v>45082</v>
      </c>
      <c r="B2119" s="14" t="n">
        <f aca="false">Data!B2119</f>
        <v>72.15</v>
      </c>
      <c r="C2119" s="0" t="str">
        <f aca="false">IF(Data!D2119="","HOLD",IF(AND(G2118&lt;&gt;"IN",Data!E2119&lt;-5),"BUY",IF(AND(G2118="IN",Data!E2119&gt;0),"SELL","HOLD")))</f>
        <v>HOLD</v>
      </c>
      <c r="D2119" s="14" t="str">
        <f aca="false">IF(C2119="BUY",B2119,IF(G2118="IN",D2118,""))</f>
        <v/>
      </c>
      <c r="E2119" s="14" t="str">
        <f aca="false">IF(C2119="SELL",B2119,"")</f>
        <v/>
      </c>
      <c r="F2119" s="14" t="str">
        <f aca="false">IF(E2119="","",(E2119-D2119)/D2119*100)</f>
        <v/>
      </c>
      <c r="G2119" s="0" t="str">
        <f aca="false">IF(C2119="BUY","IN",IF(C2119="SELL","OUT",IF(G2118="IN","IN","OUT")))</f>
        <v>OUT</v>
      </c>
      <c r="H2119" s="14" t="n">
        <f aca="false">H2118+IF(F2119="",0,F2119)</f>
        <v>6.69078362268505</v>
      </c>
      <c r="I2119" s="14" t="n">
        <f aca="false">MAX(I2118,H2119)</f>
        <v>43.9309628600509</v>
      </c>
      <c r="J2119" s="14" t="n">
        <f aca="false">I2119-H2119</f>
        <v>37.2401792373658</v>
      </c>
    </row>
    <row r="2120" customFormat="false" ht="15" hidden="false" customHeight="false" outlineLevel="0" collapsed="false">
      <c r="A2120" s="12" t="n">
        <f aca="false">Data!A2120</f>
        <v>45083</v>
      </c>
      <c r="B2120" s="14" t="n">
        <f aca="false">Data!B2120</f>
        <v>71.74</v>
      </c>
      <c r="C2120" s="0" t="str">
        <f aca="false">IF(Data!D2120="","HOLD",IF(AND(G2119&lt;&gt;"IN",Data!E2120&lt;-5),"BUY",IF(AND(G2119="IN",Data!E2120&gt;0),"SELL","HOLD")))</f>
        <v>HOLD</v>
      </c>
      <c r="D2120" s="14" t="str">
        <f aca="false">IF(C2120="BUY",B2120,IF(G2119="IN",D2119,""))</f>
        <v/>
      </c>
      <c r="E2120" s="14" t="str">
        <f aca="false">IF(C2120="SELL",B2120,"")</f>
        <v/>
      </c>
      <c r="F2120" s="14" t="str">
        <f aca="false">IF(E2120="","",(E2120-D2120)/D2120*100)</f>
        <v/>
      </c>
      <c r="G2120" s="0" t="str">
        <f aca="false">IF(C2120="BUY","IN",IF(C2120="SELL","OUT",IF(G2119="IN","IN","OUT")))</f>
        <v>OUT</v>
      </c>
      <c r="H2120" s="14" t="n">
        <f aca="false">H2119+IF(F2120="",0,F2120)</f>
        <v>6.69078362268505</v>
      </c>
      <c r="I2120" s="14" t="n">
        <f aca="false">MAX(I2119,H2120)</f>
        <v>43.9309628600509</v>
      </c>
      <c r="J2120" s="14" t="n">
        <f aca="false">I2120-H2120</f>
        <v>37.2401792373658</v>
      </c>
    </row>
    <row r="2121" customFormat="false" ht="15" hidden="false" customHeight="false" outlineLevel="0" collapsed="false">
      <c r="A2121" s="12" t="n">
        <f aca="false">Data!A2121</f>
        <v>45084</v>
      </c>
      <c r="B2121" s="14" t="n">
        <f aca="false">Data!B2121</f>
        <v>72.53</v>
      </c>
      <c r="C2121" s="0" t="str">
        <f aca="false">IF(Data!D2121="","HOLD",IF(AND(G2120&lt;&gt;"IN",Data!E2121&lt;-5),"BUY",IF(AND(G2120="IN",Data!E2121&gt;0),"SELL","HOLD")))</f>
        <v>HOLD</v>
      </c>
      <c r="D2121" s="14" t="str">
        <f aca="false">IF(C2121="BUY",B2121,IF(G2120="IN",D2120,""))</f>
        <v/>
      </c>
      <c r="E2121" s="14" t="str">
        <f aca="false">IF(C2121="SELL",B2121,"")</f>
        <v/>
      </c>
      <c r="F2121" s="14" t="str">
        <f aca="false">IF(E2121="","",(E2121-D2121)/D2121*100)</f>
        <v/>
      </c>
      <c r="G2121" s="0" t="str">
        <f aca="false">IF(C2121="BUY","IN",IF(C2121="SELL","OUT",IF(G2120="IN","IN","OUT")))</f>
        <v>OUT</v>
      </c>
      <c r="H2121" s="14" t="n">
        <f aca="false">H2120+IF(F2121="",0,F2121)</f>
        <v>6.69078362268505</v>
      </c>
      <c r="I2121" s="14" t="n">
        <f aca="false">MAX(I2120,H2121)</f>
        <v>43.9309628600509</v>
      </c>
      <c r="J2121" s="14" t="n">
        <f aca="false">I2121-H2121</f>
        <v>37.2401792373658</v>
      </c>
    </row>
    <row r="2122" customFormat="false" ht="15" hidden="false" customHeight="false" outlineLevel="0" collapsed="false">
      <c r="A2122" s="12" t="n">
        <f aca="false">Data!A2122</f>
        <v>45085</v>
      </c>
      <c r="B2122" s="14" t="n">
        <f aca="false">Data!B2122</f>
        <v>71.29</v>
      </c>
      <c r="C2122" s="0" t="str">
        <f aca="false">IF(Data!D2122="","HOLD",IF(AND(G2121&lt;&gt;"IN",Data!E2122&lt;-5),"BUY",IF(AND(G2121="IN",Data!E2122&gt;0),"SELL","HOLD")))</f>
        <v>HOLD</v>
      </c>
      <c r="D2122" s="14" t="str">
        <f aca="false">IF(C2122="BUY",B2122,IF(G2121="IN",D2121,""))</f>
        <v/>
      </c>
      <c r="E2122" s="14" t="str">
        <f aca="false">IF(C2122="SELL",B2122,"")</f>
        <v/>
      </c>
      <c r="F2122" s="14" t="str">
        <f aca="false">IF(E2122="","",(E2122-D2122)/D2122*100)</f>
        <v/>
      </c>
      <c r="G2122" s="0" t="str">
        <f aca="false">IF(C2122="BUY","IN",IF(C2122="SELL","OUT",IF(G2121="IN","IN","OUT")))</f>
        <v>OUT</v>
      </c>
      <c r="H2122" s="14" t="n">
        <f aca="false">H2121+IF(F2122="",0,F2122)</f>
        <v>6.69078362268505</v>
      </c>
      <c r="I2122" s="14" t="n">
        <f aca="false">MAX(I2121,H2122)</f>
        <v>43.9309628600509</v>
      </c>
      <c r="J2122" s="14" t="n">
        <f aca="false">I2122-H2122</f>
        <v>37.2401792373658</v>
      </c>
    </row>
    <row r="2123" customFormat="false" ht="15" hidden="false" customHeight="false" outlineLevel="0" collapsed="false">
      <c r="A2123" s="12" t="n">
        <f aca="false">Data!A2123</f>
        <v>45086</v>
      </c>
      <c r="B2123" s="14" t="n">
        <f aca="false">Data!B2123</f>
        <v>70.17</v>
      </c>
      <c r="C2123" s="0" t="str">
        <f aca="false">IF(Data!D2123="","HOLD",IF(AND(G2122&lt;&gt;"IN",Data!E2123&lt;-5),"BUY",IF(AND(G2122="IN",Data!E2123&gt;0),"SELL","HOLD")))</f>
        <v>HOLD</v>
      </c>
      <c r="D2123" s="14" t="str">
        <f aca="false">IF(C2123="BUY",B2123,IF(G2122="IN",D2122,""))</f>
        <v/>
      </c>
      <c r="E2123" s="14" t="str">
        <f aca="false">IF(C2123="SELL",B2123,"")</f>
        <v/>
      </c>
      <c r="F2123" s="14" t="str">
        <f aca="false">IF(E2123="","",(E2123-D2123)/D2123*100)</f>
        <v/>
      </c>
      <c r="G2123" s="0" t="str">
        <f aca="false">IF(C2123="BUY","IN",IF(C2123="SELL","OUT",IF(G2122="IN","IN","OUT")))</f>
        <v>OUT</v>
      </c>
      <c r="H2123" s="14" t="n">
        <f aca="false">H2122+IF(F2123="",0,F2123)</f>
        <v>6.69078362268505</v>
      </c>
      <c r="I2123" s="14" t="n">
        <f aca="false">MAX(I2122,H2123)</f>
        <v>43.9309628600509</v>
      </c>
      <c r="J2123" s="14" t="n">
        <f aca="false">I2123-H2123</f>
        <v>37.2401792373658</v>
      </c>
    </row>
    <row r="2124" customFormat="false" ht="15" hidden="false" customHeight="false" outlineLevel="0" collapsed="false">
      <c r="A2124" s="12" t="n">
        <f aca="false">Data!A2124</f>
        <v>45089</v>
      </c>
      <c r="B2124" s="14" t="n">
        <f aca="false">Data!B2124</f>
        <v>67.12</v>
      </c>
      <c r="C2124" s="0" t="str">
        <f aca="false">IF(Data!D2124="","HOLD",IF(AND(G2123&lt;&gt;"IN",Data!E2124&lt;-5),"BUY",IF(AND(G2123="IN",Data!E2124&gt;0),"SELL","HOLD")))</f>
        <v>BUY</v>
      </c>
      <c r="D2124" s="14" t="n">
        <f aca="false">IF(C2124="BUY",B2124,IF(G2123="IN",D2123,""))</f>
        <v>67.12</v>
      </c>
      <c r="E2124" s="14" t="str">
        <f aca="false">IF(C2124="SELL",B2124,"")</f>
        <v/>
      </c>
      <c r="F2124" s="14" t="str">
        <f aca="false">IF(E2124="","",(E2124-D2124)/D2124*100)</f>
        <v/>
      </c>
      <c r="G2124" s="0" t="str">
        <f aca="false">IF(C2124="BUY","IN",IF(C2124="SELL","OUT",IF(G2123="IN","IN","OUT")))</f>
        <v>IN</v>
      </c>
      <c r="H2124" s="14" t="n">
        <f aca="false">H2123+IF(F2124="",0,F2124)</f>
        <v>6.69078362268505</v>
      </c>
      <c r="I2124" s="14" t="n">
        <f aca="false">MAX(I2123,H2124)</f>
        <v>43.9309628600509</v>
      </c>
      <c r="J2124" s="14" t="n">
        <f aca="false">I2124-H2124</f>
        <v>37.2401792373658</v>
      </c>
    </row>
    <row r="2125" customFormat="false" ht="15" hidden="false" customHeight="false" outlineLevel="0" collapsed="false">
      <c r="A2125" s="12" t="n">
        <f aca="false">Data!A2125</f>
        <v>45090</v>
      </c>
      <c r="B2125" s="14" t="n">
        <f aca="false">Data!B2125</f>
        <v>69.42</v>
      </c>
      <c r="C2125" s="0" t="str">
        <f aca="false">IF(Data!D2125="","HOLD",IF(AND(G2124&lt;&gt;"IN",Data!E2125&lt;-5),"BUY",IF(AND(G2124="IN",Data!E2125&gt;0),"SELL","HOLD")))</f>
        <v>HOLD</v>
      </c>
      <c r="D2125" s="14" t="n">
        <f aca="false">IF(C2125="BUY",B2125,IF(G2124="IN",D2124,""))</f>
        <v>67.12</v>
      </c>
      <c r="E2125" s="14" t="str">
        <f aca="false">IF(C2125="SELL",B2125,"")</f>
        <v/>
      </c>
      <c r="F2125" s="14" t="str">
        <f aca="false">IF(E2125="","",(E2125-D2125)/D2125*100)</f>
        <v/>
      </c>
      <c r="G2125" s="0" t="str">
        <f aca="false">IF(C2125="BUY","IN",IF(C2125="SELL","OUT",IF(G2124="IN","IN","OUT")))</f>
        <v>IN</v>
      </c>
      <c r="H2125" s="14" t="n">
        <f aca="false">H2124+IF(F2125="",0,F2125)</f>
        <v>6.69078362268505</v>
      </c>
      <c r="I2125" s="14" t="n">
        <f aca="false">MAX(I2124,H2125)</f>
        <v>43.9309628600509</v>
      </c>
      <c r="J2125" s="14" t="n">
        <f aca="false">I2125-H2125</f>
        <v>37.2401792373658</v>
      </c>
    </row>
    <row r="2126" customFormat="false" ht="15" hidden="false" customHeight="false" outlineLevel="0" collapsed="false">
      <c r="A2126" s="12" t="n">
        <f aca="false">Data!A2126</f>
        <v>45091</v>
      </c>
      <c r="B2126" s="14" t="n">
        <f aca="false">Data!B2126</f>
        <v>68.27</v>
      </c>
      <c r="C2126" s="0" t="str">
        <f aca="false">IF(Data!D2126="","HOLD",IF(AND(G2125&lt;&gt;"IN",Data!E2126&lt;-5),"BUY",IF(AND(G2125="IN",Data!E2126&gt;0),"SELL","HOLD")))</f>
        <v>HOLD</v>
      </c>
      <c r="D2126" s="14" t="n">
        <f aca="false">IF(C2126="BUY",B2126,IF(G2125="IN",D2125,""))</f>
        <v>67.12</v>
      </c>
      <c r="E2126" s="14" t="str">
        <f aca="false">IF(C2126="SELL",B2126,"")</f>
        <v/>
      </c>
      <c r="F2126" s="14" t="str">
        <f aca="false">IF(E2126="","",(E2126-D2126)/D2126*100)</f>
        <v/>
      </c>
      <c r="G2126" s="0" t="str">
        <f aca="false">IF(C2126="BUY","IN",IF(C2126="SELL","OUT",IF(G2125="IN","IN","OUT")))</f>
        <v>IN</v>
      </c>
      <c r="H2126" s="14" t="n">
        <f aca="false">H2125+IF(F2126="",0,F2126)</f>
        <v>6.69078362268505</v>
      </c>
      <c r="I2126" s="14" t="n">
        <f aca="false">MAX(I2125,H2126)</f>
        <v>43.9309628600509</v>
      </c>
      <c r="J2126" s="14" t="n">
        <f aca="false">I2126-H2126</f>
        <v>37.2401792373658</v>
      </c>
    </row>
    <row r="2127" customFormat="false" ht="15" hidden="false" customHeight="false" outlineLevel="0" collapsed="false">
      <c r="A2127" s="12" t="n">
        <f aca="false">Data!A2127</f>
        <v>45092</v>
      </c>
      <c r="B2127" s="14" t="n">
        <f aca="false">Data!B2127</f>
        <v>70.62</v>
      </c>
      <c r="C2127" s="0" t="str">
        <f aca="false">IF(Data!D2127="","HOLD",IF(AND(G2126&lt;&gt;"IN",Data!E2127&lt;-5),"BUY",IF(AND(G2126="IN",Data!E2127&gt;0),"SELL","HOLD")))</f>
        <v>HOLD</v>
      </c>
      <c r="D2127" s="14" t="n">
        <f aca="false">IF(C2127="BUY",B2127,IF(G2126="IN",D2126,""))</f>
        <v>67.12</v>
      </c>
      <c r="E2127" s="14" t="str">
        <f aca="false">IF(C2127="SELL",B2127,"")</f>
        <v/>
      </c>
      <c r="F2127" s="14" t="str">
        <f aca="false">IF(E2127="","",(E2127-D2127)/D2127*100)</f>
        <v/>
      </c>
      <c r="G2127" s="0" t="str">
        <f aca="false">IF(C2127="BUY","IN",IF(C2127="SELL","OUT",IF(G2126="IN","IN","OUT")))</f>
        <v>IN</v>
      </c>
      <c r="H2127" s="14" t="n">
        <f aca="false">H2126+IF(F2127="",0,F2127)</f>
        <v>6.69078362268505</v>
      </c>
      <c r="I2127" s="14" t="n">
        <f aca="false">MAX(I2126,H2127)</f>
        <v>43.9309628600509</v>
      </c>
      <c r="J2127" s="14" t="n">
        <f aca="false">I2127-H2127</f>
        <v>37.2401792373658</v>
      </c>
    </row>
    <row r="2128" customFormat="false" ht="15" hidden="false" customHeight="false" outlineLevel="0" collapsed="false">
      <c r="A2128" s="12" t="n">
        <f aca="false">Data!A2128</f>
        <v>45093</v>
      </c>
      <c r="B2128" s="14" t="n">
        <f aca="false">Data!B2128</f>
        <v>71.78</v>
      </c>
      <c r="C2128" s="0" t="str">
        <f aca="false">IF(Data!D2128="","HOLD",IF(AND(G2127&lt;&gt;"IN",Data!E2128&lt;-5),"BUY",IF(AND(G2127="IN",Data!E2128&gt;0),"SELL","HOLD")))</f>
        <v>SELL</v>
      </c>
      <c r="D2128" s="14" t="n">
        <f aca="false">IF(C2128="BUY",B2128,IF(G2127="IN",D2127,""))</f>
        <v>67.12</v>
      </c>
      <c r="E2128" s="14" t="n">
        <f aca="false">IF(C2128="SELL",B2128,"")</f>
        <v>71.78</v>
      </c>
      <c r="F2128" s="14" t="n">
        <f aca="false">IF(E2128="","",(E2128-D2128)/D2128*100)</f>
        <v>6.94278903456495</v>
      </c>
      <c r="G2128" s="0" t="str">
        <f aca="false">IF(C2128="BUY","IN",IF(C2128="SELL","OUT",IF(G2127="IN","IN","OUT")))</f>
        <v>OUT</v>
      </c>
      <c r="H2128" s="14" t="n">
        <f aca="false">H2127+IF(F2128="",0,F2128)</f>
        <v>13.63357265725</v>
      </c>
      <c r="I2128" s="14" t="n">
        <f aca="false">MAX(I2127,H2128)</f>
        <v>43.9309628600509</v>
      </c>
      <c r="J2128" s="14" t="n">
        <f aca="false">I2128-H2128</f>
        <v>30.2973902028009</v>
      </c>
    </row>
    <row r="2129" customFormat="false" ht="15" hidden="false" customHeight="false" outlineLevel="0" collapsed="false">
      <c r="A2129" s="12" t="n">
        <f aca="false">Data!A2129</f>
        <v>45097</v>
      </c>
      <c r="B2129" s="14" t="n">
        <f aca="false">Data!B2129</f>
        <v>70.5</v>
      </c>
      <c r="C2129" s="0" t="str">
        <f aca="false">IF(Data!D2129="","HOLD",IF(AND(G2128&lt;&gt;"IN",Data!E2129&lt;-5),"BUY",IF(AND(G2128="IN",Data!E2129&gt;0),"SELL","HOLD")))</f>
        <v>HOLD</v>
      </c>
      <c r="D2129" s="14" t="str">
        <f aca="false">IF(C2129="BUY",B2129,IF(G2128="IN",D2128,""))</f>
        <v/>
      </c>
      <c r="E2129" s="14" t="str">
        <f aca="false">IF(C2129="SELL",B2129,"")</f>
        <v/>
      </c>
      <c r="F2129" s="14" t="str">
        <f aca="false">IF(E2129="","",(E2129-D2129)/D2129*100)</f>
        <v/>
      </c>
      <c r="G2129" s="0" t="str">
        <f aca="false">IF(C2129="BUY","IN",IF(C2129="SELL","OUT",IF(G2128="IN","IN","OUT")))</f>
        <v>OUT</v>
      </c>
      <c r="H2129" s="14" t="n">
        <f aca="false">H2128+IF(F2129="",0,F2129)</f>
        <v>13.63357265725</v>
      </c>
      <c r="I2129" s="14" t="n">
        <f aca="false">MAX(I2128,H2129)</f>
        <v>43.9309628600509</v>
      </c>
      <c r="J2129" s="14" t="n">
        <f aca="false">I2129-H2129</f>
        <v>30.2973902028009</v>
      </c>
    </row>
    <row r="2130" customFormat="false" ht="15" hidden="false" customHeight="false" outlineLevel="0" collapsed="false">
      <c r="A2130" s="12" t="n">
        <f aca="false">Data!A2130</f>
        <v>45098</v>
      </c>
      <c r="B2130" s="14" t="n">
        <f aca="false">Data!B2130</f>
        <v>72.53</v>
      </c>
      <c r="C2130" s="0" t="str">
        <f aca="false">IF(Data!D2130="","HOLD",IF(AND(G2129&lt;&gt;"IN",Data!E2130&lt;-5),"BUY",IF(AND(G2129="IN",Data!E2130&gt;0),"SELL","HOLD")))</f>
        <v>HOLD</v>
      </c>
      <c r="D2130" s="14" t="str">
        <f aca="false">IF(C2130="BUY",B2130,IF(G2129="IN",D2129,""))</f>
        <v/>
      </c>
      <c r="E2130" s="14" t="str">
        <f aca="false">IF(C2130="SELL",B2130,"")</f>
        <v/>
      </c>
      <c r="F2130" s="14" t="str">
        <f aca="false">IF(E2130="","",(E2130-D2130)/D2130*100)</f>
        <v/>
      </c>
      <c r="G2130" s="0" t="str">
        <f aca="false">IF(C2130="BUY","IN",IF(C2130="SELL","OUT",IF(G2129="IN","IN","OUT")))</f>
        <v>OUT</v>
      </c>
      <c r="H2130" s="14" t="n">
        <f aca="false">H2129+IF(F2130="",0,F2130)</f>
        <v>13.63357265725</v>
      </c>
      <c r="I2130" s="14" t="n">
        <f aca="false">MAX(I2129,H2130)</f>
        <v>43.9309628600509</v>
      </c>
      <c r="J2130" s="14" t="n">
        <f aca="false">I2130-H2130</f>
        <v>30.2973902028009</v>
      </c>
    </row>
    <row r="2131" customFormat="false" ht="15" hidden="false" customHeight="false" outlineLevel="0" collapsed="false">
      <c r="A2131" s="12" t="n">
        <f aca="false">Data!A2131</f>
        <v>45099</v>
      </c>
      <c r="B2131" s="14" t="n">
        <f aca="false">Data!B2131</f>
        <v>69.51</v>
      </c>
      <c r="C2131" s="0" t="str">
        <f aca="false">IF(Data!D2131="","HOLD",IF(AND(G2130&lt;&gt;"IN",Data!E2131&lt;-5),"BUY",IF(AND(G2130="IN",Data!E2131&gt;0),"SELL","HOLD")))</f>
        <v>HOLD</v>
      </c>
      <c r="D2131" s="14" t="str">
        <f aca="false">IF(C2131="BUY",B2131,IF(G2130="IN",D2130,""))</f>
        <v/>
      </c>
      <c r="E2131" s="14" t="str">
        <f aca="false">IF(C2131="SELL",B2131,"")</f>
        <v/>
      </c>
      <c r="F2131" s="14" t="str">
        <f aca="false">IF(E2131="","",(E2131-D2131)/D2131*100)</f>
        <v/>
      </c>
      <c r="G2131" s="0" t="str">
        <f aca="false">IF(C2131="BUY","IN",IF(C2131="SELL","OUT",IF(G2130="IN","IN","OUT")))</f>
        <v>OUT</v>
      </c>
      <c r="H2131" s="14" t="n">
        <f aca="false">H2130+IF(F2131="",0,F2131)</f>
        <v>13.63357265725</v>
      </c>
      <c r="I2131" s="14" t="n">
        <f aca="false">MAX(I2130,H2131)</f>
        <v>43.9309628600509</v>
      </c>
      <c r="J2131" s="14" t="n">
        <f aca="false">I2131-H2131</f>
        <v>30.2973902028009</v>
      </c>
    </row>
    <row r="2132" customFormat="false" ht="15" hidden="false" customHeight="false" outlineLevel="0" collapsed="false">
      <c r="A2132" s="12" t="n">
        <f aca="false">Data!A2132</f>
        <v>45100</v>
      </c>
      <c r="B2132" s="14" t="n">
        <f aca="false">Data!B2132</f>
        <v>69.16</v>
      </c>
      <c r="C2132" s="0" t="str">
        <f aca="false">IF(Data!D2132="","HOLD",IF(AND(G2131&lt;&gt;"IN",Data!E2132&lt;-5),"BUY",IF(AND(G2131="IN",Data!E2132&gt;0),"SELL","HOLD")))</f>
        <v>HOLD</v>
      </c>
      <c r="D2132" s="14" t="str">
        <f aca="false">IF(C2132="BUY",B2132,IF(G2131="IN",D2131,""))</f>
        <v/>
      </c>
      <c r="E2132" s="14" t="str">
        <f aca="false">IF(C2132="SELL",B2132,"")</f>
        <v/>
      </c>
      <c r="F2132" s="14" t="str">
        <f aca="false">IF(E2132="","",(E2132-D2132)/D2132*100)</f>
        <v/>
      </c>
      <c r="G2132" s="0" t="str">
        <f aca="false">IF(C2132="BUY","IN",IF(C2132="SELL","OUT",IF(G2131="IN","IN","OUT")))</f>
        <v>OUT</v>
      </c>
      <c r="H2132" s="14" t="n">
        <f aca="false">H2131+IF(F2132="",0,F2132)</f>
        <v>13.63357265725</v>
      </c>
      <c r="I2132" s="14" t="n">
        <f aca="false">MAX(I2131,H2132)</f>
        <v>43.9309628600509</v>
      </c>
      <c r="J2132" s="14" t="n">
        <f aca="false">I2132-H2132</f>
        <v>30.2973902028009</v>
      </c>
    </row>
    <row r="2133" customFormat="false" ht="15" hidden="false" customHeight="false" outlineLevel="0" collapsed="false">
      <c r="A2133" s="12" t="n">
        <f aca="false">Data!A2133</f>
        <v>45103</v>
      </c>
      <c r="B2133" s="14" t="n">
        <f aca="false">Data!B2133</f>
        <v>69.37</v>
      </c>
      <c r="C2133" s="0" t="str">
        <f aca="false">IF(Data!D2133="","HOLD",IF(AND(G2132&lt;&gt;"IN",Data!E2133&lt;-5),"BUY",IF(AND(G2132="IN",Data!E2133&gt;0),"SELL","HOLD")))</f>
        <v>HOLD</v>
      </c>
      <c r="D2133" s="14" t="str">
        <f aca="false">IF(C2133="BUY",B2133,IF(G2132="IN",D2132,""))</f>
        <v/>
      </c>
      <c r="E2133" s="14" t="str">
        <f aca="false">IF(C2133="SELL",B2133,"")</f>
        <v/>
      </c>
      <c r="F2133" s="14" t="str">
        <f aca="false">IF(E2133="","",(E2133-D2133)/D2133*100)</f>
        <v/>
      </c>
      <c r="G2133" s="0" t="str">
        <f aca="false">IF(C2133="BUY","IN",IF(C2133="SELL","OUT",IF(G2132="IN","IN","OUT")))</f>
        <v>OUT</v>
      </c>
      <c r="H2133" s="14" t="n">
        <f aca="false">H2132+IF(F2133="",0,F2133)</f>
        <v>13.63357265725</v>
      </c>
      <c r="I2133" s="14" t="n">
        <f aca="false">MAX(I2132,H2133)</f>
        <v>43.9309628600509</v>
      </c>
      <c r="J2133" s="14" t="n">
        <f aca="false">I2133-H2133</f>
        <v>30.2973902028009</v>
      </c>
    </row>
    <row r="2134" customFormat="false" ht="15" hidden="false" customHeight="false" outlineLevel="0" collapsed="false">
      <c r="A2134" s="12" t="n">
        <f aca="false">Data!A2134</f>
        <v>45104</v>
      </c>
      <c r="B2134" s="14" t="n">
        <f aca="false">Data!B2134</f>
        <v>67.7</v>
      </c>
      <c r="C2134" s="0" t="str">
        <f aca="false">IF(Data!D2134="","HOLD",IF(AND(G2133&lt;&gt;"IN",Data!E2134&lt;-5),"BUY",IF(AND(G2133="IN",Data!E2134&gt;0),"SELL","HOLD")))</f>
        <v>HOLD</v>
      </c>
      <c r="D2134" s="14" t="str">
        <f aca="false">IF(C2134="BUY",B2134,IF(G2133="IN",D2133,""))</f>
        <v/>
      </c>
      <c r="E2134" s="14" t="str">
        <f aca="false">IF(C2134="SELL",B2134,"")</f>
        <v/>
      </c>
      <c r="F2134" s="14" t="str">
        <f aca="false">IF(E2134="","",(E2134-D2134)/D2134*100)</f>
        <v/>
      </c>
      <c r="G2134" s="0" t="str">
        <f aca="false">IF(C2134="BUY","IN",IF(C2134="SELL","OUT",IF(G2133="IN","IN","OUT")))</f>
        <v>OUT</v>
      </c>
      <c r="H2134" s="14" t="n">
        <f aca="false">H2133+IF(F2134="",0,F2134)</f>
        <v>13.63357265725</v>
      </c>
      <c r="I2134" s="14" t="n">
        <f aca="false">MAX(I2133,H2134)</f>
        <v>43.9309628600509</v>
      </c>
      <c r="J2134" s="14" t="n">
        <f aca="false">I2134-H2134</f>
        <v>30.2973902028009</v>
      </c>
    </row>
    <row r="2135" customFormat="false" ht="15" hidden="false" customHeight="false" outlineLevel="0" collapsed="false">
      <c r="A2135" s="12" t="n">
        <f aca="false">Data!A2135</f>
        <v>45105</v>
      </c>
      <c r="B2135" s="14" t="n">
        <f aca="false">Data!B2135</f>
        <v>69.56</v>
      </c>
      <c r="C2135" s="0" t="str">
        <f aca="false">IF(Data!D2135="","HOLD",IF(AND(G2134&lt;&gt;"IN",Data!E2135&lt;-5),"BUY",IF(AND(G2134="IN",Data!E2135&gt;0),"SELL","HOLD")))</f>
        <v>HOLD</v>
      </c>
      <c r="D2135" s="14" t="str">
        <f aca="false">IF(C2135="BUY",B2135,IF(G2134="IN",D2134,""))</f>
        <v/>
      </c>
      <c r="E2135" s="14" t="str">
        <f aca="false">IF(C2135="SELL",B2135,"")</f>
        <v/>
      </c>
      <c r="F2135" s="14" t="str">
        <f aca="false">IF(E2135="","",(E2135-D2135)/D2135*100)</f>
        <v/>
      </c>
      <c r="G2135" s="0" t="str">
        <f aca="false">IF(C2135="BUY","IN",IF(C2135="SELL","OUT",IF(G2134="IN","IN","OUT")))</f>
        <v>OUT</v>
      </c>
      <c r="H2135" s="14" t="n">
        <f aca="false">H2134+IF(F2135="",0,F2135)</f>
        <v>13.63357265725</v>
      </c>
      <c r="I2135" s="14" t="n">
        <f aca="false">MAX(I2134,H2135)</f>
        <v>43.9309628600509</v>
      </c>
      <c r="J2135" s="14" t="n">
        <f aca="false">I2135-H2135</f>
        <v>30.2973902028009</v>
      </c>
    </row>
    <row r="2136" customFormat="false" ht="15" hidden="false" customHeight="false" outlineLevel="0" collapsed="false">
      <c r="A2136" s="12" t="n">
        <f aca="false">Data!A2136</f>
        <v>45106</v>
      </c>
      <c r="B2136" s="14" t="n">
        <f aca="false">Data!B2136</f>
        <v>69.86</v>
      </c>
      <c r="C2136" s="0" t="str">
        <f aca="false">IF(Data!D2136="","HOLD",IF(AND(G2135&lt;&gt;"IN",Data!E2136&lt;-5),"BUY",IF(AND(G2135="IN",Data!E2136&gt;0),"SELL","HOLD")))</f>
        <v>HOLD</v>
      </c>
      <c r="D2136" s="14" t="str">
        <f aca="false">IF(C2136="BUY",B2136,IF(G2135="IN",D2135,""))</f>
        <v/>
      </c>
      <c r="E2136" s="14" t="str">
        <f aca="false">IF(C2136="SELL",B2136,"")</f>
        <v/>
      </c>
      <c r="F2136" s="14" t="str">
        <f aca="false">IF(E2136="","",(E2136-D2136)/D2136*100)</f>
        <v/>
      </c>
      <c r="G2136" s="0" t="str">
        <f aca="false">IF(C2136="BUY","IN",IF(C2136="SELL","OUT",IF(G2135="IN","IN","OUT")))</f>
        <v>OUT</v>
      </c>
      <c r="H2136" s="14" t="n">
        <f aca="false">H2135+IF(F2136="",0,F2136)</f>
        <v>13.63357265725</v>
      </c>
      <c r="I2136" s="14" t="n">
        <f aca="false">MAX(I2135,H2136)</f>
        <v>43.9309628600509</v>
      </c>
      <c r="J2136" s="14" t="n">
        <f aca="false">I2136-H2136</f>
        <v>30.2973902028009</v>
      </c>
    </row>
    <row r="2137" customFormat="false" ht="15" hidden="false" customHeight="false" outlineLevel="0" collapsed="false">
      <c r="A2137" s="12" t="n">
        <f aca="false">Data!A2137</f>
        <v>45107</v>
      </c>
      <c r="B2137" s="14" t="n">
        <f aca="false">Data!B2137</f>
        <v>70.64</v>
      </c>
      <c r="C2137" s="0" t="str">
        <f aca="false">IF(Data!D2137="","HOLD",IF(AND(G2136&lt;&gt;"IN",Data!E2137&lt;-5),"BUY",IF(AND(G2136="IN",Data!E2137&gt;0),"SELL","HOLD")))</f>
        <v>HOLD</v>
      </c>
      <c r="D2137" s="14" t="str">
        <f aca="false">IF(C2137="BUY",B2137,IF(G2136="IN",D2136,""))</f>
        <v/>
      </c>
      <c r="E2137" s="14" t="str">
        <f aca="false">IF(C2137="SELL",B2137,"")</f>
        <v/>
      </c>
      <c r="F2137" s="14" t="str">
        <f aca="false">IF(E2137="","",(E2137-D2137)/D2137*100)</f>
        <v/>
      </c>
      <c r="G2137" s="0" t="str">
        <f aca="false">IF(C2137="BUY","IN",IF(C2137="SELL","OUT",IF(G2136="IN","IN","OUT")))</f>
        <v>OUT</v>
      </c>
      <c r="H2137" s="14" t="n">
        <f aca="false">H2136+IF(F2137="",0,F2137)</f>
        <v>13.63357265725</v>
      </c>
      <c r="I2137" s="14" t="n">
        <f aca="false">MAX(I2136,H2137)</f>
        <v>43.9309628600509</v>
      </c>
      <c r="J2137" s="14" t="n">
        <f aca="false">I2137-H2137</f>
        <v>30.2973902028009</v>
      </c>
    </row>
    <row r="2138" customFormat="false" ht="15" hidden="false" customHeight="false" outlineLevel="0" collapsed="false">
      <c r="A2138" s="12" t="n">
        <f aca="false">Data!A2138</f>
        <v>45110</v>
      </c>
      <c r="B2138" s="14" t="n">
        <f aca="false">Data!B2138</f>
        <v>69.79</v>
      </c>
      <c r="C2138" s="0" t="str">
        <f aca="false">IF(Data!D2138="","HOLD",IF(AND(G2137&lt;&gt;"IN",Data!E2138&lt;-5),"BUY",IF(AND(G2137="IN",Data!E2138&gt;0),"SELL","HOLD")))</f>
        <v>HOLD</v>
      </c>
      <c r="D2138" s="14" t="str">
        <f aca="false">IF(C2138="BUY",B2138,IF(G2137="IN",D2137,""))</f>
        <v/>
      </c>
      <c r="E2138" s="14" t="str">
        <f aca="false">IF(C2138="SELL",B2138,"")</f>
        <v/>
      </c>
      <c r="F2138" s="14" t="str">
        <f aca="false">IF(E2138="","",(E2138-D2138)/D2138*100)</f>
        <v/>
      </c>
      <c r="G2138" s="0" t="str">
        <f aca="false">IF(C2138="BUY","IN",IF(C2138="SELL","OUT",IF(G2137="IN","IN","OUT")))</f>
        <v>OUT</v>
      </c>
      <c r="H2138" s="14" t="n">
        <f aca="false">H2137+IF(F2138="",0,F2138)</f>
        <v>13.63357265725</v>
      </c>
      <c r="I2138" s="14" t="n">
        <f aca="false">MAX(I2137,H2138)</f>
        <v>43.9309628600509</v>
      </c>
      <c r="J2138" s="14" t="n">
        <f aca="false">I2138-H2138</f>
        <v>30.2973902028009</v>
      </c>
    </row>
    <row r="2139" customFormat="false" ht="15" hidden="false" customHeight="false" outlineLevel="0" collapsed="false">
      <c r="A2139" s="12" t="n">
        <f aca="false">Data!A2139</f>
        <v>45112</v>
      </c>
      <c r="B2139" s="14" t="n">
        <f aca="false">Data!B2139</f>
        <v>71.79</v>
      </c>
      <c r="C2139" s="0" t="str">
        <f aca="false">IF(Data!D2139="","HOLD",IF(AND(G2138&lt;&gt;"IN",Data!E2139&lt;-5),"BUY",IF(AND(G2138="IN",Data!E2139&gt;0),"SELL","HOLD")))</f>
        <v>HOLD</v>
      </c>
      <c r="D2139" s="14" t="str">
        <f aca="false">IF(C2139="BUY",B2139,IF(G2138="IN",D2138,""))</f>
        <v/>
      </c>
      <c r="E2139" s="14" t="str">
        <f aca="false">IF(C2139="SELL",B2139,"")</f>
        <v/>
      </c>
      <c r="F2139" s="14" t="str">
        <f aca="false">IF(E2139="","",(E2139-D2139)/D2139*100)</f>
        <v/>
      </c>
      <c r="G2139" s="0" t="str">
        <f aca="false">IF(C2139="BUY","IN",IF(C2139="SELL","OUT",IF(G2138="IN","IN","OUT")))</f>
        <v>OUT</v>
      </c>
      <c r="H2139" s="14" t="n">
        <f aca="false">H2138+IF(F2139="",0,F2139)</f>
        <v>13.63357265725</v>
      </c>
      <c r="I2139" s="14" t="n">
        <f aca="false">MAX(I2138,H2139)</f>
        <v>43.9309628600509</v>
      </c>
      <c r="J2139" s="14" t="n">
        <f aca="false">I2139-H2139</f>
        <v>30.2973902028009</v>
      </c>
    </row>
    <row r="2140" customFormat="false" ht="15" hidden="false" customHeight="false" outlineLevel="0" collapsed="false">
      <c r="A2140" s="12" t="n">
        <f aca="false">Data!A2140</f>
        <v>45113</v>
      </c>
      <c r="B2140" s="14" t="n">
        <f aca="false">Data!B2140</f>
        <v>71.8</v>
      </c>
      <c r="C2140" s="0" t="str">
        <f aca="false">IF(Data!D2140="","HOLD",IF(AND(G2139&lt;&gt;"IN",Data!E2140&lt;-5),"BUY",IF(AND(G2139="IN",Data!E2140&gt;0),"SELL","HOLD")))</f>
        <v>HOLD</v>
      </c>
      <c r="D2140" s="14" t="str">
        <f aca="false">IF(C2140="BUY",B2140,IF(G2139="IN",D2139,""))</f>
        <v/>
      </c>
      <c r="E2140" s="14" t="str">
        <f aca="false">IF(C2140="SELL",B2140,"")</f>
        <v/>
      </c>
      <c r="F2140" s="14" t="str">
        <f aca="false">IF(E2140="","",(E2140-D2140)/D2140*100)</f>
        <v/>
      </c>
      <c r="G2140" s="0" t="str">
        <f aca="false">IF(C2140="BUY","IN",IF(C2140="SELL","OUT",IF(G2139="IN","IN","OUT")))</f>
        <v>OUT</v>
      </c>
      <c r="H2140" s="14" t="n">
        <f aca="false">H2139+IF(F2140="",0,F2140)</f>
        <v>13.63357265725</v>
      </c>
      <c r="I2140" s="14" t="n">
        <f aca="false">MAX(I2139,H2140)</f>
        <v>43.9309628600509</v>
      </c>
      <c r="J2140" s="14" t="n">
        <f aca="false">I2140-H2140</f>
        <v>30.2973902028009</v>
      </c>
    </row>
    <row r="2141" customFormat="false" ht="15" hidden="false" customHeight="false" outlineLevel="0" collapsed="false">
      <c r="A2141" s="12" t="n">
        <f aca="false">Data!A2141</f>
        <v>45114</v>
      </c>
      <c r="B2141" s="14" t="n">
        <f aca="false">Data!B2141</f>
        <v>73.86</v>
      </c>
      <c r="C2141" s="0" t="str">
        <f aca="false">IF(Data!D2141="","HOLD",IF(AND(G2140&lt;&gt;"IN",Data!E2141&lt;-5),"BUY",IF(AND(G2140="IN",Data!E2141&gt;0),"SELL","HOLD")))</f>
        <v>HOLD</v>
      </c>
      <c r="D2141" s="14" t="str">
        <f aca="false">IF(C2141="BUY",B2141,IF(G2140="IN",D2140,""))</f>
        <v/>
      </c>
      <c r="E2141" s="14" t="str">
        <f aca="false">IF(C2141="SELL",B2141,"")</f>
        <v/>
      </c>
      <c r="F2141" s="14" t="str">
        <f aca="false">IF(E2141="","",(E2141-D2141)/D2141*100)</f>
        <v/>
      </c>
      <c r="G2141" s="0" t="str">
        <f aca="false">IF(C2141="BUY","IN",IF(C2141="SELL","OUT",IF(G2140="IN","IN","OUT")))</f>
        <v>OUT</v>
      </c>
      <c r="H2141" s="14" t="n">
        <f aca="false">H2140+IF(F2141="",0,F2141)</f>
        <v>13.63357265725</v>
      </c>
      <c r="I2141" s="14" t="n">
        <f aca="false">MAX(I2140,H2141)</f>
        <v>43.9309628600509</v>
      </c>
      <c r="J2141" s="14" t="n">
        <f aca="false">I2141-H2141</f>
        <v>30.2973902028009</v>
      </c>
    </row>
    <row r="2142" customFormat="false" ht="15" hidden="false" customHeight="false" outlineLevel="0" collapsed="false">
      <c r="A2142" s="12" t="n">
        <f aca="false">Data!A2142</f>
        <v>45117</v>
      </c>
      <c r="B2142" s="14" t="n">
        <f aca="false">Data!B2142</f>
        <v>72.99</v>
      </c>
      <c r="C2142" s="0" t="str">
        <f aca="false">IF(Data!D2142="","HOLD",IF(AND(G2141&lt;&gt;"IN",Data!E2142&lt;-5),"BUY",IF(AND(G2141="IN",Data!E2142&gt;0),"SELL","HOLD")))</f>
        <v>HOLD</v>
      </c>
      <c r="D2142" s="14" t="str">
        <f aca="false">IF(C2142="BUY",B2142,IF(G2141="IN",D2141,""))</f>
        <v/>
      </c>
      <c r="E2142" s="14" t="str">
        <f aca="false">IF(C2142="SELL",B2142,"")</f>
        <v/>
      </c>
      <c r="F2142" s="14" t="str">
        <f aca="false">IF(E2142="","",(E2142-D2142)/D2142*100)</f>
        <v/>
      </c>
      <c r="G2142" s="0" t="str">
        <f aca="false">IF(C2142="BUY","IN",IF(C2142="SELL","OUT",IF(G2141="IN","IN","OUT")))</f>
        <v>OUT</v>
      </c>
      <c r="H2142" s="14" t="n">
        <f aca="false">H2141+IF(F2142="",0,F2142)</f>
        <v>13.63357265725</v>
      </c>
      <c r="I2142" s="14" t="n">
        <f aca="false">MAX(I2141,H2142)</f>
        <v>43.9309628600509</v>
      </c>
      <c r="J2142" s="14" t="n">
        <f aca="false">I2142-H2142</f>
        <v>30.2973902028009</v>
      </c>
    </row>
    <row r="2143" customFormat="false" ht="15" hidden="false" customHeight="false" outlineLevel="0" collapsed="false">
      <c r="A2143" s="12" t="n">
        <f aca="false">Data!A2143</f>
        <v>45118</v>
      </c>
      <c r="B2143" s="14" t="n">
        <f aca="false">Data!B2143</f>
        <v>74.83</v>
      </c>
      <c r="C2143" s="0" t="str">
        <f aca="false">IF(Data!D2143="","HOLD",IF(AND(G2142&lt;&gt;"IN",Data!E2143&lt;-5),"BUY",IF(AND(G2142="IN",Data!E2143&gt;0),"SELL","HOLD")))</f>
        <v>HOLD</v>
      </c>
      <c r="D2143" s="14" t="str">
        <f aca="false">IF(C2143="BUY",B2143,IF(G2142="IN",D2142,""))</f>
        <v/>
      </c>
      <c r="E2143" s="14" t="str">
        <f aca="false">IF(C2143="SELL",B2143,"")</f>
        <v/>
      </c>
      <c r="F2143" s="14" t="str">
        <f aca="false">IF(E2143="","",(E2143-D2143)/D2143*100)</f>
        <v/>
      </c>
      <c r="G2143" s="0" t="str">
        <f aca="false">IF(C2143="BUY","IN",IF(C2143="SELL","OUT",IF(G2142="IN","IN","OUT")))</f>
        <v>OUT</v>
      </c>
      <c r="H2143" s="14" t="n">
        <f aca="false">H2142+IF(F2143="",0,F2143)</f>
        <v>13.63357265725</v>
      </c>
      <c r="I2143" s="14" t="n">
        <f aca="false">MAX(I2142,H2143)</f>
        <v>43.9309628600509</v>
      </c>
      <c r="J2143" s="14" t="n">
        <f aca="false">I2143-H2143</f>
        <v>30.2973902028009</v>
      </c>
    </row>
    <row r="2144" customFormat="false" ht="15" hidden="false" customHeight="false" outlineLevel="0" collapsed="false">
      <c r="A2144" s="12" t="n">
        <f aca="false">Data!A2144</f>
        <v>45119</v>
      </c>
      <c r="B2144" s="14" t="n">
        <f aca="false">Data!B2144</f>
        <v>75.75</v>
      </c>
      <c r="C2144" s="0" t="str">
        <f aca="false">IF(Data!D2144="","HOLD",IF(AND(G2143&lt;&gt;"IN",Data!E2144&lt;-5),"BUY",IF(AND(G2143="IN",Data!E2144&gt;0),"SELL","HOLD")))</f>
        <v>HOLD</v>
      </c>
      <c r="D2144" s="14" t="str">
        <f aca="false">IF(C2144="BUY",B2144,IF(G2143="IN",D2143,""))</f>
        <v/>
      </c>
      <c r="E2144" s="14" t="str">
        <f aca="false">IF(C2144="SELL",B2144,"")</f>
        <v/>
      </c>
      <c r="F2144" s="14" t="str">
        <f aca="false">IF(E2144="","",(E2144-D2144)/D2144*100)</f>
        <v/>
      </c>
      <c r="G2144" s="0" t="str">
        <f aca="false">IF(C2144="BUY","IN",IF(C2144="SELL","OUT",IF(G2143="IN","IN","OUT")))</f>
        <v>OUT</v>
      </c>
      <c r="H2144" s="14" t="n">
        <f aca="false">H2143+IF(F2144="",0,F2144)</f>
        <v>13.63357265725</v>
      </c>
      <c r="I2144" s="14" t="n">
        <f aca="false">MAX(I2143,H2144)</f>
        <v>43.9309628600509</v>
      </c>
      <c r="J2144" s="14" t="n">
        <f aca="false">I2144-H2144</f>
        <v>30.2973902028009</v>
      </c>
    </row>
    <row r="2145" customFormat="false" ht="15" hidden="false" customHeight="false" outlineLevel="0" collapsed="false">
      <c r="A2145" s="12" t="n">
        <f aca="false">Data!A2145</f>
        <v>45120</v>
      </c>
      <c r="B2145" s="14" t="n">
        <f aca="false">Data!B2145</f>
        <v>76.89</v>
      </c>
      <c r="C2145" s="0" t="str">
        <f aca="false">IF(Data!D2145="","HOLD",IF(AND(G2144&lt;&gt;"IN",Data!E2145&lt;-5),"BUY",IF(AND(G2144="IN",Data!E2145&gt;0),"SELL","HOLD")))</f>
        <v>HOLD</v>
      </c>
      <c r="D2145" s="14" t="str">
        <f aca="false">IF(C2145="BUY",B2145,IF(G2144="IN",D2144,""))</f>
        <v/>
      </c>
      <c r="E2145" s="14" t="str">
        <f aca="false">IF(C2145="SELL",B2145,"")</f>
        <v/>
      </c>
      <c r="F2145" s="14" t="str">
        <f aca="false">IF(E2145="","",(E2145-D2145)/D2145*100)</f>
        <v/>
      </c>
      <c r="G2145" s="0" t="str">
        <f aca="false">IF(C2145="BUY","IN",IF(C2145="SELL","OUT",IF(G2144="IN","IN","OUT")))</f>
        <v>OUT</v>
      </c>
      <c r="H2145" s="14" t="n">
        <f aca="false">H2144+IF(F2145="",0,F2145)</f>
        <v>13.63357265725</v>
      </c>
      <c r="I2145" s="14" t="n">
        <f aca="false">MAX(I2144,H2145)</f>
        <v>43.9309628600509</v>
      </c>
      <c r="J2145" s="14" t="n">
        <f aca="false">I2145-H2145</f>
        <v>30.2973902028009</v>
      </c>
    </row>
    <row r="2146" customFormat="false" ht="15" hidden="false" customHeight="false" outlineLevel="0" collapsed="false">
      <c r="A2146" s="12" t="n">
        <f aca="false">Data!A2146</f>
        <v>45121</v>
      </c>
      <c r="B2146" s="14" t="n">
        <f aca="false">Data!B2146</f>
        <v>75.42</v>
      </c>
      <c r="C2146" s="0" t="str">
        <f aca="false">IF(Data!D2146="","HOLD",IF(AND(G2145&lt;&gt;"IN",Data!E2146&lt;-5),"BUY",IF(AND(G2145="IN",Data!E2146&gt;0),"SELL","HOLD")))</f>
        <v>HOLD</v>
      </c>
      <c r="D2146" s="14" t="str">
        <f aca="false">IF(C2146="BUY",B2146,IF(G2145="IN",D2145,""))</f>
        <v/>
      </c>
      <c r="E2146" s="14" t="str">
        <f aca="false">IF(C2146="SELL",B2146,"")</f>
        <v/>
      </c>
      <c r="F2146" s="14" t="str">
        <f aca="false">IF(E2146="","",(E2146-D2146)/D2146*100)</f>
        <v/>
      </c>
      <c r="G2146" s="0" t="str">
        <f aca="false">IF(C2146="BUY","IN",IF(C2146="SELL","OUT",IF(G2145="IN","IN","OUT")))</f>
        <v>OUT</v>
      </c>
      <c r="H2146" s="14" t="n">
        <f aca="false">H2145+IF(F2146="",0,F2146)</f>
        <v>13.63357265725</v>
      </c>
      <c r="I2146" s="14" t="n">
        <f aca="false">MAX(I2145,H2146)</f>
        <v>43.9309628600509</v>
      </c>
      <c r="J2146" s="14" t="n">
        <f aca="false">I2146-H2146</f>
        <v>30.2973902028009</v>
      </c>
    </row>
    <row r="2147" customFormat="false" ht="15" hidden="false" customHeight="false" outlineLevel="0" collapsed="false">
      <c r="A2147" s="12" t="n">
        <f aca="false">Data!A2147</f>
        <v>45124</v>
      </c>
      <c r="B2147" s="14" t="n">
        <f aca="false">Data!B2147</f>
        <v>74.15</v>
      </c>
      <c r="C2147" s="0" t="str">
        <f aca="false">IF(Data!D2147="","HOLD",IF(AND(G2146&lt;&gt;"IN",Data!E2147&lt;-5),"BUY",IF(AND(G2146="IN",Data!E2147&gt;0),"SELL","HOLD")))</f>
        <v>HOLD</v>
      </c>
      <c r="D2147" s="14" t="str">
        <f aca="false">IF(C2147="BUY",B2147,IF(G2146="IN",D2146,""))</f>
        <v/>
      </c>
      <c r="E2147" s="14" t="str">
        <f aca="false">IF(C2147="SELL",B2147,"")</f>
        <v/>
      </c>
      <c r="F2147" s="14" t="str">
        <f aca="false">IF(E2147="","",(E2147-D2147)/D2147*100)</f>
        <v/>
      </c>
      <c r="G2147" s="0" t="str">
        <f aca="false">IF(C2147="BUY","IN",IF(C2147="SELL","OUT",IF(G2146="IN","IN","OUT")))</f>
        <v>OUT</v>
      </c>
      <c r="H2147" s="14" t="n">
        <f aca="false">H2146+IF(F2147="",0,F2147)</f>
        <v>13.63357265725</v>
      </c>
      <c r="I2147" s="14" t="n">
        <f aca="false">MAX(I2146,H2147)</f>
        <v>43.9309628600509</v>
      </c>
      <c r="J2147" s="14" t="n">
        <f aca="false">I2147-H2147</f>
        <v>30.2973902028009</v>
      </c>
    </row>
    <row r="2148" customFormat="false" ht="15" hidden="false" customHeight="false" outlineLevel="0" collapsed="false">
      <c r="A2148" s="12" t="n">
        <f aca="false">Data!A2148</f>
        <v>45125</v>
      </c>
      <c r="B2148" s="14" t="n">
        <f aca="false">Data!B2148</f>
        <v>75.75</v>
      </c>
      <c r="C2148" s="0" t="str">
        <f aca="false">IF(Data!D2148="","HOLD",IF(AND(G2147&lt;&gt;"IN",Data!E2148&lt;-5),"BUY",IF(AND(G2147="IN",Data!E2148&gt;0),"SELL","HOLD")))</f>
        <v>HOLD</v>
      </c>
      <c r="D2148" s="14" t="str">
        <f aca="false">IF(C2148="BUY",B2148,IF(G2147="IN",D2147,""))</f>
        <v/>
      </c>
      <c r="E2148" s="14" t="str">
        <f aca="false">IF(C2148="SELL",B2148,"")</f>
        <v/>
      </c>
      <c r="F2148" s="14" t="str">
        <f aca="false">IF(E2148="","",(E2148-D2148)/D2148*100)</f>
        <v/>
      </c>
      <c r="G2148" s="0" t="str">
        <f aca="false">IF(C2148="BUY","IN",IF(C2148="SELL","OUT",IF(G2147="IN","IN","OUT")))</f>
        <v>OUT</v>
      </c>
      <c r="H2148" s="14" t="n">
        <f aca="false">H2147+IF(F2148="",0,F2148)</f>
        <v>13.63357265725</v>
      </c>
      <c r="I2148" s="14" t="n">
        <f aca="false">MAX(I2147,H2148)</f>
        <v>43.9309628600509</v>
      </c>
      <c r="J2148" s="14" t="n">
        <f aca="false">I2148-H2148</f>
        <v>30.2973902028009</v>
      </c>
    </row>
    <row r="2149" customFormat="false" ht="15" hidden="false" customHeight="false" outlineLevel="0" collapsed="false">
      <c r="A2149" s="12" t="n">
        <f aca="false">Data!A2149</f>
        <v>45126</v>
      </c>
      <c r="B2149" s="14" t="n">
        <f aca="false">Data!B2149</f>
        <v>75.35</v>
      </c>
      <c r="C2149" s="0" t="str">
        <f aca="false">IF(Data!D2149="","HOLD",IF(AND(G2148&lt;&gt;"IN",Data!E2149&lt;-5),"BUY",IF(AND(G2148="IN",Data!E2149&gt;0),"SELL","HOLD")))</f>
        <v>HOLD</v>
      </c>
      <c r="D2149" s="14" t="str">
        <f aca="false">IF(C2149="BUY",B2149,IF(G2148="IN",D2148,""))</f>
        <v/>
      </c>
      <c r="E2149" s="14" t="str">
        <f aca="false">IF(C2149="SELL",B2149,"")</f>
        <v/>
      </c>
      <c r="F2149" s="14" t="str">
        <f aca="false">IF(E2149="","",(E2149-D2149)/D2149*100)</f>
        <v/>
      </c>
      <c r="G2149" s="0" t="str">
        <f aca="false">IF(C2149="BUY","IN",IF(C2149="SELL","OUT",IF(G2148="IN","IN","OUT")))</f>
        <v>OUT</v>
      </c>
      <c r="H2149" s="14" t="n">
        <f aca="false">H2148+IF(F2149="",0,F2149)</f>
        <v>13.63357265725</v>
      </c>
      <c r="I2149" s="14" t="n">
        <f aca="false">MAX(I2148,H2149)</f>
        <v>43.9309628600509</v>
      </c>
      <c r="J2149" s="14" t="n">
        <f aca="false">I2149-H2149</f>
        <v>30.2973902028009</v>
      </c>
    </row>
    <row r="2150" customFormat="false" ht="15" hidden="false" customHeight="false" outlineLevel="0" collapsed="false">
      <c r="A2150" s="12" t="n">
        <f aca="false">Data!A2150</f>
        <v>45127</v>
      </c>
      <c r="B2150" s="14" t="n">
        <f aca="false">Data!B2150</f>
        <v>75.63</v>
      </c>
      <c r="C2150" s="0" t="str">
        <f aca="false">IF(Data!D2150="","HOLD",IF(AND(G2149&lt;&gt;"IN",Data!E2150&lt;-5),"BUY",IF(AND(G2149="IN",Data!E2150&gt;0),"SELL","HOLD")))</f>
        <v>HOLD</v>
      </c>
      <c r="D2150" s="14" t="str">
        <f aca="false">IF(C2150="BUY",B2150,IF(G2149="IN",D2149,""))</f>
        <v/>
      </c>
      <c r="E2150" s="14" t="str">
        <f aca="false">IF(C2150="SELL",B2150,"")</f>
        <v/>
      </c>
      <c r="F2150" s="14" t="str">
        <f aca="false">IF(E2150="","",(E2150-D2150)/D2150*100)</f>
        <v/>
      </c>
      <c r="G2150" s="0" t="str">
        <f aca="false">IF(C2150="BUY","IN",IF(C2150="SELL","OUT",IF(G2149="IN","IN","OUT")))</f>
        <v>OUT</v>
      </c>
      <c r="H2150" s="14" t="n">
        <f aca="false">H2149+IF(F2150="",0,F2150)</f>
        <v>13.63357265725</v>
      </c>
      <c r="I2150" s="14" t="n">
        <f aca="false">MAX(I2149,H2150)</f>
        <v>43.9309628600509</v>
      </c>
      <c r="J2150" s="14" t="n">
        <f aca="false">I2150-H2150</f>
        <v>30.2973902028009</v>
      </c>
    </row>
    <row r="2151" customFormat="false" ht="15" hidden="false" customHeight="false" outlineLevel="0" collapsed="false">
      <c r="A2151" s="12" t="n">
        <f aca="false">Data!A2151</f>
        <v>45128</v>
      </c>
      <c r="B2151" s="14" t="n">
        <f aca="false">Data!B2151</f>
        <v>77.07</v>
      </c>
      <c r="C2151" s="0" t="str">
        <f aca="false">IF(Data!D2151="","HOLD",IF(AND(G2150&lt;&gt;"IN",Data!E2151&lt;-5),"BUY",IF(AND(G2150="IN",Data!E2151&gt;0),"SELL","HOLD")))</f>
        <v>HOLD</v>
      </c>
      <c r="D2151" s="14" t="str">
        <f aca="false">IF(C2151="BUY",B2151,IF(G2150="IN",D2150,""))</f>
        <v/>
      </c>
      <c r="E2151" s="14" t="str">
        <f aca="false">IF(C2151="SELL",B2151,"")</f>
        <v/>
      </c>
      <c r="F2151" s="14" t="str">
        <f aca="false">IF(E2151="","",(E2151-D2151)/D2151*100)</f>
        <v/>
      </c>
      <c r="G2151" s="0" t="str">
        <f aca="false">IF(C2151="BUY","IN",IF(C2151="SELL","OUT",IF(G2150="IN","IN","OUT")))</f>
        <v>OUT</v>
      </c>
      <c r="H2151" s="14" t="n">
        <f aca="false">H2150+IF(F2151="",0,F2151)</f>
        <v>13.63357265725</v>
      </c>
      <c r="I2151" s="14" t="n">
        <f aca="false">MAX(I2150,H2151)</f>
        <v>43.9309628600509</v>
      </c>
      <c r="J2151" s="14" t="n">
        <f aca="false">I2151-H2151</f>
        <v>30.2973902028009</v>
      </c>
    </row>
    <row r="2152" customFormat="false" ht="15" hidden="false" customHeight="false" outlineLevel="0" collapsed="false">
      <c r="A2152" s="12" t="n">
        <f aca="false">Data!A2152</f>
        <v>45131</v>
      </c>
      <c r="B2152" s="14" t="n">
        <f aca="false">Data!B2152</f>
        <v>78.74</v>
      </c>
      <c r="C2152" s="0" t="str">
        <f aca="false">IF(Data!D2152="","HOLD",IF(AND(G2151&lt;&gt;"IN",Data!E2152&lt;-5),"BUY",IF(AND(G2151="IN",Data!E2152&gt;0),"SELL","HOLD")))</f>
        <v>HOLD</v>
      </c>
      <c r="D2152" s="14" t="str">
        <f aca="false">IF(C2152="BUY",B2152,IF(G2151="IN",D2151,""))</f>
        <v/>
      </c>
      <c r="E2152" s="14" t="str">
        <f aca="false">IF(C2152="SELL",B2152,"")</f>
        <v/>
      </c>
      <c r="F2152" s="14" t="str">
        <f aca="false">IF(E2152="","",(E2152-D2152)/D2152*100)</f>
        <v/>
      </c>
      <c r="G2152" s="0" t="str">
        <f aca="false">IF(C2152="BUY","IN",IF(C2152="SELL","OUT",IF(G2151="IN","IN","OUT")))</f>
        <v>OUT</v>
      </c>
      <c r="H2152" s="14" t="n">
        <f aca="false">H2151+IF(F2152="",0,F2152)</f>
        <v>13.63357265725</v>
      </c>
      <c r="I2152" s="14" t="n">
        <f aca="false">MAX(I2151,H2152)</f>
        <v>43.9309628600509</v>
      </c>
      <c r="J2152" s="14" t="n">
        <f aca="false">I2152-H2152</f>
        <v>30.2973902028009</v>
      </c>
    </row>
    <row r="2153" customFormat="false" ht="15" hidden="false" customHeight="false" outlineLevel="0" collapsed="false">
      <c r="A2153" s="12" t="n">
        <f aca="false">Data!A2153</f>
        <v>45132</v>
      </c>
      <c r="B2153" s="14" t="n">
        <f aca="false">Data!B2153</f>
        <v>79.63</v>
      </c>
      <c r="C2153" s="0" t="str">
        <f aca="false">IF(Data!D2153="","HOLD",IF(AND(G2152&lt;&gt;"IN",Data!E2153&lt;-5),"BUY",IF(AND(G2152="IN",Data!E2153&gt;0),"SELL","HOLD")))</f>
        <v>HOLD</v>
      </c>
      <c r="D2153" s="14" t="str">
        <f aca="false">IF(C2153="BUY",B2153,IF(G2152="IN",D2152,""))</f>
        <v/>
      </c>
      <c r="E2153" s="14" t="str">
        <f aca="false">IF(C2153="SELL",B2153,"")</f>
        <v/>
      </c>
      <c r="F2153" s="14" t="str">
        <f aca="false">IF(E2153="","",(E2153-D2153)/D2153*100)</f>
        <v/>
      </c>
      <c r="G2153" s="0" t="str">
        <f aca="false">IF(C2153="BUY","IN",IF(C2153="SELL","OUT",IF(G2152="IN","IN","OUT")))</f>
        <v>OUT</v>
      </c>
      <c r="H2153" s="14" t="n">
        <f aca="false">H2152+IF(F2153="",0,F2153)</f>
        <v>13.63357265725</v>
      </c>
      <c r="I2153" s="14" t="n">
        <f aca="false">MAX(I2152,H2153)</f>
        <v>43.9309628600509</v>
      </c>
      <c r="J2153" s="14" t="n">
        <f aca="false">I2153-H2153</f>
        <v>30.2973902028009</v>
      </c>
    </row>
    <row r="2154" customFormat="false" ht="15" hidden="false" customHeight="false" outlineLevel="0" collapsed="false">
      <c r="A2154" s="12" t="n">
        <f aca="false">Data!A2154</f>
        <v>45133</v>
      </c>
      <c r="B2154" s="14" t="n">
        <f aca="false">Data!B2154</f>
        <v>78.78</v>
      </c>
      <c r="C2154" s="0" t="str">
        <f aca="false">IF(Data!D2154="","HOLD",IF(AND(G2153&lt;&gt;"IN",Data!E2154&lt;-5),"BUY",IF(AND(G2153="IN",Data!E2154&gt;0),"SELL","HOLD")))</f>
        <v>HOLD</v>
      </c>
      <c r="D2154" s="14" t="str">
        <f aca="false">IF(C2154="BUY",B2154,IF(G2153="IN",D2153,""))</f>
        <v/>
      </c>
      <c r="E2154" s="14" t="str">
        <f aca="false">IF(C2154="SELL",B2154,"")</f>
        <v/>
      </c>
      <c r="F2154" s="14" t="str">
        <f aca="false">IF(E2154="","",(E2154-D2154)/D2154*100)</f>
        <v/>
      </c>
      <c r="G2154" s="0" t="str">
        <f aca="false">IF(C2154="BUY","IN",IF(C2154="SELL","OUT",IF(G2153="IN","IN","OUT")))</f>
        <v>OUT</v>
      </c>
      <c r="H2154" s="14" t="n">
        <f aca="false">H2153+IF(F2154="",0,F2154)</f>
        <v>13.63357265725</v>
      </c>
      <c r="I2154" s="14" t="n">
        <f aca="false">MAX(I2153,H2154)</f>
        <v>43.9309628600509</v>
      </c>
      <c r="J2154" s="14" t="n">
        <f aca="false">I2154-H2154</f>
        <v>30.2973902028009</v>
      </c>
    </row>
    <row r="2155" customFormat="false" ht="15" hidden="false" customHeight="false" outlineLevel="0" collapsed="false">
      <c r="A2155" s="12" t="n">
        <f aca="false">Data!A2155</f>
        <v>45134</v>
      </c>
      <c r="B2155" s="14" t="n">
        <f aca="false">Data!B2155</f>
        <v>80.09</v>
      </c>
      <c r="C2155" s="0" t="str">
        <f aca="false">IF(Data!D2155="","HOLD",IF(AND(G2154&lt;&gt;"IN",Data!E2155&lt;-5),"BUY",IF(AND(G2154="IN",Data!E2155&gt;0),"SELL","HOLD")))</f>
        <v>HOLD</v>
      </c>
      <c r="D2155" s="14" t="str">
        <f aca="false">IF(C2155="BUY",B2155,IF(G2154="IN",D2154,""))</f>
        <v/>
      </c>
      <c r="E2155" s="14" t="str">
        <f aca="false">IF(C2155="SELL",B2155,"")</f>
        <v/>
      </c>
      <c r="F2155" s="14" t="str">
        <f aca="false">IF(E2155="","",(E2155-D2155)/D2155*100)</f>
        <v/>
      </c>
      <c r="G2155" s="0" t="str">
        <f aca="false">IF(C2155="BUY","IN",IF(C2155="SELL","OUT",IF(G2154="IN","IN","OUT")))</f>
        <v>OUT</v>
      </c>
      <c r="H2155" s="14" t="n">
        <f aca="false">H2154+IF(F2155="",0,F2155)</f>
        <v>13.63357265725</v>
      </c>
      <c r="I2155" s="14" t="n">
        <f aca="false">MAX(I2154,H2155)</f>
        <v>43.9309628600509</v>
      </c>
      <c r="J2155" s="14" t="n">
        <f aca="false">I2155-H2155</f>
        <v>30.2973902028009</v>
      </c>
    </row>
    <row r="2156" customFormat="false" ht="15" hidden="false" customHeight="false" outlineLevel="0" collapsed="false">
      <c r="A2156" s="12" t="n">
        <f aca="false">Data!A2156</f>
        <v>45135</v>
      </c>
      <c r="B2156" s="14" t="n">
        <f aca="false">Data!B2156</f>
        <v>80.58</v>
      </c>
      <c r="C2156" s="0" t="str">
        <f aca="false">IF(Data!D2156="","HOLD",IF(AND(G2155&lt;&gt;"IN",Data!E2156&lt;-5),"BUY",IF(AND(G2155="IN",Data!E2156&gt;0),"SELL","HOLD")))</f>
        <v>HOLD</v>
      </c>
      <c r="D2156" s="14" t="str">
        <f aca="false">IF(C2156="BUY",B2156,IF(G2155="IN",D2155,""))</f>
        <v/>
      </c>
      <c r="E2156" s="14" t="str">
        <f aca="false">IF(C2156="SELL",B2156,"")</f>
        <v/>
      </c>
      <c r="F2156" s="14" t="str">
        <f aca="false">IF(E2156="","",(E2156-D2156)/D2156*100)</f>
        <v/>
      </c>
      <c r="G2156" s="0" t="str">
        <f aca="false">IF(C2156="BUY","IN",IF(C2156="SELL","OUT",IF(G2155="IN","IN","OUT")))</f>
        <v>OUT</v>
      </c>
      <c r="H2156" s="14" t="n">
        <f aca="false">H2155+IF(F2156="",0,F2156)</f>
        <v>13.63357265725</v>
      </c>
      <c r="I2156" s="14" t="n">
        <f aca="false">MAX(I2155,H2156)</f>
        <v>43.9309628600509</v>
      </c>
      <c r="J2156" s="14" t="n">
        <f aca="false">I2156-H2156</f>
        <v>30.2973902028009</v>
      </c>
    </row>
    <row r="2157" customFormat="false" ht="15" hidden="false" customHeight="false" outlineLevel="0" collapsed="false">
      <c r="A2157" s="12" t="n">
        <f aca="false">Data!A2157</f>
        <v>45138</v>
      </c>
      <c r="B2157" s="14" t="n">
        <f aca="false">Data!B2157</f>
        <v>81.8</v>
      </c>
      <c r="C2157" s="0" t="str">
        <f aca="false">IF(Data!D2157="","HOLD",IF(AND(G2156&lt;&gt;"IN",Data!E2157&lt;-5),"BUY",IF(AND(G2156="IN",Data!E2157&gt;0),"SELL","HOLD")))</f>
        <v>HOLD</v>
      </c>
      <c r="D2157" s="14" t="str">
        <f aca="false">IF(C2157="BUY",B2157,IF(G2156="IN",D2156,""))</f>
        <v/>
      </c>
      <c r="E2157" s="14" t="str">
        <f aca="false">IF(C2157="SELL",B2157,"")</f>
        <v/>
      </c>
      <c r="F2157" s="14" t="str">
        <f aca="false">IF(E2157="","",(E2157-D2157)/D2157*100)</f>
        <v/>
      </c>
      <c r="G2157" s="0" t="str">
        <f aca="false">IF(C2157="BUY","IN",IF(C2157="SELL","OUT",IF(G2156="IN","IN","OUT")))</f>
        <v>OUT</v>
      </c>
      <c r="H2157" s="14" t="n">
        <f aca="false">H2156+IF(F2157="",0,F2157)</f>
        <v>13.63357265725</v>
      </c>
      <c r="I2157" s="14" t="n">
        <f aca="false">MAX(I2156,H2157)</f>
        <v>43.9309628600509</v>
      </c>
      <c r="J2157" s="14" t="n">
        <f aca="false">I2157-H2157</f>
        <v>30.2973902028009</v>
      </c>
    </row>
    <row r="2158" customFormat="false" ht="15" hidden="false" customHeight="false" outlineLevel="0" collapsed="false">
      <c r="A2158" s="12" t="n">
        <f aca="false">Data!A2158</f>
        <v>45139</v>
      </c>
      <c r="B2158" s="14" t="n">
        <f aca="false">Data!B2158</f>
        <v>81.37</v>
      </c>
      <c r="C2158" s="0" t="str">
        <f aca="false">IF(Data!D2158="","HOLD",IF(AND(G2157&lt;&gt;"IN",Data!E2158&lt;-5),"BUY",IF(AND(G2157="IN",Data!E2158&gt;0),"SELL","HOLD")))</f>
        <v>HOLD</v>
      </c>
      <c r="D2158" s="14" t="str">
        <f aca="false">IF(C2158="BUY",B2158,IF(G2157="IN",D2157,""))</f>
        <v/>
      </c>
      <c r="E2158" s="14" t="str">
        <f aca="false">IF(C2158="SELL",B2158,"")</f>
        <v/>
      </c>
      <c r="F2158" s="14" t="str">
        <f aca="false">IF(E2158="","",(E2158-D2158)/D2158*100)</f>
        <v/>
      </c>
      <c r="G2158" s="0" t="str">
        <f aca="false">IF(C2158="BUY","IN",IF(C2158="SELL","OUT",IF(G2157="IN","IN","OUT")))</f>
        <v>OUT</v>
      </c>
      <c r="H2158" s="14" t="n">
        <f aca="false">H2157+IF(F2158="",0,F2158)</f>
        <v>13.63357265725</v>
      </c>
      <c r="I2158" s="14" t="n">
        <f aca="false">MAX(I2157,H2158)</f>
        <v>43.9309628600509</v>
      </c>
      <c r="J2158" s="14" t="n">
        <f aca="false">I2158-H2158</f>
        <v>30.2973902028009</v>
      </c>
    </row>
    <row r="2159" customFormat="false" ht="15" hidden="false" customHeight="false" outlineLevel="0" collapsed="false">
      <c r="A2159" s="12" t="n">
        <f aca="false">Data!A2159</f>
        <v>45140</v>
      </c>
      <c r="B2159" s="14" t="n">
        <f aca="false">Data!B2159</f>
        <v>79.49</v>
      </c>
      <c r="C2159" s="0" t="str">
        <f aca="false">IF(Data!D2159="","HOLD",IF(AND(G2158&lt;&gt;"IN",Data!E2159&lt;-5),"BUY",IF(AND(G2158="IN",Data!E2159&gt;0),"SELL","HOLD")))</f>
        <v>HOLD</v>
      </c>
      <c r="D2159" s="14" t="str">
        <f aca="false">IF(C2159="BUY",B2159,IF(G2158="IN",D2158,""))</f>
        <v/>
      </c>
      <c r="E2159" s="14" t="str">
        <f aca="false">IF(C2159="SELL",B2159,"")</f>
        <v/>
      </c>
      <c r="F2159" s="14" t="str">
        <f aca="false">IF(E2159="","",(E2159-D2159)/D2159*100)</f>
        <v/>
      </c>
      <c r="G2159" s="0" t="str">
        <f aca="false">IF(C2159="BUY","IN",IF(C2159="SELL","OUT",IF(G2158="IN","IN","OUT")))</f>
        <v>OUT</v>
      </c>
      <c r="H2159" s="14" t="n">
        <f aca="false">H2158+IF(F2159="",0,F2159)</f>
        <v>13.63357265725</v>
      </c>
      <c r="I2159" s="14" t="n">
        <f aca="false">MAX(I2158,H2159)</f>
        <v>43.9309628600509</v>
      </c>
      <c r="J2159" s="14" t="n">
        <f aca="false">I2159-H2159</f>
        <v>30.2973902028009</v>
      </c>
    </row>
    <row r="2160" customFormat="false" ht="15" hidden="false" customHeight="false" outlineLevel="0" collapsed="false">
      <c r="A2160" s="12" t="n">
        <f aca="false">Data!A2160</f>
        <v>45141</v>
      </c>
      <c r="B2160" s="14" t="n">
        <f aca="false">Data!B2160</f>
        <v>81.55</v>
      </c>
      <c r="C2160" s="0" t="str">
        <f aca="false">IF(Data!D2160="","HOLD",IF(AND(G2159&lt;&gt;"IN",Data!E2160&lt;-5),"BUY",IF(AND(G2159="IN",Data!E2160&gt;0),"SELL","HOLD")))</f>
        <v>HOLD</v>
      </c>
      <c r="D2160" s="14" t="str">
        <f aca="false">IF(C2160="BUY",B2160,IF(G2159="IN",D2159,""))</f>
        <v/>
      </c>
      <c r="E2160" s="14" t="str">
        <f aca="false">IF(C2160="SELL",B2160,"")</f>
        <v/>
      </c>
      <c r="F2160" s="14" t="str">
        <f aca="false">IF(E2160="","",(E2160-D2160)/D2160*100)</f>
        <v/>
      </c>
      <c r="G2160" s="0" t="str">
        <f aca="false">IF(C2160="BUY","IN",IF(C2160="SELL","OUT",IF(G2159="IN","IN","OUT")))</f>
        <v>OUT</v>
      </c>
      <c r="H2160" s="14" t="n">
        <f aca="false">H2159+IF(F2160="",0,F2160)</f>
        <v>13.63357265725</v>
      </c>
      <c r="I2160" s="14" t="n">
        <f aca="false">MAX(I2159,H2160)</f>
        <v>43.9309628600509</v>
      </c>
      <c r="J2160" s="14" t="n">
        <f aca="false">I2160-H2160</f>
        <v>30.2973902028009</v>
      </c>
    </row>
    <row r="2161" customFormat="false" ht="15" hidden="false" customHeight="false" outlineLevel="0" collapsed="false">
      <c r="A2161" s="12" t="n">
        <f aca="false">Data!A2161</f>
        <v>45142</v>
      </c>
      <c r="B2161" s="14" t="n">
        <f aca="false">Data!B2161</f>
        <v>82.82</v>
      </c>
      <c r="C2161" s="0" t="str">
        <f aca="false">IF(Data!D2161="","HOLD",IF(AND(G2160&lt;&gt;"IN",Data!E2161&lt;-5),"BUY",IF(AND(G2160="IN",Data!E2161&gt;0),"SELL","HOLD")))</f>
        <v>HOLD</v>
      </c>
      <c r="D2161" s="14" t="str">
        <f aca="false">IF(C2161="BUY",B2161,IF(G2160="IN",D2160,""))</f>
        <v/>
      </c>
      <c r="E2161" s="14" t="str">
        <f aca="false">IF(C2161="SELL",B2161,"")</f>
        <v/>
      </c>
      <c r="F2161" s="14" t="str">
        <f aca="false">IF(E2161="","",(E2161-D2161)/D2161*100)</f>
        <v/>
      </c>
      <c r="G2161" s="0" t="str">
        <f aca="false">IF(C2161="BUY","IN",IF(C2161="SELL","OUT",IF(G2160="IN","IN","OUT")))</f>
        <v>OUT</v>
      </c>
      <c r="H2161" s="14" t="n">
        <f aca="false">H2160+IF(F2161="",0,F2161)</f>
        <v>13.63357265725</v>
      </c>
      <c r="I2161" s="14" t="n">
        <f aca="false">MAX(I2160,H2161)</f>
        <v>43.9309628600509</v>
      </c>
      <c r="J2161" s="14" t="n">
        <f aca="false">I2161-H2161</f>
        <v>30.2973902028009</v>
      </c>
    </row>
    <row r="2162" customFormat="false" ht="15" hidden="false" customHeight="false" outlineLevel="0" collapsed="false">
      <c r="A2162" s="12" t="n">
        <f aca="false">Data!A2162</f>
        <v>45145</v>
      </c>
      <c r="B2162" s="14" t="n">
        <f aca="false">Data!B2162</f>
        <v>81.94</v>
      </c>
      <c r="C2162" s="0" t="str">
        <f aca="false">IF(Data!D2162="","HOLD",IF(AND(G2161&lt;&gt;"IN",Data!E2162&lt;-5),"BUY",IF(AND(G2161="IN",Data!E2162&gt;0),"SELL","HOLD")))</f>
        <v>HOLD</v>
      </c>
      <c r="D2162" s="14" t="str">
        <f aca="false">IF(C2162="BUY",B2162,IF(G2161="IN",D2161,""))</f>
        <v/>
      </c>
      <c r="E2162" s="14" t="str">
        <f aca="false">IF(C2162="SELL",B2162,"")</f>
        <v/>
      </c>
      <c r="F2162" s="14" t="str">
        <f aca="false">IF(E2162="","",(E2162-D2162)/D2162*100)</f>
        <v/>
      </c>
      <c r="G2162" s="0" t="str">
        <f aca="false">IF(C2162="BUY","IN",IF(C2162="SELL","OUT",IF(G2161="IN","IN","OUT")))</f>
        <v>OUT</v>
      </c>
      <c r="H2162" s="14" t="n">
        <f aca="false">H2161+IF(F2162="",0,F2162)</f>
        <v>13.63357265725</v>
      </c>
      <c r="I2162" s="14" t="n">
        <f aca="false">MAX(I2161,H2162)</f>
        <v>43.9309628600509</v>
      </c>
      <c r="J2162" s="14" t="n">
        <f aca="false">I2162-H2162</f>
        <v>30.2973902028009</v>
      </c>
    </row>
    <row r="2163" customFormat="false" ht="15" hidden="false" customHeight="false" outlineLevel="0" collapsed="false">
      <c r="A2163" s="12" t="n">
        <f aca="false">Data!A2163</f>
        <v>45146</v>
      </c>
      <c r="B2163" s="14" t="n">
        <f aca="false">Data!B2163</f>
        <v>82.92</v>
      </c>
      <c r="C2163" s="0" t="str">
        <f aca="false">IF(Data!D2163="","HOLD",IF(AND(G2162&lt;&gt;"IN",Data!E2163&lt;-5),"BUY",IF(AND(G2162="IN",Data!E2163&gt;0),"SELL","HOLD")))</f>
        <v>HOLD</v>
      </c>
      <c r="D2163" s="14" t="str">
        <f aca="false">IF(C2163="BUY",B2163,IF(G2162="IN",D2162,""))</f>
        <v/>
      </c>
      <c r="E2163" s="14" t="str">
        <f aca="false">IF(C2163="SELL",B2163,"")</f>
        <v/>
      </c>
      <c r="F2163" s="14" t="str">
        <f aca="false">IF(E2163="","",(E2163-D2163)/D2163*100)</f>
        <v/>
      </c>
      <c r="G2163" s="0" t="str">
        <f aca="false">IF(C2163="BUY","IN",IF(C2163="SELL","OUT",IF(G2162="IN","IN","OUT")))</f>
        <v>OUT</v>
      </c>
      <c r="H2163" s="14" t="n">
        <f aca="false">H2162+IF(F2163="",0,F2163)</f>
        <v>13.63357265725</v>
      </c>
      <c r="I2163" s="14" t="n">
        <f aca="false">MAX(I2162,H2163)</f>
        <v>43.9309628600509</v>
      </c>
      <c r="J2163" s="14" t="n">
        <f aca="false">I2163-H2163</f>
        <v>30.2973902028009</v>
      </c>
    </row>
    <row r="2164" customFormat="false" ht="15" hidden="false" customHeight="false" outlineLevel="0" collapsed="false">
      <c r="A2164" s="12" t="n">
        <f aca="false">Data!A2164</f>
        <v>45147</v>
      </c>
      <c r="B2164" s="14" t="n">
        <f aca="false">Data!B2164</f>
        <v>84.4</v>
      </c>
      <c r="C2164" s="0" t="str">
        <f aca="false">IF(Data!D2164="","HOLD",IF(AND(G2163&lt;&gt;"IN",Data!E2164&lt;-5),"BUY",IF(AND(G2163="IN",Data!E2164&gt;0),"SELL","HOLD")))</f>
        <v>HOLD</v>
      </c>
      <c r="D2164" s="14" t="str">
        <f aca="false">IF(C2164="BUY",B2164,IF(G2163="IN",D2163,""))</f>
        <v/>
      </c>
      <c r="E2164" s="14" t="str">
        <f aca="false">IF(C2164="SELL",B2164,"")</f>
        <v/>
      </c>
      <c r="F2164" s="14" t="str">
        <f aca="false">IF(E2164="","",(E2164-D2164)/D2164*100)</f>
        <v/>
      </c>
      <c r="G2164" s="0" t="str">
        <f aca="false">IF(C2164="BUY","IN",IF(C2164="SELL","OUT",IF(G2163="IN","IN","OUT")))</f>
        <v>OUT</v>
      </c>
      <c r="H2164" s="14" t="n">
        <f aca="false">H2163+IF(F2164="",0,F2164)</f>
        <v>13.63357265725</v>
      </c>
      <c r="I2164" s="14" t="n">
        <f aca="false">MAX(I2163,H2164)</f>
        <v>43.9309628600509</v>
      </c>
      <c r="J2164" s="14" t="n">
        <f aca="false">I2164-H2164</f>
        <v>30.2973902028009</v>
      </c>
    </row>
    <row r="2165" customFormat="false" ht="15" hidden="false" customHeight="false" outlineLevel="0" collapsed="false">
      <c r="A2165" s="12" t="n">
        <f aca="false">Data!A2165</f>
        <v>45148</v>
      </c>
      <c r="B2165" s="14" t="n">
        <f aca="false">Data!B2165</f>
        <v>82.82</v>
      </c>
      <c r="C2165" s="0" t="str">
        <f aca="false">IF(Data!D2165="","HOLD",IF(AND(G2164&lt;&gt;"IN",Data!E2165&lt;-5),"BUY",IF(AND(G2164="IN",Data!E2165&gt;0),"SELL","HOLD")))</f>
        <v>HOLD</v>
      </c>
      <c r="D2165" s="14" t="str">
        <f aca="false">IF(C2165="BUY",B2165,IF(G2164="IN",D2164,""))</f>
        <v/>
      </c>
      <c r="E2165" s="14" t="str">
        <f aca="false">IF(C2165="SELL",B2165,"")</f>
        <v/>
      </c>
      <c r="F2165" s="14" t="str">
        <f aca="false">IF(E2165="","",(E2165-D2165)/D2165*100)</f>
        <v/>
      </c>
      <c r="G2165" s="0" t="str">
        <f aca="false">IF(C2165="BUY","IN",IF(C2165="SELL","OUT",IF(G2164="IN","IN","OUT")))</f>
        <v>OUT</v>
      </c>
      <c r="H2165" s="14" t="n">
        <f aca="false">H2164+IF(F2165="",0,F2165)</f>
        <v>13.63357265725</v>
      </c>
      <c r="I2165" s="14" t="n">
        <f aca="false">MAX(I2164,H2165)</f>
        <v>43.9309628600509</v>
      </c>
      <c r="J2165" s="14" t="n">
        <f aca="false">I2165-H2165</f>
        <v>30.2973902028009</v>
      </c>
    </row>
    <row r="2166" customFormat="false" ht="15" hidden="false" customHeight="false" outlineLevel="0" collapsed="false">
      <c r="A2166" s="12" t="n">
        <f aca="false">Data!A2166</f>
        <v>45149</v>
      </c>
      <c r="B2166" s="14" t="n">
        <f aca="false">Data!B2166</f>
        <v>83.19</v>
      </c>
      <c r="C2166" s="0" t="str">
        <f aca="false">IF(Data!D2166="","HOLD",IF(AND(G2165&lt;&gt;"IN",Data!E2166&lt;-5),"BUY",IF(AND(G2165="IN",Data!E2166&gt;0),"SELL","HOLD")))</f>
        <v>HOLD</v>
      </c>
      <c r="D2166" s="14" t="str">
        <f aca="false">IF(C2166="BUY",B2166,IF(G2165="IN",D2165,""))</f>
        <v/>
      </c>
      <c r="E2166" s="14" t="str">
        <f aca="false">IF(C2166="SELL",B2166,"")</f>
        <v/>
      </c>
      <c r="F2166" s="14" t="str">
        <f aca="false">IF(E2166="","",(E2166-D2166)/D2166*100)</f>
        <v/>
      </c>
      <c r="G2166" s="0" t="str">
        <f aca="false">IF(C2166="BUY","IN",IF(C2166="SELL","OUT",IF(G2165="IN","IN","OUT")))</f>
        <v>OUT</v>
      </c>
      <c r="H2166" s="14" t="n">
        <f aca="false">H2165+IF(F2166="",0,F2166)</f>
        <v>13.63357265725</v>
      </c>
      <c r="I2166" s="14" t="n">
        <f aca="false">MAX(I2165,H2166)</f>
        <v>43.9309628600509</v>
      </c>
      <c r="J2166" s="14" t="n">
        <f aca="false">I2166-H2166</f>
        <v>30.2973902028009</v>
      </c>
    </row>
    <row r="2167" customFormat="false" ht="15" hidden="false" customHeight="false" outlineLevel="0" collapsed="false">
      <c r="A2167" s="12" t="n">
        <f aca="false">Data!A2167</f>
        <v>45152</v>
      </c>
      <c r="B2167" s="14" t="n">
        <f aca="false">Data!B2167</f>
        <v>82.51</v>
      </c>
      <c r="C2167" s="0" t="str">
        <f aca="false">IF(Data!D2167="","HOLD",IF(AND(G2166&lt;&gt;"IN",Data!E2167&lt;-5),"BUY",IF(AND(G2166="IN",Data!E2167&gt;0),"SELL","HOLD")))</f>
        <v>HOLD</v>
      </c>
      <c r="D2167" s="14" t="str">
        <f aca="false">IF(C2167="BUY",B2167,IF(G2166="IN",D2166,""))</f>
        <v/>
      </c>
      <c r="E2167" s="14" t="str">
        <f aca="false">IF(C2167="SELL",B2167,"")</f>
        <v/>
      </c>
      <c r="F2167" s="14" t="str">
        <f aca="false">IF(E2167="","",(E2167-D2167)/D2167*100)</f>
        <v/>
      </c>
      <c r="G2167" s="0" t="str">
        <f aca="false">IF(C2167="BUY","IN",IF(C2167="SELL","OUT",IF(G2166="IN","IN","OUT")))</f>
        <v>OUT</v>
      </c>
      <c r="H2167" s="14" t="n">
        <f aca="false">H2166+IF(F2167="",0,F2167)</f>
        <v>13.63357265725</v>
      </c>
      <c r="I2167" s="14" t="n">
        <f aca="false">MAX(I2166,H2167)</f>
        <v>43.9309628600509</v>
      </c>
      <c r="J2167" s="14" t="n">
        <f aca="false">I2167-H2167</f>
        <v>30.2973902028009</v>
      </c>
    </row>
    <row r="2168" customFormat="false" ht="15" hidden="false" customHeight="false" outlineLevel="0" collapsed="false">
      <c r="A2168" s="12" t="n">
        <f aca="false">Data!A2168</f>
        <v>45153</v>
      </c>
      <c r="B2168" s="14" t="n">
        <f aca="false">Data!B2168</f>
        <v>80.99</v>
      </c>
      <c r="C2168" s="0" t="str">
        <f aca="false">IF(Data!D2168="","HOLD",IF(AND(G2167&lt;&gt;"IN",Data!E2168&lt;-5),"BUY",IF(AND(G2167="IN",Data!E2168&gt;0),"SELL","HOLD")))</f>
        <v>HOLD</v>
      </c>
      <c r="D2168" s="14" t="str">
        <f aca="false">IF(C2168="BUY",B2168,IF(G2167="IN",D2167,""))</f>
        <v/>
      </c>
      <c r="E2168" s="14" t="str">
        <f aca="false">IF(C2168="SELL",B2168,"")</f>
        <v/>
      </c>
      <c r="F2168" s="14" t="str">
        <f aca="false">IF(E2168="","",(E2168-D2168)/D2168*100)</f>
        <v/>
      </c>
      <c r="G2168" s="0" t="str">
        <f aca="false">IF(C2168="BUY","IN",IF(C2168="SELL","OUT",IF(G2167="IN","IN","OUT")))</f>
        <v>OUT</v>
      </c>
      <c r="H2168" s="14" t="n">
        <f aca="false">H2167+IF(F2168="",0,F2168)</f>
        <v>13.63357265725</v>
      </c>
      <c r="I2168" s="14" t="n">
        <f aca="false">MAX(I2167,H2168)</f>
        <v>43.9309628600509</v>
      </c>
      <c r="J2168" s="14" t="n">
        <f aca="false">I2168-H2168</f>
        <v>30.2973902028009</v>
      </c>
    </row>
    <row r="2169" customFormat="false" ht="15" hidden="false" customHeight="false" outlineLevel="0" collapsed="false">
      <c r="A2169" s="12" t="n">
        <f aca="false">Data!A2169</f>
        <v>45154</v>
      </c>
      <c r="B2169" s="14" t="n">
        <f aca="false">Data!B2169</f>
        <v>79.38</v>
      </c>
      <c r="C2169" s="0" t="str">
        <f aca="false">IF(Data!D2169="","HOLD",IF(AND(G2168&lt;&gt;"IN",Data!E2169&lt;-5),"BUY",IF(AND(G2168="IN",Data!E2169&gt;0),"SELL","HOLD")))</f>
        <v>HOLD</v>
      </c>
      <c r="D2169" s="14" t="str">
        <f aca="false">IF(C2169="BUY",B2169,IF(G2168="IN",D2168,""))</f>
        <v/>
      </c>
      <c r="E2169" s="14" t="str">
        <f aca="false">IF(C2169="SELL",B2169,"")</f>
        <v/>
      </c>
      <c r="F2169" s="14" t="str">
        <f aca="false">IF(E2169="","",(E2169-D2169)/D2169*100)</f>
        <v/>
      </c>
      <c r="G2169" s="0" t="str">
        <f aca="false">IF(C2169="BUY","IN",IF(C2169="SELL","OUT",IF(G2168="IN","IN","OUT")))</f>
        <v>OUT</v>
      </c>
      <c r="H2169" s="14" t="n">
        <f aca="false">H2168+IF(F2169="",0,F2169)</f>
        <v>13.63357265725</v>
      </c>
      <c r="I2169" s="14" t="n">
        <f aca="false">MAX(I2168,H2169)</f>
        <v>43.9309628600509</v>
      </c>
      <c r="J2169" s="14" t="n">
        <f aca="false">I2169-H2169</f>
        <v>30.2973902028009</v>
      </c>
    </row>
    <row r="2170" customFormat="false" ht="15" hidden="false" customHeight="false" outlineLevel="0" collapsed="false">
      <c r="A2170" s="12" t="n">
        <f aca="false">Data!A2170</f>
        <v>45155</v>
      </c>
      <c r="B2170" s="14" t="n">
        <f aca="false">Data!B2170</f>
        <v>80.39</v>
      </c>
      <c r="C2170" s="0" t="str">
        <f aca="false">IF(Data!D2170="","HOLD",IF(AND(G2169&lt;&gt;"IN",Data!E2170&lt;-5),"BUY",IF(AND(G2169="IN",Data!E2170&gt;0),"SELL","HOLD")))</f>
        <v>HOLD</v>
      </c>
      <c r="D2170" s="14" t="str">
        <f aca="false">IF(C2170="BUY",B2170,IF(G2169="IN",D2169,""))</f>
        <v/>
      </c>
      <c r="E2170" s="14" t="str">
        <f aca="false">IF(C2170="SELL",B2170,"")</f>
        <v/>
      </c>
      <c r="F2170" s="14" t="str">
        <f aca="false">IF(E2170="","",(E2170-D2170)/D2170*100)</f>
        <v/>
      </c>
      <c r="G2170" s="0" t="str">
        <f aca="false">IF(C2170="BUY","IN",IF(C2170="SELL","OUT",IF(G2169="IN","IN","OUT")))</f>
        <v>OUT</v>
      </c>
      <c r="H2170" s="14" t="n">
        <f aca="false">H2169+IF(F2170="",0,F2170)</f>
        <v>13.63357265725</v>
      </c>
      <c r="I2170" s="14" t="n">
        <f aca="false">MAX(I2169,H2170)</f>
        <v>43.9309628600509</v>
      </c>
      <c r="J2170" s="14" t="n">
        <f aca="false">I2170-H2170</f>
        <v>30.2973902028009</v>
      </c>
    </row>
    <row r="2171" customFormat="false" ht="15" hidden="false" customHeight="false" outlineLevel="0" collapsed="false">
      <c r="A2171" s="12" t="n">
        <f aca="false">Data!A2171</f>
        <v>45156</v>
      </c>
      <c r="B2171" s="14" t="n">
        <f aca="false">Data!B2171</f>
        <v>81.25</v>
      </c>
      <c r="C2171" s="0" t="str">
        <f aca="false">IF(Data!D2171="","HOLD",IF(AND(G2170&lt;&gt;"IN",Data!E2171&lt;-5),"BUY",IF(AND(G2170="IN",Data!E2171&gt;0),"SELL","HOLD")))</f>
        <v>HOLD</v>
      </c>
      <c r="D2171" s="14" t="str">
        <f aca="false">IF(C2171="BUY",B2171,IF(G2170="IN",D2170,""))</f>
        <v/>
      </c>
      <c r="E2171" s="14" t="str">
        <f aca="false">IF(C2171="SELL",B2171,"")</f>
        <v/>
      </c>
      <c r="F2171" s="14" t="str">
        <f aca="false">IF(E2171="","",(E2171-D2171)/D2171*100)</f>
        <v/>
      </c>
      <c r="G2171" s="0" t="str">
        <f aca="false">IF(C2171="BUY","IN",IF(C2171="SELL","OUT",IF(G2170="IN","IN","OUT")))</f>
        <v>OUT</v>
      </c>
      <c r="H2171" s="14" t="n">
        <f aca="false">H2170+IF(F2171="",0,F2171)</f>
        <v>13.63357265725</v>
      </c>
      <c r="I2171" s="14" t="n">
        <f aca="false">MAX(I2170,H2171)</f>
        <v>43.9309628600509</v>
      </c>
      <c r="J2171" s="14" t="n">
        <f aca="false">I2171-H2171</f>
        <v>30.2973902028009</v>
      </c>
    </row>
    <row r="2172" customFormat="false" ht="15" hidden="false" customHeight="false" outlineLevel="0" collapsed="false">
      <c r="A2172" s="12" t="n">
        <f aca="false">Data!A2172</f>
        <v>45159</v>
      </c>
      <c r="B2172" s="14" t="n">
        <f aca="false">Data!B2172</f>
        <v>80.72</v>
      </c>
      <c r="C2172" s="0" t="str">
        <f aca="false">IF(Data!D2172="","HOLD",IF(AND(G2171&lt;&gt;"IN",Data!E2172&lt;-5),"BUY",IF(AND(G2171="IN",Data!E2172&gt;0),"SELL","HOLD")))</f>
        <v>HOLD</v>
      </c>
      <c r="D2172" s="14" t="str">
        <f aca="false">IF(C2172="BUY",B2172,IF(G2171="IN",D2171,""))</f>
        <v/>
      </c>
      <c r="E2172" s="14" t="str">
        <f aca="false">IF(C2172="SELL",B2172,"")</f>
        <v/>
      </c>
      <c r="F2172" s="14" t="str">
        <f aca="false">IF(E2172="","",(E2172-D2172)/D2172*100)</f>
        <v/>
      </c>
      <c r="G2172" s="0" t="str">
        <f aca="false">IF(C2172="BUY","IN",IF(C2172="SELL","OUT",IF(G2171="IN","IN","OUT")))</f>
        <v>OUT</v>
      </c>
      <c r="H2172" s="14" t="n">
        <f aca="false">H2171+IF(F2172="",0,F2172)</f>
        <v>13.63357265725</v>
      </c>
      <c r="I2172" s="14" t="n">
        <f aca="false">MAX(I2171,H2172)</f>
        <v>43.9309628600509</v>
      </c>
      <c r="J2172" s="14" t="n">
        <f aca="false">I2172-H2172</f>
        <v>30.2973902028009</v>
      </c>
    </row>
    <row r="2173" customFormat="false" ht="15" hidden="false" customHeight="false" outlineLevel="0" collapsed="false">
      <c r="A2173" s="12" t="n">
        <f aca="false">Data!A2173</f>
        <v>45160</v>
      </c>
      <c r="B2173" s="14" t="n">
        <f aca="false">Data!B2173</f>
        <v>80.35</v>
      </c>
      <c r="C2173" s="0" t="str">
        <f aca="false">IF(Data!D2173="","HOLD",IF(AND(G2172&lt;&gt;"IN",Data!E2173&lt;-5),"BUY",IF(AND(G2172="IN",Data!E2173&gt;0),"SELL","HOLD")))</f>
        <v>HOLD</v>
      </c>
      <c r="D2173" s="14" t="str">
        <f aca="false">IF(C2173="BUY",B2173,IF(G2172="IN",D2172,""))</f>
        <v/>
      </c>
      <c r="E2173" s="14" t="str">
        <f aca="false">IF(C2173="SELL",B2173,"")</f>
        <v/>
      </c>
      <c r="F2173" s="14" t="str">
        <f aca="false">IF(E2173="","",(E2173-D2173)/D2173*100)</f>
        <v/>
      </c>
      <c r="G2173" s="0" t="str">
        <f aca="false">IF(C2173="BUY","IN",IF(C2173="SELL","OUT",IF(G2172="IN","IN","OUT")))</f>
        <v>OUT</v>
      </c>
      <c r="H2173" s="14" t="n">
        <f aca="false">H2172+IF(F2173="",0,F2173)</f>
        <v>13.63357265725</v>
      </c>
      <c r="I2173" s="14" t="n">
        <f aca="false">MAX(I2172,H2173)</f>
        <v>43.9309628600509</v>
      </c>
      <c r="J2173" s="14" t="n">
        <f aca="false">I2173-H2173</f>
        <v>30.2973902028009</v>
      </c>
    </row>
    <row r="2174" customFormat="false" ht="15" hidden="false" customHeight="false" outlineLevel="0" collapsed="false">
      <c r="A2174" s="12" t="n">
        <f aca="false">Data!A2174</f>
        <v>45161</v>
      </c>
      <c r="B2174" s="14" t="n">
        <f aca="false">Data!B2174</f>
        <v>78.89</v>
      </c>
      <c r="C2174" s="0" t="str">
        <f aca="false">IF(Data!D2174="","HOLD",IF(AND(G2173&lt;&gt;"IN",Data!E2174&lt;-5),"BUY",IF(AND(G2173="IN",Data!E2174&gt;0),"SELL","HOLD")))</f>
        <v>HOLD</v>
      </c>
      <c r="D2174" s="14" t="str">
        <f aca="false">IF(C2174="BUY",B2174,IF(G2173="IN",D2173,""))</f>
        <v/>
      </c>
      <c r="E2174" s="14" t="str">
        <f aca="false">IF(C2174="SELL",B2174,"")</f>
        <v/>
      </c>
      <c r="F2174" s="14" t="str">
        <f aca="false">IF(E2174="","",(E2174-D2174)/D2174*100)</f>
        <v/>
      </c>
      <c r="G2174" s="0" t="str">
        <f aca="false">IF(C2174="BUY","IN",IF(C2174="SELL","OUT",IF(G2173="IN","IN","OUT")))</f>
        <v>OUT</v>
      </c>
      <c r="H2174" s="14" t="n">
        <f aca="false">H2173+IF(F2174="",0,F2174)</f>
        <v>13.63357265725</v>
      </c>
      <c r="I2174" s="14" t="n">
        <f aca="false">MAX(I2173,H2174)</f>
        <v>43.9309628600509</v>
      </c>
      <c r="J2174" s="14" t="n">
        <f aca="false">I2174-H2174</f>
        <v>30.2973902028009</v>
      </c>
    </row>
    <row r="2175" customFormat="false" ht="15" hidden="false" customHeight="false" outlineLevel="0" collapsed="false">
      <c r="A2175" s="12" t="n">
        <f aca="false">Data!A2175</f>
        <v>45162</v>
      </c>
      <c r="B2175" s="14" t="n">
        <f aca="false">Data!B2175</f>
        <v>79.05</v>
      </c>
      <c r="C2175" s="0" t="str">
        <f aca="false">IF(Data!D2175="","HOLD",IF(AND(G2174&lt;&gt;"IN",Data!E2175&lt;-5),"BUY",IF(AND(G2174="IN",Data!E2175&gt;0),"SELL","HOLD")))</f>
        <v>HOLD</v>
      </c>
      <c r="D2175" s="14" t="str">
        <f aca="false">IF(C2175="BUY",B2175,IF(G2174="IN",D2174,""))</f>
        <v/>
      </c>
      <c r="E2175" s="14" t="str">
        <f aca="false">IF(C2175="SELL",B2175,"")</f>
        <v/>
      </c>
      <c r="F2175" s="14" t="str">
        <f aca="false">IF(E2175="","",(E2175-D2175)/D2175*100)</f>
        <v/>
      </c>
      <c r="G2175" s="0" t="str">
        <f aca="false">IF(C2175="BUY","IN",IF(C2175="SELL","OUT",IF(G2174="IN","IN","OUT")))</f>
        <v>OUT</v>
      </c>
      <c r="H2175" s="14" t="n">
        <f aca="false">H2174+IF(F2175="",0,F2175)</f>
        <v>13.63357265725</v>
      </c>
      <c r="I2175" s="14" t="n">
        <f aca="false">MAX(I2174,H2175)</f>
        <v>43.9309628600509</v>
      </c>
      <c r="J2175" s="14" t="n">
        <f aca="false">I2175-H2175</f>
        <v>30.2973902028009</v>
      </c>
    </row>
    <row r="2176" customFormat="false" ht="15" hidden="false" customHeight="false" outlineLevel="0" collapsed="false">
      <c r="A2176" s="12" t="n">
        <f aca="false">Data!A2176</f>
        <v>45163</v>
      </c>
      <c r="B2176" s="14" t="n">
        <f aca="false">Data!B2176</f>
        <v>79.83</v>
      </c>
      <c r="C2176" s="0" t="str">
        <f aca="false">IF(Data!D2176="","HOLD",IF(AND(G2175&lt;&gt;"IN",Data!E2176&lt;-5),"BUY",IF(AND(G2175="IN",Data!E2176&gt;0),"SELL","HOLD")))</f>
        <v>HOLD</v>
      </c>
      <c r="D2176" s="14" t="str">
        <f aca="false">IF(C2176="BUY",B2176,IF(G2175="IN",D2175,""))</f>
        <v/>
      </c>
      <c r="E2176" s="14" t="str">
        <f aca="false">IF(C2176="SELL",B2176,"")</f>
        <v/>
      </c>
      <c r="F2176" s="14" t="str">
        <f aca="false">IF(E2176="","",(E2176-D2176)/D2176*100)</f>
        <v/>
      </c>
      <c r="G2176" s="0" t="str">
        <f aca="false">IF(C2176="BUY","IN",IF(C2176="SELL","OUT",IF(G2175="IN","IN","OUT")))</f>
        <v>OUT</v>
      </c>
      <c r="H2176" s="14" t="n">
        <f aca="false">H2175+IF(F2176="",0,F2176)</f>
        <v>13.63357265725</v>
      </c>
      <c r="I2176" s="14" t="n">
        <f aca="false">MAX(I2175,H2176)</f>
        <v>43.9309628600509</v>
      </c>
      <c r="J2176" s="14" t="n">
        <f aca="false">I2176-H2176</f>
        <v>30.2973902028009</v>
      </c>
    </row>
    <row r="2177" customFormat="false" ht="15" hidden="false" customHeight="false" outlineLevel="0" collapsed="false">
      <c r="A2177" s="12" t="n">
        <f aca="false">Data!A2177</f>
        <v>45166</v>
      </c>
      <c r="B2177" s="14" t="n">
        <f aca="false">Data!B2177</f>
        <v>80.1</v>
      </c>
      <c r="C2177" s="0" t="str">
        <f aca="false">IF(Data!D2177="","HOLD",IF(AND(G2176&lt;&gt;"IN",Data!E2177&lt;-5),"BUY",IF(AND(G2176="IN",Data!E2177&gt;0),"SELL","HOLD")))</f>
        <v>HOLD</v>
      </c>
      <c r="D2177" s="14" t="str">
        <f aca="false">IF(C2177="BUY",B2177,IF(G2176="IN",D2176,""))</f>
        <v/>
      </c>
      <c r="E2177" s="14" t="str">
        <f aca="false">IF(C2177="SELL",B2177,"")</f>
        <v/>
      </c>
      <c r="F2177" s="14" t="str">
        <f aca="false">IF(E2177="","",(E2177-D2177)/D2177*100)</f>
        <v/>
      </c>
      <c r="G2177" s="0" t="str">
        <f aca="false">IF(C2177="BUY","IN",IF(C2177="SELL","OUT",IF(G2176="IN","IN","OUT")))</f>
        <v>OUT</v>
      </c>
      <c r="H2177" s="14" t="n">
        <f aca="false">H2176+IF(F2177="",0,F2177)</f>
        <v>13.63357265725</v>
      </c>
      <c r="I2177" s="14" t="n">
        <f aca="false">MAX(I2176,H2177)</f>
        <v>43.9309628600509</v>
      </c>
      <c r="J2177" s="14" t="n">
        <f aca="false">I2177-H2177</f>
        <v>30.2973902028009</v>
      </c>
    </row>
    <row r="2178" customFormat="false" ht="15" hidden="false" customHeight="false" outlineLevel="0" collapsed="false">
      <c r="A2178" s="12" t="n">
        <f aca="false">Data!A2178</f>
        <v>45167</v>
      </c>
      <c r="B2178" s="14" t="n">
        <f aca="false">Data!B2178</f>
        <v>81.16</v>
      </c>
      <c r="C2178" s="0" t="str">
        <f aca="false">IF(Data!D2178="","HOLD",IF(AND(G2177&lt;&gt;"IN",Data!E2178&lt;-5),"BUY",IF(AND(G2177="IN",Data!E2178&gt;0),"SELL","HOLD")))</f>
        <v>HOLD</v>
      </c>
      <c r="D2178" s="14" t="str">
        <f aca="false">IF(C2178="BUY",B2178,IF(G2177="IN",D2177,""))</f>
        <v/>
      </c>
      <c r="E2178" s="14" t="str">
        <f aca="false">IF(C2178="SELL",B2178,"")</f>
        <v/>
      </c>
      <c r="F2178" s="14" t="str">
        <f aca="false">IF(E2178="","",(E2178-D2178)/D2178*100)</f>
        <v/>
      </c>
      <c r="G2178" s="0" t="str">
        <f aca="false">IF(C2178="BUY","IN",IF(C2178="SELL","OUT",IF(G2177="IN","IN","OUT")))</f>
        <v>OUT</v>
      </c>
      <c r="H2178" s="14" t="n">
        <f aca="false">H2177+IF(F2178="",0,F2178)</f>
        <v>13.63357265725</v>
      </c>
      <c r="I2178" s="14" t="n">
        <f aca="false">MAX(I2177,H2178)</f>
        <v>43.9309628600509</v>
      </c>
      <c r="J2178" s="14" t="n">
        <f aca="false">I2178-H2178</f>
        <v>30.2973902028009</v>
      </c>
    </row>
    <row r="2179" customFormat="false" ht="15" hidden="false" customHeight="false" outlineLevel="0" collapsed="false">
      <c r="A2179" s="12" t="n">
        <f aca="false">Data!A2179</f>
        <v>45168</v>
      </c>
      <c r="B2179" s="14" t="n">
        <f aca="false">Data!B2179</f>
        <v>81.63</v>
      </c>
      <c r="C2179" s="0" t="str">
        <f aca="false">IF(Data!D2179="","HOLD",IF(AND(G2178&lt;&gt;"IN",Data!E2179&lt;-5),"BUY",IF(AND(G2178="IN",Data!E2179&gt;0),"SELL","HOLD")))</f>
        <v>HOLD</v>
      </c>
      <c r="D2179" s="14" t="str">
        <f aca="false">IF(C2179="BUY",B2179,IF(G2178="IN",D2178,""))</f>
        <v/>
      </c>
      <c r="E2179" s="14" t="str">
        <f aca="false">IF(C2179="SELL",B2179,"")</f>
        <v/>
      </c>
      <c r="F2179" s="14" t="str">
        <f aca="false">IF(E2179="","",(E2179-D2179)/D2179*100)</f>
        <v/>
      </c>
      <c r="G2179" s="0" t="str">
        <f aca="false">IF(C2179="BUY","IN",IF(C2179="SELL","OUT",IF(G2178="IN","IN","OUT")))</f>
        <v>OUT</v>
      </c>
      <c r="H2179" s="14" t="n">
        <f aca="false">H2178+IF(F2179="",0,F2179)</f>
        <v>13.63357265725</v>
      </c>
      <c r="I2179" s="14" t="n">
        <f aca="false">MAX(I2178,H2179)</f>
        <v>43.9309628600509</v>
      </c>
      <c r="J2179" s="14" t="n">
        <f aca="false">I2179-H2179</f>
        <v>30.2973902028009</v>
      </c>
    </row>
    <row r="2180" customFormat="false" ht="15" hidden="false" customHeight="false" outlineLevel="0" collapsed="false">
      <c r="A2180" s="12" t="n">
        <f aca="false">Data!A2180</f>
        <v>45169</v>
      </c>
      <c r="B2180" s="14" t="n">
        <f aca="false">Data!B2180</f>
        <v>83.63</v>
      </c>
      <c r="C2180" s="0" t="str">
        <f aca="false">IF(Data!D2180="","HOLD",IF(AND(G2179&lt;&gt;"IN",Data!E2180&lt;-5),"BUY",IF(AND(G2179="IN",Data!E2180&gt;0),"SELL","HOLD")))</f>
        <v>HOLD</v>
      </c>
      <c r="D2180" s="14" t="str">
        <f aca="false">IF(C2180="BUY",B2180,IF(G2179="IN",D2179,""))</f>
        <v/>
      </c>
      <c r="E2180" s="14" t="str">
        <f aca="false">IF(C2180="SELL",B2180,"")</f>
        <v/>
      </c>
      <c r="F2180" s="14" t="str">
        <f aca="false">IF(E2180="","",(E2180-D2180)/D2180*100)</f>
        <v/>
      </c>
      <c r="G2180" s="0" t="str">
        <f aca="false">IF(C2180="BUY","IN",IF(C2180="SELL","OUT",IF(G2179="IN","IN","OUT")))</f>
        <v>OUT</v>
      </c>
      <c r="H2180" s="14" t="n">
        <f aca="false">H2179+IF(F2180="",0,F2180)</f>
        <v>13.63357265725</v>
      </c>
      <c r="I2180" s="14" t="n">
        <f aca="false">MAX(I2179,H2180)</f>
        <v>43.9309628600509</v>
      </c>
      <c r="J2180" s="14" t="n">
        <f aca="false">I2180-H2180</f>
        <v>30.2973902028009</v>
      </c>
    </row>
    <row r="2181" customFormat="false" ht="15" hidden="false" customHeight="false" outlineLevel="0" collapsed="false">
      <c r="A2181" s="12" t="n">
        <f aca="false">Data!A2181</f>
        <v>45170</v>
      </c>
      <c r="B2181" s="14" t="n">
        <f aca="false">Data!B2181</f>
        <v>85.55</v>
      </c>
      <c r="C2181" s="0" t="str">
        <f aca="false">IF(Data!D2181="","HOLD",IF(AND(G2180&lt;&gt;"IN",Data!E2181&lt;-5),"BUY",IF(AND(G2180="IN",Data!E2181&gt;0),"SELL","HOLD")))</f>
        <v>HOLD</v>
      </c>
      <c r="D2181" s="14" t="str">
        <f aca="false">IF(C2181="BUY",B2181,IF(G2180="IN",D2180,""))</f>
        <v/>
      </c>
      <c r="E2181" s="14" t="str">
        <f aca="false">IF(C2181="SELL",B2181,"")</f>
        <v/>
      </c>
      <c r="F2181" s="14" t="str">
        <f aca="false">IF(E2181="","",(E2181-D2181)/D2181*100)</f>
        <v/>
      </c>
      <c r="G2181" s="0" t="str">
        <f aca="false">IF(C2181="BUY","IN",IF(C2181="SELL","OUT",IF(G2180="IN","IN","OUT")))</f>
        <v>OUT</v>
      </c>
      <c r="H2181" s="14" t="n">
        <f aca="false">H2180+IF(F2181="",0,F2181)</f>
        <v>13.63357265725</v>
      </c>
      <c r="I2181" s="14" t="n">
        <f aca="false">MAX(I2180,H2181)</f>
        <v>43.9309628600509</v>
      </c>
      <c r="J2181" s="14" t="n">
        <f aca="false">I2181-H2181</f>
        <v>30.2973902028009</v>
      </c>
    </row>
    <row r="2182" customFormat="false" ht="15" hidden="false" customHeight="false" outlineLevel="0" collapsed="false">
      <c r="A2182" s="12" t="n">
        <f aca="false">Data!A2182</f>
        <v>45174</v>
      </c>
      <c r="B2182" s="14" t="n">
        <f aca="false">Data!B2182</f>
        <v>86.69</v>
      </c>
      <c r="C2182" s="0" t="str">
        <f aca="false">IF(Data!D2182="","HOLD",IF(AND(G2181&lt;&gt;"IN",Data!E2182&lt;-5),"BUY",IF(AND(G2181="IN",Data!E2182&gt;0),"SELL","HOLD")))</f>
        <v>HOLD</v>
      </c>
      <c r="D2182" s="14" t="str">
        <f aca="false">IF(C2182="BUY",B2182,IF(G2181="IN",D2181,""))</f>
        <v/>
      </c>
      <c r="E2182" s="14" t="str">
        <f aca="false">IF(C2182="SELL",B2182,"")</f>
        <v/>
      </c>
      <c r="F2182" s="14" t="str">
        <f aca="false">IF(E2182="","",(E2182-D2182)/D2182*100)</f>
        <v/>
      </c>
      <c r="G2182" s="0" t="str">
        <f aca="false">IF(C2182="BUY","IN",IF(C2182="SELL","OUT",IF(G2181="IN","IN","OUT")))</f>
        <v>OUT</v>
      </c>
      <c r="H2182" s="14" t="n">
        <f aca="false">H2181+IF(F2182="",0,F2182)</f>
        <v>13.63357265725</v>
      </c>
      <c r="I2182" s="14" t="n">
        <f aca="false">MAX(I2181,H2182)</f>
        <v>43.9309628600509</v>
      </c>
      <c r="J2182" s="14" t="n">
        <f aca="false">I2182-H2182</f>
        <v>30.2973902028009</v>
      </c>
    </row>
    <row r="2183" customFormat="false" ht="15" hidden="false" customHeight="false" outlineLevel="0" collapsed="false">
      <c r="A2183" s="12" t="n">
        <f aca="false">Data!A2183</f>
        <v>45175</v>
      </c>
      <c r="B2183" s="14" t="n">
        <f aca="false">Data!B2183</f>
        <v>87.54</v>
      </c>
      <c r="C2183" s="0" t="str">
        <f aca="false">IF(Data!D2183="","HOLD",IF(AND(G2182&lt;&gt;"IN",Data!E2183&lt;-5),"BUY",IF(AND(G2182="IN",Data!E2183&gt;0),"SELL","HOLD")))</f>
        <v>HOLD</v>
      </c>
      <c r="D2183" s="14" t="str">
        <f aca="false">IF(C2183="BUY",B2183,IF(G2182="IN",D2182,""))</f>
        <v/>
      </c>
      <c r="E2183" s="14" t="str">
        <f aca="false">IF(C2183="SELL",B2183,"")</f>
        <v/>
      </c>
      <c r="F2183" s="14" t="str">
        <f aca="false">IF(E2183="","",(E2183-D2183)/D2183*100)</f>
        <v/>
      </c>
      <c r="G2183" s="0" t="str">
        <f aca="false">IF(C2183="BUY","IN",IF(C2183="SELL","OUT",IF(G2182="IN","IN","OUT")))</f>
        <v>OUT</v>
      </c>
      <c r="H2183" s="14" t="n">
        <f aca="false">H2182+IF(F2183="",0,F2183)</f>
        <v>13.63357265725</v>
      </c>
      <c r="I2183" s="14" t="n">
        <f aca="false">MAX(I2182,H2183)</f>
        <v>43.9309628600509</v>
      </c>
      <c r="J2183" s="14" t="n">
        <f aca="false">I2183-H2183</f>
        <v>30.2973902028009</v>
      </c>
    </row>
    <row r="2184" customFormat="false" ht="15" hidden="false" customHeight="false" outlineLevel="0" collapsed="false">
      <c r="A2184" s="12" t="n">
        <f aca="false">Data!A2184</f>
        <v>45176</v>
      </c>
      <c r="B2184" s="14" t="n">
        <f aca="false">Data!B2184</f>
        <v>86.87</v>
      </c>
      <c r="C2184" s="0" t="str">
        <f aca="false">IF(Data!D2184="","HOLD",IF(AND(G2183&lt;&gt;"IN",Data!E2184&lt;-5),"BUY",IF(AND(G2183="IN",Data!E2184&gt;0),"SELL","HOLD")))</f>
        <v>HOLD</v>
      </c>
      <c r="D2184" s="14" t="str">
        <f aca="false">IF(C2184="BUY",B2184,IF(G2183="IN",D2183,""))</f>
        <v/>
      </c>
      <c r="E2184" s="14" t="str">
        <f aca="false">IF(C2184="SELL",B2184,"")</f>
        <v/>
      </c>
      <c r="F2184" s="14" t="str">
        <f aca="false">IF(E2184="","",(E2184-D2184)/D2184*100)</f>
        <v/>
      </c>
      <c r="G2184" s="0" t="str">
        <f aca="false">IF(C2184="BUY","IN",IF(C2184="SELL","OUT",IF(G2183="IN","IN","OUT")))</f>
        <v>OUT</v>
      </c>
      <c r="H2184" s="14" t="n">
        <f aca="false">H2183+IF(F2184="",0,F2184)</f>
        <v>13.63357265725</v>
      </c>
      <c r="I2184" s="14" t="n">
        <f aca="false">MAX(I2183,H2184)</f>
        <v>43.9309628600509</v>
      </c>
      <c r="J2184" s="14" t="n">
        <f aca="false">I2184-H2184</f>
        <v>30.2973902028009</v>
      </c>
    </row>
    <row r="2185" customFormat="false" ht="15" hidden="false" customHeight="false" outlineLevel="0" collapsed="false">
      <c r="A2185" s="12" t="n">
        <f aca="false">Data!A2185</f>
        <v>45177</v>
      </c>
      <c r="B2185" s="14" t="n">
        <f aca="false">Data!B2185</f>
        <v>87.51</v>
      </c>
      <c r="C2185" s="0" t="str">
        <f aca="false">IF(Data!D2185="","HOLD",IF(AND(G2184&lt;&gt;"IN",Data!E2185&lt;-5),"BUY",IF(AND(G2184="IN",Data!E2185&gt;0),"SELL","HOLD")))</f>
        <v>HOLD</v>
      </c>
      <c r="D2185" s="14" t="str">
        <f aca="false">IF(C2185="BUY",B2185,IF(G2184="IN",D2184,""))</f>
        <v/>
      </c>
      <c r="E2185" s="14" t="str">
        <f aca="false">IF(C2185="SELL",B2185,"")</f>
        <v/>
      </c>
      <c r="F2185" s="14" t="str">
        <f aca="false">IF(E2185="","",(E2185-D2185)/D2185*100)</f>
        <v/>
      </c>
      <c r="G2185" s="0" t="str">
        <f aca="false">IF(C2185="BUY","IN",IF(C2185="SELL","OUT",IF(G2184="IN","IN","OUT")))</f>
        <v>OUT</v>
      </c>
      <c r="H2185" s="14" t="n">
        <f aca="false">H2184+IF(F2185="",0,F2185)</f>
        <v>13.63357265725</v>
      </c>
      <c r="I2185" s="14" t="n">
        <f aca="false">MAX(I2184,H2185)</f>
        <v>43.9309628600509</v>
      </c>
      <c r="J2185" s="14" t="n">
        <f aca="false">I2185-H2185</f>
        <v>30.2973902028009</v>
      </c>
    </row>
    <row r="2186" customFormat="false" ht="15" hidden="false" customHeight="false" outlineLevel="0" collapsed="false">
      <c r="A2186" s="12" t="n">
        <f aca="false">Data!A2186</f>
        <v>45180</v>
      </c>
      <c r="B2186" s="14" t="n">
        <f aca="false">Data!B2186</f>
        <v>87.29</v>
      </c>
      <c r="C2186" s="0" t="str">
        <f aca="false">IF(Data!D2186="","HOLD",IF(AND(G2185&lt;&gt;"IN",Data!E2186&lt;-5),"BUY",IF(AND(G2185="IN",Data!E2186&gt;0),"SELL","HOLD")))</f>
        <v>HOLD</v>
      </c>
      <c r="D2186" s="14" t="str">
        <f aca="false">IF(C2186="BUY",B2186,IF(G2185="IN",D2185,""))</f>
        <v/>
      </c>
      <c r="E2186" s="14" t="str">
        <f aca="false">IF(C2186="SELL",B2186,"")</f>
        <v/>
      </c>
      <c r="F2186" s="14" t="str">
        <f aca="false">IF(E2186="","",(E2186-D2186)/D2186*100)</f>
        <v/>
      </c>
      <c r="G2186" s="0" t="str">
        <f aca="false">IF(C2186="BUY","IN",IF(C2186="SELL","OUT",IF(G2185="IN","IN","OUT")))</f>
        <v>OUT</v>
      </c>
      <c r="H2186" s="14" t="n">
        <f aca="false">H2185+IF(F2186="",0,F2186)</f>
        <v>13.63357265725</v>
      </c>
      <c r="I2186" s="14" t="n">
        <f aca="false">MAX(I2185,H2186)</f>
        <v>43.9309628600509</v>
      </c>
      <c r="J2186" s="14" t="n">
        <f aca="false">I2186-H2186</f>
        <v>30.2973902028009</v>
      </c>
    </row>
    <row r="2187" customFormat="false" ht="15" hidden="false" customHeight="false" outlineLevel="0" collapsed="false">
      <c r="A2187" s="12" t="n">
        <f aca="false">Data!A2187</f>
        <v>45181</v>
      </c>
      <c r="B2187" s="14" t="n">
        <f aca="false">Data!B2187</f>
        <v>88.84</v>
      </c>
      <c r="C2187" s="0" t="str">
        <f aca="false">IF(Data!D2187="","HOLD",IF(AND(G2186&lt;&gt;"IN",Data!E2187&lt;-5),"BUY",IF(AND(G2186="IN",Data!E2187&gt;0),"SELL","HOLD")))</f>
        <v>HOLD</v>
      </c>
      <c r="D2187" s="14" t="str">
        <f aca="false">IF(C2187="BUY",B2187,IF(G2186="IN",D2186,""))</f>
        <v/>
      </c>
      <c r="E2187" s="14" t="str">
        <f aca="false">IF(C2187="SELL",B2187,"")</f>
        <v/>
      </c>
      <c r="F2187" s="14" t="str">
        <f aca="false">IF(E2187="","",(E2187-D2187)/D2187*100)</f>
        <v/>
      </c>
      <c r="G2187" s="0" t="str">
        <f aca="false">IF(C2187="BUY","IN",IF(C2187="SELL","OUT",IF(G2186="IN","IN","OUT")))</f>
        <v>OUT</v>
      </c>
      <c r="H2187" s="14" t="n">
        <f aca="false">H2186+IF(F2187="",0,F2187)</f>
        <v>13.63357265725</v>
      </c>
      <c r="I2187" s="14" t="n">
        <f aca="false">MAX(I2186,H2187)</f>
        <v>43.9309628600509</v>
      </c>
      <c r="J2187" s="14" t="n">
        <f aca="false">I2187-H2187</f>
        <v>30.2973902028009</v>
      </c>
    </row>
    <row r="2188" customFormat="false" ht="15" hidden="false" customHeight="false" outlineLevel="0" collapsed="false">
      <c r="A2188" s="12" t="n">
        <f aca="false">Data!A2188</f>
        <v>45182</v>
      </c>
      <c r="B2188" s="14" t="n">
        <f aca="false">Data!B2188</f>
        <v>88.52</v>
      </c>
      <c r="C2188" s="0" t="str">
        <f aca="false">IF(Data!D2188="","HOLD",IF(AND(G2187&lt;&gt;"IN",Data!E2188&lt;-5),"BUY",IF(AND(G2187="IN",Data!E2188&gt;0),"SELL","HOLD")))</f>
        <v>HOLD</v>
      </c>
      <c r="D2188" s="14" t="str">
        <f aca="false">IF(C2188="BUY",B2188,IF(G2187="IN",D2187,""))</f>
        <v/>
      </c>
      <c r="E2188" s="14" t="str">
        <f aca="false">IF(C2188="SELL",B2188,"")</f>
        <v/>
      </c>
      <c r="F2188" s="14" t="str">
        <f aca="false">IF(E2188="","",(E2188-D2188)/D2188*100)</f>
        <v/>
      </c>
      <c r="G2188" s="0" t="str">
        <f aca="false">IF(C2188="BUY","IN",IF(C2188="SELL","OUT",IF(G2187="IN","IN","OUT")))</f>
        <v>OUT</v>
      </c>
      <c r="H2188" s="14" t="n">
        <f aca="false">H2187+IF(F2188="",0,F2188)</f>
        <v>13.63357265725</v>
      </c>
      <c r="I2188" s="14" t="n">
        <f aca="false">MAX(I2187,H2188)</f>
        <v>43.9309628600509</v>
      </c>
      <c r="J2188" s="14" t="n">
        <f aca="false">I2188-H2188</f>
        <v>30.2973902028009</v>
      </c>
    </row>
    <row r="2189" customFormat="false" ht="15" hidden="false" customHeight="false" outlineLevel="0" collapsed="false">
      <c r="A2189" s="12" t="n">
        <f aca="false">Data!A2189</f>
        <v>45183</v>
      </c>
      <c r="B2189" s="14" t="n">
        <f aca="false">Data!B2189</f>
        <v>90.16</v>
      </c>
      <c r="C2189" s="0" t="str">
        <f aca="false">IF(Data!D2189="","HOLD",IF(AND(G2188&lt;&gt;"IN",Data!E2189&lt;-5),"BUY",IF(AND(G2188="IN",Data!E2189&gt;0),"SELL","HOLD")))</f>
        <v>HOLD</v>
      </c>
      <c r="D2189" s="14" t="str">
        <f aca="false">IF(C2189="BUY",B2189,IF(G2188="IN",D2188,""))</f>
        <v/>
      </c>
      <c r="E2189" s="14" t="str">
        <f aca="false">IF(C2189="SELL",B2189,"")</f>
        <v/>
      </c>
      <c r="F2189" s="14" t="str">
        <f aca="false">IF(E2189="","",(E2189-D2189)/D2189*100)</f>
        <v/>
      </c>
      <c r="G2189" s="0" t="str">
        <f aca="false">IF(C2189="BUY","IN",IF(C2189="SELL","OUT",IF(G2188="IN","IN","OUT")))</f>
        <v>OUT</v>
      </c>
      <c r="H2189" s="14" t="n">
        <f aca="false">H2188+IF(F2189="",0,F2189)</f>
        <v>13.63357265725</v>
      </c>
      <c r="I2189" s="14" t="n">
        <f aca="false">MAX(I2188,H2189)</f>
        <v>43.9309628600509</v>
      </c>
      <c r="J2189" s="14" t="n">
        <f aca="false">I2189-H2189</f>
        <v>30.2973902028009</v>
      </c>
    </row>
    <row r="2190" customFormat="false" ht="15" hidden="false" customHeight="false" outlineLevel="0" collapsed="false">
      <c r="A2190" s="12" t="n">
        <f aca="false">Data!A2190</f>
        <v>45184</v>
      </c>
      <c r="B2190" s="14" t="n">
        <f aca="false">Data!B2190</f>
        <v>90.77</v>
      </c>
      <c r="C2190" s="0" t="str">
        <f aca="false">IF(Data!D2190="","HOLD",IF(AND(G2189&lt;&gt;"IN",Data!E2190&lt;-5),"BUY",IF(AND(G2189="IN",Data!E2190&gt;0),"SELL","HOLD")))</f>
        <v>HOLD</v>
      </c>
      <c r="D2190" s="14" t="str">
        <f aca="false">IF(C2190="BUY",B2190,IF(G2189="IN",D2189,""))</f>
        <v/>
      </c>
      <c r="E2190" s="14" t="str">
        <f aca="false">IF(C2190="SELL",B2190,"")</f>
        <v/>
      </c>
      <c r="F2190" s="14" t="str">
        <f aca="false">IF(E2190="","",(E2190-D2190)/D2190*100)</f>
        <v/>
      </c>
      <c r="G2190" s="0" t="str">
        <f aca="false">IF(C2190="BUY","IN",IF(C2190="SELL","OUT",IF(G2189="IN","IN","OUT")))</f>
        <v>OUT</v>
      </c>
      <c r="H2190" s="14" t="n">
        <f aca="false">H2189+IF(F2190="",0,F2190)</f>
        <v>13.63357265725</v>
      </c>
      <c r="I2190" s="14" t="n">
        <f aca="false">MAX(I2189,H2190)</f>
        <v>43.9309628600509</v>
      </c>
      <c r="J2190" s="14" t="n">
        <f aca="false">I2190-H2190</f>
        <v>30.2973902028009</v>
      </c>
    </row>
    <row r="2191" customFormat="false" ht="15" hidden="false" customHeight="false" outlineLevel="0" collapsed="false">
      <c r="A2191" s="12" t="n">
        <f aca="false">Data!A2191</f>
        <v>45187</v>
      </c>
      <c r="B2191" s="14" t="n">
        <f aca="false">Data!B2191</f>
        <v>91.48</v>
      </c>
      <c r="C2191" s="0" t="str">
        <f aca="false">IF(Data!D2191="","HOLD",IF(AND(G2190&lt;&gt;"IN",Data!E2191&lt;-5),"BUY",IF(AND(G2190="IN",Data!E2191&gt;0),"SELL","HOLD")))</f>
        <v>HOLD</v>
      </c>
      <c r="D2191" s="14" t="str">
        <f aca="false">IF(C2191="BUY",B2191,IF(G2190="IN",D2190,""))</f>
        <v/>
      </c>
      <c r="E2191" s="14" t="str">
        <f aca="false">IF(C2191="SELL",B2191,"")</f>
        <v/>
      </c>
      <c r="F2191" s="14" t="str">
        <f aca="false">IF(E2191="","",(E2191-D2191)/D2191*100)</f>
        <v/>
      </c>
      <c r="G2191" s="0" t="str">
        <f aca="false">IF(C2191="BUY","IN",IF(C2191="SELL","OUT",IF(G2190="IN","IN","OUT")))</f>
        <v>OUT</v>
      </c>
      <c r="H2191" s="14" t="n">
        <f aca="false">H2190+IF(F2191="",0,F2191)</f>
        <v>13.63357265725</v>
      </c>
      <c r="I2191" s="14" t="n">
        <f aca="false">MAX(I2190,H2191)</f>
        <v>43.9309628600509</v>
      </c>
      <c r="J2191" s="14" t="n">
        <f aca="false">I2191-H2191</f>
        <v>30.2973902028009</v>
      </c>
    </row>
    <row r="2192" customFormat="false" ht="15" hidden="false" customHeight="false" outlineLevel="0" collapsed="false">
      <c r="A2192" s="12" t="n">
        <f aca="false">Data!A2192</f>
        <v>45188</v>
      </c>
      <c r="B2192" s="14" t="n">
        <f aca="false">Data!B2192</f>
        <v>91.2</v>
      </c>
      <c r="C2192" s="0" t="str">
        <f aca="false">IF(Data!D2192="","HOLD",IF(AND(G2191&lt;&gt;"IN",Data!E2192&lt;-5),"BUY",IF(AND(G2191="IN",Data!E2192&gt;0),"SELL","HOLD")))</f>
        <v>HOLD</v>
      </c>
      <c r="D2192" s="14" t="str">
        <f aca="false">IF(C2192="BUY",B2192,IF(G2191="IN",D2191,""))</f>
        <v/>
      </c>
      <c r="E2192" s="14" t="str">
        <f aca="false">IF(C2192="SELL",B2192,"")</f>
        <v/>
      </c>
      <c r="F2192" s="14" t="str">
        <f aca="false">IF(E2192="","",(E2192-D2192)/D2192*100)</f>
        <v/>
      </c>
      <c r="G2192" s="0" t="str">
        <f aca="false">IF(C2192="BUY","IN",IF(C2192="SELL","OUT",IF(G2191="IN","IN","OUT")))</f>
        <v>OUT</v>
      </c>
      <c r="H2192" s="14" t="n">
        <f aca="false">H2191+IF(F2192="",0,F2192)</f>
        <v>13.63357265725</v>
      </c>
      <c r="I2192" s="14" t="n">
        <f aca="false">MAX(I2191,H2192)</f>
        <v>43.9309628600509</v>
      </c>
      <c r="J2192" s="14" t="n">
        <f aca="false">I2192-H2192</f>
        <v>30.2973902028009</v>
      </c>
    </row>
    <row r="2193" customFormat="false" ht="15" hidden="false" customHeight="false" outlineLevel="0" collapsed="false">
      <c r="A2193" s="12" t="n">
        <f aca="false">Data!A2193</f>
        <v>45189</v>
      </c>
      <c r="B2193" s="14" t="n">
        <f aca="false">Data!B2193</f>
        <v>90.28</v>
      </c>
      <c r="C2193" s="0" t="str">
        <f aca="false">IF(Data!D2193="","HOLD",IF(AND(G2192&lt;&gt;"IN",Data!E2193&lt;-5),"BUY",IF(AND(G2192="IN",Data!E2193&gt;0),"SELL","HOLD")))</f>
        <v>HOLD</v>
      </c>
      <c r="D2193" s="14" t="str">
        <f aca="false">IF(C2193="BUY",B2193,IF(G2192="IN",D2192,""))</f>
        <v/>
      </c>
      <c r="E2193" s="14" t="str">
        <f aca="false">IF(C2193="SELL",B2193,"")</f>
        <v/>
      </c>
      <c r="F2193" s="14" t="str">
        <f aca="false">IF(E2193="","",(E2193-D2193)/D2193*100)</f>
        <v/>
      </c>
      <c r="G2193" s="0" t="str">
        <f aca="false">IF(C2193="BUY","IN",IF(C2193="SELL","OUT",IF(G2192="IN","IN","OUT")))</f>
        <v>OUT</v>
      </c>
      <c r="H2193" s="14" t="n">
        <f aca="false">H2192+IF(F2193="",0,F2193)</f>
        <v>13.63357265725</v>
      </c>
      <c r="I2193" s="14" t="n">
        <f aca="false">MAX(I2192,H2193)</f>
        <v>43.9309628600509</v>
      </c>
      <c r="J2193" s="14" t="n">
        <f aca="false">I2193-H2193</f>
        <v>30.2973902028009</v>
      </c>
    </row>
    <row r="2194" customFormat="false" ht="15" hidden="false" customHeight="false" outlineLevel="0" collapsed="false">
      <c r="A2194" s="12" t="n">
        <f aca="false">Data!A2194</f>
        <v>45190</v>
      </c>
      <c r="B2194" s="14" t="n">
        <f aca="false">Data!B2194</f>
        <v>89.63</v>
      </c>
      <c r="C2194" s="0" t="str">
        <f aca="false">IF(Data!D2194="","HOLD",IF(AND(G2193&lt;&gt;"IN",Data!E2194&lt;-5),"BUY",IF(AND(G2193="IN",Data!E2194&gt;0),"SELL","HOLD")))</f>
        <v>HOLD</v>
      </c>
      <c r="D2194" s="14" t="str">
        <f aca="false">IF(C2194="BUY",B2194,IF(G2193="IN",D2193,""))</f>
        <v/>
      </c>
      <c r="E2194" s="14" t="str">
        <f aca="false">IF(C2194="SELL",B2194,"")</f>
        <v/>
      </c>
      <c r="F2194" s="14" t="str">
        <f aca="false">IF(E2194="","",(E2194-D2194)/D2194*100)</f>
        <v/>
      </c>
      <c r="G2194" s="0" t="str">
        <f aca="false">IF(C2194="BUY","IN",IF(C2194="SELL","OUT",IF(G2193="IN","IN","OUT")))</f>
        <v>OUT</v>
      </c>
      <c r="H2194" s="14" t="n">
        <f aca="false">H2193+IF(F2194="",0,F2194)</f>
        <v>13.63357265725</v>
      </c>
      <c r="I2194" s="14" t="n">
        <f aca="false">MAX(I2193,H2194)</f>
        <v>43.9309628600509</v>
      </c>
      <c r="J2194" s="14" t="n">
        <f aca="false">I2194-H2194</f>
        <v>30.2973902028009</v>
      </c>
    </row>
    <row r="2195" customFormat="false" ht="15" hidden="false" customHeight="false" outlineLevel="0" collapsed="false">
      <c r="A2195" s="12" t="n">
        <f aca="false">Data!A2195</f>
        <v>45191</v>
      </c>
      <c r="B2195" s="14" t="n">
        <f aca="false">Data!B2195</f>
        <v>90.03</v>
      </c>
      <c r="C2195" s="0" t="str">
        <f aca="false">IF(Data!D2195="","HOLD",IF(AND(G2194&lt;&gt;"IN",Data!E2195&lt;-5),"BUY",IF(AND(G2194="IN",Data!E2195&gt;0),"SELL","HOLD")))</f>
        <v>HOLD</v>
      </c>
      <c r="D2195" s="14" t="str">
        <f aca="false">IF(C2195="BUY",B2195,IF(G2194="IN",D2194,""))</f>
        <v/>
      </c>
      <c r="E2195" s="14" t="str">
        <f aca="false">IF(C2195="SELL",B2195,"")</f>
        <v/>
      </c>
      <c r="F2195" s="14" t="str">
        <f aca="false">IF(E2195="","",(E2195-D2195)/D2195*100)</f>
        <v/>
      </c>
      <c r="G2195" s="0" t="str">
        <f aca="false">IF(C2195="BUY","IN",IF(C2195="SELL","OUT",IF(G2194="IN","IN","OUT")))</f>
        <v>OUT</v>
      </c>
      <c r="H2195" s="14" t="n">
        <f aca="false">H2194+IF(F2195="",0,F2195)</f>
        <v>13.63357265725</v>
      </c>
      <c r="I2195" s="14" t="n">
        <f aca="false">MAX(I2194,H2195)</f>
        <v>43.9309628600509</v>
      </c>
      <c r="J2195" s="14" t="n">
        <f aca="false">I2195-H2195</f>
        <v>30.2973902028009</v>
      </c>
    </row>
    <row r="2196" customFormat="false" ht="15" hidden="false" customHeight="false" outlineLevel="0" collapsed="false">
      <c r="A2196" s="12" t="n">
        <f aca="false">Data!A2196</f>
        <v>45194</v>
      </c>
      <c r="B2196" s="14" t="n">
        <f aca="false">Data!B2196</f>
        <v>89.68</v>
      </c>
      <c r="C2196" s="0" t="str">
        <f aca="false">IF(Data!D2196="","HOLD",IF(AND(G2195&lt;&gt;"IN",Data!E2196&lt;-5),"BUY",IF(AND(G2195="IN",Data!E2196&gt;0),"SELL","HOLD")))</f>
        <v>HOLD</v>
      </c>
      <c r="D2196" s="14" t="str">
        <f aca="false">IF(C2196="BUY",B2196,IF(G2195="IN",D2195,""))</f>
        <v/>
      </c>
      <c r="E2196" s="14" t="str">
        <f aca="false">IF(C2196="SELL",B2196,"")</f>
        <v/>
      </c>
      <c r="F2196" s="14" t="str">
        <f aca="false">IF(E2196="","",(E2196-D2196)/D2196*100)</f>
        <v/>
      </c>
      <c r="G2196" s="0" t="str">
        <f aca="false">IF(C2196="BUY","IN",IF(C2196="SELL","OUT",IF(G2195="IN","IN","OUT")))</f>
        <v>OUT</v>
      </c>
      <c r="H2196" s="14" t="n">
        <f aca="false">H2195+IF(F2196="",0,F2196)</f>
        <v>13.63357265725</v>
      </c>
      <c r="I2196" s="14" t="n">
        <f aca="false">MAX(I2195,H2196)</f>
        <v>43.9309628600509</v>
      </c>
      <c r="J2196" s="14" t="n">
        <f aca="false">I2196-H2196</f>
        <v>30.2973902028009</v>
      </c>
    </row>
    <row r="2197" customFormat="false" ht="15" hidden="false" customHeight="false" outlineLevel="0" collapsed="false">
      <c r="A2197" s="12" t="n">
        <f aca="false">Data!A2197</f>
        <v>45195</v>
      </c>
      <c r="B2197" s="14" t="n">
        <f aca="false">Data!B2197</f>
        <v>90.39</v>
      </c>
      <c r="C2197" s="0" t="str">
        <f aca="false">IF(Data!D2197="","HOLD",IF(AND(G2196&lt;&gt;"IN",Data!E2197&lt;-5),"BUY",IF(AND(G2196="IN",Data!E2197&gt;0),"SELL","HOLD")))</f>
        <v>HOLD</v>
      </c>
      <c r="D2197" s="14" t="str">
        <f aca="false">IF(C2197="BUY",B2197,IF(G2196="IN",D2196,""))</f>
        <v/>
      </c>
      <c r="E2197" s="14" t="str">
        <f aca="false">IF(C2197="SELL",B2197,"")</f>
        <v/>
      </c>
      <c r="F2197" s="14" t="str">
        <f aca="false">IF(E2197="","",(E2197-D2197)/D2197*100)</f>
        <v/>
      </c>
      <c r="G2197" s="0" t="str">
        <f aca="false">IF(C2197="BUY","IN",IF(C2197="SELL","OUT",IF(G2196="IN","IN","OUT")))</f>
        <v>OUT</v>
      </c>
      <c r="H2197" s="14" t="n">
        <f aca="false">H2196+IF(F2197="",0,F2197)</f>
        <v>13.63357265725</v>
      </c>
      <c r="I2197" s="14" t="n">
        <f aca="false">MAX(I2196,H2197)</f>
        <v>43.9309628600509</v>
      </c>
      <c r="J2197" s="14" t="n">
        <f aca="false">I2197-H2197</f>
        <v>30.2973902028009</v>
      </c>
    </row>
    <row r="2198" customFormat="false" ht="15" hidden="false" customHeight="false" outlineLevel="0" collapsed="false">
      <c r="A2198" s="12" t="n">
        <f aca="false">Data!A2198</f>
        <v>45196</v>
      </c>
      <c r="B2198" s="14" t="n">
        <f aca="false">Data!B2198</f>
        <v>93.68</v>
      </c>
      <c r="C2198" s="0" t="str">
        <f aca="false">IF(Data!D2198="","HOLD",IF(AND(G2197&lt;&gt;"IN",Data!E2198&lt;-5),"BUY",IF(AND(G2197="IN",Data!E2198&gt;0),"SELL","HOLD")))</f>
        <v>HOLD</v>
      </c>
      <c r="D2198" s="14" t="str">
        <f aca="false">IF(C2198="BUY",B2198,IF(G2197="IN",D2197,""))</f>
        <v/>
      </c>
      <c r="E2198" s="14" t="str">
        <f aca="false">IF(C2198="SELL",B2198,"")</f>
        <v/>
      </c>
      <c r="F2198" s="14" t="str">
        <f aca="false">IF(E2198="","",(E2198-D2198)/D2198*100)</f>
        <v/>
      </c>
      <c r="G2198" s="0" t="str">
        <f aca="false">IF(C2198="BUY","IN",IF(C2198="SELL","OUT",IF(G2197="IN","IN","OUT")))</f>
        <v>OUT</v>
      </c>
      <c r="H2198" s="14" t="n">
        <f aca="false">H2197+IF(F2198="",0,F2198)</f>
        <v>13.63357265725</v>
      </c>
      <c r="I2198" s="14" t="n">
        <f aca="false">MAX(I2197,H2198)</f>
        <v>43.9309628600509</v>
      </c>
      <c r="J2198" s="14" t="n">
        <f aca="false">I2198-H2198</f>
        <v>30.2973902028009</v>
      </c>
    </row>
    <row r="2199" customFormat="false" ht="15" hidden="false" customHeight="false" outlineLevel="0" collapsed="false">
      <c r="A2199" s="12" t="n">
        <f aca="false">Data!A2199</f>
        <v>45197</v>
      </c>
      <c r="B2199" s="14" t="n">
        <f aca="false">Data!B2199</f>
        <v>91.71</v>
      </c>
      <c r="C2199" s="0" t="str">
        <f aca="false">IF(Data!D2199="","HOLD",IF(AND(G2198&lt;&gt;"IN",Data!E2199&lt;-5),"BUY",IF(AND(G2198="IN",Data!E2199&gt;0),"SELL","HOLD")))</f>
        <v>HOLD</v>
      </c>
      <c r="D2199" s="14" t="str">
        <f aca="false">IF(C2199="BUY",B2199,IF(G2198="IN",D2198,""))</f>
        <v/>
      </c>
      <c r="E2199" s="14" t="str">
        <f aca="false">IF(C2199="SELL",B2199,"")</f>
        <v/>
      </c>
      <c r="F2199" s="14" t="str">
        <f aca="false">IF(E2199="","",(E2199-D2199)/D2199*100)</f>
        <v/>
      </c>
      <c r="G2199" s="0" t="str">
        <f aca="false">IF(C2199="BUY","IN",IF(C2199="SELL","OUT",IF(G2198="IN","IN","OUT")))</f>
        <v>OUT</v>
      </c>
      <c r="H2199" s="14" t="n">
        <f aca="false">H2198+IF(F2199="",0,F2199)</f>
        <v>13.63357265725</v>
      </c>
      <c r="I2199" s="14" t="n">
        <f aca="false">MAX(I2198,H2199)</f>
        <v>43.9309628600509</v>
      </c>
      <c r="J2199" s="14" t="n">
        <f aca="false">I2199-H2199</f>
        <v>30.2973902028009</v>
      </c>
    </row>
    <row r="2200" customFormat="false" ht="15" hidden="false" customHeight="false" outlineLevel="0" collapsed="false">
      <c r="A2200" s="12" t="n">
        <f aca="false">Data!A2200</f>
        <v>45198</v>
      </c>
      <c r="B2200" s="14" t="n">
        <f aca="false">Data!B2200</f>
        <v>90.79</v>
      </c>
      <c r="C2200" s="0" t="str">
        <f aca="false">IF(Data!D2200="","HOLD",IF(AND(G2199&lt;&gt;"IN",Data!E2200&lt;-5),"BUY",IF(AND(G2199="IN",Data!E2200&gt;0),"SELL","HOLD")))</f>
        <v>HOLD</v>
      </c>
      <c r="D2200" s="14" t="str">
        <f aca="false">IF(C2200="BUY",B2200,IF(G2199="IN",D2199,""))</f>
        <v/>
      </c>
      <c r="E2200" s="14" t="str">
        <f aca="false">IF(C2200="SELL",B2200,"")</f>
        <v/>
      </c>
      <c r="F2200" s="14" t="str">
        <f aca="false">IF(E2200="","",(E2200-D2200)/D2200*100)</f>
        <v/>
      </c>
      <c r="G2200" s="0" t="str">
        <f aca="false">IF(C2200="BUY","IN",IF(C2200="SELL","OUT",IF(G2199="IN","IN","OUT")))</f>
        <v>OUT</v>
      </c>
      <c r="H2200" s="14" t="n">
        <f aca="false">H2199+IF(F2200="",0,F2200)</f>
        <v>13.63357265725</v>
      </c>
      <c r="I2200" s="14" t="n">
        <f aca="false">MAX(I2199,H2200)</f>
        <v>43.9309628600509</v>
      </c>
      <c r="J2200" s="14" t="n">
        <f aca="false">I2200-H2200</f>
        <v>30.2973902028009</v>
      </c>
    </row>
    <row r="2201" customFormat="false" ht="15" hidden="false" customHeight="false" outlineLevel="0" collapsed="false">
      <c r="A2201" s="12" t="n">
        <f aca="false">Data!A2201</f>
        <v>45201</v>
      </c>
      <c r="B2201" s="14" t="n">
        <f aca="false">Data!B2201</f>
        <v>88.82</v>
      </c>
      <c r="C2201" s="0" t="str">
        <f aca="false">IF(Data!D2201="","HOLD",IF(AND(G2200&lt;&gt;"IN",Data!E2201&lt;-5),"BUY",IF(AND(G2200="IN",Data!E2201&gt;0),"SELL","HOLD")))</f>
        <v>HOLD</v>
      </c>
      <c r="D2201" s="14" t="str">
        <f aca="false">IF(C2201="BUY",B2201,IF(G2200="IN",D2200,""))</f>
        <v/>
      </c>
      <c r="E2201" s="14" t="str">
        <f aca="false">IF(C2201="SELL",B2201,"")</f>
        <v/>
      </c>
      <c r="F2201" s="14" t="str">
        <f aca="false">IF(E2201="","",(E2201-D2201)/D2201*100)</f>
        <v/>
      </c>
      <c r="G2201" s="0" t="str">
        <f aca="false">IF(C2201="BUY","IN",IF(C2201="SELL","OUT",IF(G2200="IN","IN","OUT")))</f>
        <v>OUT</v>
      </c>
      <c r="H2201" s="14" t="n">
        <f aca="false">H2200+IF(F2201="",0,F2201)</f>
        <v>13.63357265725</v>
      </c>
      <c r="I2201" s="14" t="n">
        <f aca="false">MAX(I2200,H2201)</f>
        <v>43.9309628600509</v>
      </c>
      <c r="J2201" s="14" t="n">
        <f aca="false">I2201-H2201</f>
        <v>30.2973902028009</v>
      </c>
    </row>
    <row r="2202" customFormat="false" ht="15" hidden="false" customHeight="false" outlineLevel="0" collapsed="false">
      <c r="A2202" s="12" t="n">
        <f aca="false">Data!A2202</f>
        <v>45202</v>
      </c>
      <c r="B2202" s="14" t="n">
        <f aca="false">Data!B2202</f>
        <v>89.23</v>
      </c>
      <c r="C2202" s="0" t="str">
        <f aca="false">IF(Data!D2202="","HOLD",IF(AND(G2201&lt;&gt;"IN",Data!E2202&lt;-5),"BUY",IF(AND(G2201="IN",Data!E2202&gt;0),"SELL","HOLD")))</f>
        <v>HOLD</v>
      </c>
      <c r="D2202" s="14" t="str">
        <f aca="false">IF(C2202="BUY",B2202,IF(G2201="IN",D2201,""))</f>
        <v/>
      </c>
      <c r="E2202" s="14" t="str">
        <f aca="false">IF(C2202="SELL",B2202,"")</f>
        <v/>
      </c>
      <c r="F2202" s="14" t="str">
        <f aca="false">IF(E2202="","",(E2202-D2202)/D2202*100)</f>
        <v/>
      </c>
      <c r="G2202" s="0" t="str">
        <f aca="false">IF(C2202="BUY","IN",IF(C2202="SELL","OUT",IF(G2201="IN","IN","OUT")))</f>
        <v>OUT</v>
      </c>
      <c r="H2202" s="14" t="n">
        <f aca="false">H2201+IF(F2202="",0,F2202)</f>
        <v>13.63357265725</v>
      </c>
      <c r="I2202" s="14" t="n">
        <f aca="false">MAX(I2201,H2202)</f>
        <v>43.9309628600509</v>
      </c>
      <c r="J2202" s="14" t="n">
        <f aca="false">I2202-H2202</f>
        <v>30.2973902028009</v>
      </c>
    </row>
    <row r="2203" customFormat="false" ht="15" hidden="false" customHeight="false" outlineLevel="0" collapsed="false">
      <c r="A2203" s="12" t="n">
        <f aca="false">Data!A2203</f>
        <v>45203</v>
      </c>
      <c r="B2203" s="14" t="n">
        <f aca="false">Data!B2203</f>
        <v>84.22</v>
      </c>
      <c r="C2203" s="0" t="str">
        <f aca="false">IF(Data!D2203="","HOLD",IF(AND(G2202&lt;&gt;"IN",Data!E2203&lt;-5),"BUY",IF(AND(G2202="IN",Data!E2203&gt;0),"SELL","HOLD")))</f>
        <v>BUY</v>
      </c>
      <c r="D2203" s="14" t="n">
        <f aca="false">IF(C2203="BUY",B2203,IF(G2202="IN",D2202,""))</f>
        <v>84.22</v>
      </c>
      <c r="E2203" s="14" t="str">
        <f aca="false">IF(C2203="SELL",B2203,"")</f>
        <v/>
      </c>
      <c r="F2203" s="14" t="str">
        <f aca="false">IF(E2203="","",(E2203-D2203)/D2203*100)</f>
        <v/>
      </c>
      <c r="G2203" s="0" t="str">
        <f aca="false">IF(C2203="BUY","IN",IF(C2203="SELL","OUT",IF(G2202="IN","IN","OUT")))</f>
        <v>IN</v>
      </c>
      <c r="H2203" s="14" t="n">
        <f aca="false">H2202+IF(F2203="",0,F2203)</f>
        <v>13.63357265725</v>
      </c>
      <c r="I2203" s="14" t="n">
        <f aca="false">MAX(I2202,H2203)</f>
        <v>43.9309628600509</v>
      </c>
      <c r="J2203" s="14" t="n">
        <f aca="false">I2203-H2203</f>
        <v>30.2973902028009</v>
      </c>
    </row>
    <row r="2204" customFormat="false" ht="15" hidden="false" customHeight="false" outlineLevel="0" collapsed="false">
      <c r="A2204" s="12" t="n">
        <f aca="false">Data!A2204</f>
        <v>45204</v>
      </c>
      <c r="B2204" s="14" t="n">
        <f aca="false">Data!B2204</f>
        <v>82.31</v>
      </c>
      <c r="C2204" s="0" t="str">
        <f aca="false">IF(Data!D2204="","HOLD",IF(AND(G2203&lt;&gt;"IN",Data!E2204&lt;-5),"BUY",IF(AND(G2203="IN",Data!E2204&gt;0),"SELL","HOLD")))</f>
        <v>HOLD</v>
      </c>
      <c r="D2204" s="14" t="n">
        <f aca="false">IF(C2204="BUY",B2204,IF(G2203="IN",D2203,""))</f>
        <v>84.22</v>
      </c>
      <c r="E2204" s="14" t="str">
        <f aca="false">IF(C2204="SELL",B2204,"")</f>
        <v/>
      </c>
      <c r="F2204" s="14" t="str">
        <f aca="false">IF(E2204="","",(E2204-D2204)/D2204*100)</f>
        <v/>
      </c>
      <c r="G2204" s="0" t="str">
        <f aca="false">IF(C2204="BUY","IN",IF(C2204="SELL","OUT",IF(G2203="IN","IN","OUT")))</f>
        <v>IN</v>
      </c>
      <c r="H2204" s="14" t="n">
        <f aca="false">H2203+IF(F2204="",0,F2204)</f>
        <v>13.63357265725</v>
      </c>
      <c r="I2204" s="14" t="n">
        <f aca="false">MAX(I2203,H2204)</f>
        <v>43.9309628600509</v>
      </c>
      <c r="J2204" s="14" t="n">
        <f aca="false">I2204-H2204</f>
        <v>30.2973902028009</v>
      </c>
    </row>
    <row r="2205" customFormat="false" ht="15" hidden="false" customHeight="false" outlineLevel="0" collapsed="false">
      <c r="A2205" s="12" t="n">
        <f aca="false">Data!A2205</f>
        <v>45205</v>
      </c>
      <c r="B2205" s="14" t="n">
        <f aca="false">Data!B2205</f>
        <v>82.79</v>
      </c>
      <c r="C2205" s="0" t="str">
        <f aca="false">IF(Data!D2205="","HOLD",IF(AND(G2204&lt;&gt;"IN",Data!E2205&lt;-5),"BUY",IF(AND(G2204="IN",Data!E2205&gt;0),"SELL","HOLD")))</f>
        <v>HOLD</v>
      </c>
      <c r="D2205" s="14" t="n">
        <f aca="false">IF(C2205="BUY",B2205,IF(G2204="IN",D2204,""))</f>
        <v>84.22</v>
      </c>
      <c r="E2205" s="14" t="str">
        <f aca="false">IF(C2205="SELL",B2205,"")</f>
        <v/>
      </c>
      <c r="F2205" s="14" t="str">
        <f aca="false">IF(E2205="","",(E2205-D2205)/D2205*100)</f>
        <v/>
      </c>
      <c r="G2205" s="0" t="str">
        <f aca="false">IF(C2205="BUY","IN",IF(C2205="SELL","OUT",IF(G2204="IN","IN","OUT")))</f>
        <v>IN</v>
      </c>
      <c r="H2205" s="14" t="n">
        <f aca="false">H2204+IF(F2205="",0,F2205)</f>
        <v>13.63357265725</v>
      </c>
      <c r="I2205" s="14" t="n">
        <f aca="false">MAX(I2204,H2205)</f>
        <v>43.9309628600509</v>
      </c>
      <c r="J2205" s="14" t="n">
        <f aca="false">I2205-H2205</f>
        <v>30.2973902028009</v>
      </c>
    </row>
    <row r="2206" customFormat="false" ht="15" hidden="false" customHeight="false" outlineLevel="0" collapsed="false">
      <c r="A2206" s="12" t="n">
        <f aca="false">Data!A2206</f>
        <v>45208</v>
      </c>
      <c r="B2206" s="14" t="n">
        <f aca="false">Data!B2206</f>
        <v>86.38</v>
      </c>
      <c r="C2206" s="0" t="str">
        <f aca="false">IF(Data!D2206="","HOLD",IF(AND(G2205&lt;&gt;"IN",Data!E2206&lt;-5),"BUY",IF(AND(G2205="IN",Data!E2206&gt;0),"SELL","HOLD")))</f>
        <v>HOLD</v>
      </c>
      <c r="D2206" s="14" t="n">
        <f aca="false">IF(C2206="BUY",B2206,IF(G2205="IN",D2205,""))</f>
        <v>84.22</v>
      </c>
      <c r="E2206" s="14" t="str">
        <f aca="false">IF(C2206="SELL",B2206,"")</f>
        <v/>
      </c>
      <c r="F2206" s="14" t="str">
        <f aca="false">IF(E2206="","",(E2206-D2206)/D2206*100)</f>
        <v/>
      </c>
      <c r="G2206" s="0" t="str">
        <f aca="false">IF(C2206="BUY","IN",IF(C2206="SELL","OUT",IF(G2205="IN","IN","OUT")))</f>
        <v>IN</v>
      </c>
      <c r="H2206" s="14" t="n">
        <f aca="false">H2205+IF(F2206="",0,F2206)</f>
        <v>13.63357265725</v>
      </c>
      <c r="I2206" s="14" t="n">
        <f aca="false">MAX(I2205,H2206)</f>
        <v>43.9309628600509</v>
      </c>
      <c r="J2206" s="14" t="n">
        <f aca="false">I2206-H2206</f>
        <v>30.2973902028009</v>
      </c>
    </row>
    <row r="2207" customFormat="false" ht="15" hidden="false" customHeight="false" outlineLevel="0" collapsed="false">
      <c r="A2207" s="12" t="n">
        <f aca="false">Data!A2207</f>
        <v>45209</v>
      </c>
      <c r="B2207" s="14" t="n">
        <f aca="false">Data!B2207</f>
        <v>85.97</v>
      </c>
      <c r="C2207" s="0" t="str">
        <f aca="false">IF(Data!D2207="","HOLD",IF(AND(G2206&lt;&gt;"IN",Data!E2207&lt;-5),"BUY",IF(AND(G2206="IN",Data!E2207&gt;0),"SELL","HOLD")))</f>
        <v>HOLD</v>
      </c>
      <c r="D2207" s="14" t="n">
        <f aca="false">IF(C2207="BUY",B2207,IF(G2206="IN",D2206,""))</f>
        <v>84.22</v>
      </c>
      <c r="E2207" s="14" t="str">
        <f aca="false">IF(C2207="SELL",B2207,"")</f>
        <v/>
      </c>
      <c r="F2207" s="14" t="str">
        <f aca="false">IF(E2207="","",(E2207-D2207)/D2207*100)</f>
        <v/>
      </c>
      <c r="G2207" s="0" t="str">
        <f aca="false">IF(C2207="BUY","IN",IF(C2207="SELL","OUT",IF(G2206="IN","IN","OUT")))</f>
        <v>IN</v>
      </c>
      <c r="H2207" s="14" t="n">
        <f aca="false">H2206+IF(F2207="",0,F2207)</f>
        <v>13.63357265725</v>
      </c>
      <c r="I2207" s="14" t="n">
        <f aca="false">MAX(I2206,H2207)</f>
        <v>43.9309628600509</v>
      </c>
      <c r="J2207" s="14" t="n">
        <f aca="false">I2207-H2207</f>
        <v>30.2973902028009</v>
      </c>
    </row>
    <row r="2208" customFormat="false" ht="15" hidden="false" customHeight="false" outlineLevel="0" collapsed="false">
      <c r="A2208" s="12" t="n">
        <f aca="false">Data!A2208</f>
        <v>45210</v>
      </c>
      <c r="B2208" s="14" t="n">
        <f aca="false">Data!B2208</f>
        <v>83.49</v>
      </c>
      <c r="C2208" s="0" t="str">
        <f aca="false">IF(Data!D2208="","HOLD",IF(AND(G2207&lt;&gt;"IN",Data!E2208&lt;-5),"BUY",IF(AND(G2207="IN",Data!E2208&gt;0),"SELL","HOLD")))</f>
        <v>HOLD</v>
      </c>
      <c r="D2208" s="14" t="n">
        <f aca="false">IF(C2208="BUY",B2208,IF(G2207="IN",D2207,""))</f>
        <v>84.22</v>
      </c>
      <c r="E2208" s="14" t="str">
        <f aca="false">IF(C2208="SELL",B2208,"")</f>
        <v/>
      </c>
      <c r="F2208" s="14" t="str">
        <f aca="false">IF(E2208="","",(E2208-D2208)/D2208*100)</f>
        <v/>
      </c>
      <c r="G2208" s="0" t="str">
        <f aca="false">IF(C2208="BUY","IN",IF(C2208="SELL","OUT",IF(G2207="IN","IN","OUT")))</f>
        <v>IN</v>
      </c>
      <c r="H2208" s="14" t="n">
        <f aca="false">H2207+IF(F2208="",0,F2208)</f>
        <v>13.63357265725</v>
      </c>
      <c r="I2208" s="14" t="n">
        <f aca="false">MAX(I2207,H2208)</f>
        <v>43.9309628600509</v>
      </c>
      <c r="J2208" s="14" t="n">
        <f aca="false">I2208-H2208</f>
        <v>30.2973902028009</v>
      </c>
    </row>
    <row r="2209" customFormat="false" ht="15" hidden="false" customHeight="false" outlineLevel="0" collapsed="false">
      <c r="A2209" s="12" t="n">
        <f aca="false">Data!A2209</f>
        <v>45211</v>
      </c>
      <c r="B2209" s="14" t="n">
        <f aca="false">Data!B2209</f>
        <v>82.91</v>
      </c>
      <c r="C2209" s="0" t="str">
        <f aca="false">IF(Data!D2209="","HOLD",IF(AND(G2208&lt;&gt;"IN",Data!E2209&lt;-5),"BUY",IF(AND(G2208="IN",Data!E2209&gt;0),"SELL","HOLD")))</f>
        <v>HOLD</v>
      </c>
      <c r="D2209" s="14" t="n">
        <f aca="false">IF(C2209="BUY",B2209,IF(G2208="IN",D2208,""))</f>
        <v>84.22</v>
      </c>
      <c r="E2209" s="14" t="str">
        <f aca="false">IF(C2209="SELL",B2209,"")</f>
        <v/>
      </c>
      <c r="F2209" s="14" t="str">
        <f aca="false">IF(E2209="","",(E2209-D2209)/D2209*100)</f>
        <v/>
      </c>
      <c r="G2209" s="0" t="str">
        <f aca="false">IF(C2209="BUY","IN",IF(C2209="SELL","OUT",IF(G2208="IN","IN","OUT")))</f>
        <v>IN</v>
      </c>
      <c r="H2209" s="14" t="n">
        <f aca="false">H2208+IF(F2209="",0,F2209)</f>
        <v>13.63357265725</v>
      </c>
      <c r="I2209" s="14" t="n">
        <f aca="false">MAX(I2208,H2209)</f>
        <v>43.9309628600509</v>
      </c>
      <c r="J2209" s="14" t="n">
        <f aca="false">I2209-H2209</f>
        <v>30.2973902028009</v>
      </c>
    </row>
    <row r="2210" customFormat="false" ht="15" hidden="false" customHeight="false" outlineLevel="0" collapsed="false">
      <c r="A2210" s="12" t="n">
        <f aca="false">Data!A2210</f>
        <v>45212</v>
      </c>
      <c r="B2210" s="14" t="n">
        <f aca="false">Data!B2210</f>
        <v>87.69</v>
      </c>
      <c r="C2210" s="0" t="str">
        <f aca="false">IF(Data!D2210="","HOLD",IF(AND(G2209&lt;&gt;"IN",Data!E2210&lt;-5),"BUY",IF(AND(G2209="IN",Data!E2210&gt;0),"SELL","HOLD")))</f>
        <v>HOLD</v>
      </c>
      <c r="D2210" s="14" t="n">
        <f aca="false">IF(C2210="BUY",B2210,IF(G2209="IN",D2209,""))</f>
        <v>84.22</v>
      </c>
      <c r="E2210" s="14" t="str">
        <f aca="false">IF(C2210="SELL",B2210,"")</f>
        <v/>
      </c>
      <c r="F2210" s="14" t="str">
        <f aca="false">IF(E2210="","",(E2210-D2210)/D2210*100)</f>
        <v/>
      </c>
      <c r="G2210" s="0" t="str">
        <f aca="false">IF(C2210="BUY","IN",IF(C2210="SELL","OUT",IF(G2209="IN","IN","OUT")))</f>
        <v>IN</v>
      </c>
      <c r="H2210" s="14" t="n">
        <f aca="false">H2209+IF(F2210="",0,F2210)</f>
        <v>13.63357265725</v>
      </c>
      <c r="I2210" s="14" t="n">
        <f aca="false">MAX(I2209,H2210)</f>
        <v>43.9309628600509</v>
      </c>
      <c r="J2210" s="14" t="n">
        <f aca="false">I2210-H2210</f>
        <v>30.2973902028009</v>
      </c>
    </row>
    <row r="2211" customFormat="false" ht="15" hidden="false" customHeight="false" outlineLevel="0" collapsed="false">
      <c r="A2211" s="12" t="n">
        <f aca="false">Data!A2211</f>
        <v>45215</v>
      </c>
      <c r="B2211" s="14" t="n">
        <f aca="false">Data!B2211</f>
        <v>86.66</v>
      </c>
      <c r="C2211" s="0" t="str">
        <f aca="false">IF(Data!D2211="","HOLD",IF(AND(G2210&lt;&gt;"IN",Data!E2211&lt;-5),"BUY",IF(AND(G2210="IN",Data!E2211&gt;0),"SELL","HOLD")))</f>
        <v>HOLD</v>
      </c>
      <c r="D2211" s="14" t="n">
        <f aca="false">IF(C2211="BUY",B2211,IF(G2210="IN",D2210,""))</f>
        <v>84.22</v>
      </c>
      <c r="E2211" s="14" t="str">
        <f aca="false">IF(C2211="SELL",B2211,"")</f>
        <v/>
      </c>
      <c r="F2211" s="14" t="str">
        <f aca="false">IF(E2211="","",(E2211-D2211)/D2211*100)</f>
        <v/>
      </c>
      <c r="G2211" s="0" t="str">
        <f aca="false">IF(C2211="BUY","IN",IF(C2211="SELL","OUT",IF(G2210="IN","IN","OUT")))</f>
        <v>IN</v>
      </c>
      <c r="H2211" s="14" t="n">
        <f aca="false">H2210+IF(F2211="",0,F2211)</f>
        <v>13.63357265725</v>
      </c>
      <c r="I2211" s="14" t="n">
        <f aca="false">MAX(I2210,H2211)</f>
        <v>43.9309628600509</v>
      </c>
      <c r="J2211" s="14" t="n">
        <f aca="false">I2211-H2211</f>
        <v>30.2973902028009</v>
      </c>
    </row>
    <row r="2212" customFormat="false" ht="15" hidden="false" customHeight="false" outlineLevel="0" collapsed="false">
      <c r="A2212" s="12" t="n">
        <f aca="false">Data!A2212</f>
        <v>45216</v>
      </c>
      <c r="B2212" s="14" t="n">
        <f aca="false">Data!B2212</f>
        <v>86.66</v>
      </c>
      <c r="C2212" s="0" t="str">
        <f aca="false">IF(Data!D2212="","HOLD",IF(AND(G2211&lt;&gt;"IN",Data!E2212&lt;-5),"BUY",IF(AND(G2211="IN",Data!E2212&gt;0),"SELL","HOLD")))</f>
        <v>HOLD</v>
      </c>
      <c r="D2212" s="14" t="n">
        <f aca="false">IF(C2212="BUY",B2212,IF(G2211="IN",D2211,""))</f>
        <v>84.22</v>
      </c>
      <c r="E2212" s="14" t="str">
        <f aca="false">IF(C2212="SELL",B2212,"")</f>
        <v/>
      </c>
      <c r="F2212" s="14" t="str">
        <f aca="false">IF(E2212="","",(E2212-D2212)/D2212*100)</f>
        <v/>
      </c>
      <c r="G2212" s="0" t="str">
        <f aca="false">IF(C2212="BUY","IN",IF(C2212="SELL","OUT",IF(G2211="IN","IN","OUT")))</f>
        <v>IN</v>
      </c>
      <c r="H2212" s="14" t="n">
        <f aca="false">H2211+IF(F2212="",0,F2212)</f>
        <v>13.63357265725</v>
      </c>
      <c r="I2212" s="14" t="n">
        <f aca="false">MAX(I2211,H2212)</f>
        <v>43.9309628600509</v>
      </c>
      <c r="J2212" s="14" t="n">
        <f aca="false">I2212-H2212</f>
        <v>30.2973902028009</v>
      </c>
    </row>
    <row r="2213" customFormat="false" ht="15" hidden="false" customHeight="false" outlineLevel="0" collapsed="false">
      <c r="A2213" s="12" t="n">
        <f aca="false">Data!A2213</f>
        <v>45217</v>
      </c>
      <c r="B2213" s="14" t="n">
        <f aca="false">Data!B2213</f>
        <v>88.32</v>
      </c>
      <c r="C2213" s="0" t="str">
        <f aca="false">IF(Data!D2213="","HOLD",IF(AND(G2212&lt;&gt;"IN",Data!E2213&lt;-5),"BUY",IF(AND(G2212="IN",Data!E2213&gt;0),"SELL","HOLD")))</f>
        <v>SELL</v>
      </c>
      <c r="D2213" s="14" t="n">
        <f aca="false">IF(C2213="BUY",B2213,IF(G2212="IN",D2212,""))</f>
        <v>84.22</v>
      </c>
      <c r="E2213" s="14" t="n">
        <f aca="false">IF(C2213="SELL",B2213,"")</f>
        <v>88.32</v>
      </c>
      <c r="F2213" s="14" t="n">
        <f aca="false">IF(E2213="","",(E2213-D2213)/D2213*100)</f>
        <v>4.86820232723818</v>
      </c>
      <c r="G2213" s="0" t="str">
        <f aca="false">IF(C2213="BUY","IN",IF(C2213="SELL","OUT",IF(G2212="IN","IN","OUT")))</f>
        <v>OUT</v>
      </c>
      <c r="H2213" s="14" t="n">
        <f aca="false">H2212+IF(F2213="",0,F2213)</f>
        <v>18.5017749844882</v>
      </c>
      <c r="I2213" s="14" t="n">
        <f aca="false">MAX(I2212,H2213)</f>
        <v>43.9309628600509</v>
      </c>
      <c r="J2213" s="14" t="n">
        <f aca="false">I2213-H2213</f>
        <v>25.4291878755627</v>
      </c>
    </row>
    <row r="2214" customFormat="false" ht="15" hidden="false" customHeight="false" outlineLevel="0" collapsed="false">
      <c r="A2214" s="12" t="n">
        <f aca="false">Data!A2214</f>
        <v>45218</v>
      </c>
      <c r="B2214" s="14" t="n">
        <f aca="false">Data!B2214</f>
        <v>89.37</v>
      </c>
      <c r="C2214" s="0" t="str">
        <f aca="false">IF(Data!D2214="","HOLD",IF(AND(G2213&lt;&gt;"IN",Data!E2214&lt;-5),"BUY",IF(AND(G2213="IN",Data!E2214&gt;0),"SELL","HOLD")))</f>
        <v>HOLD</v>
      </c>
      <c r="D2214" s="14" t="str">
        <f aca="false">IF(C2214="BUY",B2214,IF(G2213="IN",D2213,""))</f>
        <v/>
      </c>
      <c r="E2214" s="14" t="str">
        <f aca="false">IF(C2214="SELL",B2214,"")</f>
        <v/>
      </c>
      <c r="F2214" s="14" t="str">
        <f aca="false">IF(E2214="","",(E2214-D2214)/D2214*100)</f>
        <v/>
      </c>
      <c r="G2214" s="0" t="str">
        <f aca="false">IF(C2214="BUY","IN",IF(C2214="SELL","OUT",IF(G2213="IN","IN","OUT")))</f>
        <v>OUT</v>
      </c>
      <c r="H2214" s="14" t="n">
        <f aca="false">H2213+IF(F2214="",0,F2214)</f>
        <v>18.5017749844882</v>
      </c>
      <c r="I2214" s="14" t="n">
        <f aca="false">MAX(I2213,H2214)</f>
        <v>43.9309628600509</v>
      </c>
      <c r="J2214" s="14" t="n">
        <f aca="false">I2214-H2214</f>
        <v>25.4291878755627</v>
      </c>
    </row>
    <row r="2215" customFormat="false" ht="15" hidden="false" customHeight="false" outlineLevel="0" collapsed="false">
      <c r="A2215" s="12" t="n">
        <f aca="false">Data!A2215</f>
        <v>45219</v>
      </c>
      <c r="B2215" s="14" t="n">
        <f aca="false">Data!B2215</f>
        <v>88.75</v>
      </c>
      <c r="C2215" s="0" t="str">
        <f aca="false">IF(Data!D2215="","HOLD",IF(AND(G2214&lt;&gt;"IN",Data!E2215&lt;-5),"BUY",IF(AND(G2214="IN",Data!E2215&gt;0),"SELL","HOLD")))</f>
        <v>HOLD</v>
      </c>
      <c r="D2215" s="14" t="str">
        <f aca="false">IF(C2215="BUY",B2215,IF(G2214="IN",D2214,""))</f>
        <v/>
      </c>
      <c r="E2215" s="14" t="str">
        <f aca="false">IF(C2215="SELL",B2215,"")</f>
        <v/>
      </c>
      <c r="F2215" s="14" t="str">
        <f aca="false">IF(E2215="","",(E2215-D2215)/D2215*100)</f>
        <v/>
      </c>
      <c r="G2215" s="0" t="str">
        <f aca="false">IF(C2215="BUY","IN",IF(C2215="SELL","OUT",IF(G2214="IN","IN","OUT")))</f>
        <v>OUT</v>
      </c>
      <c r="H2215" s="14" t="n">
        <f aca="false">H2214+IF(F2215="",0,F2215)</f>
        <v>18.5017749844882</v>
      </c>
      <c r="I2215" s="14" t="n">
        <f aca="false">MAX(I2214,H2215)</f>
        <v>43.9309628600509</v>
      </c>
      <c r="J2215" s="14" t="n">
        <f aca="false">I2215-H2215</f>
        <v>25.4291878755627</v>
      </c>
    </row>
    <row r="2216" customFormat="false" ht="15" hidden="false" customHeight="false" outlineLevel="0" collapsed="false">
      <c r="A2216" s="12" t="n">
        <f aca="false">Data!A2216</f>
        <v>45222</v>
      </c>
      <c r="B2216" s="14" t="n">
        <f aca="false">Data!B2216</f>
        <v>85.49</v>
      </c>
      <c r="C2216" s="0" t="str">
        <f aca="false">IF(Data!D2216="","HOLD",IF(AND(G2215&lt;&gt;"IN",Data!E2216&lt;-5),"BUY",IF(AND(G2215="IN",Data!E2216&gt;0),"SELL","HOLD")))</f>
        <v>HOLD</v>
      </c>
      <c r="D2216" s="14" t="str">
        <f aca="false">IF(C2216="BUY",B2216,IF(G2215="IN",D2215,""))</f>
        <v/>
      </c>
      <c r="E2216" s="14" t="str">
        <f aca="false">IF(C2216="SELL",B2216,"")</f>
        <v/>
      </c>
      <c r="F2216" s="14" t="str">
        <f aca="false">IF(E2216="","",(E2216-D2216)/D2216*100)</f>
        <v/>
      </c>
      <c r="G2216" s="0" t="str">
        <f aca="false">IF(C2216="BUY","IN",IF(C2216="SELL","OUT",IF(G2215="IN","IN","OUT")))</f>
        <v>OUT</v>
      </c>
      <c r="H2216" s="14" t="n">
        <f aca="false">H2215+IF(F2216="",0,F2216)</f>
        <v>18.5017749844882</v>
      </c>
      <c r="I2216" s="14" t="n">
        <f aca="false">MAX(I2215,H2216)</f>
        <v>43.9309628600509</v>
      </c>
      <c r="J2216" s="14" t="n">
        <f aca="false">I2216-H2216</f>
        <v>25.4291878755627</v>
      </c>
    </row>
    <row r="2217" customFormat="false" ht="15" hidden="false" customHeight="false" outlineLevel="0" collapsed="false">
      <c r="A2217" s="12" t="n">
        <f aca="false">Data!A2217</f>
        <v>45223</v>
      </c>
      <c r="B2217" s="14" t="n">
        <f aca="false">Data!B2217</f>
        <v>83.74</v>
      </c>
      <c r="C2217" s="0" t="str">
        <f aca="false">IF(Data!D2217="","HOLD",IF(AND(G2216&lt;&gt;"IN",Data!E2217&lt;-5),"BUY",IF(AND(G2216="IN",Data!E2217&gt;0),"SELL","HOLD")))</f>
        <v>HOLD</v>
      </c>
      <c r="D2217" s="14" t="str">
        <f aca="false">IF(C2217="BUY",B2217,IF(G2216="IN",D2216,""))</f>
        <v/>
      </c>
      <c r="E2217" s="14" t="str">
        <f aca="false">IF(C2217="SELL",B2217,"")</f>
        <v/>
      </c>
      <c r="F2217" s="14" t="str">
        <f aca="false">IF(E2217="","",(E2217-D2217)/D2217*100)</f>
        <v/>
      </c>
      <c r="G2217" s="0" t="str">
        <f aca="false">IF(C2217="BUY","IN",IF(C2217="SELL","OUT",IF(G2216="IN","IN","OUT")))</f>
        <v>OUT</v>
      </c>
      <c r="H2217" s="14" t="n">
        <f aca="false">H2216+IF(F2217="",0,F2217)</f>
        <v>18.5017749844882</v>
      </c>
      <c r="I2217" s="14" t="n">
        <f aca="false">MAX(I2216,H2217)</f>
        <v>43.9309628600509</v>
      </c>
      <c r="J2217" s="14" t="n">
        <f aca="false">I2217-H2217</f>
        <v>25.4291878755627</v>
      </c>
    </row>
    <row r="2218" customFormat="false" ht="15" hidden="false" customHeight="false" outlineLevel="0" collapsed="false">
      <c r="A2218" s="12" t="n">
        <f aca="false">Data!A2218</f>
        <v>45224</v>
      </c>
      <c r="B2218" s="14" t="n">
        <f aca="false">Data!B2218</f>
        <v>85.39</v>
      </c>
      <c r="C2218" s="0" t="str">
        <f aca="false">IF(Data!D2218="","HOLD",IF(AND(G2217&lt;&gt;"IN",Data!E2218&lt;-5),"BUY",IF(AND(G2217="IN",Data!E2218&gt;0),"SELL","HOLD")))</f>
        <v>HOLD</v>
      </c>
      <c r="D2218" s="14" t="str">
        <f aca="false">IF(C2218="BUY",B2218,IF(G2217="IN",D2217,""))</f>
        <v/>
      </c>
      <c r="E2218" s="14" t="str">
        <f aca="false">IF(C2218="SELL",B2218,"")</f>
        <v/>
      </c>
      <c r="F2218" s="14" t="str">
        <f aca="false">IF(E2218="","",(E2218-D2218)/D2218*100)</f>
        <v/>
      </c>
      <c r="G2218" s="0" t="str">
        <f aca="false">IF(C2218="BUY","IN",IF(C2218="SELL","OUT",IF(G2217="IN","IN","OUT")))</f>
        <v>OUT</v>
      </c>
      <c r="H2218" s="14" t="n">
        <f aca="false">H2217+IF(F2218="",0,F2218)</f>
        <v>18.5017749844882</v>
      </c>
      <c r="I2218" s="14" t="n">
        <f aca="false">MAX(I2217,H2218)</f>
        <v>43.9309628600509</v>
      </c>
      <c r="J2218" s="14" t="n">
        <f aca="false">I2218-H2218</f>
        <v>25.4291878755627</v>
      </c>
    </row>
    <row r="2219" customFormat="false" ht="15" hidden="false" customHeight="false" outlineLevel="0" collapsed="false">
      <c r="A2219" s="12" t="n">
        <f aca="false">Data!A2219</f>
        <v>45225</v>
      </c>
      <c r="B2219" s="14" t="n">
        <f aca="false">Data!B2219</f>
        <v>83.21</v>
      </c>
      <c r="C2219" s="0" t="str">
        <f aca="false">IF(Data!D2219="","HOLD",IF(AND(G2218&lt;&gt;"IN",Data!E2219&lt;-5),"BUY",IF(AND(G2218="IN",Data!E2219&gt;0),"SELL","HOLD")))</f>
        <v>HOLD</v>
      </c>
      <c r="D2219" s="14" t="str">
        <f aca="false">IF(C2219="BUY",B2219,IF(G2218="IN",D2218,""))</f>
        <v/>
      </c>
      <c r="E2219" s="14" t="str">
        <f aca="false">IF(C2219="SELL",B2219,"")</f>
        <v/>
      </c>
      <c r="F2219" s="14" t="str">
        <f aca="false">IF(E2219="","",(E2219-D2219)/D2219*100)</f>
        <v/>
      </c>
      <c r="G2219" s="0" t="str">
        <f aca="false">IF(C2219="BUY","IN",IF(C2219="SELL","OUT",IF(G2218="IN","IN","OUT")))</f>
        <v>OUT</v>
      </c>
      <c r="H2219" s="14" t="n">
        <f aca="false">H2218+IF(F2219="",0,F2219)</f>
        <v>18.5017749844882</v>
      </c>
      <c r="I2219" s="14" t="n">
        <f aca="false">MAX(I2218,H2219)</f>
        <v>43.9309628600509</v>
      </c>
      <c r="J2219" s="14" t="n">
        <f aca="false">I2219-H2219</f>
        <v>25.4291878755627</v>
      </c>
    </row>
    <row r="2220" customFormat="false" ht="15" hidden="false" customHeight="false" outlineLevel="0" collapsed="false">
      <c r="A2220" s="12" t="n">
        <f aca="false">Data!A2220</f>
        <v>45226</v>
      </c>
      <c r="B2220" s="14" t="n">
        <f aca="false">Data!B2220</f>
        <v>85.54</v>
      </c>
      <c r="C2220" s="0" t="str">
        <f aca="false">IF(Data!D2220="","HOLD",IF(AND(G2219&lt;&gt;"IN",Data!E2220&lt;-5),"BUY",IF(AND(G2219="IN",Data!E2220&gt;0),"SELL","HOLD")))</f>
        <v>HOLD</v>
      </c>
      <c r="D2220" s="14" t="str">
        <f aca="false">IF(C2220="BUY",B2220,IF(G2219="IN",D2219,""))</f>
        <v/>
      </c>
      <c r="E2220" s="14" t="str">
        <f aca="false">IF(C2220="SELL",B2220,"")</f>
        <v/>
      </c>
      <c r="F2220" s="14" t="str">
        <f aca="false">IF(E2220="","",(E2220-D2220)/D2220*100)</f>
        <v/>
      </c>
      <c r="G2220" s="0" t="str">
        <f aca="false">IF(C2220="BUY","IN",IF(C2220="SELL","OUT",IF(G2219="IN","IN","OUT")))</f>
        <v>OUT</v>
      </c>
      <c r="H2220" s="14" t="n">
        <f aca="false">H2219+IF(F2220="",0,F2220)</f>
        <v>18.5017749844882</v>
      </c>
      <c r="I2220" s="14" t="n">
        <f aca="false">MAX(I2219,H2220)</f>
        <v>43.9309628600509</v>
      </c>
      <c r="J2220" s="14" t="n">
        <f aca="false">I2220-H2220</f>
        <v>25.4291878755627</v>
      </c>
    </row>
    <row r="2221" customFormat="false" ht="15" hidden="false" customHeight="false" outlineLevel="0" collapsed="false">
      <c r="A2221" s="12" t="n">
        <f aca="false">Data!A2221</f>
        <v>45229</v>
      </c>
      <c r="B2221" s="14" t="n">
        <f aca="false">Data!B2221</f>
        <v>82.31</v>
      </c>
      <c r="C2221" s="0" t="str">
        <f aca="false">IF(Data!D2221="","HOLD",IF(AND(G2220&lt;&gt;"IN",Data!E2221&lt;-5),"BUY",IF(AND(G2220="IN",Data!E2221&gt;0),"SELL","HOLD")))</f>
        <v>HOLD</v>
      </c>
      <c r="D2221" s="14" t="str">
        <f aca="false">IF(C2221="BUY",B2221,IF(G2220="IN",D2220,""))</f>
        <v/>
      </c>
      <c r="E2221" s="14" t="str">
        <f aca="false">IF(C2221="SELL",B2221,"")</f>
        <v/>
      </c>
      <c r="F2221" s="14" t="str">
        <f aca="false">IF(E2221="","",(E2221-D2221)/D2221*100)</f>
        <v/>
      </c>
      <c r="G2221" s="0" t="str">
        <f aca="false">IF(C2221="BUY","IN",IF(C2221="SELL","OUT",IF(G2220="IN","IN","OUT")))</f>
        <v>OUT</v>
      </c>
      <c r="H2221" s="14" t="n">
        <f aca="false">H2220+IF(F2221="",0,F2221)</f>
        <v>18.5017749844882</v>
      </c>
      <c r="I2221" s="14" t="n">
        <f aca="false">MAX(I2220,H2221)</f>
        <v>43.9309628600509</v>
      </c>
      <c r="J2221" s="14" t="n">
        <f aca="false">I2221-H2221</f>
        <v>25.4291878755627</v>
      </c>
    </row>
    <row r="2222" customFormat="false" ht="15" hidden="false" customHeight="false" outlineLevel="0" collapsed="false">
      <c r="A2222" s="12" t="n">
        <f aca="false">Data!A2222</f>
        <v>45230</v>
      </c>
      <c r="B2222" s="14" t="n">
        <f aca="false">Data!B2222</f>
        <v>81.02</v>
      </c>
      <c r="C2222" s="0" t="str">
        <f aca="false">IF(Data!D2222="","HOLD",IF(AND(G2221&lt;&gt;"IN",Data!E2222&lt;-5),"BUY",IF(AND(G2221="IN",Data!E2222&gt;0),"SELL","HOLD")))</f>
        <v>HOLD</v>
      </c>
      <c r="D2222" s="14" t="str">
        <f aca="false">IF(C2222="BUY",B2222,IF(G2221="IN",D2221,""))</f>
        <v/>
      </c>
      <c r="E2222" s="14" t="str">
        <f aca="false">IF(C2222="SELL",B2222,"")</f>
        <v/>
      </c>
      <c r="F2222" s="14" t="str">
        <f aca="false">IF(E2222="","",(E2222-D2222)/D2222*100)</f>
        <v/>
      </c>
      <c r="G2222" s="0" t="str">
        <f aca="false">IF(C2222="BUY","IN",IF(C2222="SELL","OUT",IF(G2221="IN","IN","OUT")))</f>
        <v>OUT</v>
      </c>
      <c r="H2222" s="14" t="n">
        <f aca="false">H2221+IF(F2222="",0,F2222)</f>
        <v>18.5017749844882</v>
      </c>
      <c r="I2222" s="14" t="n">
        <f aca="false">MAX(I2221,H2222)</f>
        <v>43.9309628600509</v>
      </c>
      <c r="J2222" s="14" t="n">
        <f aca="false">I2222-H2222</f>
        <v>25.4291878755627</v>
      </c>
    </row>
    <row r="2223" customFormat="false" ht="15" hidden="false" customHeight="false" outlineLevel="0" collapsed="false">
      <c r="A2223" s="12" t="n">
        <f aca="false">Data!A2223</f>
        <v>45231</v>
      </c>
      <c r="B2223" s="14" t="n">
        <f aca="false">Data!B2223</f>
        <v>80.44</v>
      </c>
      <c r="C2223" s="0" t="str">
        <f aca="false">IF(Data!D2223="","HOLD",IF(AND(G2222&lt;&gt;"IN",Data!E2223&lt;-5),"BUY",IF(AND(G2222="IN",Data!E2223&gt;0),"SELL","HOLD")))</f>
        <v>BUY</v>
      </c>
      <c r="D2223" s="14" t="n">
        <f aca="false">IF(C2223="BUY",B2223,IF(G2222="IN",D2222,""))</f>
        <v>80.44</v>
      </c>
      <c r="E2223" s="14" t="str">
        <f aca="false">IF(C2223="SELL",B2223,"")</f>
        <v/>
      </c>
      <c r="F2223" s="14" t="str">
        <f aca="false">IF(E2223="","",(E2223-D2223)/D2223*100)</f>
        <v/>
      </c>
      <c r="G2223" s="0" t="str">
        <f aca="false">IF(C2223="BUY","IN",IF(C2223="SELL","OUT",IF(G2222="IN","IN","OUT")))</f>
        <v>IN</v>
      </c>
      <c r="H2223" s="14" t="n">
        <f aca="false">H2222+IF(F2223="",0,F2223)</f>
        <v>18.5017749844882</v>
      </c>
      <c r="I2223" s="14" t="n">
        <f aca="false">MAX(I2222,H2223)</f>
        <v>43.9309628600509</v>
      </c>
      <c r="J2223" s="14" t="n">
        <f aca="false">I2223-H2223</f>
        <v>25.4291878755627</v>
      </c>
    </row>
    <row r="2224" customFormat="false" ht="15" hidden="false" customHeight="false" outlineLevel="0" collapsed="false">
      <c r="A2224" s="12" t="n">
        <f aca="false">Data!A2224</f>
        <v>45232</v>
      </c>
      <c r="B2224" s="14" t="n">
        <f aca="false">Data!B2224</f>
        <v>82.46</v>
      </c>
      <c r="C2224" s="0" t="str">
        <f aca="false">IF(Data!D2224="","HOLD",IF(AND(G2223&lt;&gt;"IN",Data!E2224&lt;-5),"BUY",IF(AND(G2223="IN",Data!E2224&gt;0),"SELL","HOLD")))</f>
        <v>HOLD</v>
      </c>
      <c r="D2224" s="14" t="n">
        <f aca="false">IF(C2224="BUY",B2224,IF(G2223="IN",D2223,""))</f>
        <v>80.44</v>
      </c>
      <c r="E2224" s="14" t="str">
        <f aca="false">IF(C2224="SELL",B2224,"")</f>
        <v/>
      </c>
      <c r="F2224" s="14" t="str">
        <f aca="false">IF(E2224="","",(E2224-D2224)/D2224*100)</f>
        <v/>
      </c>
      <c r="G2224" s="0" t="str">
        <f aca="false">IF(C2224="BUY","IN",IF(C2224="SELL","OUT",IF(G2223="IN","IN","OUT")))</f>
        <v>IN</v>
      </c>
      <c r="H2224" s="14" t="n">
        <f aca="false">H2223+IF(F2224="",0,F2224)</f>
        <v>18.5017749844882</v>
      </c>
      <c r="I2224" s="14" t="n">
        <f aca="false">MAX(I2223,H2224)</f>
        <v>43.9309628600509</v>
      </c>
      <c r="J2224" s="14" t="n">
        <f aca="false">I2224-H2224</f>
        <v>25.4291878755627</v>
      </c>
    </row>
    <row r="2225" customFormat="false" ht="15" hidden="false" customHeight="false" outlineLevel="0" collapsed="false">
      <c r="A2225" s="12" t="n">
        <f aca="false">Data!A2225</f>
        <v>45233</v>
      </c>
      <c r="B2225" s="14" t="n">
        <f aca="false">Data!B2225</f>
        <v>80.51</v>
      </c>
      <c r="C2225" s="0" t="str">
        <f aca="false">IF(Data!D2225="","HOLD",IF(AND(G2224&lt;&gt;"IN",Data!E2225&lt;-5),"BUY",IF(AND(G2224="IN",Data!E2225&gt;0),"SELL","HOLD")))</f>
        <v>HOLD</v>
      </c>
      <c r="D2225" s="14" t="n">
        <f aca="false">IF(C2225="BUY",B2225,IF(G2224="IN",D2224,""))</f>
        <v>80.44</v>
      </c>
      <c r="E2225" s="14" t="str">
        <f aca="false">IF(C2225="SELL",B2225,"")</f>
        <v/>
      </c>
      <c r="F2225" s="14" t="str">
        <f aca="false">IF(E2225="","",(E2225-D2225)/D2225*100)</f>
        <v/>
      </c>
      <c r="G2225" s="0" t="str">
        <f aca="false">IF(C2225="BUY","IN",IF(C2225="SELL","OUT",IF(G2224="IN","IN","OUT")))</f>
        <v>IN</v>
      </c>
      <c r="H2225" s="14" t="n">
        <f aca="false">H2224+IF(F2225="",0,F2225)</f>
        <v>18.5017749844882</v>
      </c>
      <c r="I2225" s="14" t="n">
        <f aca="false">MAX(I2224,H2225)</f>
        <v>43.9309628600509</v>
      </c>
      <c r="J2225" s="14" t="n">
        <f aca="false">I2225-H2225</f>
        <v>25.4291878755627</v>
      </c>
    </row>
    <row r="2226" customFormat="false" ht="15" hidden="false" customHeight="false" outlineLevel="0" collapsed="false">
      <c r="A2226" s="12" t="n">
        <f aca="false">Data!A2226</f>
        <v>45236</v>
      </c>
      <c r="B2226" s="14" t="n">
        <f aca="false">Data!B2226</f>
        <v>80.82</v>
      </c>
      <c r="C2226" s="0" t="str">
        <f aca="false">IF(Data!D2226="","HOLD",IF(AND(G2225&lt;&gt;"IN",Data!E2226&lt;-5),"BUY",IF(AND(G2225="IN",Data!E2226&gt;0),"SELL","HOLD")))</f>
        <v>HOLD</v>
      </c>
      <c r="D2226" s="14" t="n">
        <f aca="false">IF(C2226="BUY",B2226,IF(G2225="IN",D2225,""))</f>
        <v>80.44</v>
      </c>
      <c r="E2226" s="14" t="str">
        <f aca="false">IF(C2226="SELL",B2226,"")</f>
        <v/>
      </c>
      <c r="F2226" s="14" t="str">
        <f aca="false">IF(E2226="","",(E2226-D2226)/D2226*100)</f>
        <v/>
      </c>
      <c r="G2226" s="0" t="str">
        <f aca="false">IF(C2226="BUY","IN",IF(C2226="SELL","OUT",IF(G2225="IN","IN","OUT")))</f>
        <v>IN</v>
      </c>
      <c r="H2226" s="14" t="n">
        <f aca="false">H2225+IF(F2226="",0,F2226)</f>
        <v>18.5017749844882</v>
      </c>
      <c r="I2226" s="14" t="n">
        <f aca="false">MAX(I2225,H2226)</f>
        <v>43.9309628600509</v>
      </c>
      <c r="J2226" s="14" t="n">
        <f aca="false">I2226-H2226</f>
        <v>25.4291878755627</v>
      </c>
    </row>
    <row r="2227" customFormat="false" ht="15" hidden="false" customHeight="false" outlineLevel="0" collapsed="false">
      <c r="A2227" s="12" t="n">
        <f aca="false">Data!A2227</f>
        <v>45237</v>
      </c>
      <c r="B2227" s="14" t="n">
        <f aca="false">Data!B2227</f>
        <v>77.37</v>
      </c>
      <c r="C2227" s="0" t="str">
        <f aca="false">IF(Data!D2227="","HOLD",IF(AND(G2226&lt;&gt;"IN",Data!E2227&lt;-5),"BUY",IF(AND(G2226="IN",Data!E2227&gt;0),"SELL","HOLD")))</f>
        <v>HOLD</v>
      </c>
      <c r="D2227" s="14" t="n">
        <f aca="false">IF(C2227="BUY",B2227,IF(G2226="IN",D2226,""))</f>
        <v>80.44</v>
      </c>
      <c r="E2227" s="14" t="str">
        <f aca="false">IF(C2227="SELL",B2227,"")</f>
        <v/>
      </c>
      <c r="F2227" s="14" t="str">
        <f aca="false">IF(E2227="","",(E2227-D2227)/D2227*100)</f>
        <v/>
      </c>
      <c r="G2227" s="0" t="str">
        <f aca="false">IF(C2227="BUY","IN",IF(C2227="SELL","OUT",IF(G2226="IN","IN","OUT")))</f>
        <v>IN</v>
      </c>
      <c r="H2227" s="14" t="n">
        <f aca="false">H2226+IF(F2227="",0,F2227)</f>
        <v>18.5017749844882</v>
      </c>
      <c r="I2227" s="14" t="n">
        <f aca="false">MAX(I2226,H2227)</f>
        <v>43.9309628600509</v>
      </c>
      <c r="J2227" s="14" t="n">
        <f aca="false">I2227-H2227</f>
        <v>25.4291878755627</v>
      </c>
    </row>
    <row r="2228" customFormat="false" ht="15" hidden="false" customHeight="false" outlineLevel="0" collapsed="false">
      <c r="A2228" s="12" t="n">
        <f aca="false">Data!A2228</f>
        <v>45238</v>
      </c>
      <c r="B2228" s="14" t="n">
        <f aca="false">Data!B2228</f>
        <v>75.33</v>
      </c>
      <c r="C2228" s="0" t="str">
        <f aca="false">IF(Data!D2228="","HOLD",IF(AND(G2227&lt;&gt;"IN",Data!E2228&lt;-5),"BUY",IF(AND(G2227="IN",Data!E2228&gt;0),"SELL","HOLD")))</f>
        <v>HOLD</v>
      </c>
      <c r="D2228" s="14" t="n">
        <f aca="false">IF(C2228="BUY",B2228,IF(G2227="IN",D2227,""))</f>
        <v>80.44</v>
      </c>
      <c r="E2228" s="14" t="str">
        <f aca="false">IF(C2228="SELL",B2228,"")</f>
        <v/>
      </c>
      <c r="F2228" s="14" t="str">
        <f aca="false">IF(E2228="","",(E2228-D2228)/D2228*100)</f>
        <v/>
      </c>
      <c r="G2228" s="0" t="str">
        <f aca="false">IF(C2228="BUY","IN",IF(C2228="SELL","OUT",IF(G2227="IN","IN","OUT")))</f>
        <v>IN</v>
      </c>
      <c r="H2228" s="14" t="n">
        <f aca="false">H2227+IF(F2228="",0,F2228)</f>
        <v>18.5017749844882</v>
      </c>
      <c r="I2228" s="14" t="n">
        <f aca="false">MAX(I2227,H2228)</f>
        <v>43.9309628600509</v>
      </c>
      <c r="J2228" s="14" t="n">
        <f aca="false">I2228-H2228</f>
        <v>25.4291878755627</v>
      </c>
    </row>
    <row r="2229" customFormat="false" ht="15" hidden="false" customHeight="false" outlineLevel="0" collapsed="false">
      <c r="A2229" s="12" t="n">
        <f aca="false">Data!A2229</f>
        <v>45239</v>
      </c>
      <c r="B2229" s="14" t="n">
        <f aca="false">Data!B2229</f>
        <v>75.74</v>
      </c>
      <c r="C2229" s="0" t="str">
        <f aca="false">IF(Data!D2229="","HOLD",IF(AND(G2228&lt;&gt;"IN",Data!E2229&lt;-5),"BUY",IF(AND(G2228="IN",Data!E2229&gt;0),"SELL","HOLD")))</f>
        <v>HOLD</v>
      </c>
      <c r="D2229" s="14" t="n">
        <f aca="false">IF(C2229="BUY",B2229,IF(G2228="IN",D2228,""))</f>
        <v>80.44</v>
      </c>
      <c r="E2229" s="14" t="str">
        <f aca="false">IF(C2229="SELL",B2229,"")</f>
        <v/>
      </c>
      <c r="F2229" s="14" t="str">
        <f aca="false">IF(E2229="","",(E2229-D2229)/D2229*100)</f>
        <v/>
      </c>
      <c r="G2229" s="0" t="str">
        <f aca="false">IF(C2229="BUY","IN",IF(C2229="SELL","OUT",IF(G2228="IN","IN","OUT")))</f>
        <v>IN</v>
      </c>
      <c r="H2229" s="14" t="n">
        <f aca="false">H2228+IF(F2229="",0,F2229)</f>
        <v>18.5017749844882</v>
      </c>
      <c r="I2229" s="14" t="n">
        <f aca="false">MAX(I2228,H2229)</f>
        <v>43.9309628600509</v>
      </c>
      <c r="J2229" s="14" t="n">
        <f aca="false">I2229-H2229</f>
        <v>25.4291878755627</v>
      </c>
    </row>
    <row r="2230" customFormat="false" ht="15" hidden="false" customHeight="false" outlineLevel="0" collapsed="false">
      <c r="A2230" s="12" t="n">
        <f aca="false">Data!A2230</f>
        <v>45240</v>
      </c>
      <c r="B2230" s="14" t="n">
        <f aca="false">Data!B2230</f>
        <v>77.17</v>
      </c>
      <c r="C2230" s="0" t="str">
        <f aca="false">IF(Data!D2230="","HOLD",IF(AND(G2229&lt;&gt;"IN",Data!E2230&lt;-5),"BUY",IF(AND(G2229="IN",Data!E2230&gt;0),"SELL","HOLD")))</f>
        <v>HOLD</v>
      </c>
      <c r="D2230" s="14" t="n">
        <f aca="false">IF(C2230="BUY",B2230,IF(G2229="IN",D2229,""))</f>
        <v>80.44</v>
      </c>
      <c r="E2230" s="14" t="str">
        <f aca="false">IF(C2230="SELL",B2230,"")</f>
        <v/>
      </c>
      <c r="F2230" s="14" t="str">
        <f aca="false">IF(E2230="","",(E2230-D2230)/D2230*100)</f>
        <v/>
      </c>
      <c r="G2230" s="0" t="str">
        <f aca="false">IF(C2230="BUY","IN",IF(C2230="SELL","OUT",IF(G2229="IN","IN","OUT")))</f>
        <v>IN</v>
      </c>
      <c r="H2230" s="14" t="n">
        <f aca="false">H2229+IF(F2230="",0,F2230)</f>
        <v>18.5017749844882</v>
      </c>
      <c r="I2230" s="14" t="n">
        <f aca="false">MAX(I2229,H2230)</f>
        <v>43.9309628600509</v>
      </c>
      <c r="J2230" s="14" t="n">
        <f aca="false">I2230-H2230</f>
        <v>25.4291878755627</v>
      </c>
    </row>
    <row r="2231" customFormat="false" ht="15" hidden="false" customHeight="false" outlineLevel="0" collapsed="false">
      <c r="A2231" s="12" t="n">
        <f aca="false">Data!A2231</f>
        <v>45243</v>
      </c>
      <c r="B2231" s="14" t="n">
        <f aca="false">Data!B2231</f>
        <v>78.26</v>
      </c>
      <c r="C2231" s="0" t="str">
        <f aca="false">IF(Data!D2231="","HOLD",IF(AND(G2230&lt;&gt;"IN",Data!E2231&lt;-5),"BUY",IF(AND(G2230="IN",Data!E2231&gt;0),"SELL","HOLD")))</f>
        <v>HOLD</v>
      </c>
      <c r="D2231" s="14" t="n">
        <f aca="false">IF(C2231="BUY",B2231,IF(G2230="IN",D2230,""))</f>
        <v>80.44</v>
      </c>
      <c r="E2231" s="14" t="str">
        <f aca="false">IF(C2231="SELL",B2231,"")</f>
        <v/>
      </c>
      <c r="F2231" s="14" t="str">
        <f aca="false">IF(E2231="","",(E2231-D2231)/D2231*100)</f>
        <v/>
      </c>
      <c r="G2231" s="0" t="str">
        <f aca="false">IF(C2231="BUY","IN",IF(C2231="SELL","OUT",IF(G2230="IN","IN","OUT")))</f>
        <v>IN</v>
      </c>
      <c r="H2231" s="14" t="n">
        <f aca="false">H2230+IF(F2231="",0,F2231)</f>
        <v>18.5017749844882</v>
      </c>
      <c r="I2231" s="14" t="n">
        <f aca="false">MAX(I2230,H2231)</f>
        <v>43.9309628600509</v>
      </c>
      <c r="J2231" s="14" t="n">
        <f aca="false">I2231-H2231</f>
        <v>25.4291878755627</v>
      </c>
    </row>
    <row r="2232" customFormat="false" ht="15" hidden="false" customHeight="false" outlineLevel="0" collapsed="false">
      <c r="A2232" s="12" t="n">
        <f aca="false">Data!A2232</f>
        <v>45244</v>
      </c>
      <c r="B2232" s="14" t="n">
        <f aca="false">Data!B2232</f>
        <v>78.26</v>
      </c>
      <c r="C2232" s="0" t="str">
        <f aca="false">IF(Data!D2232="","HOLD",IF(AND(G2231&lt;&gt;"IN",Data!E2232&lt;-5),"BUY",IF(AND(G2231="IN",Data!E2232&gt;0),"SELL","HOLD")))</f>
        <v>HOLD</v>
      </c>
      <c r="D2232" s="14" t="n">
        <f aca="false">IF(C2232="BUY",B2232,IF(G2231="IN",D2231,""))</f>
        <v>80.44</v>
      </c>
      <c r="E2232" s="14" t="str">
        <f aca="false">IF(C2232="SELL",B2232,"")</f>
        <v/>
      </c>
      <c r="F2232" s="14" t="str">
        <f aca="false">IF(E2232="","",(E2232-D2232)/D2232*100)</f>
        <v/>
      </c>
      <c r="G2232" s="0" t="str">
        <f aca="false">IF(C2232="BUY","IN",IF(C2232="SELL","OUT",IF(G2231="IN","IN","OUT")))</f>
        <v>IN</v>
      </c>
      <c r="H2232" s="14" t="n">
        <f aca="false">H2231+IF(F2232="",0,F2232)</f>
        <v>18.5017749844882</v>
      </c>
      <c r="I2232" s="14" t="n">
        <f aca="false">MAX(I2231,H2232)</f>
        <v>43.9309628600509</v>
      </c>
      <c r="J2232" s="14" t="n">
        <f aca="false">I2232-H2232</f>
        <v>25.4291878755627</v>
      </c>
    </row>
    <row r="2233" customFormat="false" ht="15" hidden="false" customHeight="false" outlineLevel="0" collapsed="false">
      <c r="A2233" s="12" t="n">
        <f aca="false">Data!A2233</f>
        <v>45245</v>
      </c>
      <c r="B2233" s="14" t="n">
        <f aca="false">Data!B2233</f>
        <v>76.66</v>
      </c>
      <c r="C2233" s="0" t="str">
        <f aca="false">IF(Data!D2233="","HOLD",IF(AND(G2232&lt;&gt;"IN",Data!E2233&lt;-5),"BUY",IF(AND(G2232="IN",Data!E2233&gt;0),"SELL","HOLD")))</f>
        <v>HOLD</v>
      </c>
      <c r="D2233" s="14" t="n">
        <f aca="false">IF(C2233="BUY",B2233,IF(G2232="IN",D2232,""))</f>
        <v>80.44</v>
      </c>
      <c r="E2233" s="14" t="str">
        <f aca="false">IF(C2233="SELL",B2233,"")</f>
        <v/>
      </c>
      <c r="F2233" s="14" t="str">
        <f aca="false">IF(E2233="","",(E2233-D2233)/D2233*100)</f>
        <v/>
      </c>
      <c r="G2233" s="0" t="str">
        <f aca="false">IF(C2233="BUY","IN",IF(C2233="SELL","OUT",IF(G2232="IN","IN","OUT")))</f>
        <v>IN</v>
      </c>
      <c r="H2233" s="14" t="n">
        <f aca="false">H2232+IF(F2233="",0,F2233)</f>
        <v>18.5017749844882</v>
      </c>
      <c r="I2233" s="14" t="n">
        <f aca="false">MAX(I2232,H2233)</f>
        <v>43.9309628600509</v>
      </c>
      <c r="J2233" s="14" t="n">
        <f aca="false">I2233-H2233</f>
        <v>25.4291878755627</v>
      </c>
    </row>
    <row r="2234" customFormat="false" ht="15" hidden="false" customHeight="false" outlineLevel="0" collapsed="false">
      <c r="A2234" s="12" t="n">
        <f aca="false">Data!A2234</f>
        <v>45246</v>
      </c>
      <c r="B2234" s="14" t="n">
        <f aca="false">Data!B2234</f>
        <v>72.9</v>
      </c>
      <c r="C2234" s="0" t="str">
        <f aca="false">IF(Data!D2234="","HOLD",IF(AND(G2233&lt;&gt;"IN",Data!E2234&lt;-5),"BUY",IF(AND(G2233="IN",Data!E2234&gt;0),"SELL","HOLD")))</f>
        <v>HOLD</v>
      </c>
      <c r="D2234" s="14" t="n">
        <f aca="false">IF(C2234="BUY",B2234,IF(G2233="IN",D2233,""))</f>
        <v>80.44</v>
      </c>
      <c r="E2234" s="14" t="str">
        <f aca="false">IF(C2234="SELL",B2234,"")</f>
        <v/>
      </c>
      <c r="F2234" s="14" t="str">
        <f aca="false">IF(E2234="","",(E2234-D2234)/D2234*100)</f>
        <v/>
      </c>
      <c r="G2234" s="0" t="str">
        <f aca="false">IF(C2234="BUY","IN",IF(C2234="SELL","OUT",IF(G2233="IN","IN","OUT")))</f>
        <v>IN</v>
      </c>
      <c r="H2234" s="14" t="n">
        <f aca="false">H2233+IF(F2234="",0,F2234)</f>
        <v>18.5017749844882</v>
      </c>
      <c r="I2234" s="14" t="n">
        <f aca="false">MAX(I2233,H2234)</f>
        <v>43.9309628600509</v>
      </c>
      <c r="J2234" s="14" t="n">
        <f aca="false">I2234-H2234</f>
        <v>25.4291878755627</v>
      </c>
    </row>
    <row r="2235" customFormat="false" ht="15" hidden="false" customHeight="false" outlineLevel="0" collapsed="false">
      <c r="A2235" s="12" t="n">
        <f aca="false">Data!A2235</f>
        <v>45247</v>
      </c>
      <c r="B2235" s="14" t="n">
        <f aca="false">Data!B2235</f>
        <v>75.89</v>
      </c>
      <c r="C2235" s="0" t="str">
        <f aca="false">IF(Data!D2235="","HOLD",IF(AND(G2234&lt;&gt;"IN",Data!E2235&lt;-5),"BUY",IF(AND(G2234="IN",Data!E2235&gt;0),"SELL","HOLD")))</f>
        <v>HOLD</v>
      </c>
      <c r="D2235" s="14" t="n">
        <f aca="false">IF(C2235="BUY",B2235,IF(G2234="IN",D2234,""))</f>
        <v>80.44</v>
      </c>
      <c r="E2235" s="14" t="str">
        <f aca="false">IF(C2235="SELL",B2235,"")</f>
        <v/>
      </c>
      <c r="F2235" s="14" t="str">
        <f aca="false">IF(E2235="","",(E2235-D2235)/D2235*100)</f>
        <v/>
      </c>
      <c r="G2235" s="0" t="str">
        <f aca="false">IF(C2235="BUY","IN",IF(C2235="SELL","OUT",IF(G2234="IN","IN","OUT")))</f>
        <v>IN</v>
      </c>
      <c r="H2235" s="14" t="n">
        <f aca="false">H2234+IF(F2235="",0,F2235)</f>
        <v>18.5017749844882</v>
      </c>
      <c r="I2235" s="14" t="n">
        <f aca="false">MAX(I2234,H2235)</f>
        <v>43.9309628600509</v>
      </c>
      <c r="J2235" s="14" t="n">
        <f aca="false">I2235-H2235</f>
        <v>25.4291878755627</v>
      </c>
    </row>
    <row r="2236" customFormat="false" ht="15" hidden="false" customHeight="false" outlineLevel="0" collapsed="false">
      <c r="A2236" s="12" t="n">
        <f aca="false">Data!A2236</f>
        <v>45250</v>
      </c>
      <c r="B2236" s="14" t="n">
        <f aca="false">Data!B2236</f>
        <v>77.6</v>
      </c>
      <c r="C2236" s="0" t="str">
        <f aca="false">IF(Data!D2236="","HOLD",IF(AND(G2235&lt;&gt;"IN",Data!E2236&lt;-5),"BUY",IF(AND(G2235="IN",Data!E2236&gt;0),"SELL","HOLD")))</f>
        <v>HOLD</v>
      </c>
      <c r="D2236" s="14" t="n">
        <f aca="false">IF(C2236="BUY",B2236,IF(G2235="IN",D2235,""))</f>
        <v>80.44</v>
      </c>
      <c r="E2236" s="14" t="str">
        <f aca="false">IF(C2236="SELL",B2236,"")</f>
        <v/>
      </c>
      <c r="F2236" s="14" t="str">
        <f aca="false">IF(E2236="","",(E2236-D2236)/D2236*100)</f>
        <v/>
      </c>
      <c r="G2236" s="0" t="str">
        <f aca="false">IF(C2236="BUY","IN",IF(C2236="SELL","OUT",IF(G2235="IN","IN","OUT")))</f>
        <v>IN</v>
      </c>
      <c r="H2236" s="14" t="n">
        <f aca="false">H2235+IF(F2236="",0,F2236)</f>
        <v>18.5017749844882</v>
      </c>
      <c r="I2236" s="14" t="n">
        <f aca="false">MAX(I2235,H2236)</f>
        <v>43.9309628600509</v>
      </c>
      <c r="J2236" s="14" t="n">
        <f aca="false">I2236-H2236</f>
        <v>25.4291878755627</v>
      </c>
    </row>
    <row r="2237" customFormat="false" ht="15" hidden="false" customHeight="false" outlineLevel="0" collapsed="false">
      <c r="A2237" s="12" t="n">
        <f aca="false">Data!A2237</f>
        <v>45251</v>
      </c>
      <c r="B2237" s="14" t="n">
        <f aca="false">Data!B2237</f>
        <v>77.77</v>
      </c>
      <c r="C2237" s="0" t="str">
        <f aca="false">IF(Data!D2237="","HOLD",IF(AND(G2236&lt;&gt;"IN",Data!E2237&lt;-5),"BUY",IF(AND(G2236="IN",Data!E2237&gt;0),"SELL","HOLD")))</f>
        <v>HOLD</v>
      </c>
      <c r="D2237" s="14" t="n">
        <f aca="false">IF(C2237="BUY",B2237,IF(G2236="IN",D2236,""))</f>
        <v>80.44</v>
      </c>
      <c r="E2237" s="14" t="str">
        <f aca="false">IF(C2237="SELL",B2237,"")</f>
        <v/>
      </c>
      <c r="F2237" s="14" t="str">
        <f aca="false">IF(E2237="","",(E2237-D2237)/D2237*100)</f>
        <v/>
      </c>
      <c r="G2237" s="0" t="str">
        <f aca="false">IF(C2237="BUY","IN",IF(C2237="SELL","OUT",IF(G2236="IN","IN","OUT")))</f>
        <v>IN</v>
      </c>
      <c r="H2237" s="14" t="n">
        <f aca="false">H2236+IF(F2237="",0,F2237)</f>
        <v>18.5017749844882</v>
      </c>
      <c r="I2237" s="14" t="n">
        <f aca="false">MAX(I2236,H2237)</f>
        <v>43.9309628600509</v>
      </c>
      <c r="J2237" s="14" t="n">
        <f aca="false">I2237-H2237</f>
        <v>25.4291878755627</v>
      </c>
    </row>
    <row r="2238" customFormat="false" ht="15" hidden="false" customHeight="false" outlineLevel="0" collapsed="false">
      <c r="A2238" s="12" t="n">
        <f aca="false">Data!A2238</f>
        <v>45252</v>
      </c>
      <c r="B2238" s="14" t="n">
        <f aca="false">Data!B2238</f>
        <v>77.1</v>
      </c>
      <c r="C2238" s="0" t="str">
        <f aca="false">IF(Data!D2238="","HOLD",IF(AND(G2237&lt;&gt;"IN",Data!E2238&lt;-5),"BUY",IF(AND(G2237="IN",Data!E2238&gt;0),"SELL","HOLD")))</f>
        <v>HOLD</v>
      </c>
      <c r="D2238" s="14" t="n">
        <f aca="false">IF(C2238="BUY",B2238,IF(G2237="IN",D2237,""))</f>
        <v>80.44</v>
      </c>
      <c r="E2238" s="14" t="str">
        <f aca="false">IF(C2238="SELL",B2238,"")</f>
        <v/>
      </c>
      <c r="F2238" s="14" t="str">
        <f aca="false">IF(E2238="","",(E2238-D2238)/D2238*100)</f>
        <v/>
      </c>
      <c r="G2238" s="0" t="str">
        <f aca="false">IF(C2238="BUY","IN",IF(C2238="SELL","OUT",IF(G2237="IN","IN","OUT")))</f>
        <v>IN</v>
      </c>
      <c r="H2238" s="14" t="n">
        <f aca="false">H2237+IF(F2238="",0,F2238)</f>
        <v>18.5017749844882</v>
      </c>
      <c r="I2238" s="14" t="n">
        <f aca="false">MAX(I2237,H2238)</f>
        <v>43.9309628600509</v>
      </c>
      <c r="J2238" s="14" t="n">
        <f aca="false">I2238-H2238</f>
        <v>25.4291878755627</v>
      </c>
    </row>
    <row r="2239" customFormat="false" ht="15" hidden="false" customHeight="false" outlineLevel="0" collapsed="false">
      <c r="A2239" s="12" t="n">
        <f aca="false">Data!A2239</f>
        <v>45254</v>
      </c>
      <c r="B2239" s="14" t="n">
        <f aca="false">Data!B2239</f>
        <v>75.54</v>
      </c>
      <c r="C2239" s="0" t="str">
        <f aca="false">IF(Data!D2239="","HOLD",IF(AND(G2238&lt;&gt;"IN",Data!E2239&lt;-5),"BUY",IF(AND(G2238="IN",Data!E2239&gt;0),"SELL","HOLD")))</f>
        <v>HOLD</v>
      </c>
      <c r="D2239" s="14" t="n">
        <f aca="false">IF(C2239="BUY",B2239,IF(G2238="IN",D2238,""))</f>
        <v>80.44</v>
      </c>
      <c r="E2239" s="14" t="str">
        <f aca="false">IF(C2239="SELL",B2239,"")</f>
        <v/>
      </c>
      <c r="F2239" s="14" t="str">
        <f aca="false">IF(E2239="","",(E2239-D2239)/D2239*100)</f>
        <v/>
      </c>
      <c r="G2239" s="0" t="str">
        <f aca="false">IF(C2239="BUY","IN",IF(C2239="SELL","OUT",IF(G2238="IN","IN","OUT")))</f>
        <v>IN</v>
      </c>
      <c r="H2239" s="14" t="n">
        <f aca="false">H2238+IF(F2239="",0,F2239)</f>
        <v>18.5017749844882</v>
      </c>
      <c r="I2239" s="14" t="n">
        <f aca="false">MAX(I2238,H2239)</f>
        <v>43.9309628600509</v>
      </c>
      <c r="J2239" s="14" t="n">
        <f aca="false">I2239-H2239</f>
        <v>25.4291878755627</v>
      </c>
    </row>
    <row r="2240" customFormat="false" ht="15" hidden="false" customHeight="false" outlineLevel="0" collapsed="false">
      <c r="A2240" s="12" t="n">
        <f aca="false">Data!A2240</f>
        <v>45257</v>
      </c>
      <c r="B2240" s="14" t="n">
        <f aca="false">Data!B2240</f>
        <v>74.86</v>
      </c>
      <c r="C2240" s="0" t="str">
        <f aca="false">IF(Data!D2240="","HOLD",IF(AND(G2239&lt;&gt;"IN",Data!E2240&lt;-5),"BUY",IF(AND(G2239="IN",Data!E2240&gt;0),"SELL","HOLD")))</f>
        <v>HOLD</v>
      </c>
      <c r="D2240" s="14" t="n">
        <f aca="false">IF(C2240="BUY",B2240,IF(G2239="IN",D2239,""))</f>
        <v>80.44</v>
      </c>
      <c r="E2240" s="14" t="str">
        <f aca="false">IF(C2240="SELL",B2240,"")</f>
        <v/>
      </c>
      <c r="F2240" s="14" t="str">
        <f aca="false">IF(E2240="","",(E2240-D2240)/D2240*100)</f>
        <v/>
      </c>
      <c r="G2240" s="0" t="str">
        <f aca="false">IF(C2240="BUY","IN",IF(C2240="SELL","OUT",IF(G2239="IN","IN","OUT")))</f>
        <v>IN</v>
      </c>
      <c r="H2240" s="14" t="n">
        <f aca="false">H2239+IF(F2240="",0,F2240)</f>
        <v>18.5017749844882</v>
      </c>
      <c r="I2240" s="14" t="n">
        <f aca="false">MAX(I2239,H2240)</f>
        <v>43.9309628600509</v>
      </c>
      <c r="J2240" s="14" t="n">
        <f aca="false">I2240-H2240</f>
        <v>25.4291878755627</v>
      </c>
    </row>
    <row r="2241" customFormat="false" ht="15" hidden="false" customHeight="false" outlineLevel="0" collapsed="false">
      <c r="A2241" s="12" t="n">
        <f aca="false">Data!A2241</f>
        <v>45258</v>
      </c>
      <c r="B2241" s="14" t="n">
        <f aca="false">Data!B2241</f>
        <v>76.41</v>
      </c>
      <c r="C2241" s="0" t="str">
        <f aca="false">IF(Data!D2241="","HOLD",IF(AND(G2240&lt;&gt;"IN",Data!E2241&lt;-5),"BUY",IF(AND(G2240="IN",Data!E2241&gt;0),"SELL","HOLD")))</f>
        <v>HOLD</v>
      </c>
      <c r="D2241" s="14" t="n">
        <f aca="false">IF(C2241="BUY",B2241,IF(G2240="IN",D2240,""))</f>
        <v>80.44</v>
      </c>
      <c r="E2241" s="14" t="str">
        <f aca="false">IF(C2241="SELL",B2241,"")</f>
        <v/>
      </c>
      <c r="F2241" s="14" t="str">
        <f aca="false">IF(E2241="","",(E2241-D2241)/D2241*100)</f>
        <v/>
      </c>
      <c r="G2241" s="0" t="str">
        <f aca="false">IF(C2241="BUY","IN",IF(C2241="SELL","OUT",IF(G2240="IN","IN","OUT")))</f>
        <v>IN</v>
      </c>
      <c r="H2241" s="14" t="n">
        <f aca="false">H2240+IF(F2241="",0,F2241)</f>
        <v>18.5017749844882</v>
      </c>
      <c r="I2241" s="14" t="n">
        <f aca="false">MAX(I2240,H2241)</f>
        <v>43.9309628600509</v>
      </c>
      <c r="J2241" s="14" t="n">
        <f aca="false">I2241-H2241</f>
        <v>25.4291878755627</v>
      </c>
    </row>
    <row r="2242" customFormat="false" ht="15" hidden="false" customHeight="false" outlineLevel="0" collapsed="false">
      <c r="A2242" s="12" t="n">
        <f aca="false">Data!A2242</f>
        <v>45259</v>
      </c>
      <c r="B2242" s="14" t="n">
        <f aca="false">Data!B2242</f>
        <v>77.86</v>
      </c>
      <c r="C2242" s="0" t="str">
        <f aca="false">IF(Data!D2242="","HOLD",IF(AND(G2241&lt;&gt;"IN",Data!E2242&lt;-5),"BUY",IF(AND(G2241="IN",Data!E2242&gt;0),"SELL","HOLD")))</f>
        <v>SELL</v>
      </c>
      <c r="D2242" s="14" t="n">
        <f aca="false">IF(C2242="BUY",B2242,IF(G2241="IN",D2241,""))</f>
        <v>80.44</v>
      </c>
      <c r="E2242" s="14" t="n">
        <f aca="false">IF(C2242="SELL",B2242,"")</f>
        <v>77.86</v>
      </c>
      <c r="F2242" s="14" t="n">
        <f aca="false">IF(E2242="","",(E2242-D2242)/D2242*100)</f>
        <v>-3.20735952262556</v>
      </c>
      <c r="G2242" s="0" t="str">
        <f aca="false">IF(C2242="BUY","IN",IF(C2242="SELL","OUT",IF(G2241="IN","IN","OUT")))</f>
        <v>OUT</v>
      </c>
      <c r="H2242" s="14" t="n">
        <f aca="false">H2241+IF(F2242="",0,F2242)</f>
        <v>15.2944154618626</v>
      </c>
      <c r="I2242" s="14" t="n">
        <f aca="false">MAX(I2241,H2242)</f>
        <v>43.9309628600509</v>
      </c>
      <c r="J2242" s="14" t="n">
        <f aca="false">I2242-H2242</f>
        <v>28.6365473981882</v>
      </c>
    </row>
    <row r="2243" customFormat="false" ht="15" hidden="false" customHeight="false" outlineLevel="0" collapsed="false">
      <c r="A2243" s="12" t="n">
        <f aca="false">Data!A2243</f>
        <v>45260</v>
      </c>
      <c r="B2243" s="14" t="n">
        <f aca="false">Data!B2243</f>
        <v>75.96</v>
      </c>
      <c r="C2243" s="0" t="str">
        <f aca="false">IF(Data!D2243="","HOLD",IF(AND(G2242&lt;&gt;"IN",Data!E2243&lt;-5),"BUY",IF(AND(G2242="IN",Data!E2243&gt;0),"SELL","HOLD")))</f>
        <v>HOLD</v>
      </c>
      <c r="D2243" s="14" t="str">
        <f aca="false">IF(C2243="BUY",B2243,IF(G2242="IN",D2242,""))</f>
        <v/>
      </c>
      <c r="E2243" s="14" t="str">
        <f aca="false">IF(C2243="SELL",B2243,"")</f>
        <v/>
      </c>
      <c r="F2243" s="14" t="str">
        <f aca="false">IF(E2243="","",(E2243-D2243)/D2243*100)</f>
        <v/>
      </c>
      <c r="G2243" s="0" t="str">
        <f aca="false">IF(C2243="BUY","IN",IF(C2243="SELL","OUT",IF(G2242="IN","IN","OUT")))</f>
        <v>OUT</v>
      </c>
      <c r="H2243" s="14" t="n">
        <f aca="false">H2242+IF(F2243="",0,F2243)</f>
        <v>15.2944154618626</v>
      </c>
      <c r="I2243" s="14" t="n">
        <f aca="false">MAX(I2242,H2243)</f>
        <v>43.9309628600509</v>
      </c>
      <c r="J2243" s="14" t="n">
        <f aca="false">I2243-H2243</f>
        <v>28.6365473981882</v>
      </c>
    </row>
    <row r="2244" customFormat="false" ht="15" hidden="false" customHeight="false" outlineLevel="0" collapsed="false">
      <c r="A2244" s="12" t="n">
        <f aca="false">Data!A2244</f>
        <v>45261</v>
      </c>
      <c r="B2244" s="14" t="n">
        <f aca="false">Data!B2244</f>
        <v>74.07</v>
      </c>
      <c r="C2244" s="0" t="str">
        <f aca="false">IF(Data!D2244="","HOLD",IF(AND(G2243&lt;&gt;"IN",Data!E2244&lt;-5),"BUY",IF(AND(G2243="IN",Data!E2244&gt;0),"SELL","HOLD")))</f>
        <v>HOLD</v>
      </c>
      <c r="D2244" s="14" t="str">
        <f aca="false">IF(C2244="BUY",B2244,IF(G2243="IN",D2243,""))</f>
        <v/>
      </c>
      <c r="E2244" s="14" t="str">
        <f aca="false">IF(C2244="SELL",B2244,"")</f>
        <v/>
      </c>
      <c r="F2244" s="14" t="str">
        <f aca="false">IF(E2244="","",(E2244-D2244)/D2244*100)</f>
        <v/>
      </c>
      <c r="G2244" s="0" t="str">
        <f aca="false">IF(C2244="BUY","IN",IF(C2244="SELL","OUT",IF(G2243="IN","IN","OUT")))</f>
        <v>OUT</v>
      </c>
      <c r="H2244" s="14" t="n">
        <f aca="false">H2243+IF(F2244="",0,F2244)</f>
        <v>15.2944154618626</v>
      </c>
      <c r="I2244" s="14" t="n">
        <f aca="false">MAX(I2243,H2244)</f>
        <v>43.9309628600509</v>
      </c>
      <c r="J2244" s="14" t="n">
        <f aca="false">I2244-H2244</f>
        <v>28.6365473981882</v>
      </c>
    </row>
    <row r="2245" customFormat="false" ht="15" hidden="false" customHeight="false" outlineLevel="0" collapsed="false">
      <c r="A2245" s="12" t="n">
        <f aca="false">Data!A2245</f>
        <v>45264</v>
      </c>
      <c r="B2245" s="14" t="n">
        <f aca="false">Data!B2245</f>
        <v>73.04</v>
      </c>
      <c r="C2245" s="0" t="str">
        <f aca="false">IF(Data!D2245="","HOLD",IF(AND(G2244&lt;&gt;"IN",Data!E2245&lt;-5),"BUY",IF(AND(G2244="IN",Data!E2245&gt;0),"SELL","HOLD")))</f>
        <v>HOLD</v>
      </c>
      <c r="D2245" s="14" t="str">
        <f aca="false">IF(C2245="BUY",B2245,IF(G2244="IN",D2244,""))</f>
        <v/>
      </c>
      <c r="E2245" s="14" t="str">
        <f aca="false">IF(C2245="SELL",B2245,"")</f>
        <v/>
      </c>
      <c r="F2245" s="14" t="str">
        <f aca="false">IF(E2245="","",(E2245-D2245)/D2245*100)</f>
        <v/>
      </c>
      <c r="G2245" s="0" t="str">
        <f aca="false">IF(C2245="BUY","IN",IF(C2245="SELL","OUT",IF(G2244="IN","IN","OUT")))</f>
        <v>OUT</v>
      </c>
      <c r="H2245" s="14" t="n">
        <f aca="false">H2244+IF(F2245="",0,F2245)</f>
        <v>15.2944154618626</v>
      </c>
      <c r="I2245" s="14" t="n">
        <f aca="false">MAX(I2244,H2245)</f>
        <v>43.9309628600509</v>
      </c>
      <c r="J2245" s="14" t="n">
        <f aca="false">I2245-H2245</f>
        <v>28.6365473981882</v>
      </c>
    </row>
    <row r="2246" customFormat="false" ht="15" hidden="false" customHeight="false" outlineLevel="0" collapsed="false">
      <c r="A2246" s="12" t="n">
        <f aca="false">Data!A2246</f>
        <v>45265</v>
      </c>
      <c r="B2246" s="14" t="n">
        <f aca="false">Data!B2246</f>
        <v>72.32</v>
      </c>
      <c r="C2246" s="0" t="str">
        <f aca="false">IF(Data!D2246="","HOLD",IF(AND(G2245&lt;&gt;"IN",Data!E2246&lt;-5),"BUY",IF(AND(G2245="IN",Data!E2246&gt;0),"SELL","HOLD")))</f>
        <v>HOLD</v>
      </c>
      <c r="D2246" s="14" t="str">
        <f aca="false">IF(C2246="BUY",B2246,IF(G2245="IN",D2245,""))</f>
        <v/>
      </c>
      <c r="E2246" s="14" t="str">
        <f aca="false">IF(C2246="SELL",B2246,"")</f>
        <v/>
      </c>
      <c r="F2246" s="14" t="str">
        <f aca="false">IF(E2246="","",(E2246-D2246)/D2246*100)</f>
        <v/>
      </c>
      <c r="G2246" s="0" t="str">
        <f aca="false">IF(C2246="BUY","IN",IF(C2246="SELL","OUT",IF(G2245="IN","IN","OUT")))</f>
        <v>OUT</v>
      </c>
      <c r="H2246" s="14" t="n">
        <f aca="false">H2245+IF(F2246="",0,F2246)</f>
        <v>15.2944154618626</v>
      </c>
      <c r="I2246" s="14" t="n">
        <f aca="false">MAX(I2245,H2246)</f>
        <v>43.9309628600509</v>
      </c>
      <c r="J2246" s="14" t="n">
        <f aca="false">I2246-H2246</f>
        <v>28.6365473981882</v>
      </c>
    </row>
    <row r="2247" customFormat="false" ht="15" hidden="false" customHeight="false" outlineLevel="0" collapsed="false">
      <c r="A2247" s="12" t="n">
        <f aca="false">Data!A2247</f>
        <v>45266</v>
      </c>
      <c r="B2247" s="14" t="n">
        <f aca="false">Data!B2247</f>
        <v>69.38</v>
      </c>
      <c r="C2247" s="0" t="str">
        <f aca="false">IF(Data!D2247="","HOLD",IF(AND(G2246&lt;&gt;"IN",Data!E2247&lt;-5),"BUY",IF(AND(G2246="IN",Data!E2247&gt;0),"SELL","HOLD")))</f>
        <v>BUY</v>
      </c>
      <c r="D2247" s="14" t="n">
        <f aca="false">IF(C2247="BUY",B2247,IF(G2246="IN",D2246,""))</f>
        <v>69.38</v>
      </c>
      <c r="E2247" s="14" t="str">
        <f aca="false">IF(C2247="SELL",B2247,"")</f>
        <v/>
      </c>
      <c r="F2247" s="14" t="str">
        <f aca="false">IF(E2247="","",(E2247-D2247)/D2247*100)</f>
        <v/>
      </c>
      <c r="G2247" s="0" t="str">
        <f aca="false">IF(C2247="BUY","IN",IF(C2247="SELL","OUT",IF(G2246="IN","IN","OUT")))</f>
        <v>IN</v>
      </c>
      <c r="H2247" s="14" t="n">
        <f aca="false">H2246+IF(F2247="",0,F2247)</f>
        <v>15.2944154618626</v>
      </c>
      <c r="I2247" s="14" t="n">
        <f aca="false">MAX(I2246,H2247)</f>
        <v>43.9309628600509</v>
      </c>
      <c r="J2247" s="14" t="n">
        <f aca="false">I2247-H2247</f>
        <v>28.6365473981882</v>
      </c>
    </row>
    <row r="2248" customFormat="false" ht="15" hidden="false" customHeight="false" outlineLevel="0" collapsed="false">
      <c r="A2248" s="12" t="n">
        <f aca="false">Data!A2248</f>
        <v>45267</v>
      </c>
      <c r="B2248" s="14" t="n">
        <f aca="false">Data!B2248</f>
        <v>69.34</v>
      </c>
      <c r="C2248" s="0" t="str">
        <f aca="false">IF(Data!D2248="","HOLD",IF(AND(G2247&lt;&gt;"IN",Data!E2248&lt;-5),"BUY",IF(AND(G2247="IN",Data!E2248&gt;0),"SELL","HOLD")))</f>
        <v>HOLD</v>
      </c>
      <c r="D2248" s="14" t="n">
        <f aca="false">IF(C2248="BUY",B2248,IF(G2247="IN",D2247,""))</f>
        <v>69.38</v>
      </c>
      <c r="E2248" s="14" t="str">
        <f aca="false">IF(C2248="SELL",B2248,"")</f>
        <v/>
      </c>
      <c r="F2248" s="14" t="str">
        <f aca="false">IF(E2248="","",(E2248-D2248)/D2248*100)</f>
        <v/>
      </c>
      <c r="G2248" s="0" t="str">
        <f aca="false">IF(C2248="BUY","IN",IF(C2248="SELL","OUT",IF(G2247="IN","IN","OUT")))</f>
        <v>IN</v>
      </c>
      <c r="H2248" s="14" t="n">
        <f aca="false">H2247+IF(F2248="",0,F2248)</f>
        <v>15.2944154618626</v>
      </c>
      <c r="I2248" s="14" t="n">
        <f aca="false">MAX(I2247,H2248)</f>
        <v>43.9309628600509</v>
      </c>
      <c r="J2248" s="14" t="n">
        <f aca="false">I2248-H2248</f>
        <v>28.6365473981882</v>
      </c>
    </row>
    <row r="2249" customFormat="false" ht="15" hidden="false" customHeight="false" outlineLevel="0" collapsed="false">
      <c r="A2249" s="12" t="n">
        <f aca="false">Data!A2249</f>
        <v>45268</v>
      </c>
      <c r="B2249" s="14" t="n">
        <f aca="false">Data!B2249</f>
        <v>71.23</v>
      </c>
      <c r="C2249" s="0" t="str">
        <f aca="false">IF(Data!D2249="","HOLD",IF(AND(G2248&lt;&gt;"IN",Data!E2249&lt;-5),"BUY",IF(AND(G2248="IN",Data!E2249&gt;0),"SELL","HOLD")))</f>
        <v>HOLD</v>
      </c>
      <c r="D2249" s="14" t="n">
        <f aca="false">IF(C2249="BUY",B2249,IF(G2248="IN",D2248,""))</f>
        <v>69.38</v>
      </c>
      <c r="E2249" s="14" t="str">
        <f aca="false">IF(C2249="SELL",B2249,"")</f>
        <v/>
      </c>
      <c r="F2249" s="14" t="str">
        <f aca="false">IF(E2249="","",(E2249-D2249)/D2249*100)</f>
        <v/>
      </c>
      <c r="G2249" s="0" t="str">
        <f aca="false">IF(C2249="BUY","IN",IF(C2249="SELL","OUT",IF(G2248="IN","IN","OUT")))</f>
        <v>IN</v>
      </c>
      <c r="H2249" s="14" t="n">
        <f aca="false">H2248+IF(F2249="",0,F2249)</f>
        <v>15.2944154618626</v>
      </c>
      <c r="I2249" s="14" t="n">
        <f aca="false">MAX(I2248,H2249)</f>
        <v>43.9309628600509</v>
      </c>
      <c r="J2249" s="14" t="n">
        <f aca="false">I2249-H2249</f>
        <v>28.6365473981882</v>
      </c>
    </row>
    <row r="2250" customFormat="false" ht="15" hidden="false" customHeight="false" outlineLevel="0" collapsed="false">
      <c r="A2250" s="12" t="n">
        <f aca="false">Data!A2250</f>
        <v>45271</v>
      </c>
      <c r="B2250" s="14" t="n">
        <f aca="false">Data!B2250</f>
        <v>71.32</v>
      </c>
      <c r="C2250" s="0" t="str">
        <f aca="false">IF(Data!D2250="","HOLD",IF(AND(G2249&lt;&gt;"IN",Data!E2250&lt;-5),"BUY",IF(AND(G2249="IN",Data!E2250&gt;0),"SELL","HOLD")))</f>
        <v>HOLD</v>
      </c>
      <c r="D2250" s="14" t="n">
        <f aca="false">IF(C2250="BUY",B2250,IF(G2249="IN",D2249,""))</f>
        <v>69.38</v>
      </c>
      <c r="E2250" s="14" t="str">
        <f aca="false">IF(C2250="SELL",B2250,"")</f>
        <v/>
      </c>
      <c r="F2250" s="14" t="str">
        <f aca="false">IF(E2250="","",(E2250-D2250)/D2250*100)</f>
        <v/>
      </c>
      <c r="G2250" s="0" t="str">
        <f aca="false">IF(C2250="BUY","IN",IF(C2250="SELL","OUT",IF(G2249="IN","IN","OUT")))</f>
        <v>IN</v>
      </c>
      <c r="H2250" s="14" t="n">
        <f aca="false">H2249+IF(F2250="",0,F2250)</f>
        <v>15.2944154618626</v>
      </c>
      <c r="I2250" s="14" t="n">
        <f aca="false">MAX(I2249,H2250)</f>
        <v>43.9309628600509</v>
      </c>
      <c r="J2250" s="14" t="n">
        <f aca="false">I2250-H2250</f>
        <v>28.6365473981882</v>
      </c>
    </row>
    <row r="2251" customFormat="false" ht="15" hidden="false" customHeight="false" outlineLevel="0" collapsed="false">
      <c r="A2251" s="12" t="n">
        <f aca="false">Data!A2251</f>
        <v>45272</v>
      </c>
      <c r="B2251" s="14" t="n">
        <f aca="false">Data!B2251</f>
        <v>68.61</v>
      </c>
      <c r="C2251" s="0" t="str">
        <f aca="false">IF(Data!D2251="","HOLD",IF(AND(G2250&lt;&gt;"IN",Data!E2251&lt;-5),"BUY",IF(AND(G2250="IN",Data!E2251&gt;0),"SELL","HOLD")))</f>
        <v>HOLD</v>
      </c>
      <c r="D2251" s="14" t="n">
        <f aca="false">IF(C2251="BUY",B2251,IF(G2250="IN",D2250,""))</f>
        <v>69.38</v>
      </c>
      <c r="E2251" s="14" t="str">
        <f aca="false">IF(C2251="SELL",B2251,"")</f>
        <v/>
      </c>
      <c r="F2251" s="14" t="str">
        <f aca="false">IF(E2251="","",(E2251-D2251)/D2251*100)</f>
        <v/>
      </c>
      <c r="G2251" s="0" t="str">
        <f aca="false">IF(C2251="BUY","IN",IF(C2251="SELL","OUT",IF(G2250="IN","IN","OUT")))</f>
        <v>IN</v>
      </c>
      <c r="H2251" s="14" t="n">
        <f aca="false">H2250+IF(F2251="",0,F2251)</f>
        <v>15.2944154618626</v>
      </c>
      <c r="I2251" s="14" t="n">
        <f aca="false">MAX(I2250,H2251)</f>
        <v>43.9309628600509</v>
      </c>
      <c r="J2251" s="14" t="n">
        <f aca="false">I2251-H2251</f>
        <v>28.6365473981882</v>
      </c>
    </row>
    <row r="2252" customFormat="false" ht="15" hidden="false" customHeight="false" outlineLevel="0" collapsed="false">
      <c r="A2252" s="12" t="n">
        <f aca="false">Data!A2252</f>
        <v>45273</v>
      </c>
      <c r="B2252" s="14" t="n">
        <f aca="false">Data!B2252</f>
        <v>69.47</v>
      </c>
      <c r="C2252" s="0" t="str">
        <f aca="false">IF(Data!D2252="","HOLD",IF(AND(G2251&lt;&gt;"IN",Data!E2252&lt;-5),"BUY",IF(AND(G2251="IN",Data!E2252&gt;0),"SELL","HOLD")))</f>
        <v>HOLD</v>
      </c>
      <c r="D2252" s="14" t="n">
        <f aca="false">IF(C2252="BUY",B2252,IF(G2251="IN",D2251,""))</f>
        <v>69.38</v>
      </c>
      <c r="E2252" s="14" t="str">
        <f aca="false">IF(C2252="SELL",B2252,"")</f>
        <v/>
      </c>
      <c r="F2252" s="14" t="str">
        <f aca="false">IF(E2252="","",(E2252-D2252)/D2252*100)</f>
        <v/>
      </c>
      <c r="G2252" s="0" t="str">
        <f aca="false">IF(C2252="BUY","IN",IF(C2252="SELL","OUT",IF(G2251="IN","IN","OUT")))</f>
        <v>IN</v>
      </c>
      <c r="H2252" s="14" t="n">
        <f aca="false">H2251+IF(F2252="",0,F2252)</f>
        <v>15.2944154618626</v>
      </c>
      <c r="I2252" s="14" t="n">
        <f aca="false">MAX(I2251,H2252)</f>
        <v>43.9309628600509</v>
      </c>
      <c r="J2252" s="14" t="n">
        <f aca="false">I2252-H2252</f>
        <v>28.6365473981882</v>
      </c>
    </row>
    <row r="2253" customFormat="false" ht="15" hidden="false" customHeight="false" outlineLevel="0" collapsed="false">
      <c r="A2253" s="12" t="n">
        <f aca="false">Data!A2253</f>
        <v>45274</v>
      </c>
      <c r="B2253" s="14" t="n">
        <f aca="false">Data!B2253</f>
        <v>71.58</v>
      </c>
      <c r="C2253" s="0" t="str">
        <f aca="false">IF(Data!D2253="","HOLD",IF(AND(G2252&lt;&gt;"IN",Data!E2253&lt;-5),"BUY",IF(AND(G2252="IN",Data!E2253&gt;0),"SELL","HOLD")))</f>
        <v>HOLD</v>
      </c>
      <c r="D2253" s="14" t="n">
        <f aca="false">IF(C2253="BUY",B2253,IF(G2252="IN",D2252,""))</f>
        <v>69.38</v>
      </c>
      <c r="E2253" s="14" t="str">
        <f aca="false">IF(C2253="SELL",B2253,"")</f>
        <v/>
      </c>
      <c r="F2253" s="14" t="str">
        <f aca="false">IF(E2253="","",(E2253-D2253)/D2253*100)</f>
        <v/>
      </c>
      <c r="G2253" s="0" t="str">
        <f aca="false">IF(C2253="BUY","IN",IF(C2253="SELL","OUT",IF(G2252="IN","IN","OUT")))</f>
        <v>IN</v>
      </c>
      <c r="H2253" s="14" t="n">
        <f aca="false">H2252+IF(F2253="",0,F2253)</f>
        <v>15.2944154618626</v>
      </c>
      <c r="I2253" s="14" t="n">
        <f aca="false">MAX(I2252,H2253)</f>
        <v>43.9309628600509</v>
      </c>
      <c r="J2253" s="14" t="n">
        <f aca="false">I2253-H2253</f>
        <v>28.6365473981882</v>
      </c>
    </row>
    <row r="2254" customFormat="false" ht="15" hidden="false" customHeight="false" outlineLevel="0" collapsed="false">
      <c r="A2254" s="12" t="n">
        <f aca="false">Data!A2254</f>
        <v>45275</v>
      </c>
      <c r="B2254" s="14" t="n">
        <f aca="false">Data!B2254</f>
        <v>71.43</v>
      </c>
      <c r="C2254" s="0" t="str">
        <f aca="false">IF(Data!D2254="","HOLD",IF(AND(G2253&lt;&gt;"IN",Data!E2254&lt;-5),"BUY",IF(AND(G2253="IN",Data!E2254&gt;0),"SELL","HOLD")))</f>
        <v>HOLD</v>
      </c>
      <c r="D2254" s="14" t="n">
        <f aca="false">IF(C2254="BUY",B2254,IF(G2253="IN",D2253,""))</f>
        <v>69.38</v>
      </c>
      <c r="E2254" s="14" t="str">
        <f aca="false">IF(C2254="SELL",B2254,"")</f>
        <v/>
      </c>
      <c r="F2254" s="14" t="str">
        <f aca="false">IF(E2254="","",(E2254-D2254)/D2254*100)</f>
        <v/>
      </c>
      <c r="G2254" s="0" t="str">
        <f aca="false">IF(C2254="BUY","IN",IF(C2254="SELL","OUT",IF(G2253="IN","IN","OUT")))</f>
        <v>IN</v>
      </c>
      <c r="H2254" s="14" t="n">
        <f aca="false">H2253+IF(F2254="",0,F2254)</f>
        <v>15.2944154618626</v>
      </c>
      <c r="I2254" s="14" t="n">
        <f aca="false">MAX(I2253,H2254)</f>
        <v>43.9309628600509</v>
      </c>
      <c r="J2254" s="14" t="n">
        <f aca="false">I2254-H2254</f>
        <v>28.6365473981882</v>
      </c>
    </row>
    <row r="2255" customFormat="false" ht="15" hidden="false" customHeight="false" outlineLevel="0" collapsed="false">
      <c r="A2255" s="12" t="n">
        <f aca="false">Data!A2255</f>
        <v>45278</v>
      </c>
      <c r="B2255" s="14" t="n">
        <f aca="false">Data!B2255</f>
        <v>72.47</v>
      </c>
      <c r="C2255" s="0" t="str">
        <f aca="false">IF(Data!D2255="","HOLD",IF(AND(G2254&lt;&gt;"IN",Data!E2255&lt;-5),"BUY",IF(AND(G2254="IN",Data!E2255&gt;0),"SELL","HOLD")))</f>
        <v>HOLD</v>
      </c>
      <c r="D2255" s="14" t="n">
        <f aca="false">IF(C2255="BUY",B2255,IF(G2254="IN",D2254,""))</f>
        <v>69.38</v>
      </c>
      <c r="E2255" s="14" t="str">
        <f aca="false">IF(C2255="SELL",B2255,"")</f>
        <v/>
      </c>
      <c r="F2255" s="14" t="str">
        <f aca="false">IF(E2255="","",(E2255-D2255)/D2255*100)</f>
        <v/>
      </c>
      <c r="G2255" s="0" t="str">
        <f aca="false">IF(C2255="BUY","IN",IF(C2255="SELL","OUT",IF(G2254="IN","IN","OUT")))</f>
        <v>IN</v>
      </c>
      <c r="H2255" s="14" t="n">
        <f aca="false">H2254+IF(F2255="",0,F2255)</f>
        <v>15.2944154618626</v>
      </c>
      <c r="I2255" s="14" t="n">
        <f aca="false">MAX(I2254,H2255)</f>
        <v>43.9309628600509</v>
      </c>
      <c r="J2255" s="14" t="n">
        <f aca="false">I2255-H2255</f>
        <v>28.6365473981882</v>
      </c>
    </row>
    <row r="2256" customFormat="false" ht="15" hidden="false" customHeight="false" outlineLevel="0" collapsed="false">
      <c r="A2256" s="12" t="n">
        <f aca="false">Data!A2256</f>
        <v>45279</v>
      </c>
      <c r="B2256" s="14" t="n">
        <f aca="false">Data!B2256</f>
        <v>73.44</v>
      </c>
      <c r="C2256" s="0" t="str">
        <f aca="false">IF(Data!D2256="","HOLD",IF(AND(G2255&lt;&gt;"IN",Data!E2256&lt;-5),"BUY",IF(AND(G2255="IN",Data!E2256&gt;0),"SELL","HOLD")))</f>
        <v>SELL</v>
      </c>
      <c r="D2256" s="14" t="n">
        <f aca="false">IF(C2256="BUY",B2256,IF(G2255="IN",D2255,""))</f>
        <v>69.38</v>
      </c>
      <c r="E2256" s="14" t="n">
        <f aca="false">IF(C2256="SELL",B2256,"")</f>
        <v>73.44</v>
      </c>
      <c r="F2256" s="14" t="n">
        <f aca="false">IF(E2256="","",(E2256-D2256)/D2256*100)</f>
        <v>5.8518304987028</v>
      </c>
      <c r="G2256" s="0" t="str">
        <f aca="false">IF(C2256="BUY","IN",IF(C2256="SELL","OUT",IF(G2255="IN","IN","OUT")))</f>
        <v>OUT</v>
      </c>
      <c r="H2256" s="14" t="n">
        <f aca="false">H2255+IF(F2256="",0,F2256)</f>
        <v>21.1462459605654</v>
      </c>
      <c r="I2256" s="14" t="n">
        <f aca="false">MAX(I2255,H2256)</f>
        <v>43.9309628600509</v>
      </c>
      <c r="J2256" s="14" t="n">
        <f aca="false">I2256-H2256</f>
        <v>22.7847168994854</v>
      </c>
    </row>
    <row r="2257" customFormat="false" ht="15" hidden="false" customHeight="false" outlineLevel="0" collapsed="false">
      <c r="A2257" s="12" t="n">
        <f aca="false">Data!A2257</f>
        <v>45280</v>
      </c>
      <c r="B2257" s="14" t="n">
        <f aca="false">Data!B2257</f>
        <v>74.22</v>
      </c>
      <c r="C2257" s="0" t="str">
        <f aca="false">IF(Data!D2257="","HOLD",IF(AND(G2256&lt;&gt;"IN",Data!E2257&lt;-5),"BUY",IF(AND(G2256="IN",Data!E2257&gt;0),"SELL","HOLD")))</f>
        <v>HOLD</v>
      </c>
      <c r="D2257" s="14" t="str">
        <f aca="false">IF(C2257="BUY",B2257,IF(G2256="IN",D2256,""))</f>
        <v/>
      </c>
      <c r="E2257" s="14" t="str">
        <f aca="false">IF(C2257="SELL",B2257,"")</f>
        <v/>
      </c>
      <c r="F2257" s="14" t="str">
        <f aca="false">IF(E2257="","",(E2257-D2257)/D2257*100)</f>
        <v/>
      </c>
      <c r="G2257" s="0" t="str">
        <f aca="false">IF(C2257="BUY","IN",IF(C2257="SELL","OUT",IF(G2256="IN","IN","OUT")))</f>
        <v>OUT</v>
      </c>
      <c r="H2257" s="14" t="n">
        <f aca="false">H2256+IF(F2257="",0,F2257)</f>
        <v>21.1462459605654</v>
      </c>
      <c r="I2257" s="14" t="n">
        <f aca="false">MAX(I2256,H2257)</f>
        <v>43.9309628600509</v>
      </c>
      <c r="J2257" s="14" t="n">
        <f aca="false">I2257-H2257</f>
        <v>22.7847168994854</v>
      </c>
    </row>
    <row r="2258" customFormat="false" ht="15" hidden="false" customHeight="false" outlineLevel="0" collapsed="false">
      <c r="A2258" s="12" t="n">
        <f aca="false">Data!A2258</f>
        <v>45281</v>
      </c>
      <c r="B2258" s="14" t="n">
        <f aca="false">Data!B2258</f>
        <v>73.89</v>
      </c>
      <c r="C2258" s="0" t="str">
        <f aca="false">IF(Data!D2258="","HOLD",IF(AND(G2257&lt;&gt;"IN",Data!E2258&lt;-5),"BUY",IF(AND(G2257="IN",Data!E2258&gt;0),"SELL","HOLD")))</f>
        <v>HOLD</v>
      </c>
      <c r="D2258" s="14" t="str">
        <f aca="false">IF(C2258="BUY",B2258,IF(G2257="IN",D2257,""))</f>
        <v/>
      </c>
      <c r="E2258" s="14" t="str">
        <f aca="false">IF(C2258="SELL",B2258,"")</f>
        <v/>
      </c>
      <c r="F2258" s="14" t="str">
        <f aca="false">IF(E2258="","",(E2258-D2258)/D2258*100)</f>
        <v/>
      </c>
      <c r="G2258" s="0" t="str">
        <f aca="false">IF(C2258="BUY","IN",IF(C2258="SELL","OUT",IF(G2257="IN","IN","OUT")))</f>
        <v>OUT</v>
      </c>
      <c r="H2258" s="14" t="n">
        <f aca="false">H2257+IF(F2258="",0,F2258)</f>
        <v>21.1462459605654</v>
      </c>
      <c r="I2258" s="14" t="n">
        <f aca="false">MAX(I2257,H2258)</f>
        <v>43.9309628600509</v>
      </c>
      <c r="J2258" s="14" t="n">
        <f aca="false">I2258-H2258</f>
        <v>22.7847168994854</v>
      </c>
    </row>
    <row r="2259" customFormat="false" ht="15" hidden="false" customHeight="false" outlineLevel="0" collapsed="false">
      <c r="A2259" s="12" t="n">
        <f aca="false">Data!A2259</f>
        <v>45282</v>
      </c>
      <c r="B2259" s="14" t="n">
        <f aca="false">Data!B2259</f>
        <v>73.56</v>
      </c>
      <c r="C2259" s="0" t="str">
        <f aca="false">IF(Data!D2259="","HOLD",IF(AND(G2258&lt;&gt;"IN",Data!E2259&lt;-5),"BUY",IF(AND(G2258="IN",Data!E2259&gt;0),"SELL","HOLD")))</f>
        <v>HOLD</v>
      </c>
      <c r="D2259" s="14" t="str">
        <f aca="false">IF(C2259="BUY",B2259,IF(G2258="IN",D2258,""))</f>
        <v/>
      </c>
      <c r="E2259" s="14" t="str">
        <f aca="false">IF(C2259="SELL",B2259,"")</f>
        <v/>
      </c>
      <c r="F2259" s="14" t="str">
        <f aca="false">IF(E2259="","",(E2259-D2259)/D2259*100)</f>
        <v/>
      </c>
      <c r="G2259" s="0" t="str">
        <f aca="false">IF(C2259="BUY","IN",IF(C2259="SELL","OUT",IF(G2258="IN","IN","OUT")))</f>
        <v>OUT</v>
      </c>
      <c r="H2259" s="14" t="n">
        <f aca="false">H2258+IF(F2259="",0,F2259)</f>
        <v>21.1462459605654</v>
      </c>
      <c r="I2259" s="14" t="n">
        <f aca="false">MAX(I2258,H2259)</f>
        <v>43.9309628600509</v>
      </c>
      <c r="J2259" s="14" t="n">
        <f aca="false">I2259-H2259</f>
        <v>22.7847168994854</v>
      </c>
    </row>
    <row r="2260" customFormat="false" ht="15" hidden="false" customHeight="false" outlineLevel="0" collapsed="false">
      <c r="A2260" s="12" t="n">
        <f aca="false">Data!A2260</f>
        <v>45286</v>
      </c>
      <c r="B2260" s="14" t="n">
        <f aca="false">Data!B2260</f>
        <v>75.57</v>
      </c>
      <c r="C2260" s="0" t="str">
        <f aca="false">IF(Data!D2260="","HOLD",IF(AND(G2259&lt;&gt;"IN",Data!E2260&lt;-5),"BUY",IF(AND(G2259="IN",Data!E2260&gt;0),"SELL","HOLD")))</f>
        <v>HOLD</v>
      </c>
      <c r="D2260" s="14" t="str">
        <f aca="false">IF(C2260="BUY",B2260,IF(G2259="IN",D2259,""))</f>
        <v/>
      </c>
      <c r="E2260" s="14" t="str">
        <f aca="false">IF(C2260="SELL",B2260,"")</f>
        <v/>
      </c>
      <c r="F2260" s="14" t="str">
        <f aca="false">IF(E2260="","",(E2260-D2260)/D2260*100)</f>
        <v/>
      </c>
      <c r="G2260" s="0" t="str">
        <f aca="false">IF(C2260="BUY","IN",IF(C2260="SELL","OUT",IF(G2259="IN","IN","OUT")))</f>
        <v>OUT</v>
      </c>
      <c r="H2260" s="14" t="n">
        <f aca="false">H2259+IF(F2260="",0,F2260)</f>
        <v>21.1462459605654</v>
      </c>
      <c r="I2260" s="14" t="n">
        <f aca="false">MAX(I2259,H2260)</f>
        <v>43.9309628600509</v>
      </c>
      <c r="J2260" s="14" t="n">
        <f aca="false">I2260-H2260</f>
        <v>22.7847168994854</v>
      </c>
    </row>
    <row r="2261" customFormat="false" ht="15" hidden="false" customHeight="false" outlineLevel="0" collapsed="false">
      <c r="A2261" s="12" t="n">
        <f aca="false">Data!A2261</f>
        <v>45287</v>
      </c>
      <c r="B2261" s="14" t="n">
        <f aca="false">Data!B2261</f>
        <v>74.11</v>
      </c>
      <c r="C2261" s="0" t="str">
        <f aca="false">IF(Data!D2261="","HOLD",IF(AND(G2260&lt;&gt;"IN",Data!E2261&lt;-5),"BUY",IF(AND(G2260="IN",Data!E2261&gt;0),"SELL","HOLD")))</f>
        <v>HOLD</v>
      </c>
      <c r="D2261" s="14" t="str">
        <f aca="false">IF(C2261="BUY",B2261,IF(G2260="IN",D2260,""))</f>
        <v/>
      </c>
      <c r="E2261" s="14" t="str">
        <f aca="false">IF(C2261="SELL",B2261,"")</f>
        <v/>
      </c>
      <c r="F2261" s="14" t="str">
        <f aca="false">IF(E2261="","",(E2261-D2261)/D2261*100)</f>
        <v/>
      </c>
      <c r="G2261" s="0" t="str">
        <f aca="false">IF(C2261="BUY","IN",IF(C2261="SELL","OUT",IF(G2260="IN","IN","OUT")))</f>
        <v>OUT</v>
      </c>
      <c r="H2261" s="14" t="n">
        <f aca="false">H2260+IF(F2261="",0,F2261)</f>
        <v>21.1462459605654</v>
      </c>
      <c r="I2261" s="14" t="n">
        <f aca="false">MAX(I2260,H2261)</f>
        <v>43.9309628600509</v>
      </c>
      <c r="J2261" s="14" t="n">
        <f aca="false">I2261-H2261</f>
        <v>22.7847168994854</v>
      </c>
    </row>
    <row r="2262" customFormat="false" ht="15" hidden="false" customHeight="false" outlineLevel="0" collapsed="false">
      <c r="A2262" s="12" t="n">
        <f aca="false">Data!A2262</f>
        <v>45288</v>
      </c>
      <c r="B2262" s="14" t="n">
        <f aca="false">Data!B2262</f>
        <v>71.77</v>
      </c>
      <c r="C2262" s="0" t="str">
        <f aca="false">IF(Data!D2262="","HOLD",IF(AND(G2261&lt;&gt;"IN",Data!E2262&lt;-5),"BUY",IF(AND(G2261="IN",Data!E2262&gt;0),"SELL","HOLD")))</f>
        <v>HOLD</v>
      </c>
      <c r="D2262" s="14" t="str">
        <f aca="false">IF(C2262="BUY",B2262,IF(G2261="IN",D2261,""))</f>
        <v/>
      </c>
      <c r="E2262" s="14" t="str">
        <f aca="false">IF(C2262="SELL",B2262,"")</f>
        <v/>
      </c>
      <c r="F2262" s="14" t="str">
        <f aca="false">IF(E2262="","",(E2262-D2262)/D2262*100)</f>
        <v/>
      </c>
      <c r="G2262" s="0" t="str">
        <f aca="false">IF(C2262="BUY","IN",IF(C2262="SELL","OUT",IF(G2261="IN","IN","OUT")))</f>
        <v>OUT</v>
      </c>
      <c r="H2262" s="14" t="n">
        <f aca="false">H2261+IF(F2262="",0,F2262)</f>
        <v>21.1462459605654</v>
      </c>
      <c r="I2262" s="14" t="n">
        <f aca="false">MAX(I2261,H2262)</f>
        <v>43.9309628600509</v>
      </c>
      <c r="J2262" s="14" t="n">
        <f aca="false">I2262-H2262</f>
        <v>22.7847168994854</v>
      </c>
    </row>
    <row r="2263" customFormat="false" ht="15" hidden="false" customHeight="false" outlineLevel="0" collapsed="false">
      <c r="A2263" s="12" t="n">
        <f aca="false">Data!A2263</f>
        <v>45289</v>
      </c>
      <c r="B2263" s="14" t="n">
        <f aca="false">Data!B2263</f>
        <v>71.65</v>
      </c>
      <c r="C2263" s="0" t="str">
        <f aca="false">IF(Data!D2263="","HOLD",IF(AND(G2262&lt;&gt;"IN",Data!E2263&lt;-5),"BUY",IF(AND(G2262="IN",Data!E2263&gt;0),"SELL","HOLD")))</f>
        <v>HOLD</v>
      </c>
      <c r="D2263" s="14" t="str">
        <f aca="false">IF(C2263="BUY",B2263,IF(G2262="IN",D2262,""))</f>
        <v/>
      </c>
      <c r="E2263" s="14" t="str">
        <f aca="false">IF(C2263="SELL",B2263,"")</f>
        <v/>
      </c>
      <c r="F2263" s="14" t="str">
        <f aca="false">IF(E2263="","",(E2263-D2263)/D2263*100)</f>
        <v/>
      </c>
      <c r="G2263" s="0" t="str">
        <f aca="false">IF(C2263="BUY","IN",IF(C2263="SELL","OUT",IF(G2262="IN","IN","OUT")))</f>
        <v>OUT</v>
      </c>
      <c r="H2263" s="14" t="n">
        <f aca="false">H2262+IF(F2263="",0,F2263)</f>
        <v>21.1462459605654</v>
      </c>
      <c r="I2263" s="14" t="n">
        <f aca="false">MAX(I2262,H2263)</f>
        <v>43.9309628600509</v>
      </c>
      <c r="J2263" s="14" t="n">
        <f aca="false">I2263-H2263</f>
        <v>22.7847168994854</v>
      </c>
    </row>
    <row r="2264" customFormat="false" ht="15" hidden="false" customHeight="false" outlineLevel="0" collapsed="false">
      <c r="A2264" s="12" t="n">
        <f aca="false">Data!A2264</f>
        <v>45293</v>
      </c>
      <c r="B2264" s="14" t="n">
        <f aca="false">Data!B2264</f>
        <v>70.38</v>
      </c>
      <c r="C2264" s="0" t="str">
        <f aca="false">IF(Data!D2264="","HOLD",IF(AND(G2263&lt;&gt;"IN",Data!E2264&lt;-5),"BUY",IF(AND(G2263="IN",Data!E2264&gt;0),"SELL","HOLD")))</f>
        <v>HOLD</v>
      </c>
      <c r="D2264" s="14" t="str">
        <f aca="false">IF(C2264="BUY",B2264,IF(G2263="IN",D2263,""))</f>
        <v/>
      </c>
      <c r="E2264" s="14" t="str">
        <f aca="false">IF(C2264="SELL",B2264,"")</f>
        <v/>
      </c>
      <c r="F2264" s="14" t="str">
        <f aca="false">IF(E2264="","",(E2264-D2264)/D2264*100)</f>
        <v/>
      </c>
      <c r="G2264" s="0" t="str">
        <f aca="false">IF(C2264="BUY","IN",IF(C2264="SELL","OUT",IF(G2263="IN","IN","OUT")))</f>
        <v>OUT</v>
      </c>
      <c r="H2264" s="14" t="n">
        <f aca="false">H2263+IF(F2264="",0,F2264)</f>
        <v>21.1462459605654</v>
      </c>
      <c r="I2264" s="14" t="n">
        <f aca="false">MAX(I2263,H2264)</f>
        <v>43.9309628600509</v>
      </c>
      <c r="J2264" s="14" t="n">
        <f aca="false">I2264-H2264</f>
        <v>22.7847168994854</v>
      </c>
    </row>
    <row r="2265" customFormat="false" ht="15" hidden="false" customHeight="false" outlineLevel="0" collapsed="false">
      <c r="A2265" s="12" t="n">
        <f aca="false">Data!A2265</f>
        <v>45294</v>
      </c>
      <c r="B2265" s="14" t="n">
        <f aca="false">Data!B2265</f>
        <v>72.7</v>
      </c>
      <c r="C2265" s="0" t="str">
        <f aca="false">IF(Data!D2265="","HOLD",IF(AND(G2264&lt;&gt;"IN",Data!E2265&lt;-5),"BUY",IF(AND(G2264="IN",Data!E2265&gt;0),"SELL","HOLD")))</f>
        <v>HOLD</v>
      </c>
      <c r="D2265" s="14" t="str">
        <f aca="false">IF(C2265="BUY",B2265,IF(G2264="IN",D2264,""))</f>
        <v/>
      </c>
      <c r="E2265" s="14" t="str">
        <f aca="false">IF(C2265="SELL",B2265,"")</f>
        <v/>
      </c>
      <c r="F2265" s="14" t="str">
        <f aca="false">IF(E2265="","",(E2265-D2265)/D2265*100)</f>
        <v/>
      </c>
      <c r="G2265" s="0" t="str">
        <f aca="false">IF(C2265="BUY","IN",IF(C2265="SELL","OUT",IF(G2264="IN","IN","OUT")))</f>
        <v>OUT</v>
      </c>
      <c r="H2265" s="14" t="n">
        <f aca="false">H2264+IF(F2265="",0,F2265)</f>
        <v>21.1462459605654</v>
      </c>
      <c r="I2265" s="14" t="n">
        <f aca="false">MAX(I2264,H2265)</f>
        <v>43.9309628600509</v>
      </c>
      <c r="J2265" s="14" t="n">
        <f aca="false">I2265-H2265</f>
        <v>22.7847168994854</v>
      </c>
    </row>
    <row r="2266" customFormat="false" ht="15" hidden="false" customHeight="false" outlineLevel="0" collapsed="false">
      <c r="A2266" s="12" t="n">
        <f aca="false">Data!A2266</f>
        <v>45295</v>
      </c>
      <c r="B2266" s="14" t="n">
        <f aca="false">Data!B2266</f>
        <v>72.19</v>
      </c>
      <c r="C2266" s="0" t="str">
        <f aca="false">IF(Data!D2266="","HOLD",IF(AND(G2265&lt;&gt;"IN",Data!E2266&lt;-5),"BUY",IF(AND(G2265="IN",Data!E2266&gt;0),"SELL","HOLD")))</f>
        <v>HOLD</v>
      </c>
      <c r="D2266" s="14" t="str">
        <f aca="false">IF(C2266="BUY",B2266,IF(G2265="IN",D2265,""))</f>
        <v/>
      </c>
      <c r="E2266" s="14" t="str">
        <f aca="false">IF(C2266="SELL",B2266,"")</f>
        <v/>
      </c>
      <c r="F2266" s="14" t="str">
        <f aca="false">IF(E2266="","",(E2266-D2266)/D2266*100)</f>
        <v/>
      </c>
      <c r="G2266" s="0" t="str">
        <f aca="false">IF(C2266="BUY","IN",IF(C2266="SELL","OUT",IF(G2265="IN","IN","OUT")))</f>
        <v>OUT</v>
      </c>
      <c r="H2266" s="14" t="n">
        <f aca="false">H2265+IF(F2266="",0,F2266)</f>
        <v>21.1462459605654</v>
      </c>
      <c r="I2266" s="14" t="n">
        <f aca="false">MAX(I2265,H2266)</f>
        <v>43.9309628600509</v>
      </c>
      <c r="J2266" s="14" t="n">
        <f aca="false">I2266-H2266</f>
        <v>22.7847168994854</v>
      </c>
    </row>
    <row r="2267" customFormat="false" ht="15" hidden="false" customHeight="false" outlineLevel="0" collapsed="false">
      <c r="A2267" s="12" t="n">
        <f aca="false">Data!A2267</f>
        <v>45296</v>
      </c>
      <c r="B2267" s="14" t="n">
        <f aca="false">Data!B2267</f>
        <v>73.81</v>
      </c>
      <c r="C2267" s="0" t="str">
        <f aca="false">IF(Data!D2267="","HOLD",IF(AND(G2266&lt;&gt;"IN",Data!E2267&lt;-5),"BUY",IF(AND(G2266="IN",Data!E2267&gt;0),"SELL","HOLD")))</f>
        <v>HOLD</v>
      </c>
      <c r="D2267" s="14" t="str">
        <f aca="false">IF(C2267="BUY",B2267,IF(G2266="IN",D2266,""))</f>
        <v/>
      </c>
      <c r="E2267" s="14" t="str">
        <f aca="false">IF(C2267="SELL",B2267,"")</f>
        <v/>
      </c>
      <c r="F2267" s="14" t="str">
        <f aca="false">IF(E2267="","",(E2267-D2267)/D2267*100)</f>
        <v/>
      </c>
      <c r="G2267" s="0" t="str">
        <f aca="false">IF(C2267="BUY","IN",IF(C2267="SELL","OUT",IF(G2266="IN","IN","OUT")))</f>
        <v>OUT</v>
      </c>
      <c r="H2267" s="14" t="n">
        <f aca="false">H2266+IF(F2267="",0,F2267)</f>
        <v>21.1462459605654</v>
      </c>
      <c r="I2267" s="14" t="n">
        <f aca="false">MAX(I2266,H2267)</f>
        <v>43.9309628600509</v>
      </c>
      <c r="J2267" s="14" t="n">
        <f aca="false">I2267-H2267</f>
        <v>22.7847168994854</v>
      </c>
    </row>
    <row r="2268" customFormat="false" ht="15" hidden="false" customHeight="false" outlineLevel="0" collapsed="false">
      <c r="A2268" s="12" t="n">
        <f aca="false">Data!A2268</f>
        <v>45299</v>
      </c>
      <c r="B2268" s="14" t="n">
        <f aca="false">Data!B2268</f>
        <v>70.77</v>
      </c>
      <c r="C2268" s="0" t="str">
        <f aca="false">IF(Data!D2268="","HOLD",IF(AND(G2267&lt;&gt;"IN",Data!E2268&lt;-5),"BUY",IF(AND(G2267="IN",Data!E2268&gt;0),"SELL","HOLD")))</f>
        <v>HOLD</v>
      </c>
      <c r="D2268" s="14" t="str">
        <f aca="false">IF(C2268="BUY",B2268,IF(G2267="IN",D2267,""))</f>
        <v/>
      </c>
      <c r="E2268" s="14" t="str">
        <f aca="false">IF(C2268="SELL",B2268,"")</f>
        <v/>
      </c>
      <c r="F2268" s="14" t="str">
        <f aca="false">IF(E2268="","",(E2268-D2268)/D2268*100)</f>
        <v/>
      </c>
      <c r="G2268" s="0" t="str">
        <f aca="false">IF(C2268="BUY","IN",IF(C2268="SELL","OUT",IF(G2267="IN","IN","OUT")))</f>
        <v>OUT</v>
      </c>
      <c r="H2268" s="14" t="n">
        <f aca="false">H2267+IF(F2268="",0,F2268)</f>
        <v>21.1462459605654</v>
      </c>
      <c r="I2268" s="14" t="n">
        <f aca="false">MAX(I2267,H2268)</f>
        <v>43.9309628600509</v>
      </c>
      <c r="J2268" s="14" t="n">
        <f aca="false">I2268-H2268</f>
        <v>22.7847168994854</v>
      </c>
    </row>
    <row r="2269" customFormat="false" ht="15" hidden="false" customHeight="false" outlineLevel="0" collapsed="false">
      <c r="A2269" s="12" t="n">
        <f aca="false">Data!A2269</f>
        <v>45300</v>
      </c>
      <c r="B2269" s="14" t="n">
        <f aca="false">Data!B2269</f>
        <v>72.24</v>
      </c>
      <c r="C2269" s="0" t="str">
        <f aca="false">IF(Data!D2269="","HOLD",IF(AND(G2268&lt;&gt;"IN",Data!E2269&lt;-5),"BUY",IF(AND(G2268="IN",Data!E2269&gt;0),"SELL","HOLD")))</f>
        <v>HOLD</v>
      </c>
      <c r="D2269" s="14" t="str">
        <f aca="false">IF(C2269="BUY",B2269,IF(G2268="IN",D2268,""))</f>
        <v/>
      </c>
      <c r="E2269" s="14" t="str">
        <f aca="false">IF(C2269="SELL",B2269,"")</f>
        <v/>
      </c>
      <c r="F2269" s="14" t="str">
        <f aca="false">IF(E2269="","",(E2269-D2269)/D2269*100)</f>
        <v/>
      </c>
      <c r="G2269" s="0" t="str">
        <f aca="false">IF(C2269="BUY","IN",IF(C2269="SELL","OUT",IF(G2268="IN","IN","OUT")))</f>
        <v>OUT</v>
      </c>
      <c r="H2269" s="14" t="n">
        <f aca="false">H2268+IF(F2269="",0,F2269)</f>
        <v>21.1462459605654</v>
      </c>
      <c r="I2269" s="14" t="n">
        <f aca="false">MAX(I2268,H2269)</f>
        <v>43.9309628600509</v>
      </c>
      <c r="J2269" s="14" t="n">
        <f aca="false">I2269-H2269</f>
        <v>22.7847168994854</v>
      </c>
    </row>
    <row r="2270" customFormat="false" ht="15" hidden="false" customHeight="false" outlineLevel="0" collapsed="false">
      <c r="A2270" s="12" t="n">
        <f aca="false">Data!A2270</f>
        <v>45301</v>
      </c>
      <c r="B2270" s="14" t="n">
        <f aca="false">Data!B2270</f>
        <v>71.37</v>
      </c>
      <c r="C2270" s="0" t="str">
        <f aca="false">IF(Data!D2270="","HOLD",IF(AND(G2269&lt;&gt;"IN",Data!E2270&lt;-5),"BUY",IF(AND(G2269="IN",Data!E2270&gt;0),"SELL","HOLD")))</f>
        <v>HOLD</v>
      </c>
      <c r="D2270" s="14" t="str">
        <f aca="false">IF(C2270="BUY",B2270,IF(G2269="IN",D2269,""))</f>
        <v/>
      </c>
      <c r="E2270" s="14" t="str">
        <f aca="false">IF(C2270="SELL",B2270,"")</f>
        <v/>
      </c>
      <c r="F2270" s="14" t="str">
        <f aca="false">IF(E2270="","",(E2270-D2270)/D2270*100)</f>
        <v/>
      </c>
      <c r="G2270" s="0" t="str">
        <f aca="false">IF(C2270="BUY","IN",IF(C2270="SELL","OUT",IF(G2269="IN","IN","OUT")))</f>
        <v>OUT</v>
      </c>
      <c r="H2270" s="14" t="n">
        <f aca="false">H2269+IF(F2270="",0,F2270)</f>
        <v>21.1462459605654</v>
      </c>
      <c r="I2270" s="14" t="n">
        <f aca="false">MAX(I2269,H2270)</f>
        <v>43.9309628600509</v>
      </c>
      <c r="J2270" s="14" t="n">
        <f aca="false">I2270-H2270</f>
        <v>22.7847168994854</v>
      </c>
    </row>
    <row r="2271" customFormat="false" ht="15" hidden="false" customHeight="false" outlineLevel="0" collapsed="false">
      <c r="A2271" s="12" t="n">
        <f aca="false">Data!A2271</f>
        <v>45302</v>
      </c>
      <c r="B2271" s="14" t="n">
        <f aca="false">Data!B2271</f>
        <v>72.02</v>
      </c>
      <c r="C2271" s="0" t="str">
        <f aca="false">IF(Data!D2271="","HOLD",IF(AND(G2270&lt;&gt;"IN",Data!E2271&lt;-5),"BUY",IF(AND(G2270="IN",Data!E2271&gt;0),"SELL","HOLD")))</f>
        <v>HOLD</v>
      </c>
      <c r="D2271" s="14" t="str">
        <f aca="false">IF(C2271="BUY",B2271,IF(G2270="IN",D2270,""))</f>
        <v/>
      </c>
      <c r="E2271" s="14" t="str">
        <f aca="false">IF(C2271="SELL",B2271,"")</f>
        <v/>
      </c>
      <c r="F2271" s="14" t="str">
        <f aca="false">IF(E2271="","",(E2271-D2271)/D2271*100)</f>
        <v/>
      </c>
      <c r="G2271" s="0" t="str">
        <f aca="false">IF(C2271="BUY","IN",IF(C2271="SELL","OUT",IF(G2270="IN","IN","OUT")))</f>
        <v>OUT</v>
      </c>
      <c r="H2271" s="14" t="n">
        <f aca="false">H2270+IF(F2271="",0,F2271)</f>
        <v>21.1462459605654</v>
      </c>
      <c r="I2271" s="14" t="n">
        <f aca="false">MAX(I2270,H2271)</f>
        <v>43.9309628600509</v>
      </c>
      <c r="J2271" s="14" t="n">
        <f aca="false">I2271-H2271</f>
        <v>22.7847168994854</v>
      </c>
    </row>
    <row r="2272" customFormat="false" ht="15" hidden="false" customHeight="false" outlineLevel="0" collapsed="false">
      <c r="A2272" s="12" t="n">
        <f aca="false">Data!A2272</f>
        <v>45303</v>
      </c>
      <c r="B2272" s="14" t="n">
        <f aca="false">Data!B2272</f>
        <v>72.68</v>
      </c>
      <c r="C2272" s="0" t="str">
        <f aca="false">IF(Data!D2272="","HOLD",IF(AND(G2271&lt;&gt;"IN",Data!E2272&lt;-5),"BUY",IF(AND(G2271="IN",Data!E2272&gt;0),"SELL","HOLD")))</f>
        <v>HOLD</v>
      </c>
      <c r="D2272" s="14" t="str">
        <f aca="false">IF(C2272="BUY",B2272,IF(G2271="IN",D2271,""))</f>
        <v/>
      </c>
      <c r="E2272" s="14" t="str">
        <f aca="false">IF(C2272="SELL",B2272,"")</f>
        <v/>
      </c>
      <c r="F2272" s="14" t="str">
        <f aca="false">IF(E2272="","",(E2272-D2272)/D2272*100)</f>
        <v/>
      </c>
      <c r="G2272" s="0" t="str">
        <f aca="false">IF(C2272="BUY","IN",IF(C2272="SELL","OUT",IF(G2271="IN","IN","OUT")))</f>
        <v>OUT</v>
      </c>
      <c r="H2272" s="14" t="n">
        <f aca="false">H2271+IF(F2272="",0,F2272)</f>
        <v>21.1462459605654</v>
      </c>
      <c r="I2272" s="14" t="n">
        <f aca="false">MAX(I2271,H2272)</f>
        <v>43.9309628600509</v>
      </c>
      <c r="J2272" s="14" t="n">
        <f aca="false">I2272-H2272</f>
        <v>22.7847168994854</v>
      </c>
    </row>
    <row r="2273" customFormat="false" ht="15" hidden="false" customHeight="false" outlineLevel="0" collapsed="false">
      <c r="A2273" s="12" t="n">
        <f aca="false">Data!A2273</f>
        <v>45307</v>
      </c>
      <c r="B2273" s="14" t="n">
        <f aca="false">Data!B2273</f>
        <v>72.4</v>
      </c>
      <c r="C2273" s="0" t="str">
        <f aca="false">IF(Data!D2273="","HOLD",IF(AND(G2272&lt;&gt;"IN",Data!E2273&lt;-5),"BUY",IF(AND(G2272="IN",Data!E2273&gt;0),"SELL","HOLD")))</f>
        <v>HOLD</v>
      </c>
      <c r="D2273" s="14" t="str">
        <f aca="false">IF(C2273="BUY",B2273,IF(G2272="IN",D2272,""))</f>
        <v/>
      </c>
      <c r="E2273" s="14" t="str">
        <f aca="false">IF(C2273="SELL",B2273,"")</f>
        <v/>
      </c>
      <c r="F2273" s="14" t="str">
        <f aca="false">IF(E2273="","",(E2273-D2273)/D2273*100)</f>
        <v/>
      </c>
      <c r="G2273" s="0" t="str">
        <f aca="false">IF(C2273="BUY","IN",IF(C2273="SELL","OUT",IF(G2272="IN","IN","OUT")))</f>
        <v>OUT</v>
      </c>
      <c r="H2273" s="14" t="n">
        <f aca="false">H2272+IF(F2273="",0,F2273)</f>
        <v>21.1462459605654</v>
      </c>
      <c r="I2273" s="14" t="n">
        <f aca="false">MAX(I2272,H2273)</f>
        <v>43.9309628600509</v>
      </c>
      <c r="J2273" s="14" t="n">
        <f aca="false">I2273-H2273</f>
        <v>22.7847168994854</v>
      </c>
    </row>
    <row r="2274" customFormat="false" ht="15" hidden="false" customHeight="false" outlineLevel="0" collapsed="false">
      <c r="A2274" s="12" t="n">
        <f aca="false">Data!A2274</f>
        <v>45308</v>
      </c>
      <c r="B2274" s="14" t="n">
        <f aca="false">Data!B2274</f>
        <v>72.56</v>
      </c>
      <c r="C2274" s="0" t="str">
        <f aca="false">IF(Data!D2274="","HOLD",IF(AND(G2273&lt;&gt;"IN",Data!E2274&lt;-5),"BUY",IF(AND(G2273="IN",Data!E2274&gt;0),"SELL","HOLD")))</f>
        <v>HOLD</v>
      </c>
      <c r="D2274" s="14" t="str">
        <f aca="false">IF(C2274="BUY",B2274,IF(G2273="IN",D2273,""))</f>
        <v/>
      </c>
      <c r="E2274" s="14" t="str">
        <f aca="false">IF(C2274="SELL",B2274,"")</f>
        <v/>
      </c>
      <c r="F2274" s="14" t="str">
        <f aca="false">IF(E2274="","",(E2274-D2274)/D2274*100)</f>
        <v/>
      </c>
      <c r="G2274" s="0" t="str">
        <f aca="false">IF(C2274="BUY","IN",IF(C2274="SELL","OUT",IF(G2273="IN","IN","OUT")))</f>
        <v>OUT</v>
      </c>
      <c r="H2274" s="14" t="n">
        <f aca="false">H2273+IF(F2274="",0,F2274)</f>
        <v>21.1462459605654</v>
      </c>
      <c r="I2274" s="14" t="n">
        <f aca="false">MAX(I2273,H2274)</f>
        <v>43.9309628600509</v>
      </c>
      <c r="J2274" s="14" t="n">
        <f aca="false">I2274-H2274</f>
        <v>22.7847168994854</v>
      </c>
    </row>
    <row r="2275" customFormat="false" ht="15" hidden="false" customHeight="false" outlineLevel="0" collapsed="false">
      <c r="A2275" s="12" t="n">
        <f aca="false">Data!A2275</f>
        <v>45309</v>
      </c>
      <c r="B2275" s="14" t="n">
        <f aca="false">Data!B2275</f>
        <v>74.08</v>
      </c>
      <c r="C2275" s="0" t="str">
        <f aca="false">IF(Data!D2275="","HOLD",IF(AND(G2274&lt;&gt;"IN",Data!E2275&lt;-5),"BUY",IF(AND(G2274="IN",Data!E2275&gt;0),"SELL","HOLD")))</f>
        <v>HOLD</v>
      </c>
      <c r="D2275" s="14" t="str">
        <f aca="false">IF(C2275="BUY",B2275,IF(G2274="IN",D2274,""))</f>
        <v/>
      </c>
      <c r="E2275" s="14" t="str">
        <f aca="false">IF(C2275="SELL",B2275,"")</f>
        <v/>
      </c>
      <c r="F2275" s="14" t="str">
        <f aca="false">IF(E2275="","",(E2275-D2275)/D2275*100)</f>
        <v/>
      </c>
      <c r="G2275" s="0" t="str">
        <f aca="false">IF(C2275="BUY","IN",IF(C2275="SELL","OUT",IF(G2274="IN","IN","OUT")))</f>
        <v>OUT</v>
      </c>
      <c r="H2275" s="14" t="n">
        <f aca="false">H2274+IF(F2275="",0,F2275)</f>
        <v>21.1462459605654</v>
      </c>
      <c r="I2275" s="14" t="n">
        <f aca="false">MAX(I2274,H2275)</f>
        <v>43.9309628600509</v>
      </c>
      <c r="J2275" s="14" t="n">
        <f aca="false">I2275-H2275</f>
        <v>22.7847168994854</v>
      </c>
    </row>
    <row r="2276" customFormat="false" ht="15" hidden="false" customHeight="false" outlineLevel="0" collapsed="false">
      <c r="A2276" s="12" t="n">
        <f aca="false">Data!A2276</f>
        <v>45310</v>
      </c>
      <c r="B2276" s="14" t="n">
        <f aca="false">Data!B2276</f>
        <v>73.41</v>
      </c>
      <c r="C2276" s="0" t="str">
        <f aca="false">IF(Data!D2276="","HOLD",IF(AND(G2275&lt;&gt;"IN",Data!E2276&lt;-5),"BUY",IF(AND(G2275="IN",Data!E2276&gt;0),"SELL","HOLD")))</f>
        <v>HOLD</v>
      </c>
      <c r="D2276" s="14" t="str">
        <f aca="false">IF(C2276="BUY",B2276,IF(G2275="IN",D2275,""))</f>
        <v/>
      </c>
      <c r="E2276" s="14" t="str">
        <f aca="false">IF(C2276="SELL",B2276,"")</f>
        <v/>
      </c>
      <c r="F2276" s="14" t="str">
        <f aca="false">IF(E2276="","",(E2276-D2276)/D2276*100)</f>
        <v/>
      </c>
      <c r="G2276" s="0" t="str">
        <f aca="false">IF(C2276="BUY","IN",IF(C2276="SELL","OUT",IF(G2275="IN","IN","OUT")))</f>
        <v>OUT</v>
      </c>
      <c r="H2276" s="14" t="n">
        <f aca="false">H2275+IF(F2276="",0,F2276)</f>
        <v>21.1462459605654</v>
      </c>
      <c r="I2276" s="14" t="n">
        <f aca="false">MAX(I2275,H2276)</f>
        <v>43.9309628600509</v>
      </c>
      <c r="J2276" s="14" t="n">
        <f aca="false">I2276-H2276</f>
        <v>22.7847168994854</v>
      </c>
    </row>
    <row r="2277" customFormat="false" ht="15" hidden="false" customHeight="false" outlineLevel="0" collapsed="false">
      <c r="A2277" s="12" t="n">
        <f aca="false">Data!A2277</f>
        <v>45313</v>
      </c>
      <c r="B2277" s="14" t="n">
        <f aca="false">Data!B2277</f>
        <v>75.19</v>
      </c>
      <c r="C2277" s="0" t="str">
        <f aca="false">IF(Data!D2277="","HOLD",IF(AND(G2276&lt;&gt;"IN",Data!E2277&lt;-5),"BUY",IF(AND(G2276="IN",Data!E2277&gt;0),"SELL","HOLD")))</f>
        <v>HOLD</v>
      </c>
      <c r="D2277" s="14" t="str">
        <f aca="false">IF(C2277="BUY",B2277,IF(G2276="IN",D2276,""))</f>
        <v/>
      </c>
      <c r="E2277" s="14" t="str">
        <f aca="false">IF(C2277="SELL",B2277,"")</f>
        <v/>
      </c>
      <c r="F2277" s="14" t="str">
        <f aca="false">IF(E2277="","",(E2277-D2277)/D2277*100)</f>
        <v/>
      </c>
      <c r="G2277" s="0" t="str">
        <f aca="false">IF(C2277="BUY","IN",IF(C2277="SELL","OUT",IF(G2276="IN","IN","OUT")))</f>
        <v>OUT</v>
      </c>
      <c r="H2277" s="14" t="n">
        <f aca="false">H2276+IF(F2277="",0,F2277)</f>
        <v>21.1462459605654</v>
      </c>
      <c r="I2277" s="14" t="n">
        <f aca="false">MAX(I2276,H2277)</f>
        <v>43.9309628600509</v>
      </c>
      <c r="J2277" s="14" t="n">
        <f aca="false">I2277-H2277</f>
        <v>22.7847168994854</v>
      </c>
    </row>
    <row r="2278" customFormat="false" ht="15" hidden="false" customHeight="false" outlineLevel="0" collapsed="false">
      <c r="A2278" s="12" t="n">
        <f aca="false">Data!A2278</f>
        <v>45314</v>
      </c>
      <c r="B2278" s="14" t="n">
        <f aca="false">Data!B2278</f>
        <v>74.37</v>
      </c>
      <c r="C2278" s="0" t="str">
        <f aca="false">IF(Data!D2278="","HOLD",IF(AND(G2277&lt;&gt;"IN",Data!E2278&lt;-5),"BUY",IF(AND(G2277="IN",Data!E2278&gt;0),"SELL","HOLD")))</f>
        <v>HOLD</v>
      </c>
      <c r="D2278" s="14" t="str">
        <f aca="false">IF(C2278="BUY",B2278,IF(G2277="IN",D2277,""))</f>
        <v/>
      </c>
      <c r="E2278" s="14" t="str">
        <f aca="false">IF(C2278="SELL",B2278,"")</f>
        <v/>
      </c>
      <c r="F2278" s="14" t="str">
        <f aca="false">IF(E2278="","",(E2278-D2278)/D2278*100)</f>
        <v/>
      </c>
      <c r="G2278" s="0" t="str">
        <f aca="false">IF(C2278="BUY","IN",IF(C2278="SELL","OUT",IF(G2277="IN","IN","OUT")))</f>
        <v>OUT</v>
      </c>
      <c r="H2278" s="14" t="n">
        <f aca="false">H2277+IF(F2278="",0,F2278)</f>
        <v>21.1462459605654</v>
      </c>
      <c r="I2278" s="14" t="n">
        <f aca="false">MAX(I2277,H2278)</f>
        <v>43.9309628600509</v>
      </c>
      <c r="J2278" s="14" t="n">
        <f aca="false">I2278-H2278</f>
        <v>22.7847168994854</v>
      </c>
    </row>
    <row r="2279" customFormat="false" ht="15" hidden="false" customHeight="false" outlineLevel="0" collapsed="false">
      <c r="A2279" s="12" t="n">
        <f aca="false">Data!A2279</f>
        <v>45315</v>
      </c>
      <c r="B2279" s="14" t="n">
        <f aca="false">Data!B2279</f>
        <v>75.09</v>
      </c>
      <c r="C2279" s="0" t="str">
        <f aca="false">IF(Data!D2279="","HOLD",IF(AND(G2278&lt;&gt;"IN",Data!E2279&lt;-5),"BUY",IF(AND(G2278="IN",Data!E2279&gt;0),"SELL","HOLD")))</f>
        <v>HOLD</v>
      </c>
      <c r="D2279" s="14" t="str">
        <f aca="false">IF(C2279="BUY",B2279,IF(G2278="IN",D2278,""))</f>
        <v/>
      </c>
      <c r="E2279" s="14" t="str">
        <f aca="false">IF(C2279="SELL",B2279,"")</f>
        <v/>
      </c>
      <c r="F2279" s="14" t="str">
        <f aca="false">IF(E2279="","",(E2279-D2279)/D2279*100)</f>
        <v/>
      </c>
      <c r="G2279" s="0" t="str">
        <f aca="false">IF(C2279="BUY","IN",IF(C2279="SELL","OUT",IF(G2278="IN","IN","OUT")))</f>
        <v>OUT</v>
      </c>
      <c r="H2279" s="14" t="n">
        <f aca="false">H2278+IF(F2279="",0,F2279)</f>
        <v>21.1462459605654</v>
      </c>
      <c r="I2279" s="14" t="n">
        <f aca="false">MAX(I2278,H2279)</f>
        <v>43.9309628600509</v>
      </c>
      <c r="J2279" s="14" t="n">
        <f aca="false">I2279-H2279</f>
        <v>22.7847168994854</v>
      </c>
    </row>
    <row r="2280" customFormat="false" ht="15" hidden="false" customHeight="false" outlineLevel="0" collapsed="false">
      <c r="A2280" s="12" t="n">
        <f aca="false">Data!A2280</f>
        <v>45316</v>
      </c>
      <c r="B2280" s="14" t="n">
        <f aca="false">Data!B2280</f>
        <v>77.36</v>
      </c>
      <c r="C2280" s="0" t="str">
        <f aca="false">IF(Data!D2280="","HOLD",IF(AND(G2279&lt;&gt;"IN",Data!E2280&lt;-5),"BUY",IF(AND(G2279="IN",Data!E2280&gt;0),"SELL","HOLD")))</f>
        <v>HOLD</v>
      </c>
      <c r="D2280" s="14" t="str">
        <f aca="false">IF(C2280="BUY",B2280,IF(G2279="IN",D2279,""))</f>
        <v/>
      </c>
      <c r="E2280" s="14" t="str">
        <f aca="false">IF(C2280="SELL",B2280,"")</f>
        <v/>
      </c>
      <c r="F2280" s="14" t="str">
        <f aca="false">IF(E2280="","",(E2280-D2280)/D2280*100)</f>
        <v/>
      </c>
      <c r="G2280" s="0" t="str">
        <f aca="false">IF(C2280="BUY","IN",IF(C2280="SELL","OUT",IF(G2279="IN","IN","OUT")))</f>
        <v>OUT</v>
      </c>
      <c r="H2280" s="14" t="n">
        <f aca="false">H2279+IF(F2280="",0,F2280)</f>
        <v>21.1462459605654</v>
      </c>
      <c r="I2280" s="14" t="n">
        <f aca="false">MAX(I2279,H2280)</f>
        <v>43.9309628600509</v>
      </c>
      <c r="J2280" s="14" t="n">
        <f aca="false">I2280-H2280</f>
        <v>22.7847168994854</v>
      </c>
    </row>
    <row r="2281" customFormat="false" ht="15" hidden="false" customHeight="false" outlineLevel="0" collapsed="false">
      <c r="A2281" s="12" t="n">
        <f aca="false">Data!A2281</f>
        <v>45317</v>
      </c>
      <c r="B2281" s="14" t="n">
        <f aca="false">Data!B2281</f>
        <v>78.01</v>
      </c>
      <c r="C2281" s="0" t="str">
        <f aca="false">IF(Data!D2281="","HOLD",IF(AND(G2280&lt;&gt;"IN",Data!E2281&lt;-5),"BUY",IF(AND(G2280="IN",Data!E2281&gt;0),"SELL","HOLD")))</f>
        <v>HOLD</v>
      </c>
      <c r="D2281" s="14" t="str">
        <f aca="false">IF(C2281="BUY",B2281,IF(G2280="IN",D2280,""))</f>
        <v/>
      </c>
      <c r="E2281" s="14" t="str">
        <f aca="false">IF(C2281="SELL",B2281,"")</f>
        <v/>
      </c>
      <c r="F2281" s="14" t="str">
        <f aca="false">IF(E2281="","",(E2281-D2281)/D2281*100)</f>
        <v/>
      </c>
      <c r="G2281" s="0" t="str">
        <f aca="false">IF(C2281="BUY","IN",IF(C2281="SELL","OUT",IF(G2280="IN","IN","OUT")))</f>
        <v>OUT</v>
      </c>
      <c r="H2281" s="14" t="n">
        <f aca="false">H2280+IF(F2281="",0,F2281)</f>
        <v>21.1462459605654</v>
      </c>
      <c r="I2281" s="14" t="n">
        <f aca="false">MAX(I2280,H2281)</f>
        <v>43.9309628600509</v>
      </c>
      <c r="J2281" s="14" t="n">
        <f aca="false">I2281-H2281</f>
        <v>22.7847168994854</v>
      </c>
    </row>
    <row r="2282" customFormat="false" ht="15" hidden="false" customHeight="false" outlineLevel="0" collapsed="false">
      <c r="A2282" s="12" t="n">
        <f aca="false">Data!A2282</f>
        <v>45320</v>
      </c>
      <c r="B2282" s="14" t="n">
        <f aca="false">Data!B2282</f>
        <v>76.78</v>
      </c>
      <c r="C2282" s="0" t="str">
        <f aca="false">IF(Data!D2282="","HOLD",IF(AND(G2281&lt;&gt;"IN",Data!E2282&lt;-5),"BUY",IF(AND(G2281="IN",Data!E2282&gt;0),"SELL","HOLD")))</f>
        <v>HOLD</v>
      </c>
      <c r="D2282" s="14" t="str">
        <f aca="false">IF(C2282="BUY",B2282,IF(G2281="IN",D2281,""))</f>
        <v/>
      </c>
      <c r="E2282" s="14" t="str">
        <f aca="false">IF(C2282="SELL",B2282,"")</f>
        <v/>
      </c>
      <c r="F2282" s="14" t="str">
        <f aca="false">IF(E2282="","",(E2282-D2282)/D2282*100)</f>
        <v/>
      </c>
      <c r="G2282" s="0" t="str">
        <f aca="false">IF(C2282="BUY","IN",IF(C2282="SELL","OUT",IF(G2281="IN","IN","OUT")))</f>
        <v>OUT</v>
      </c>
      <c r="H2282" s="14" t="n">
        <f aca="false">H2281+IF(F2282="",0,F2282)</f>
        <v>21.1462459605654</v>
      </c>
      <c r="I2282" s="14" t="n">
        <f aca="false">MAX(I2281,H2282)</f>
        <v>43.9309628600509</v>
      </c>
      <c r="J2282" s="14" t="n">
        <f aca="false">I2282-H2282</f>
        <v>22.7847168994854</v>
      </c>
    </row>
    <row r="2283" customFormat="false" ht="15" hidden="false" customHeight="false" outlineLevel="0" collapsed="false">
      <c r="A2283" s="12" t="n">
        <f aca="false">Data!A2283</f>
        <v>45321</v>
      </c>
      <c r="B2283" s="14" t="n">
        <f aca="false">Data!B2283</f>
        <v>77.82</v>
      </c>
      <c r="C2283" s="0" t="str">
        <f aca="false">IF(Data!D2283="","HOLD",IF(AND(G2282&lt;&gt;"IN",Data!E2283&lt;-5),"BUY",IF(AND(G2282="IN",Data!E2283&gt;0),"SELL","HOLD")))</f>
        <v>HOLD</v>
      </c>
      <c r="D2283" s="14" t="str">
        <f aca="false">IF(C2283="BUY",B2283,IF(G2282="IN",D2282,""))</f>
        <v/>
      </c>
      <c r="E2283" s="14" t="str">
        <f aca="false">IF(C2283="SELL",B2283,"")</f>
        <v/>
      </c>
      <c r="F2283" s="14" t="str">
        <f aca="false">IF(E2283="","",(E2283-D2283)/D2283*100)</f>
        <v/>
      </c>
      <c r="G2283" s="0" t="str">
        <f aca="false">IF(C2283="BUY","IN",IF(C2283="SELL","OUT",IF(G2282="IN","IN","OUT")))</f>
        <v>OUT</v>
      </c>
      <c r="H2283" s="14" t="n">
        <f aca="false">H2282+IF(F2283="",0,F2283)</f>
        <v>21.1462459605654</v>
      </c>
      <c r="I2283" s="14" t="n">
        <f aca="false">MAX(I2282,H2283)</f>
        <v>43.9309628600509</v>
      </c>
      <c r="J2283" s="14" t="n">
        <f aca="false">I2283-H2283</f>
        <v>22.7847168994854</v>
      </c>
    </row>
    <row r="2284" customFormat="false" ht="15" hidden="false" customHeight="false" outlineLevel="0" collapsed="false">
      <c r="A2284" s="12" t="n">
        <f aca="false">Data!A2284</f>
        <v>45322</v>
      </c>
      <c r="B2284" s="14" t="n">
        <f aca="false">Data!B2284</f>
        <v>75.85</v>
      </c>
      <c r="C2284" s="0" t="str">
        <f aca="false">IF(Data!D2284="","HOLD",IF(AND(G2283&lt;&gt;"IN",Data!E2284&lt;-5),"BUY",IF(AND(G2283="IN",Data!E2284&gt;0),"SELL","HOLD")))</f>
        <v>HOLD</v>
      </c>
      <c r="D2284" s="14" t="str">
        <f aca="false">IF(C2284="BUY",B2284,IF(G2283="IN",D2283,""))</f>
        <v/>
      </c>
      <c r="E2284" s="14" t="str">
        <f aca="false">IF(C2284="SELL",B2284,"")</f>
        <v/>
      </c>
      <c r="F2284" s="14" t="str">
        <f aca="false">IF(E2284="","",(E2284-D2284)/D2284*100)</f>
        <v/>
      </c>
      <c r="G2284" s="0" t="str">
        <f aca="false">IF(C2284="BUY","IN",IF(C2284="SELL","OUT",IF(G2283="IN","IN","OUT")))</f>
        <v>OUT</v>
      </c>
      <c r="H2284" s="14" t="n">
        <f aca="false">H2283+IF(F2284="",0,F2284)</f>
        <v>21.1462459605654</v>
      </c>
      <c r="I2284" s="14" t="n">
        <f aca="false">MAX(I2283,H2284)</f>
        <v>43.9309628600509</v>
      </c>
      <c r="J2284" s="14" t="n">
        <f aca="false">I2284-H2284</f>
        <v>22.7847168994854</v>
      </c>
    </row>
    <row r="2285" customFormat="false" ht="15" hidden="false" customHeight="false" outlineLevel="0" collapsed="false">
      <c r="A2285" s="12" t="n">
        <f aca="false">Data!A2285</f>
        <v>45323</v>
      </c>
      <c r="B2285" s="14" t="n">
        <f aca="false">Data!B2285</f>
        <v>73.82</v>
      </c>
      <c r="C2285" s="0" t="str">
        <f aca="false">IF(Data!D2285="","HOLD",IF(AND(G2284&lt;&gt;"IN",Data!E2285&lt;-5),"BUY",IF(AND(G2284="IN",Data!E2285&gt;0),"SELL","HOLD")))</f>
        <v>HOLD</v>
      </c>
      <c r="D2285" s="14" t="str">
        <f aca="false">IF(C2285="BUY",B2285,IF(G2284="IN",D2284,""))</f>
        <v/>
      </c>
      <c r="E2285" s="14" t="str">
        <f aca="false">IF(C2285="SELL",B2285,"")</f>
        <v/>
      </c>
      <c r="F2285" s="14" t="str">
        <f aca="false">IF(E2285="","",(E2285-D2285)/D2285*100)</f>
        <v/>
      </c>
      <c r="G2285" s="0" t="str">
        <f aca="false">IF(C2285="BUY","IN",IF(C2285="SELL","OUT",IF(G2284="IN","IN","OUT")))</f>
        <v>OUT</v>
      </c>
      <c r="H2285" s="14" t="n">
        <f aca="false">H2284+IF(F2285="",0,F2285)</f>
        <v>21.1462459605654</v>
      </c>
      <c r="I2285" s="14" t="n">
        <f aca="false">MAX(I2284,H2285)</f>
        <v>43.9309628600509</v>
      </c>
      <c r="J2285" s="14" t="n">
        <f aca="false">I2285-H2285</f>
        <v>22.7847168994854</v>
      </c>
    </row>
    <row r="2286" customFormat="false" ht="15" hidden="false" customHeight="false" outlineLevel="0" collapsed="false">
      <c r="A2286" s="12" t="n">
        <f aca="false">Data!A2286</f>
        <v>45324</v>
      </c>
      <c r="B2286" s="14" t="n">
        <f aca="false">Data!B2286</f>
        <v>72.28</v>
      </c>
      <c r="C2286" s="0" t="str">
        <f aca="false">IF(Data!D2286="","HOLD",IF(AND(G2285&lt;&gt;"IN",Data!E2286&lt;-5),"BUY",IF(AND(G2285="IN",Data!E2286&gt;0),"SELL","HOLD")))</f>
        <v>HOLD</v>
      </c>
      <c r="D2286" s="14" t="str">
        <f aca="false">IF(C2286="BUY",B2286,IF(G2285="IN",D2285,""))</f>
        <v/>
      </c>
      <c r="E2286" s="14" t="str">
        <f aca="false">IF(C2286="SELL",B2286,"")</f>
        <v/>
      </c>
      <c r="F2286" s="14" t="str">
        <f aca="false">IF(E2286="","",(E2286-D2286)/D2286*100)</f>
        <v/>
      </c>
      <c r="G2286" s="0" t="str">
        <f aca="false">IF(C2286="BUY","IN",IF(C2286="SELL","OUT",IF(G2285="IN","IN","OUT")))</f>
        <v>OUT</v>
      </c>
      <c r="H2286" s="14" t="n">
        <f aca="false">H2285+IF(F2286="",0,F2286)</f>
        <v>21.1462459605654</v>
      </c>
      <c r="I2286" s="14" t="n">
        <f aca="false">MAX(I2285,H2286)</f>
        <v>43.9309628600509</v>
      </c>
      <c r="J2286" s="14" t="n">
        <f aca="false">I2286-H2286</f>
        <v>22.7847168994854</v>
      </c>
    </row>
    <row r="2287" customFormat="false" ht="15" hidden="false" customHeight="false" outlineLevel="0" collapsed="false">
      <c r="A2287" s="12" t="n">
        <f aca="false">Data!A2287</f>
        <v>45327</v>
      </c>
      <c r="B2287" s="14" t="n">
        <f aca="false">Data!B2287</f>
        <v>72.78</v>
      </c>
      <c r="C2287" s="0" t="str">
        <f aca="false">IF(Data!D2287="","HOLD",IF(AND(G2286&lt;&gt;"IN",Data!E2287&lt;-5),"BUY",IF(AND(G2286="IN",Data!E2287&gt;0),"SELL","HOLD")))</f>
        <v>HOLD</v>
      </c>
      <c r="D2287" s="14" t="str">
        <f aca="false">IF(C2287="BUY",B2287,IF(G2286="IN",D2286,""))</f>
        <v/>
      </c>
      <c r="E2287" s="14" t="str">
        <f aca="false">IF(C2287="SELL",B2287,"")</f>
        <v/>
      </c>
      <c r="F2287" s="14" t="str">
        <f aca="false">IF(E2287="","",(E2287-D2287)/D2287*100)</f>
        <v/>
      </c>
      <c r="G2287" s="0" t="str">
        <f aca="false">IF(C2287="BUY","IN",IF(C2287="SELL","OUT",IF(G2286="IN","IN","OUT")))</f>
        <v>OUT</v>
      </c>
      <c r="H2287" s="14" t="n">
        <f aca="false">H2286+IF(F2287="",0,F2287)</f>
        <v>21.1462459605654</v>
      </c>
      <c r="I2287" s="14" t="n">
        <f aca="false">MAX(I2286,H2287)</f>
        <v>43.9309628600509</v>
      </c>
      <c r="J2287" s="14" t="n">
        <f aca="false">I2287-H2287</f>
        <v>22.7847168994854</v>
      </c>
    </row>
    <row r="2288" customFormat="false" ht="15" hidden="false" customHeight="false" outlineLevel="0" collapsed="false">
      <c r="A2288" s="12" t="n">
        <f aca="false">Data!A2288</f>
        <v>45328</v>
      </c>
      <c r="B2288" s="14" t="n">
        <f aca="false">Data!B2288</f>
        <v>73.31</v>
      </c>
      <c r="C2288" s="0" t="str">
        <f aca="false">IF(Data!D2288="","HOLD",IF(AND(G2287&lt;&gt;"IN",Data!E2288&lt;-5),"BUY",IF(AND(G2287="IN",Data!E2288&gt;0),"SELL","HOLD")))</f>
        <v>HOLD</v>
      </c>
      <c r="D2288" s="14" t="str">
        <f aca="false">IF(C2288="BUY",B2288,IF(G2287="IN",D2287,""))</f>
        <v/>
      </c>
      <c r="E2288" s="14" t="str">
        <f aca="false">IF(C2288="SELL",B2288,"")</f>
        <v/>
      </c>
      <c r="F2288" s="14" t="str">
        <f aca="false">IF(E2288="","",(E2288-D2288)/D2288*100)</f>
        <v/>
      </c>
      <c r="G2288" s="0" t="str">
        <f aca="false">IF(C2288="BUY","IN",IF(C2288="SELL","OUT",IF(G2287="IN","IN","OUT")))</f>
        <v>OUT</v>
      </c>
      <c r="H2288" s="14" t="n">
        <f aca="false">H2287+IF(F2288="",0,F2288)</f>
        <v>21.1462459605654</v>
      </c>
      <c r="I2288" s="14" t="n">
        <f aca="false">MAX(I2287,H2288)</f>
        <v>43.9309628600509</v>
      </c>
      <c r="J2288" s="14" t="n">
        <f aca="false">I2288-H2288</f>
        <v>22.7847168994854</v>
      </c>
    </row>
    <row r="2289" customFormat="false" ht="15" hidden="false" customHeight="false" outlineLevel="0" collapsed="false">
      <c r="A2289" s="12" t="n">
        <f aca="false">Data!A2289</f>
        <v>45329</v>
      </c>
      <c r="B2289" s="14" t="n">
        <f aca="false">Data!B2289</f>
        <v>73.86</v>
      </c>
      <c r="C2289" s="0" t="str">
        <f aca="false">IF(Data!D2289="","HOLD",IF(AND(G2288&lt;&gt;"IN",Data!E2289&lt;-5),"BUY",IF(AND(G2288="IN",Data!E2289&gt;0),"SELL","HOLD")))</f>
        <v>HOLD</v>
      </c>
      <c r="D2289" s="14" t="str">
        <f aca="false">IF(C2289="BUY",B2289,IF(G2288="IN",D2288,""))</f>
        <v/>
      </c>
      <c r="E2289" s="14" t="str">
        <f aca="false">IF(C2289="SELL",B2289,"")</f>
        <v/>
      </c>
      <c r="F2289" s="14" t="str">
        <f aca="false">IF(E2289="","",(E2289-D2289)/D2289*100)</f>
        <v/>
      </c>
      <c r="G2289" s="0" t="str">
        <f aca="false">IF(C2289="BUY","IN",IF(C2289="SELL","OUT",IF(G2288="IN","IN","OUT")))</f>
        <v>OUT</v>
      </c>
      <c r="H2289" s="14" t="n">
        <f aca="false">H2288+IF(F2289="",0,F2289)</f>
        <v>21.1462459605654</v>
      </c>
      <c r="I2289" s="14" t="n">
        <f aca="false">MAX(I2288,H2289)</f>
        <v>43.9309628600509</v>
      </c>
      <c r="J2289" s="14" t="n">
        <f aca="false">I2289-H2289</f>
        <v>22.7847168994854</v>
      </c>
    </row>
    <row r="2290" customFormat="false" ht="15" hidden="false" customHeight="false" outlineLevel="0" collapsed="false">
      <c r="A2290" s="12" t="n">
        <f aca="false">Data!A2290</f>
        <v>45330</v>
      </c>
      <c r="B2290" s="14" t="n">
        <f aca="false">Data!B2290</f>
        <v>76.22</v>
      </c>
      <c r="C2290" s="0" t="str">
        <f aca="false">IF(Data!D2290="","HOLD",IF(AND(G2289&lt;&gt;"IN",Data!E2290&lt;-5),"BUY",IF(AND(G2289="IN",Data!E2290&gt;0),"SELL","HOLD")))</f>
        <v>HOLD</v>
      </c>
      <c r="D2290" s="14" t="str">
        <f aca="false">IF(C2290="BUY",B2290,IF(G2289="IN",D2289,""))</f>
        <v/>
      </c>
      <c r="E2290" s="14" t="str">
        <f aca="false">IF(C2290="SELL",B2290,"")</f>
        <v/>
      </c>
      <c r="F2290" s="14" t="str">
        <f aca="false">IF(E2290="","",(E2290-D2290)/D2290*100)</f>
        <v/>
      </c>
      <c r="G2290" s="0" t="str">
        <f aca="false">IF(C2290="BUY","IN",IF(C2290="SELL","OUT",IF(G2289="IN","IN","OUT")))</f>
        <v>OUT</v>
      </c>
      <c r="H2290" s="14" t="n">
        <f aca="false">H2289+IF(F2290="",0,F2290)</f>
        <v>21.1462459605654</v>
      </c>
      <c r="I2290" s="14" t="n">
        <f aca="false">MAX(I2289,H2290)</f>
        <v>43.9309628600509</v>
      </c>
      <c r="J2290" s="14" t="n">
        <f aca="false">I2290-H2290</f>
        <v>22.7847168994854</v>
      </c>
    </row>
    <row r="2291" customFormat="false" ht="15" hidden="false" customHeight="false" outlineLevel="0" collapsed="false">
      <c r="A2291" s="12" t="n">
        <f aca="false">Data!A2291</f>
        <v>45331</v>
      </c>
      <c r="B2291" s="14" t="n">
        <f aca="false">Data!B2291</f>
        <v>76.84</v>
      </c>
      <c r="C2291" s="0" t="str">
        <f aca="false">IF(Data!D2291="","HOLD",IF(AND(G2290&lt;&gt;"IN",Data!E2291&lt;-5),"BUY",IF(AND(G2290="IN",Data!E2291&gt;0),"SELL","HOLD")))</f>
        <v>HOLD</v>
      </c>
      <c r="D2291" s="14" t="str">
        <f aca="false">IF(C2291="BUY",B2291,IF(G2290="IN",D2290,""))</f>
        <v/>
      </c>
      <c r="E2291" s="14" t="str">
        <f aca="false">IF(C2291="SELL",B2291,"")</f>
        <v/>
      </c>
      <c r="F2291" s="14" t="str">
        <f aca="false">IF(E2291="","",(E2291-D2291)/D2291*100)</f>
        <v/>
      </c>
      <c r="G2291" s="0" t="str">
        <f aca="false">IF(C2291="BUY","IN",IF(C2291="SELL","OUT",IF(G2290="IN","IN","OUT")))</f>
        <v>OUT</v>
      </c>
      <c r="H2291" s="14" t="n">
        <f aca="false">H2290+IF(F2291="",0,F2291)</f>
        <v>21.1462459605654</v>
      </c>
      <c r="I2291" s="14" t="n">
        <f aca="false">MAX(I2290,H2291)</f>
        <v>43.9309628600509</v>
      </c>
      <c r="J2291" s="14" t="n">
        <f aca="false">I2291-H2291</f>
        <v>22.7847168994854</v>
      </c>
    </row>
    <row r="2292" customFormat="false" ht="15" hidden="false" customHeight="false" outlineLevel="0" collapsed="false">
      <c r="A2292" s="12" t="n">
        <f aca="false">Data!A2292</f>
        <v>45334</v>
      </c>
      <c r="B2292" s="14" t="n">
        <f aca="false">Data!B2292</f>
        <v>76.92</v>
      </c>
      <c r="C2292" s="0" t="str">
        <f aca="false">IF(Data!D2292="","HOLD",IF(AND(G2291&lt;&gt;"IN",Data!E2292&lt;-5),"BUY",IF(AND(G2291="IN",Data!E2292&gt;0),"SELL","HOLD")))</f>
        <v>HOLD</v>
      </c>
      <c r="D2292" s="14" t="str">
        <f aca="false">IF(C2292="BUY",B2292,IF(G2291="IN",D2291,""))</f>
        <v/>
      </c>
      <c r="E2292" s="14" t="str">
        <f aca="false">IF(C2292="SELL",B2292,"")</f>
        <v/>
      </c>
      <c r="F2292" s="14" t="str">
        <f aca="false">IF(E2292="","",(E2292-D2292)/D2292*100)</f>
        <v/>
      </c>
      <c r="G2292" s="0" t="str">
        <f aca="false">IF(C2292="BUY","IN",IF(C2292="SELL","OUT",IF(G2291="IN","IN","OUT")))</f>
        <v>OUT</v>
      </c>
      <c r="H2292" s="14" t="n">
        <f aca="false">H2291+IF(F2292="",0,F2292)</f>
        <v>21.1462459605654</v>
      </c>
      <c r="I2292" s="14" t="n">
        <f aca="false">MAX(I2291,H2292)</f>
        <v>43.9309628600509</v>
      </c>
      <c r="J2292" s="14" t="n">
        <f aca="false">I2292-H2292</f>
        <v>22.7847168994854</v>
      </c>
    </row>
    <row r="2293" customFormat="false" ht="15" hidden="false" customHeight="false" outlineLevel="0" collapsed="false">
      <c r="A2293" s="12" t="n">
        <f aca="false">Data!A2293</f>
        <v>45335</v>
      </c>
      <c r="B2293" s="14" t="n">
        <f aca="false">Data!B2293</f>
        <v>77.87</v>
      </c>
      <c r="C2293" s="0" t="str">
        <f aca="false">IF(Data!D2293="","HOLD",IF(AND(G2292&lt;&gt;"IN",Data!E2293&lt;-5),"BUY",IF(AND(G2292="IN",Data!E2293&gt;0),"SELL","HOLD")))</f>
        <v>HOLD</v>
      </c>
      <c r="D2293" s="14" t="str">
        <f aca="false">IF(C2293="BUY",B2293,IF(G2292="IN",D2292,""))</f>
        <v/>
      </c>
      <c r="E2293" s="14" t="str">
        <f aca="false">IF(C2293="SELL",B2293,"")</f>
        <v/>
      </c>
      <c r="F2293" s="14" t="str">
        <f aca="false">IF(E2293="","",(E2293-D2293)/D2293*100)</f>
        <v/>
      </c>
      <c r="G2293" s="0" t="str">
        <f aca="false">IF(C2293="BUY","IN",IF(C2293="SELL","OUT",IF(G2292="IN","IN","OUT")))</f>
        <v>OUT</v>
      </c>
      <c r="H2293" s="14" t="n">
        <f aca="false">H2292+IF(F2293="",0,F2293)</f>
        <v>21.1462459605654</v>
      </c>
      <c r="I2293" s="14" t="n">
        <f aca="false">MAX(I2292,H2293)</f>
        <v>43.9309628600509</v>
      </c>
      <c r="J2293" s="14" t="n">
        <f aca="false">I2293-H2293</f>
        <v>22.7847168994854</v>
      </c>
    </row>
    <row r="2294" customFormat="false" ht="15" hidden="false" customHeight="false" outlineLevel="0" collapsed="false">
      <c r="A2294" s="12" t="n">
        <f aca="false">Data!A2294</f>
        <v>45336</v>
      </c>
      <c r="B2294" s="14" t="n">
        <f aca="false">Data!B2294</f>
        <v>76.64</v>
      </c>
      <c r="C2294" s="0" t="str">
        <f aca="false">IF(Data!D2294="","HOLD",IF(AND(G2293&lt;&gt;"IN",Data!E2294&lt;-5),"BUY",IF(AND(G2293="IN",Data!E2294&gt;0),"SELL","HOLD")))</f>
        <v>HOLD</v>
      </c>
      <c r="D2294" s="14" t="str">
        <f aca="false">IF(C2294="BUY",B2294,IF(G2293="IN",D2293,""))</f>
        <v/>
      </c>
      <c r="E2294" s="14" t="str">
        <f aca="false">IF(C2294="SELL",B2294,"")</f>
        <v/>
      </c>
      <c r="F2294" s="14" t="str">
        <f aca="false">IF(E2294="","",(E2294-D2294)/D2294*100)</f>
        <v/>
      </c>
      <c r="G2294" s="0" t="str">
        <f aca="false">IF(C2294="BUY","IN",IF(C2294="SELL","OUT",IF(G2293="IN","IN","OUT")))</f>
        <v>OUT</v>
      </c>
      <c r="H2294" s="14" t="n">
        <f aca="false">H2293+IF(F2294="",0,F2294)</f>
        <v>21.1462459605654</v>
      </c>
      <c r="I2294" s="14" t="n">
        <f aca="false">MAX(I2293,H2294)</f>
        <v>43.9309628600509</v>
      </c>
      <c r="J2294" s="14" t="n">
        <f aca="false">I2294-H2294</f>
        <v>22.7847168994854</v>
      </c>
    </row>
    <row r="2295" customFormat="false" ht="15" hidden="false" customHeight="false" outlineLevel="0" collapsed="false">
      <c r="A2295" s="12" t="n">
        <f aca="false">Data!A2295</f>
        <v>45337</v>
      </c>
      <c r="B2295" s="14" t="n">
        <f aca="false">Data!B2295</f>
        <v>78.03</v>
      </c>
      <c r="C2295" s="0" t="str">
        <f aca="false">IF(Data!D2295="","HOLD",IF(AND(G2294&lt;&gt;"IN",Data!E2295&lt;-5),"BUY",IF(AND(G2294="IN",Data!E2295&gt;0),"SELL","HOLD")))</f>
        <v>HOLD</v>
      </c>
      <c r="D2295" s="14" t="str">
        <f aca="false">IF(C2295="BUY",B2295,IF(G2294="IN",D2294,""))</f>
        <v/>
      </c>
      <c r="E2295" s="14" t="str">
        <f aca="false">IF(C2295="SELL",B2295,"")</f>
        <v/>
      </c>
      <c r="F2295" s="14" t="str">
        <f aca="false">IF(E2295="","",(E2295-D2295)/D2295*100)</f>
        <v/>
      </c>
      <c r="G2295" s="0" t="str">
        <f aca="false">IF(C2295="BUY","IN",IF(C2295="SELL","OUT",IF(G2294="IN","IN","OUT")))</f>
        <v>OUT</v>
      </c>
      <c r="H2295" s="14" t="n">
        <f aca="false">H2294+IF(F2295="",0,F2295)</f>
        <v>21.1462459605654</v>
      </c>
      <c r="I2295" s="14" t="n">
        <f aca="false">MAX(I2294,H2295)</f>
        <v>43.9309628600509</v>
      </c>
      <c r="J2295" s="14" t="n">
        <f aca="false">I2295-H2295</f>
        <v>22.7847168994854</v>
      </c>
    </row>
    <row r="2296" customFormat="false" ht="15" hidden="false" customHeight="false" outlineLevel="0" collapsed="false">
      <c r="A2296" s="12" t="n">
        <f aca="false">Data!A2296</f>
        <v>45338</v>
      </c>
      <c r="B2296" s="14" t="n">
        <f aca="false">Data!B2296</f>
        <v>79.19</v>
      </c>
      <c r="C2296" s="0" t="str">
        <f aca="false">IF(Data!D2296="","HOLD",IF(AND(G2295&lt;&gt;"IN",Data!E2296&lt;-5),"BUY",IF(AND(G2295="IN",Data!E2296&gt;0),"SELL","HOLD")))</f>
        <v>HOLD</v>
      </c>
      <c r="D2296" s="14" t="str">
        <f aca="false">IF(C2296="BUY",B2296,IF(G2295="IN",D2295,""))</f>
        <v/>
      </c>
      <c r="E2296" s="14" t="str">
        <f aca="false">IF(C2296="SELL",B2296,"")</f>
        <v/>
      </c>
      <c r="F2296" s="14" t="str">
        <f aca="false">IF(E2296="","",(E2296-D2296)/D2296*100)</f>
        <v/>
      </c>
      <c r="G2296" s="0" t="str">
        <f aca="false">IF(C2296="BUY","IN",IF(C2296="SELL","OUT",IF(G2295="IN","IN","OUT")))</f>
        <v>OUT</v>
      </c>
      <c r="H2296" s="14" t="n">
        <f aca="false">H2295+IF(F2296="",0,F2296)</f>
        <v>21.1462459605654</v>
      </c>
      <c r="I2296" s="14" t="n">
        <f aca="false">MAX(I2295,H2296)</f>
        <v>43.9309628600509</v>
      </c>
      <c r="J2296" s="14" t="n">
        <f aca="false">I2296-H2296</f>
        <v>22.7847168994854</v>
      </c>
    </row>
    <row r="2297" customFormat="false" ht="15" hidden="false" customHeight="false" outlineLevel="0" collapsed="false">
      <c r="A2297" s="12" t="n">
        <f aca="false">Data!A2297</f>
        <v>45342</v>
      </c>
      <c r="B2297" s="14" t="n">
        <f aca="false">Data!B2297</f>
        <v>78.18</v>
      </c>
      <c r="C2297" s="0" t="str">
        <f aca="false">IF(Data!D2297="","HOLD",IF(AND(G2296&lt;&gt;"IN",Data!E2297&lt;-5),"BUY",IF(AND(G2296="IN",Data!E2297&gt;0),"SELL","HOLD")))</f>
        <v>HOLD</v>
      </c>
      <c r="D2297" s="14" t="str">
        <f aca="false">IF(C2297="BUY",B2297,IF(G2296="IN",D2296,""))</f>
        <v/>
      </c>
      <c r="E2297" s="14" t="str">
        <f aca="false">IF(C2297="SELL",B2297,"")</f>
        <v/>
      </c>
      <c r="F2297" s="14" t="str">
        <f aca="false">IF(E2297="","",(E2297-D2297)/D2297*100)</f>
        <v/>
      </c>
      <c r="G2297" s="0" t="str">
        <f aca="false">IF(C2297="BUY","IN",IF(C2297="SELL","OUT",IF(G2296="IN","IN","OUT")))</f>
        <v>OUT</v>
      </c>
      <c r="H2297" s="14" t="n">
        <f aca="false">H2296+IF(F2297="",0,F2297)</f>
        <v>21.1462459605654</v>
      </c>
      <c r="I2297" s="14" t="n">
        <f aca="false">MAX(I2296,H2297)</f>
        <v>43.9309628600509</v>
      </c>
      <c r="J2297" s="14" t="n">
        <f aca="false">I2297-H2297</f>
        <v>22.7847168994854</v>
      </c>
    </row>
    <row r="2298" customFormat="false" ht="15" hidden="false" customHeight="false" outlineLevel="0" collapsed="false">
      <c r="A2298" s="12" t="n">
        <f aca="false">Data!A2298</f>
        <v>45343</v>
      </c>
      <c r="B2298" s="14" t="n">
        <f aca="false">Data!B2298</f>
        <v>77.91</v>
      </c>
      <c r="C2298" s="0" t="str">
        <f aca="false">IF(Data!D2298="","HOLD",IF(AND(G2297&lt;&gt;"IN",Data!E2298&lt;-5),"BUY",IF(AND(G2297="IN",Data!E2298&gt;0),"SELL","HOLD")))</f>
        <v>HOLD</v>
      </c>
      <c r="D2298" s="14" t="str">
        <f aca="false">IF(C2298="BUY",B2298,IF(G2297="IN",D2297,""))</f>
        <v/>
      </c>
      <c r="E2298" s="14" t="str">
        <f aca="false">IF(C2298="SELL",B2298,"")</f>
        <v/>
      </c>
      <c r="F2298" s="14" t="str">
        <f aca="false">IF(E2298="","",(E2298-D2298)/D2298*100)</f>
        <v/>
      </c>
      <c r="G2298" s="0" t="str">
        <f aca="false">IF(C2298="BUY","IN",IF(C2298="SELL","OUT",IF(G2297="IN","IN","OUT")))</f>
        <v>OUT</v>
      </c>
      <c r="H2298" s="14" t="n">
        <f aca="false">H2297+IF(F2298="",0,F2298)</f>
        <v>21.1462459605654</v>
      </c>
      <c r="I2298" s="14" t="n">
        <f aca="false">MAX(I2297,H2298)</f>
        <v>43.9309628600509</v>
      </c>
      <c r="J2298" s="14" t="n">
        <f aca="false">I2298-H2298</f>
        <v>22.7847168994854</v>
      </c>
    </row>
    <row r="2299" customFormat="false" ht="15" hidden="false" customHeight="false" outlineLevel="0" collapsed="false">
      <c r="A2299" s="12" t="n">
        <f aca="false">Data!A2299</f>
        <v>45344</v>
      </c>
      <c r="B2299" s="14" t="n">
        <f aca="false">Data!B2299</f>
        <v>78.61</v>
      </c>
      <c r="C2299" s="0" t="str">
        <f aca="false">IF(Data!D2299="","HOLD",IF(AND(G2298&lt;&gt;"IN",Data!E2299&lt;-5),"BUY",IF(AND(G2298="IN",Data!E2299&gt;0),"SELL","HOLD")))</f>
        <v>HOLD</v>
      </c>
      <c r="D2299" s="14" t="str">
        <f aca="false">IF(C2299="BUY",B2299,IF(G2298="IN",D2298,""))</f>
        <v/>
      </c>
      <c r="E2299" s="14" t="str">
        <f aca="false">IF(C2299="SELL",B2299,"")</f>
        <v/>
      </c>
      <c r="F2299" s="14" t="str">
        <f aca="false">IF(E2299="","",(E2299-D2299)/D2299*100)</f>
        <v/>
      </c>
      <c r="G2299" s="0" t="str">
        <f aca="false">IF(C2299="BUY","IN",IF(C2299="SELL","OUT",IF(G2298="IN","IN","OUT")))</f>
        <v>OUT</v>
      </c>
      <c r="H2299" s="14" t="n">
        <f aca="false">H2298+IF(F2299="",0,F2299)</f>
        <v>21.1462459605654</v>
      </c>
      <c r="I2299" s="14" t="n">
        <f aca="false">MAX(I2298,H2299)</f>
        <v>43.9309628600509</v>
      </c>
      <c r="J2299" s="14" t="n">
        <f aca="false">I2299-H2299</f>
        <v>22.7847168994854</v>
      </c>
    </row>
    <row r="2300" customFormat="false" ht="15" hidden="false" customHeight="false" outlineLevel="0" collapsed="false">
      <c r="A2300" s="12" t="n">
        <f aca="false">Data!A2300</f>
        <v>45345</v>
      </c>
      <c r="B2300" s="14" t="n">
        <f aca="false">Data!B2300</f>
        <v>76.49</v>
      </c>
      <c r="C2300" s="0" t="str">
        <f aca="false">IF(Data!D2300="","HOLD",IF(AND(G2299&lt;&gt;"IN",Data!E2300&lt;-5),"BUY",IF(AND(G2299="IN",Data!E2300&gt;0),"SELL","HOLD")))</f>
        <v>HOLD</v>
      </c>
      <c r="D2300" s="14" t="str">
        <f aca="false">IF(C2300="BUY",B2300,IF(G2299="IN",D2299,""))</f>
        <v/>
      </c>
      <c r="E2300" s="14" t="str">
        <f aca="false">IF(C2300="SELL",B2300,"")</f>
        <v/>
      </c>
      <c r="F2300" s="14" t="str">
        <f aca="false">IF(E2300="","",(E2300-D2300)/D2300*100)</f>
        <v/>
      </c>
      <c r="G2300" s="0" t="str">
        <f aca="false">IF(C2300="BUY","IN",IF(C2300="SELL","OUT",IF(G2299="IN","IN","OUT")))</f>
        <v>OUT</v>
      </c>
      <c r="H2300" s="14" t="n">
        <f aca="false">H2299+IF(F2300="",0,F2300)</f>
        <v>21.1462459605654</v>
      </c>
      <c r="I2300" s="14" t="n">
        <f aca="false">MAX(I2299,H2300)</f>
        <v>43.9309628600509</v>
      </c>
      <c r="J2300" s="14" t="n">
        <f aca="false">I2300-H2300</f>
        <v>22.7847168994854</v>
      </c>
    </row>
    <row r="2301" customFormat="false" ht="15" hidden="false" customHeight="false" outlineLevel="0" collapsed="false">
      <c r="A2301" s="12" t="n">
        <f aca="false">Data!A2301</f>
        <v>45348</v>
      </c>
      <c r="B2301" s="14" t="n">
        <f aca="false">Data!B2301</f>
        <v>77.58</v>
      </c>
      <c r="C2301" s="0" t="str">
        <f aca="false">IF(Data!D2301="","HOLD",IF(AND(G2300&lt;&gt;"IN",Data!E2301&lt;-5),"BUY",IF(AND(G2300="IN",Data!E2301&gt;0),"SELL","HOLD")))</f>
        <v>HOLD</v>
      </c>
      <c r="D2301" s="14" t="str">
        <f aca="false">IF(C2301="BUY",B2301,IF(G2300="IN",D2300,""))</f>
        <v/>
      </c>
      <c r="E2301" s="14" t="str">
        <f aca="false">IF(C2301="SELL",B2301,"")</f>
        <v/>
      </c>
      <c r="F2301" s="14" t="str">
        <f aca="false">IF(E2301="","",(E2301-D2301)/D2301*100)</f>
        <v/>
      </c>
      <c r="G2301" s="0" t="str">
        <f aca="false">IF(C2301="BUY","IN",IF(C2301="SELL","OUT",IF(G2300="IN","IN","OUT")))</f>
        <v>OUT</v>
      </c>
      <c r="H2301" s="14" t="n">
        <f aca="false">H2300+IF(F2301="",0,F2301)</f>
        <v>21.1462459605654</v>
      </c>
      <c r="I2301" s="14" t="n">
        <f aca="false">MAX(I2300,H2301)</f>
        <v>43.9309628600509</v>
      </c>
      <c r="J2301" s="14" t="n">
        <f aca="false">I2301-H2301</f>
        <v>22.7847168994854</v>
      </c>
    </row>
    <row r="2302" customFormat="false" ht="15" hidden="false" customHeight="false" outlineLevel="0" collapsed="false">
      <c r="A2302" s="12" t="n">
        <f aca="false">Data!A2302</f>
        <v>45349</v>
      </c>
      <c r="B2302" s="14" t="n">
        <f aca="false">Data!B2302</f>
        <v>78.87</v>
      </c>
      <c r="C2302" s="0" t="str">
        <f aca="false">IF(Data!D2302="","HOLD",IF(AND(G2301&lt;&gt;"IN",Data!E2302&lt;-5),"BUY",IF(AND(G2301="IN",Data!E2302&gt;0),"SELL","HOLD")))</f>
        <v>HOLD</v>
      </c>
      <c r="D2302" s="14" t="str">
        <f aca="false">IF(C2302="BUY",B2302,IF(G2301="IN",D2301,""))</f>
        <v/>
      </c>
      <c r="E2302" s="14" t="str">
        <f aca="false">IF(C2302="SELL",B2302,"")</f>
        <v/>
      </c>
      <c r="F2302" s="14" t="str">
        <f aca="false">IF(E2302="","",(E2302-D2302)/D2302*100)</f>
        <v/>
      </c>
      <c r="G2302" s="0" t="str">
        <f aca="false">IF(C2302="BUY","IN",IF(C2302="SELL","OUT",IF(G2301="IN","IN","OUT")))</f>
        <v>OUT</v>
      </c>
      <c r="H2302" s="14" t="n">
        <f aca="false">H2301+IF(F2302="",0,F2302)</f>
        <v>21.1462459605654</v>
      </c>
      <c r="I2302" s="14" t="n">
        <f aca="false">MAX(I2301,H2302)</f>
        <v>43.9309628600509</v>
      </c>
      <c r="J2302" s="14" t="n">
        <f aca="false">I2302-H2302</f>
        <v>22.7847168994854</v>
      </c>
    </row>
    <row r="2303" customFormat="false" ht="15" hidden="false" customHeight="false" outlineLevel="0" collapsed="false">
      <c r="A2303" s="12" t="n">
        <f aca="false">Data!A2303</f>
        <v>45350</v>
      </c>
      <c r="B2303" s="14" t="n">
        <f aca="false">Data!B2303</f>
        <v>78.54</v>
      </c>
      <c r="C2303" s="0" t="str">
        <f aca="false">IF(Data!D2303="","HOLD",IF(AND(G2302&lt;&gt;"IN",Data!E2303&lt;-5),"BUY",IF(AND(G2302="IN",Data!E2303&gt;0),"SELL","HOLD")))</f>
        <v>HOLD</v>
      </c>
      <c r="D2303" s="14" t="str">
        <f aca="false">IF(C2303="BUY",B2303,IF(G2302="IN",D2302,""))</f>
        <v/>
      </c>
      <c r="E2303" s="14" t="str">
        <f aca="false">IF(C2303="SELL",B2303,"")</f>
        <v/>
      </c>
      <c r="F2303" s="14" t="str">
        <f aca="false">IF(E2303="","",(E2303-D2303)/D2303*100)</f>
        <v/>
      </c>
      <c r="G2303" s="0" t="str">
        <f aca="false">IF(C2303="BUY","IN",IF(C2303="SELL","OUT",IF(G2302="IN","IN","OUT")))</f>
        <v>OUT</v>
      </c>
      <c r="H2303" s="14" t="n">
        <f aca="false">H2302+IF(F2303="",0,F2303)</f>
        <v>21.1462459605654</v>
      </c>
      <c r="I2303" s="14" t="n">
        <f aca="false">MAX(I2302,H2303)</f>
        <v>43.9309628600509</v>
      </c>
      <c r="J2303" s="14" t="n">
        <f aca="false">I2303-H2303</f>
        <v>22.7847168994854</v>
      </c>
    </row>
    <row r="2304" customFormat="false" ht="15" hidden="false" customHeight="false" outlineLevel="0" collapsed="false">
      <c r="A2304" s="12" t="n">
        <f aca="false">Data!A2304</f>
        <v>45351</v>
      </c>
      <c r="B2304" s="14" t="n">
        <f aca="false">Data!B2304</f>
        <v>78.26</v>
      </c>
      <c r="C2304" s="0" t="str">
        <f aca="false">IF(Data!D2304="","HOLD",IF(AND(G2303&lt;&gt;"IN",Data!E2304&lt;-5),"BUY",IF(AND(G2303="IN",Data!E2304&gt;0),"SELL","HOLD")))</f>
        <v>HOLD</v>
      </c>
      <c r="D2304" s="14" t="str">
        <f aca="false">IF(C2304="BUY",B2304,IF(G2303="IN",D2303,""))</f>
        <v/>
      </c>
      <c r="E2304" s="14" t="str">
        <f aca="false">IF(C2304="SELL",B2304,"")</f>
        <v/>
      </c>
      <c r="F2304" s="14" t="str">
        <f aca="false">IF(E2304="","",(E2304-D2304)/D2304*100)</f>
        <v/>
      </c>
      <c r="G2304" s="0" t="str">
        <f aca="false">IF(C2304="BUY","IN",IF(C2304="SELL","OUT",IF(G2303="IN","IN","OUT")))</f>
        <v>OUT</v>
      </c>
      <c r="H2304" s="14" t="n">
        <f aca="false">H2303+IF(F2304="",0,F2304)</f>
        <v>21.1462459605654</v>
      </c>
      <c r="I2304" s="14" t="n">
        <f aca="false">MAX(I2303,H2304)</f>
        <v>43.9309628600509</v>
      </c>
      <c r="J2304" s="14" t="n">
        <f aca="false">I2304-H2304</f>
        <v>22.7847168994854</v>
      </c>
    </row>
    <row r="2305" customFormat="false" ht="15" hidden="false" customHeight="false" outlineLevel="0" collapsed="false">
      <c r="A2305" s="12" t="n">
        <f aca="false">Data!A2305</f>
        <v>45352</v>
      </c>
      <c r="B2305" s="14" t="n">
        <f aca="false">Data!B2305</f>
        <v>79.97</v>
      </c>
      <c r="C2305" s="0" t="str">
        <f aca="false">IF(Data!D2305="","HOLD",IF(AND(G2304&lt;&gt;"IN",Data!E2305&lt;-5),"BUY",IF(AND(G2304="IN",Data!E2305&gt;0),"SELL","HOLD")))</f>
        <v>HOLD</v>
      </c>
      <c r="D2305" s="14" t="str">
        <f aca="false">IF(C2305="BUY",B2305,IF(G2304="IN",D2304,""))</f>
        <v/>
      </c>
      <c r="E2305" s="14" t="str">
        <f aca="false">IF(C2305="SELL",B2305,"")</f>
        <v/>
      </c>
      <c r="F2305" s="14" t="str">
        <f aca="false">IF(E2305="","",(E2305-D2305)/D2305*100)</f>
        <v/>
      </c>
      <c r="G2305" s="0" t="str">
        <f aca="false">IF(C2305="BUY","IN",IF(C2305="SELL","OUT",IF(G2304="IN","IN","OUT")))</f>
        <v>OUT</v>
      </c>
      <c r="H2305" s="14" t="n">
        <f aca="false">H2304+IF(F2305="",0,F2305)</f>
        <v>21.1462459605654</v>
      </c>
      <c r="I2305" s="14" t="n">
        <f aca="false">MAX(I2304,H2305)</f>
        <v>43.9309628600509</v>
      </c>
      <c r="J2305" s="14" t="n">
        <f aca="false">I2305-H2305</f>
        <v>22.7847168994854</v>
      </c>
    </row>
    <row r="2306" customFormat="false" ht="15" hidden="false" customHeight="false" outlineLevel="0" collapsed="false">
      <c r="A2306" s="12" t="n">
        <f aca="false">Data!A2306</f>
        <v>45355</v>
      </c>
      <c r="B2306" s="14" t="n">
        <f aca="false">Data!B2306</f>
        <v>78.74</v>
      </c>
      <c r="C2306" s="0" t="str">
        <f aca="false">IF(Data!D2306="","HOLD",IF(AND(G2305&lt;&gt;"IN",Data!E2306&lt;-5),"BUY",IF(AND(G2305="IN",Data!E2306&gt;0),"SELL","HOLD")))</f>
        <v>HOLD</v>
      </c>
      <c r="D2306" s="14" t="str">
        <f aca="false">IF(C2306="BUY",B2306,IF(G2305="IN",D2305,""))</f>
        <v/>
      </c>
      <c r="E2306" s="14" t="str">
        <f aca="false">IF(C2306="SELL",B2306,"")</f>
        <v/>
      </c>
      <c r="F2306" s="14" t="str">
        <f aca="false">IF(E2306="","",(E2306-D2306)/D2306*100)</f>
        <v/>
      </c>
      <c r="G2306" s="0" t="str">
        <f aca="false">IF(C2306="BUY","IN",IF(C2306="SELL","OUT",IF(G2305="IN","IN","OUT")))</f>
        <v>OUT</v>
      </c>
      <c r="H2306" s="14" t="n">
        <f aca="false">H2305+IF(F2306="",0,F2306)</f>
        <v>21.1462459605654</v>
      </c>
      <c r="I2306" s="14" t="n">
        <f aca="false">MAX(I2305,H2306)</f>
        <v>43.9309628600509</v>
      </c>
      <c r="J2306" s="14" t="n">
        <f aca="false">I2306-H2306</f>
        <v>22.7847168994854</v>
      </c>
    </row>
    <row r="2307" customFormat="false" ht="15" hidden="false" customHeight="false" outlineLevel="0" collapsed="false">
      <c r="A2307" s="12" t="n">
        <f aca="false">Data!A2307</f>
        <v>45356</v>
      </c>
      <c r="B2307" s="14" t="n">
        <f aca="false">Data!B2307</f>
        <v>78.15</v>
      </c>
      <c r="C2307" s="0" t="str">
        <f aca="false">IF(Data!D2307="","HOLD",IF(AND(G2306&lt;&gt;"IN",Data!E2307&lt;-5),"BUY",IF(AND(G2306="IN",Data!E2307&gt;0),"SELL","HOLD")))</f>
        <v>HOLD</v>
      </c>
      <c r="D2307" s="14" t="str">
        <f aca="false">IF(C2307="BUY",B2307,IF(G2306="IN",D2306,""))</f>
        <v/>
      </c>
      <c r="E2307" s="14" t="str">
        <f aca="false">IF(C2307="SELL",B2307,"")</f>
        <v/>
      </c>
      <c r="F2307" s="14" t="str">
        <f aca="false">IF(E2307="","",(E2307-D2307)/D2307*100)</f>
        <v/>
      </c>
      <c r="G2307" s="0" t="str">
        <f aca="false">IF(C2307="BUY","IN",IF(C2307="SELL","OUT",IF(G2306="IN","IN","OUT")))</f>
        <v>OUT</v>
      </c>
      <c r="H2307" s="14" t="n">
        <f aca="false">H2306+IF(F2307="",0,F2307)</f>
        <v>21.1462459605654</v>
      </c>
      <c r="I2307" s="14" t="n">
        <f aca="false">MAX(I2306,H2307)</f>
        <v>43.9309628600509</v>
      </c>
      <c r="J2307" s="14" t="n">
        <f aca="false">I2307-H2307</f>
        <v>22.7847168994854</v>
      </c>
    </row>
    <row r="2308" customFormat="false" ht="15" hidden="false" customHeight="false" outlineLevel="0" collapsed="false">
      <c r="A2308" s="12" t="n">
        <f aca="false">Data!A2308</f>
        <v>45357</v>
      </c>
      <c r="B2308" s="14" t="n">
        <f aca="false">Data!B2308</f>
        <v>79.13</v>
      </c>
      <c r="C2308" s="0" t="str">
        <f aca="false">IF(Data!D2308="","HOLD",IF(AND(G2307&lt;&gt;"IN",Data!E2308&lt;-5),"BUY",IF(AND(G2307="IN",Data!E2308&gt;0),"SELL","HOLD")))</f>
        <v>HOLD</v>
      </c>
      <c r="D2308" s="14" t="str">
        <f aca="false">IF(C2308="BUY",B2308,IF(G2307="IN",D2307,""))</f>
        <v/>
      </c>
      <c r="E2308" s="14" t="str">
        <f aca="false">IF(C2308="SELL",B2308,"")</f>
        <v/>
      </c>
      <c r="F2308" s="14" t="str">
        <f aca="false">IF(E2308="","",(E2308-D2308)/D2308*100)</f>
        <v/>
      </c>
      <c r="G2308" s="0" t="str">
        <f aca="false">IF(C2308="BUY","IN",IF(C2308="SELL","OUT",IF(G2307="IN","IN","OUT")))</f>
        <v>OUT</v>
      </c>
      <c r="H2308" s="14" t="n">
        <f aca="false">H2307+IF(F2308="",0,F2308)</f>
        <v>21.1462459605654</v>
      </c>
      <c r="I2308" s="14" t="n">
        <f aca="false">MAX(I2307,H2308)</f>
        <v>43.9309628600509</v>
      </c>
      <c r="J2308" s="14" t="n">
        <f aca="false">I2308-H2308</f>
        <v>22.7847168994854</v>
      </c>
    </row>
    <row r="2309" customFormat="false" ht="15" hidden="false" customHeight="false" outlineLevel="0" collapsed="false">
      <c r="A2309" s="12" t="n">
        <f aca="false">Data!A2309</f>
        <v>45358</v>
      </c>
      <c r="B2309" s="14" t="n">
        <f aca="false">Data!B2309</f>
        <v>78.93</v>
      </c>
      <c r="C2309" s="0" t="str">
        <f aca="false">IF(Data!D2309="","HOLD",IF(AND(G2308&lt;&gt;"IN",Data!E2309&lt;-5),"BUY",IF(AND(G2308="IN",Data!E2309&gt;0),"SELL","HOLD")))</f>
        <v>HOLD</v>
      </c>
      <c r="D2309" s="14" t="str">
        <f aca="false">IF(C2309="BUY",B2309,IF(G2308="IN",D2308,""))</f>
        <v/>
      </c>
      <c r="E2309" s="14" t="str">
        <f aca="false">IF(C2309="SELL",B2309,"")</f>
        <v/>
      </c>
      <c r="F2309" s="14" t="str">
        <f aca="false">IF(E2309="","",(E2309-D2309)/D2309*100)</f>
        <v/>
      </c>
      <c r="G2309" s="0" t="str">
        <f aca="false">IF(C2309="BUY","IN",IF(C2309="SELL","OUT",IF(G2308="IN","IN","OUT")))</f>
        <v>OUT</v>
      </c>
      <c r="H2309" s="14" t="n">
        <f aca="false">H2308+IF(F2309="",0,F2309)</f>
        <v>21.1462459605654</v>
      </c>
      <c r="I2309" s="14" t="n">
        <f aca="false">MAX(I2308,H2309)</f>
        <v>43.9309628600509</v>
      </c>
      <c r="J2309" s="14" t="n">
        <f aca="false">I2309-H2309</f>
        <v>22.7847168994854</v>
      </c>
    </row>
    <row r="2310" customFormat="false" ht="15" hidden="false" customHeight="false" outlineLevel="0" collapsed="false">
      <c r="A2310" s="12" t="n">
        <f aca="false">Data!A2310</f>
        <v>45359</v>
      </c>
      <c r="B2310" s="14" t="n">
        <f aca="false">Data!B2310</f>
        <v>78.01</v>
      </c>
      <c r="C2310" s="0" t="str">
        <f aca="false">IF(Data!D2310="","HOLD",IF(AND(G2309&lt;&gt;"IN",Data!E2310&lt;-5),"BUY",IF(AND(G2309="IN",Data!E2310&gt;0),"SELL","HOLD")))</f>
        <v>HOLD</v>
      </c>
      <c r="D2310" s="14" t="str">
        <f aca="false">IF(C2310="BUY",B2310,IF(G2309="IN",D2309,""))</f>
        <v/>
      </c>
      <c r="E2310" s="14" t="str">
        <f aca="false">IF(C2310="SELL",B2310,"")</f>
        <v/>
      </c>
      <c r="F2310" s="14" t="str">
        <f aca="false">IF(E2310="","",(E2310-D2310)/D2310*100)</f>
        <v/>
      </c>
      <c r="G2310" s="0" t="str">
        <f aca="false">IF(C2310="BUY","IN",IF(C2310="SELL","OUT",IF(G2309="IN","IN","OUT")))</f>
        <v>OUT</v>
      </c>
      <c r="H2310" s="14" t="n">
        <f aca="false">H2309+IF(F2310="",0,F2310)</f>
        <v>21.1462459605654</v>
      </c>
      <c r="I2310" s="14" t="n">
        <f aca="false">MAX(I2309,H2310)</f>
        <v>43.9309628600509</v>
      </c>
      <c r="J2310" s="14" t="n">
        <f aca="false">I2310-H2310</f>
        <v>22.7847168994854</v>
      </c>
    </row>
    <row r="2311" customFormat="false" ht="15" hidden="false" customHeight="false" outlineLevel="0" collapsed="false">
      <c r="A2311" s="12" t="n">
        <f aca="false">Data!A2311</f>
        <v>45362</v>
      </c>
      <c r="B2311" s="14" t="n">
        <f aca="false">Data!B2311</f>
        <v>77.93</v>
      </c>
      <c r="C2311" s="0" t="str">
        <f aca="false">IF(Data!D2311="","HOLD",IF(AND(G2310&lt;&gt;"IN",Data!E2311&lt;-5),"BUY",IF(AND(G2310="IN",Data!E2311&gt;0),"SELL","HOLD")))</f>
        <v>HOLD</v>
      </c>
      <c r="D2311" s="14" t="str">
        <f aca="false">IF(C2311="BUY",B2311,IF(G2310="IN",D2310,""))</f>
        <v/>
      </c>
      <c r="E2311" s="14" t="str">
        <f aca="false">IF(C2311="SELL",B2311,"")</f>
        <v/>
      </c>
      <c r="F2311" s="14" t="str">
        <f aca="false">IF(E2311="","",(E2311-D2311)/D2311*100)</f>
        <v/>
      </c>
      <c r="G2311" s="0" t="str">
        <f aca="false">IF(C2311="BUY","IN",IF(C2311="SELL","OUT",IF(G2310="IN","IN","OUT")))</f>
        <v>OUT</v>
      </c>
      <c r="H2311" s="14" t="n">
        <f aca="false">H2310+IF(F2311="",0,F2311)</f>
        <v>21.1462459605654</v>
      </c>
      <c r="I2311" s="14" t="n">
        <f aca="false">MAX(I2310,H2311)</f>
        <v>43.9309628600509</v>
      </c>
      <c r="J2311" s="14" t="n">
        <f aca="false">I2311-H2311</f>
        <v>22.7847168994854</v>
      </c>
    </row>
    <row r="2312" customFormat="false" ht="15" hidden="false" customHeight="false" outlineLevel="0" collapsed="false">
      <c r="A2312" s="12" t="n">
        <f aca="false">Data!A2312</f>
        <v>45363</v>
      </c>
      <c r="B2312" s="14" t="n">
        <f aca="false">Data!B2312</f>
        <v>77.56</v>
      </c>
      <c r="C2312" s="0" t="str">
        <f aca="false">IF(Data!D2312="","HOLD",IF(AND(G2311&lt;&gt;"IN",Data!E2312&lt;-5),"BUY",IF(AND(G2311="IN",Data!E2312&gt;0),"SELL","HOLD")))</f>
        <v>HOLD</v>
      </c>
      <c r="D2312" s="14" t="str">
        <f aca="false">IF(C2312="BUY",B2312,IF(G2311="IN",D2311,""))</f>
        <v/>
      </c>
      <c r="E2312" s="14" t="str">
        <f aca="false">IF(C2312="SELL",B2312,"")</f>
        <v/>
      </c>
      <c r="F2312" s="14" t="str">
        <f aca="false">IF(E2312="","",(E2312-D2312)/D2312*100)</f>
        <v/>
      </c>
      <c r="G2312" s="0" t="str">
        <f aca="false">IF(C2312="BUY","IN",IF(C2312="SELL","OUT",IF(G2311="IN","IN","OUT")))</f>
        <v>OUT</v>
      </c>
      <c r="H2312" s="14" t="n">
        <f aca="false">H2311+IF(F2312="",0,F2312)</f>
        <v>21.1462459605654</v>
      </c>
      <c r="I2312" s="14" t="n">
        <f aca="false">MAX(I2311,H2312)</f>
        <v>43.9309628600509</v>
      </c>
      <c r="J2312" s="14" t="n">
        <f aca="false">I2312-H2312</f>
        <v>22.7847168994854</v>
      </c>
    </row>
    <row r="2313" customFormat="false" ht="15" hidden="false" customHeight="false" outlineLevel="0" collapsed="false">
      <c r="A2313" s="12" t="n">
        <f aca="false">Data!A2313</f>
        <v>45364</v>
      </c>
      <c r="B2313" s="14" t="n">
        <f aca="false">Data!B2313</f>
        <v>79.72</v>
      </c>
      <c r="C2313" s="0" t="str">
        <f aca="false">IF(Data!D2313="","HOLD",IF(AND(G2312&lt;&gt;"IN",Data!E2313&lt;-5),"BUY",IF(AND(G2312="IN",Data!E2313&gt;0),"SELL","HOLD")))</f>
        <v>HOLD</v>
      </c>
      <c r="D2313" s="14" t="str">
        <f aca="false">IF(C2313="BUY",B2313,IF(G2312="IN",D2312,""))</f>
        <v/>
      </c>
      <c r="E2313" s="14" t="str">
        <f aca="false">IF(C2313="SELL",B2313,"")</f>
        <v/>
      </c>
      <c r="F2313" s="14" t="str">
        <f aca="false">IF(E2313="","",(E2313-D2313)/D2313*100)</f>
        <v/>
      </c>
      <c r="G2313" s="0" t="str">
        <f aca="false">IF(C2313="BUY","IN",IF(C2313="SELL","OUT",IF(G2312="IN","IN","OUT")))</f>
        <v>OUT</v>
      </c>
      <c r="H2313" s="14" t="n">
        <f aca="false">H2312+IF(F2313="",0,F2313)</f>
        <v>21.1462459605654</v>
      </c>
      <c r="I2313" s="14" t="n">
        <f aca="false">MAX(I2312,H2313)</f>
        <v>43.9309628600509</v>
      </c>
      <c r="J2313" s="14" t="n">
        <f aca="false">I2313-H2313</f>
        <v>22.7847168994854</v>
      </c>
    </row>
    <row r="2314" customFormat="false" ht="15" hidden="false" customHeight="false" outlineLevel="0" collapsed="false">
      <c r="A2314" s="12" t="n">
        <f aca="false">Data!A2314</f>
        <v>45365</v>
      </c>
      <c r="B2314" s="14" t="n">
        <f aca="false">Data!B2314</f>
        <v>81.26</v>
      </c>
      <c r="C2314" s="0" t="str">
        <f aca="false">IF(Data!D2314="","HOLD",IF(AND(G2313&lt;&gt;"IN",Data!E2314&lt;-5),"BUY",IF(AND(G2313="IN",Data!E2314&gt;0),"SELL","HOLD")))</f>
        <v>HOLD</v>
      </c>
      <c r="D2314" s="14" t="str">
        <f aca="false">IF(C2314="BUY",B2314,IF(G2313="IN",D2313,""))</f>
        <v/>
      </c>
      <c r="E2314" s="14" t="str">
        <f aca="false">IF(C2314="SELL",B2314,"")</f>
        <v/>
      </c>
      <c r="F2314" s="14" t="str">
        <f aca="false">IF(E2314="","",(E2314-D2314)/D2314*100)</f>
        <v/>
      </c>
      <c r="G2314" s="0" t="str">
        <f aca="false">IF(C2314="BUY","IN",IF(C2314="SELL","OUT",IF(G2313="IN","IN","OUT")))</f>
        <v>OUT</v>
      </c>
      <c r="H2314" s="14" t="n">
        <f aca="false">H2313+IF(F2314="",0,F2314)</f>
        <v>21.1462459605654</v>
      </c>
      <c r="I2314" s="14" t="n">
        <f aca="false">MAX(I2313,H2314)</f>
        <v>43.9309628600509</v>
      </c>
      <c r="J2314" s="14" t="n">
        <f aca="false">I2314-H2314</f>
        <v>22.7847168994854</v>
      </c>
    </row>
    <row r="2315" customFormat="false" ht="15" hidden="false" customHeight="false" outlineLevel="0" collapsed="false">
      <c r="A2315" s="12" t="n">
        <f aca="false">Data!A2315</f>
        <v>45366</v>
      </c>
      <c r="B2315" s="14" t="n">
        <f aca="false">Data!B2315</f>
        <v>81.04</v>
      </c>
      <c r="C2315" s="0" t="str">
        <f aca="false">IF(Data!D2315="","HOLD",IF(AND(G2314&lt;&gt;"IN",Data!E2315&lt;-5),"BUY",IF(AND(G2314="IN",Data!E2315&gt;0),"SELL","HOLD")))</f>
        <v>HOLD</v>
      </c>
      <c r="D2315" s="14" t="str">
        <f aca="false">IF(C2315="BUY",B2315,IF(G2314="IN",D2314,""))</f>
        <v/>
      </c>
      <c r="E2315" s="14" t="str">
        <f aca="false">IF(C2315="SELL",B2315,"")</f>
        <v/>
      </c>
      <c r="F2315" s="14" t="str">
        <f aca="false">IF(E2315="","",(E2315-D2315)/D2315*100)</f>
        <v/>
      </c>
      <c r="G2315" s="0" t="str">
        <f aca="false">IF(C2315="BUY","IN",IF(C2315="SELL","OUT",IF(G2314="IN","IN","OUT")))</f>
        <v>OUT</v>
      </c>
      <c r="H2315" s="14" t="n">
        <f aca="false">H2314+IF(F2315="",0,F2315)</f>
        <v>21.1462459605654</v>
      </c>
      <c r="I2315" s="14" t="n">
        <f aca="false">MAX(I2314,H2315)</f>
        <v>43.9309628600509</v>
      </c>
      <c r="J2315" s="14" t="n">
        <f aca="false">I2315-H2315</f>
        <v>22.7847168994854</v>
      </c>
    </row>
    <row r="2316" customFormat="false" ht="15" hidden="false" customHeight="false" outlineLevel="0" collapsed="false">
      <c r="A2316" s="12" t="n">
        <f aca="false">Data!A2316</f>
        <v>45369</v>
      </c>
      <c r="B2316" s="14" t="n">
        <f aca="false">Data!B2316</f>
        <v>82.72</v>
      </c>
      <c r="C2316" s="0" t="str">
        <f aca="false">IF(Data!D2316="","HOLD",IF(AND(G2315&lt;&gt;"IN",Data!E2316&lt;-5),"BUY",IF(AND(G2315="IN",Data!E2316&gt;0),"SELL","HOLD")))</f>
        <v>HOLD</v>
      </c>
      <c r="D2316" s="14" t="str">
        <f aca="false">IF(C2316="BUY",B2316,IF(G2315="IN",D2315,""))</f>
        <v/>
      </c>
      <c r="E2316" s="14" t="str">
        <f aca="false">IF(C2316="SELL",B2316,"")</f>
        <v/>
      </c>
      <c r="F2316" s="14" t="str">
        <f aca="false">IF(E2316="","",(E2316-D2316)/D2316*100)</f>
        <v/>
      </c>
      <c r="G2316" s="0" t="str">
        <f aca="false">IF(C2316="BUY","IN",IF(C2316="SELL","OUT",IF(G2315="IN","IN","OUT")))</f>
        <v>OUT</v>
      </c>
      <c r="H2316" s="14" t="n">
        <f aca="false">H2315+IF(F2316="",0,F2316)</f>
        <v>21.1462459605654</v>
      </c>
      <c r="I2316" s="14" t="n">
        <f aca="false">MAX(I2315,H2316)</f>
        <v>43.9309628600509</v>
      </c>
      <c r="J2316" s="14" t="n">
        <f aca="false">I2316-H2316</f>
        <v>22.7847168994854</v>
      </c>
    </row>
    <row r="2317" customFormat="false" ht="15" hidden="false" customHeight="false" outlineLevel="0" collapsed="false">
      <c r="A2317" s="12" t="n">
        <f aca="false">Data!A2317</f>
        <v>45370</v>
      </c>
      <c r="B2317" s="14" t="n">
        <f aca="false">Data!B2317</f>
        <v>83.47</v>
      </c>
      <c r="C2317" s="0" t="str">
        <f aca="false">IF(Data!D2317="","HOLD",IF(AND(G2316&lt;&gt;"IN",Data!E2317&lt;-5),"BUY",IF(AND(G2316="IN",Data!E2317&gt;0),"SELL","HOLD")))</f>
        <v>HOLD</v>
      </c>
      <c r="D2317" s="14" t="str">
        <f aca="false">IF(C2317="BUY",B2317,IF(G2316="IN",D2316,""))</f>
        <v/>
      </c>
      <c r="E2317" s="14" t="str">
        <f aca="false">IF(C2317="SELL",B2317,"")</f>
        <v/>
      </c>
      <c r="F2317" s="14" t="str">
        <f aca="false">IF(E2317="","",(E2317-D2317)/D2317*100)</f>
        <v/>
      </c>
      <c r="G2317" s="0" t="str">
        <f aca="false">IF(C2317="BUY","IN",IF(C2317="SELL","OUT",IF(G2316="IN","IN","OUT")))</f>
        <v>OUT</v>
      </c>
      <c r="H2317" s="14" t="n">
        <f aca="false">H2316+IF(F2317="",0,F2317)</f>
        <v>21.1462459605654</v>
      </c>
      <c r="I2317" s="14" t="n">
        <f aca="false">MAX(I2316,H2317)</f>
        <v>43.9309628600509</v>
      </c>
      <c r="J2317" s="14" t="n">
        <f aca="false">I2317-H2317</f>
        <v>22.7847168994854</v>
      </c>
    </row>
    <row r="2318" customFormat="false" ht="15" hidden="false" customHeight="false" outlineLevel="0" collapsed="false">
      <c r="A2318" s="12" t="n">
        <f aca="false">Data!A2318</f>
        <v>45371</v>
      </c>
      <c r="B2318" s="14" t="n">
        <f aca="false">Data!B2318</f>
        <v>81.68</v>
      </c>
      <c r="C2318" s="0" t="str">
        <f aca="false">IF(Data!D2318="","HOLD",IF(AND(G2317&lt;&gt;"IN",Data!E2318&lt;-5),"BUY",IF(AND(G2317="IN",Data!E2318&gt;0),"SELL","HOLD")))</f>
        <v>HOLD</v>
      </c>
      <c r="D2318" s="14" t="str">
        <f aca="false">IF(C2318="BUY",B2318,IF(G2317="IN",D2317,""))</f>
        <v/>
      </c>
      <c r="E2318" s="14" t="str">
        <f aca="false">IF(C2318="SELL",B2318,"")</f>
        <v/>
      </c>
      <c r="F2318" s="14" t="str">
        <f aca="false">IF(E2318="","",(E2318-D2318)/D2318*100)</f>
        <v/>
      </c>
      <c r="G2318" s="0" t="str">
        <f aca="false">IF(C2318="BUY","IN",IF(C2318="SELL","OUT",IF(G2317="IN","IN","OUT")))</f>
        <v>OUT</v>
      </c>
      <c r="H2318" s="14" t="n">
        <f aca="false">H2317+IF(F2318="",0,F2318)</f>
        <v>21.1462459605654</v>
      </c>
      <c r="I2318" s="14" t="n">
        <f aca="false">MAX(I2317,H2318)</f>
        <v>43.9309628600509</v>
      </c>
      <c r="J2318" s="14" t="n">
        <f aca="false">I2318-H2318</f>
        <v>22.7847168994854</v>
      </c>
    </row>
    <row r="2319" customFormat="false" ht="15" hidden="false" customHeight="false" outlineLevel="0" collapsed="false">
      <c r="A2319" s="12" t="n">
        <f aca="false">Data!A2319</f>
        <v>45372</v>
      </c>
      <c r="B2319" s="14" t="n">
        <f aca="false">Data!B2319</f>
        <v>81.07</v>
      </c>
      <c r="C2319" s="0" t="str">
        <f aca="false">IF(Data!D2319="","HOLD",IF(AND(G2318&lt;&gt;"IN",Data!E2319&lt;-5),"BUY",IF(AND(G2318="IN",Data!E2319&gt;0),"SELL","HOLD")))</f>
        <v>HOLD</v>
      </c>
      <c r="D2319" s="14" t="str">
        <f aca="false">IF(C2319="BUY",B2319,IF(G2318="IN",D2318,""))</f>
        <v/>
      </c>
      <c r="E2319" s="14" t="str">
        <f aca="false">IF(C2319="SELL",B2319,"")</f>
        <v/>
      </c>
      <c r="F2319" s="14" t="str">
        <f aca="false">IF(E2319="","",(E2319-D2319)/D2319*100)</f>
        <v/>
      </c>
      <c r="G2319" s="0" t="str">
        <f aca="false">IF(C2319="BUY","IN",IF(C2319="SELL","OUT",IF(G2318="IN","IN","OUT")))</f>
        <v>OUT</v>
      </c>
      <c r="H2319" s="14" t="n">
        <f aca="false">H2318+IF(F2319="",0,F2319)</f>
        <v>21.1462459605654</v>
      </c>
      <c r="I2319" s="14" t="n">
        <f aca="false">MAX(I2318,H2319)</f>
        <v>43.9309628600509</v>
      </c>
      <c r="J2319" s="14" t="n">
        <f aca="false">I2319-H2319</f>
        <v>22.7847168994854</v>
      </c>
    </row>
    <row r="2320" customFormat="false" ht="15" hidden="false" customHeight="false" outlineLevel="0" collapsed="false">
      <c r="A2320" s="12" t="n">
        <f aca="false">Data!A2320</f>
        <v>45373</v>
      </c>
      <c r="B2320" s="14" t="n">
        <f aca="false">Data!B2320</f>
        <v>80.63</v>
      </c>
      <c r="C2320" s="0" t="str">
        <f aca="false">IF(Data!D2320="","HOLD",IF(AND(G2319&lt;&gt;"IN",Data!E2320&lt;-5),"BUY",IF(AND(G2319="IN",Data!E2320&gt;0),"SELL","HOLD")))</f>
        <v>HOLD</v>
      </c>
      <c r="D2320" s="14" t="str">
        <f aca="false">IF(C2320="BUY",B2320,IF(G2319="IN",D2319,""))</f>
        <v/>
      </c>
      <c r="E2320" s="14" t="str">
        <f aca="false">IF(C2320="SELL",B2320,"")</f>
        <v/>
      </c>
      <c r="F2320" s="14" t="str">
        <f aca="false">IF(E2320="","",(E2320-D2320)/D2320*100)</f>
        <v/>
      </c>
      <c r="G2320" s="0" t="str">
        <f aca="false">IF(C2320="BUY","IN",IF(C2320="SELL","OUT",IF(G2319="IN","IN","OUT")))</f>
        <v>OUT</v>
      </c>
      <c r="H2320" s="14" t="n">
        <f aca="false">H2319+IF(F2320="",0,F2320)</f>
        <v>21.1462459605654</v>
      </c>
      <c r="I2320" s="14" t="n">
        <f aca="false">MAX(I2319,H2320)</f>
        <v>43.9309628600509</v>
      </c>
      <c r="J2320" s="14" t="n">
        <f aca="false">I2320-H2320</f>
        <v>22.7847168994854</v>
      </c>
    </row>
    <row r="2321" customFormat="false" ht="15" hidden="false" customHeight="false" outlineLevel="0" collapsed="false">
      <c r="A2321" s="12" t="n">
        <f aca="false">Data!A2321</f>
        <v>45376</v>
      </c>
      <c r="B2321" s="14" t="n">
        <f aca="false">Data!B2321</f>
        <v>81.95</v>
      </c>
      <c r="C2321" s="0" t="str">
        <f aca="false">IF(Data!D2321="","HOLD",IF(AND(G2320&lt;&gt;"IN",Data!E2321&lt;-5),"BUY",IF(AND(G2320="IN",Data!E2321&gt;0),"SELL","HOLD")))</f>
        <v>HOLD</v>
      </c>
      <c r="D2321" s="14" t="str">
        <f aca="false">IF(C2321="BUY",B2321,IF(G2320="IN",D2320,""))</f>
        <v/>
      </c>
      <c r="E2321" s="14" t="str">
        <f aca="false">IF(C2321="SELL",B2321,"")</f>
        <v/>
      </c>
      <c r="F2321" s="14" t="str">
        <f aca="false">IF(E2321="","",(E2321-D2321)/D2321*100)</f>
        <v/>
      </c>
      <c r="G2321" s="0" t="str">
        <f aca="false">IF(C2321="BUY","IN",IF(C2321="SELL","OUT",IF(G2320="IN","IN","OUT")))</f>
        <v>OUT</v>
      </c>
      <c r="H2321" s="14" t="n">
        <f aca="false">H2320+IF(F2321="",0,F2321)</f>
        <v>21.1462459605654</v>
      </c>
      <c r="I2321" s="14" t="n">
        <f aca="false">MAX(I2320,H2321)</f>
        <v>43.9309628600509</v>
      </c>
      <c r="J2321" s="14" t="n">
        <f aca="false">I2321-H2321</f>
        <v>22.7847168994854</v>
      </c>
    </row>
    <row r="2322" customFormat="false" ht="15" hidden="false" customHeight="false" outlineLevel="0" collapsed="false">
      <c r="A2322" s="12" t="n">
        <f aca="false">Data!A2322</f>
        <v>45377</v>
      </c>
      <c r="B2322" s="14" t="n">
        <f aca="false">Data!B2322</f>
        <v>81.62</v>
      </c>
      <c r="C2322" s="0" t="str">
        <f aca="false">IF(Data!D2322="","HOLD",IF(AND(G2321&lt;&gt;"IN",Data!E2322&lt;-5),"BUY",IF(AND(G2321="IN",Data!E2322&gt;0),"SELL","HOLD")))</f>
        <v>HOLD</v>
      </c>
      <c r="D2322" s="14" t="str">
        <f aca="false">IF(C2322="BUY",B2322,IF(G2321="IN",D2321,""))</f>
        <v/>
      </c>
      <c r="E2322" s="14" t="str">
        <f aca="false">IF(C2322="SELL",B2322,"")</f>
        <v/>
      </c>
      <c r="F2322" s="14" t="str">
        <f aca="false">IF(E2322="","",(E2322-D2322)/D2322*100)</f>
        <v/>
      </c>
      <c r="G2322" s="0" t="str">
        <f aca="false">IF(C2322="BUY","IN",IF(C2322="SELL","OUT",IF(G2321="IN","IN","OUT")))</f>
        <v>OUT</v>
      </c>
      <c r="H2322" s="14" t="n">
        <f aca="false">H2321+IF(F2322="",0,F2322)</f>
        <v>21.1462459605654</v>
      </c>
      <c r="I2322" s="14" t="n">
        <f aca="false">MAX(I2321,H2322)</f>
        <v>43.9309628600509</v>
      </c>
      <c r="J2322" s="14" t="n">
        <f aca="false">I2322-H2322</f>
        <v>22.7847168994854</v>
      </c>
    </row>
    <row r="2323" customFormat="false" ht="15" hidden="false" customHeight="false" outlineLevel="0" collapsed="false">
      <c r="A2323" s="12" t="n">
        <f aca="false">Data!A2323</f>
        <v>45378</v>
      </c>
      <c r="B2323" s="14" t="n">
        <f aca="false">Data!B2323</f>
        <v>81.35</v>
      </c>
      <c r="C2323" s="0" t="str">
        <f aca="false">IF(Data!D2323="","HOLD",IF(AND(G2322&lt;&gt;"IN",Data!E2323&lt;-5),"BUY",IF(AND(G2322="IN",Data!E2323&gt;0),"SELL","HOLD")))</f>
        <v>HOLD</v>
      </c>
      <c r="D2323" s="14" t="str">
        <f aca="false">IF(C2323="BUY",B2323,IF(G2322="IN",D2322,""))</f>
        <v/>
      </c>
      <c r="E2323" s="14" t="str">
        <f aca="false">IF(C2323="SELL",B2323,"")</f>
        <v/>
      </c>
      <c r="F2323" s="14" t="str">
        <f aca="false">IF(E2323="","",(E2323-D2323)/D2323*100)</f>
        <v/>
      </c>
      <c r="G2323" s="0" t="str">
        <f aca="false">IF(C2323="BUY","IN",IF(C2323="SELL","OUT",IF(G2322="IN","IN","OUT")))</f>
        <v>OUT</v>
      </c>
      <c r="H2323" s="14" t="n">
        <f aca="false">H2322+IF(F2323="",0,F2323)</f>
        <v>21.1462459605654</v>
      </c>
      <c r="I2323" s="14" t="n">
        <f aca="false">MAX(I2322,H2323)</f>
        <v>43.9309628600509</v>
      </c>
      <c r="J2323" s="14" t="n">
        <f aca="false">I2323-H2323</f>
        <v>22.7847168994854</v>
      </c>
    </row>
    <row r="2324" customFormat="false" ht="15" hidden="false" customHeight="false" outlineLevel="0" collapsed="false">
      <c r="A2324" s="12" t="n">
        <f aca="false">Data!A2324</f>
        <v>45379</v>
      </c>
      <c r="B2324" s="14" t="n">
        <f aca="false">Data!B2324</f>
        <v>83.17</v>
      </c>
      <c r="C2324" s="0" t="str">
        <f aca="false">IF(Data!D2324="","HOLD",IF(AND(G2323&lt;&gt;"IN",Data!E2324&lt;-5),"BUY",IF(AND(G2323="IN",Data!E2324&gt;0),"SELL","HOLD")))</f>
        <v>HOLD</v>
      </c>
      <c r="D2324" s="14" t="str">
        <f aca="false">IF(C2324="BUY",B2324,IF(G2323="IN",D2323,""))</f>
        <v/>
      </c>
      <c r="E2324" s="14" t="str">
        <f aca="false">IF(C2324="SELL",B2324,"")</f>
        <v/>
      </c>
      <c r="F2324" s="14" t="str">
        <f aca="false">IF(E2324="","",(E2324-D2324)/D2324*100)</f>
        <v/>
      </c>
      <c r="G2324" s="0" t="str">
        <f aca="false">IF(C2324="BUY","IN",IF(C2324="SELL","OUT",IF(G2323="IN","IN","OUT")))</f>
        <v>OUT</v>
      </c>
      <c r="H2324" s="14" t="n">
        <f aca="false">H2323+IF(F2324="",0,F2324)</f>
        <v>21.1462459605654</v>
      </c>
      <c r="I2324" s="14" t="n">
        <f aca="false">MAX(I2323,H2324)</f>
        <v>43.9309628600509</v>
      </c>
      <c r="J2324" s="14" t="n">
        <f aca="false">I2324-H2324</f>
        <v>22.7847168994854</v>
      </c>
    </row>
    <row r="2325" customFormat="false" ht="15" hidden="false" customHeight="false" outlineLevel="0" collapsed="false">
      <c r="A2325" s="12" t="n">
        <f aca="false">Data!A2325</f>
        <v>45383</v>
      </c>
      <c r="B2325" s="14" t="n">
        <f aca="false">Data!B2325</f>
        <v>83.71</v>
      </c>
      <c r="C2325" s="0" t="str">
        <f aca="false">IF(Data!D2325="","HOLD",IF(AND(G2324&lt;&gt;"IN",Data!E2325&lt;-5),"BUY",IF(AND(G2324="IN",Data!E2325&gt;0),"SELL","HOLD")))</f>
        <v>HOLD</v>
      </c>
      <c r="D2325" s="14" t="str">
        <f aca="false">IF(C2325="BUY",B2325,IF(G2324="IN",D2324,""))</f>
        <v/>
      </c>
      <c r="E2325" s="14" t="str">
        <f aca="false">IF(C2325="SELL",B2325,"")</f>
        <v/>
      </c>
      <c r="F2325" s="14" t="str">
        <f aca="false">IF(E2325="","",(E2325-D2325)/D2325*100)</f>
        <v/>
      </c>
      <c r="G2325" s="0" t="str">
        <f aca="false">IF(C2325="BUY","IN",IF(C2325="SELL","OUT",IF(G2324="IN","IN","OUT")))</f>
        <v>OUT</v>
      </c>
      <c r="H2325" s="14" t="n">
        <f aca="false">H2324+IF(F2325="",0,F2325)</f>
        <v>21.1462459605654</v>
      </c>
      <c r="I2325" s="14" t="n">
        <f aca="false">MAX(I2324,H2325)</f>
        <v>43.9309628600509</v>
      </c>
      <c r="J2325" s="14" t="n">
        <f aca="false">I2325-H2325</f>
        <v>22.7847168994854</v>
      </c>
    </row>
    <row r="2326" customFormat="false" ht="15" hidden="false" customHeight="false" outlineLevel="0" collapsed="false">
      <c r="A2326" s="12" t="n">
        <f aca="false">Data!A2326</f>
        <v>45384</v>
      </c>
      <c r="B2326" s="14" t="n">
        <f aca="false">Data!B2326</f>
        <v>85.15</v>
      </c>
      <c r="C2326" s="0" t="str">
        <f aca="false">IF(Data!D2326="","HOLD",IF(AND(G2325&lt;&gt;"IN",Data!E2326&lt;-5),"BUY",IF(AND(G2325="IN",Data!E2326&gt;0),"SELL","HOLD")))</f>
        <v>HOLD</v>
      </c>
      <c r="D2326" s="14" t="str">
        <f aca="false">IF(C2326="BUY",B2326,IF(G2325="IN",D2325,""))</f>
        <v/>
      </c>
      <c r="E2326" s="14" t="str">
        <f aca="false">IF(C2326="SELL",B2326,"")</f>
        <v/>
      </c>
      <c r="F2326" s="14" t="str">
        <f aca="false">IF(E2326="","",(E2326-D2326)/D2326*100)</f>
        <v/>
      </c>
      <c r="G2326" s="0" t="str">
        <f aca="false">IF(C2326="BUY","IN",IF(C2326="SELL","OUT",IF(G2325="IN","IN","OUT")))</f>
        <v>OUT</v>
      </c>
      <c r="H2326" s="14" t="n">
        <f aca="false">H2325+IF(F2326="",0,F2326)</f>
        <v>21.1462459605654</v>
      </c>
      <c r="I2326" s="14" t="n">
        <f aca="false">MAX(I2325,H2326)</f>
        <v>43.9309628600509</v>
      </c>
      <c r="J2326" s="14" t="n">
        <f aca="false">I2326-H2326</f>
        <v>22.7847168994854</v>
      </c>
    </row>
    <row r="2327" customFormat="false" ht="15" hidden="false" customHeight="false" outlineLevel="0" collapsed="false">
      <c r="A2327" s="12" t="n">
        <f aca="false">Data!A2327</f>
        <v>45385</v>
      </c>
      <c r="B2327" s="14" t="n">
        <f aca="false">Data!B2327</f>
        <v>85.43</v>
      </c>
      <c r="C2327" s="0" t="str">
        <f aca="false">IF(Data!D2327="","HOLD",IF(AND(G2326&lt;&gt;"IN",Data!E2327&lt;-5),"BUY",IF(AND(G2326="IN",Data!E2327&gt;0),"SELL","HOLD")))</f>
        <v>HOLD</v>
      </c>
      <c r="D2327" s="14" t="str">
        <f aca="false">IF(C2327="BUY",B2327,IF(G2326="IN",D2326,""))</f>
        <v/>
      </c>
      <c r="E2327" s="14" t="str">
        <f aca="false">IF(C2327="SELL",B2327,"")</f>
        <v/>
      </c>
      <c r="F2327" s="14" t="str">
        <f aca="false">IF(E2327="","",(E2327-D2327)/D2327*100)</f>
        <v/>
      </c>
      <c r="G2327" s="0" t="str">
        <f aca="false">IF(C2327="BUY","IN",IF(C2327="SELL","OUT",IF(G2326="IN","IN","OUT")))</f>
        <v>OUT</v>
      </c>
      <c r="H2327" s="14" t="n">
        <f aca="false">H2326+IF(F2327="",0,F2327)</f>
        <v>21.1462459605654</v>
      </c>
      <c r="I2327" s="14" t="n">
        <f aca="false">MAX(I2326,H2327)</f>
        <v>43.9309628600509</v>
      </c>
      <c r="J2327" s="14" t="n">
        <f aca="false">I2327-H2327</f>
        <v>22.7847168994854</v>
      </c>
    </row>
    <row r="2328" customFormat="false" ht="15" hidden="false" customHeight="false" outlineLevel="0" collapsed="false">
      <c r="A2328" s="12" t="n">
        <f aca="false">Data!A2328</f>
        <v>45386</v>
      </c>
      <c r="B2328" s="14" t="n">
        <f aca="false">Data!B2328</f>
        <v>86.59</v>
      </c>
      <c r="C2328" s="0" t="str">
        <f aca="false">IF(Data!D2328="","HOLD",IF(AND(G2327&lt;&gt;"IN",Data!E2328&lt;-5),"BUY",IF(AND(G2327="IN",Data!E2328&gt;0),"SELL","HOLD")))</f>
        <v>HOLD</v>
      </c>
      <c r="D2328" s="14" t="str">
        <f aca="false">IF(C2328="BUY",B2328,IF(G2327="IN",D2327,""))</f>
        <v/>
      </c>
      <c r="E2328" s="14" t="str">
        <f aca="false">IF(C2328="SELL",B2328,"")</f>
        <v/>
      </c>
      <c r="F2328" s="14" t="str">
        <f aca="false">IF(E2328="","",(E2328-D2328)/D2328*100)</f>
        <v/>
      </c>
      <c r="G2328" s="0" t="str">
        <f aca="false">IF(C2328="BUY","IN",IF(C2328="SELL","OUT",IF(G2327="IN","IN","OUT")))</f>
        <v>OUT</v>
      </c>
      <c r="H2328" s="14" t="n">
        <f aca="false">H2327+IF(F2328="",0,F2328)</f>
        <v>21.1462459605654</v>
      </c>
      <c r="I2328" s="14" t="n">
        <f aca="false">MAX(I2327,H2328)</f>
        <v>43.9309628600509</v>
      </c>
      <c r="J2328" s="14" t="n">
        <f aca="false">I2328-H2328</f>
        <v>22.7847168994854</v>
      </c>
    </row>
    <row r="2329" customFormat="false" ht="15" hidden="false" customHeight="false" outlineLevel="0" collapsed="false">
      <c r="A2329" s="12" t="n">
        <f aca="false">Data!A2329</f>
        <v>45387</v>
      </c>
      <c r="B2329" s="14" t="n">
        <f aca="false">Data!B2329</f>
        <v>86.91</v>
      </c>
      <c r="C2329" s="0" t="str">
        <f aca="false">IF(Data!D2329="","HOLD",IF(AND(G2328&lt;&gt;"IN",Data!E2329&lt;-5),"BUY",IF(AND(G2328="IN",Data!E2329&gt;0),"SELL","HOLD")))</f>
        <v>HOLD</v>
      </c>
      <c r="D2329" s="14" t="str">
        <f aca="false">IF(C2329="BUY",B2329,IF(G2328="IN",D2328,""))</f>
        <v/>
      </c>
      <c r="E2329" s="14" t="str">
        <f aca="false">IF(C2329="SELL",B2329,"")</f>
        <v/>
      </c>
      <c r="F2329" s="14" t="str">
        <f aca="false">IF(E2329="","",(E2329-D2329)/D2329*100)</f>
        <v/>
      </c>
      <c r="G2329" s="0" t="str">
        <f aca="false">IF(C2329="BUY","IN",IF(C2329="SELL","OUT",IF(G2328="IN","IN","OUT")))</f>
        <v>OUT</v>
      </c>
      <c r="H2329" s="14" t="n">
        <f aca="false">H2328+IF(F2329="",0,F2329)</f>
        <v>21.1462459605654</v>
      </c>
      <c r="I2329" s="14" t="n">
        <f aca="false">MAX(I2328,H2329)</f>
        <v>43.9309628600509</v>
      </c>
      <c r="J2329" s="14" t="n">
        <f aca="false">I2329-H2329</f>
        <v>22.7847168994854</v>
      </c>
    </row>
    <row r="2330" customFormat="false" ht="15" hidden="false" customHeight="false" outlineLevel="0" collapsed="false">
      <c r="A2330" s="12" t="n">
        <f aca="false">Data!A2330</f>
        <v>45390</v>
      </c>
      <c r="B2330" s="14" t="n">
        <f aca="false">Data!B2330</f>
        <v>86.43</v>
      </c>
      <c r="C2330" s="0" t="str">
        <f aca="false">IF(Data!D2330="","HOLD",IF(AND(G2329&lt;&gt;"IN",Data!E2330&lt;-5),"BUY",IF(AND(G2329="IN",Data!E2330&gt;0),"SELL","HOLD")))</f>
        <v>HOLD</v>
      </c>
      <c r="D2330" s="14" t="str">
        <f aca="false">IF(C2330="BUY",B2330,IF(G2329="IN",D2329,""))</f>
        <v/>
      </c>
      <c r="E2330" s="14" t="str">
        <f aca="false">IF(C2330="SELL",B2330,"")</f>
        <v/>
      </c>
      <c r="F2330" s="14" t="str">
        <f aca="false">IF(E2330="","",(E2330-D2330)/D2330*100)</f>
        <v/>
      </c>
      <c r="G2330" s="0" t="str">
        <f aca="false">IF(C2330="BUY","IN",IF(C2330="SELL","OUT",IF(G2329="IN","IN","OUT")))</f>
        <v>OUT</v>
      </c>
      <c r="H2330" s="14" t="n">
        <f aca="false">H2329+IF(F2330="",0,F2330)</f>
        <v>21.1462459605654</v>
      </c>
      <c r="I2330" s="14" t="n">
        <f aca="false">MAX(I2329,H2330)</f>
        <v>43.9309628600509</v>
      </c>
      <c r="J2330" s="14" t="n">
        <f aca="false">I2330-H2330</f>
        <v>22.7847168994854</v>
      </c>
    </row>
    <row r="2331" customFormat="false" ht="15" hidden="false" customHeight="false" outlineLevel="0" collapsed="false">
      <c r="A2331" s="12" t="n">
        <f aca="false">Data!A2331</f>
        <v>45391</v>
      </c>
      <c r="B2331" s="14" t="n">
        <f aca="false">Data!B2331</f>
        <v>85.23</v>
      </c>
      <c r="C2331" s="0" t="str">
        <f aca="false">IF(Data!D2331="","HOLD",IF(AND(G2330&lt;&gt;"IN",Data!E2331&lt;-5),"BUY",IF(AND(G2330="IN",Data!E2331&gt;0),"SELL","HOLD")))</f>
        <v>HOLD</v>
      </c>
      <c r="D2331" s="14" t="str">
        <f aca="false">IF(C2331="BUY",B2331,IF(G2330="IN",D2330,""))</f>
        <v/>
      </c>
      <c r="E2331" s="14" t="str">
        <f aca="false">IF(C2331="SELL",B2331,"")</f>
        <v/>
      </c>
      <c r="F2331" s="14" t="str">
        <f aca="false">IF(E2331="","",(E2331-D2331)/D2331*100)</f>
        <v/>
      </c>
      <c r="G2331" s="0" t="str">
        <f aca="false">IF(C2331="BUY","IN",IF(C2331="SELL","OUT",IF(G2330="IN","IN","OUT")))</f>
        <v>OUT</v>
      </c>
      <c r="H2331" s="14" t="n">
        <f aca="false">H2330+IF(F2331="",0,F2331)</f>
        <v>21.1462459605654</v>
      </c>
      <c r="I2331" s="14" t="n">
        <f aca="false">MAX(I2330,H2331)</f>
        <v>43.9309628600509</v>
      </c>
      <c r="J2331" s="14" t="n">
        <f aca="false">I2331-H2331</f>
        <v>22.7847168994854</v>
      </c>
    </row>
    <row r="2332" customFormat="false" ht="15" hidden="false" customHeight="false" outlineLevel="0" collapsed="false">
      <c r="A2332" s="12" t="n">
        <f aca="false">Data!A2332</f>
        <v>45392</v>
      </c>
      <c r="B2332" s="14" t="n">
        <f aca="false">Data!B2332</f>
        <v>86.21</v>
      </c>
      <c r="C2332" s="0" t="str">
        <f aca="false">IF(Data!D2332="","HOLD",IF(AND(G2331&lt;&gt;"IN",Data!E2332&lt;-5),"BUY",IF(AND(G2331="IN",Data!E2332&gt;0),"SELL","HOLD")))</f>
        <v>HOLD</v>
      </c>
      <c r="D2332" s="14" t="str">
        <f aca="false">IF(C2332="BUY",B2332,IF(G2331="IN",D2331,""))</f>
        <v/>
      </c>
      <c r="E2332" s="14" t="str">
        <f aca="false">IF(C2332="SELL",B2332,"")</f>
        <v/>
      </c>
      <c r="F2332" s="14" t="str">
        <f aca="false">IF(E2332="","",(E2332-D2332)/D2332*100)</f>
        <v/>
      </c>
      <c r="G2332" s="0" t="str">
        <f aca="false">IF(C2332="BUY","IN",IF(C2332="SELL","OUT",IF(G2331="IN","IN","OUT")))</f>
        <v>OUT</v>
      </c>
      <c r="H2332" s="14" t="n">
        <f aca="false">H2331+IF(F2332="",0,F2332)</f>
        <v>21.1462459605654</v>
      </c>
      <c r="I2332" s="14" t="n">
        <f aca="false">MAX(I2331,H2332)</f>
        <v>43.9309628600509</v>
      </c>
      <c r="J2332" s="14" t="n">
        <f aca="false">I2332-H2332</f>
        <v>22.7847168994854</v>
      </c>
    </row>
    <row r="2333" customFormat="false" ht="15" hidden="false" customHeight="false" outlineLevel="0" collapsed="false">
      <c r="A2333" s="12" t="n">
        <f aca="false">Data!A2333</f>
        <v>45393</v>
      </c>
      <c r="B2333" s="14" t="n">
        <f aca="false">Data!B2333</f>
        <v>85.02</v>
      </c>
      <c r="C2333" s="0" t="str">
        <f aca="false">IF(Data!D2333="","HOLD",IF(AND(G2332&lt;&gt;"IN",Data!E2333&lt;-5),"BUY",IF(AND(G2332="IN",Data!E2333&gt;0),"SELL","HOLD")))</f>
        <v>HOLD</v>
      </c>
      <c r="D2333" s="14" t="str">
        <f aca="false">IF(C2333="BUY",B2333,IF(G2332="IN",D2332,""))</f>
        <v/>
      </c>
      <c r="E2333" s="14" t="str">
        <f aca="false">IF(C2333="SELL",B2333,"")</f>
        <v/>
      </c>
      <c r="F2333" s="14" t="str">
        <f aca="false">IF(E2333="","",(E2333-D2333)/D2333*100)</f>
        <v/>
      </c>
      <c r="G2333" s="0" t="str">
        <f aca="false">IF(C2333="BUY","IN",IF(C2333="SELL","OUT",IF(G2332="IN","IN","OUT")))</f>
        <v>OUT</v>
      </c>
      <c r="H2333" s="14" t="n">
        <f aca="false">H2332+IF(F2333="",0,F2333)</f>
        <v>21.1462459605654</v>
      </c>
      <c r="I2333" s="14" t="n">
        <f aca="false">MAX(I2332,H2333)</f>
        <v>43.9309628600509</v>
      </c>
      <c r="J2333" s="14" t="n">
        <f aca="false">I2333-H2333</f>
        <v>22.7847168994854</v>
      </c>
    </row>
    <row r="2334" customFormat="false" ht="15" hidden="false" customHeight="false" outlineLevel="0" collapsed="false">
      <c r="A2334" s="12" t="n">
        <f aca="false">Data!A2334</f>
        <v>45394</v>
      </c>
      <c r="B2334" s="14" t="n">
        <f aca="false">Data!B2334</f>
        <v>85.66</v>
      </c>
      <c r="C2334" s="0" t="str">
        <f aca="false">IF(Data!D2334="","HOLD",IF(AND(G2333&lt;&gt;"IN",Data!E2334&lt;-5),"BUY",IF(AND(G2333="IN",Data!E2334&gt;0),"SELL","HOLD")))</f>
        <v>HOLD</v>
      </c>
      <c r="D2334" s="14" t="str">
        <f aca="false">IF(C2334="BUY",B2334,IF(G2333="IN",D2333,""))</f>
        <v/>
      </c>
      <c r="E2334" s="14" t="str">
        <f aca="false">IF(C2334="SELL",B2334,"")</f>
        <v/>
      </c>
      <c r="F2334" s="14" t="str">
        <f aca="false">IF(E2334="","",(E2334-D2334)/D2334*100)</f>
        <v/>
      </c>
      <c r="G2334" s="0" t="str">
        <f aca="false">IF(C2334="BUY","IN",IF(C2334="SELL","OUT",IF(G2333="IN","IN","OUT")))</f>
        <v>OUT</v>
      </c>
      <c r="H2334" s="14" t="n">
        <f aca="false">H2333+IF(F2334="",0,F2334)</f>
        <v>21.1462459605654</v>
      </c>
      <c r="I2334" s="14" t="n">
        <f aca="false">MAX(I2333,H2334)</f>
        <v>43.9309628600509</v>
      </c>
      <c r="J2334" s="14" t="n">
        <f aca="false">I2334-H2334</f>
        <v>22.7847168994854</v>
      </c>
    </row>
    <row r="2335" customFormat="false" ht="15" hidden="false" customHeight="false" outlineLevel="0" collapsed="false">
      <c r="A2335" s="12" t="n">
        <f aca="false">Data!A2335</f>
        <v>45397</v>
      </c>
      <c r="B2335" s="14" t="n">
        <f aca="false">Data!B2335</f>
        <v>85.41</v>
      </c>
      <c r="C2335" s="0" t="str">
        <f aca="false">IF(Data!D2335="","HOLD",IF(AND(G2334&lt;&gt;"IN",Data!E2335&lt;-5),"BUY",IF(AND(G2334="IN",Data!E2335&gt;0),"SELL","HOLD")))</f>
        <v>HOLD</v>
      </c>
      <c r="D2335" s="14" t="str">
        <f aca="false">IF(C2335="BUY",B2335,IF(G2334="IN",D2334,""))</f>
        <v/>
      </c>
      <c r="E2335" s="14" t="str">
        <f aca="false">IF(C2335="SELL",B2335,"")</f>
        <v/>
      </c>
      <c r="F2335" s="14" t="str">
        <f aca="false">IF(E2335="","",(E2335-D2335)/D2335*100)</f>
        <v/>
      </c>
      <c r="G2335" s="0" t="str">
        <f aca="false">IF(C2335="BUY","IN",IF(C2335="SELL","OUT",IF(G2334="IN","IN","OUT")))</f>
        <v>OUT</v>
      </c>
      <c r="H2335" s="14" t="n">
        <f aca="false">H2334+IF(F2335="",0,F2335)</f>
        <v>21.1462459605654</v>
      </c>
      <c r="I2335" s="14" t="n">
        <f aca="false">MAX(I2334,H2335)</f>
        <v>43.9309628600509</v>
      </c>
      <c r="J2335" s="14" t="n">
        <f aca="false">I2335-H2335</f>
        <v>22.7847168994854</v>
      </c>
    </row>
    <row r="2336" customFormat="false" ht="15" hidden="false" customHeight="false" outlineLevel="0" collapsed="false">
      <c r="A2336" s="12" t="n">
        <f aca="false">Data!A2336</f>
        <v>45398</v>
      </c>
      <c r="B2336" s="14" t="n">
        <f aca="false">Data!B2336</f>
        <v>85.36</v>
      </c>
      <c r="C2336" s="0" t="str">
        <f aca="false">IF(Data!D2336="","HOLD",IF(AND(G2335&lt;&gt;"IN",Data!E2336&lt;-5),"BUY",IF(AND(G2335="IN",Data!E2336&gt;0),"SELL","HOLD")))</f>
        <v>HOLD</v>
      </c>
      <c r="D2336" s="14" t="str">
        <f aca="false">IF(C2336="BUY",B2336,IF(G2335="IN",D2335,""))</f>
        <v/>
      </c>
      <c r="E2336" s="14" t="str">
        <f aca="false">IF(C2336="SELL",B2336,"")</f>
        <v/>
      </c>
      <c r="F2336" s="14" t="str">
        <f aca="false">IF(E2336="","",(E2336-D2336)/D2336*100)</f>
        <v/>
      </c>
      <c r="G2336" s="0" t="str">
        <f aca="false">IF(C2336="BUY","IN",IF(C2336="SELL","OUT",IF(G2335="IN","IN","OUT")))</f>
        <v>OUT</v>
      </c>
      <c r="H2336" s="14" t="n">
        <f aca="false">H2335+IF(F2336="",0,F2336)</f>
        <v>21.1462459605654</v>
      </c>
      <c r="I2336" s="14" t="n">
        <f aca="false">MAX(I2335,H2336)</f>
        <v>43.9309628600509</v>
      </c>
      <c r="J2336" s="14" t="n">
        <f aca="false">I2336-H2336</f>
        <v>22.7847168994854</v>
      </c>
    </row>
    <row r="2337" customFormat="false" ht="15" hidden="false" customHeight="false" outlineLevel="0" collapsed="false">
      <c r="A2337" s="12" t="n">
        <f aca="false">Data!A2337</f>
        <v>45399</v>
      </c>
      <c r="B2337" s="14" t="n">
        <f aca="false">Data!B2337</f>
        <v>82.69</v>
      </c>
      <c r="C2337" s="0" t="str">
        <f aca="false">IF(Data!D2337="","HOLD",IF(AND(G2336&lt;&gt;"IN",Data!E2337&lt;-5),"BUY",IF(AND(G2336="IN",Data!E2337&gt;0),"SELL","HOLD")))</f>
        <v>HOLD</v>
      </c>
      <c r="D2337" s="14" t="str">
        <f aca="false">IF(C2337="BUY",B2337,IF(G2336="IN",D2336,""))</f>
        <v/>
      </c>
      <c r="E2337" s="14" t="str">
        <f aca="false">IF(C2337="SELL",B2337,"")</f>
        <v/>
      </c>
      <c r="F2337" s="14" t="str">
        <f aca="false">IF(E2337="","",(E2337-D2337)/D2337*100)</f>
        <v/>
      </c>
      <c r="G2337" s="0" t="str">
        <f aca="false">IF(C2337="BUY","IN",IF(C2337="SELL","OUT",IF(G2336="IN","IN","OUT")))</f>
        <v>OUT</v>
      </c>
      <c r="H2337" s="14" t="n">
        <f aca="false">H2336+IF(F2337="",0,F2337)</f>
        <v>21.1462459605654</v>
      </c>
      <c r="I2337" s="14" t="n">
        <f aca="false">MAX(I2336,H2337)</f>
        <v>43.9309628600509</v>
      </c>
      <c r="J2337" s="14" t="n">
        <f aca="false">I2337-H2337</f>
        <v>22.7847168994854</v>
      </c>
    </row>
    <row r="2338" customFormat="false" ht="15" hidden="false" customHeight="false" outlineLevel="0" collapsed="false">
      <c r="A2338" s="12" t="n">
        <f aca="false">Data!A2338</f>
        <v>45400</v>
      </c>
      <c r="B2338" s="14" t="n">
        <f aca="false">Data!B2338</f>
        <v>82.73</v>
      </c>
      <c r="C2338" s="0" t="str">
        <f aca="false">IF(Data!D2338="","HOLD",IF(AND(G2337&lt;&gt;"IN",Data!E2338&lt;-5),"BUY",IF(AND(G2337="IN",Data!E2338&gt;0),"SELL","HOLD")))</f>
        <v>HOLD</v>
      </c>
      <c r="D2338" s="14" t="str">
        <f aca="false">IF(C2338="BUY",B2338,IF(G2337="IN",D2337,""))</f>
        <v/>
      </c>
      <c r="E2338" s="14" t="str">
        <f aca="false">IF(C2338="SELL",B2338,"")</f>
        <v/>
      </c>
      <c r="F2338" s="14" t="str">
        <f aca="false">IF(E2338="","",(E2338-D2338)/D2338*100)</f>
        <v/>
      </c>
      <c r="G2338" s="0" t="str">
        <f aca="false">IF(C2338="BUY","IN",IF(C2338="SELL","OUT",IF(G2337="IN","IN","OUT")))</f>
        <v>OUT</v>
      </c>
      <c r="H2338" s="14" t="n">
        <f aca="false">H2337+IF(F2338="",0,F2338)</f>
        <v>21.1462459605654</v>
      </c>
      <c r="I2338" s="14" t="n">
        <f aca="false">MAX(I2337,H2338)</f>
        <v>43.9309628600509</v>
      </c>
      <c r="J2338" s="14" t="n">
        <f aca="false">I2338-H2338</f>
        <v>22.7847168994854</v>
      </c>
    </row>
    <row r="2339" customFormat="false" ht="15" hidden="false" customHeight="false" outlineLevel="0" collapsed="false">
      <c r="A2339" s="12" t="n">
        <f aca="false">Data!A2339</f>
        <v>45401</v>
      </c>
      <c r="B2339" s="14" t="n">
        <f aca="false">Data!B2339</f>
        <v>83.14</v>
      </c>
      <c r="C2339" s="0" t="str">
        <f aca="false">IF(Data!D2339="","HOLD",IF(AND(G2338&lt;&gt;"IN",Data!E2339&lt;-5),"BUY",IF(AND(G2338="IN",Data!E2339&gt;0),"SELL","HOLD")))</f>
        <v>HOLD</v>
      </c>
      <c r="D2339" s="14" t="str">
        <f aca="false">IF(C2339="BUY",B2339,IF(G2338="IN",D2338,""))</f>
        <v/>
      </c>
      <c r="E2339" s="14" t="str">
        <f aca="false">IF(C2339="SELL",B2339,"")</f>
        <v/>
      </c>
      <c r="F2339" s="14" t="str">
        <f aca="false">IF(E2339="","",(E2339-D2339)/D2339*100)</f>
        <v/>
      </c>
      <c r="G2339" s="0" t="str">
        <f aca="false">IF(C2339="BUY","IN",IF(C2339="SELL","OUT",IF(G2338="IN","IN","OUT")))</f>
        <v>OUT</v>
      </c>
      <c r="H2339" s="14" t="n">
        <f aca="false">H2338+IF(F2339="",0,F2339)</f>
        <v>21.1462459605654</v>
      </c>
      <c r="I2339" s="14" t="n">
        <f aca="false">MAX(I2338,H2339)</f>
        <v>43.9309628600509</v>
      </c>
      <c r="J2339" s="14" t="n">
        <f aca="false">I2339-H2339</f>
        <v>22.7847168994854</v>
      </c>
    </row>
    <row r="2340" customFormat="false" ht="15" hidden="false" customHeight="false" outlineLevel="0" collapsed="false">
      <c r="A2340" s="12" t="n">
        <f aca="false">Data!A2340</f>
        <v>45404</v>
      </c>
      <c r="B2340" s="14" t="n">
        <f aca="false">Data!B2340</f>
        <v>82.85</v>
      </c>
      <c r="C2340" s="0" t="str">
        <f aca="false">IF(Data!D2340="","HOLD",IF(AND(G2339&lt;&gt;"IN",Data!E2340&lt;-5),"BUY",IF(AND(G2339="IN",Data!E2340&gt;0),"SELL","HOLD")))</f>
        <v>HOLD</v>
      </c>
      <c r="D2340" s="14" t="str">
        <f aca="false">IF(C2340="BUY",B2340,IF(G2339="IN",D2339,""))</f>
        <v/>
      </c>
      <c r="E2340" s="14" t="str">
        <f aca="false">IF(C2340="SELL",B2340,"")</f>
        <v/>
      </c>
      <c r="F2340" s="14" t="str">
        <f aca="false">IF(E2340="","",(E2340-D2340)/D2340*100)</f>
        <v/>
      </c>
      <c r="G2340" s="0" t="str">
        <f aca="false">IF(C2340="BUY","IN",IF(C2340="SELL","OUT",IF(G2339="IN","IN","OUT")))</f>
        <v>OUT</v>
      </c>
      <c r="H2340" s="14" t="n">
        <f aca="false">H2339+IF(F2340="",0,F2340)</f>
        <v>21.1462459605654</v>
      </c>
      <c r="I2340" s="14" t="n">
        <f aca="false">MAX(I2339,H2340)</f>
        <v>43.9309628600509</v>
      </c>
      <c r="J2340" s="14" t="n">
        <f aca="false">I2340-H2340</f>
        <v>22.7847168994854</v>
      </c>
    </row>
    <row r="2341" customFormat="false" ht="15" hidden="false" customHeight="false" outlineLevel="0" collapsed="false">
      <c r="A2341" s="12" t="n">
        <f aca="false">Data!A2341</f>
        <v>45405</v>
      </c>
      <c r="B2341" s="14" t="n">
        <f aca="false">Data!B2341</f>
        <v>83.36</v>
      </c>
      <c r="C2341" s="0" t="str">
        <f aca="false">IF(Data!D2341="","HOLD",IF(AND(G2340&lt;&gt;"IN",Data!E2341&lt;-5),"BUY",IF(AND(G2340="IN",Data!E2341&gt;0),"SELL","HOLD")))</f>
        <v>HOLD</v>
      </c>
      <c r="D2341" s="14" t="str">
        <f aca="false">IF(C2341="BUY",B2341,IF(G2340="IN",D2340,""))</f>
        <v/>
      </c>
      <c r="E2341" s="14" t="str">
        <f aca="false">IF(C2341="SELL",B2341,"")</f>
        <v/>
      </c>
      <c r="F2341" s="14" t="str">
        <f aca="false">IF(E2341="","",(E2341-D2341)/D2341*100)</f>
        <v/>
      </c>
      <c r="G2341" s="0" t="str">
        <f aca="false">IF(C2341="BUY","IN",IF(C2341="SELL","OUT",IF(G2340="IN","IN","OUT")))</f>
        <v>OUT</v>
      </c>
      <c r="H2341" s="14" t="n">
        <f aca="false">H2340+IF(F2341="",0,F2341)</f>
        <v>21.1462459605654</v>
      </c>
      <c r="I2341" s="14" t="n">
        <f aca="false">MAX(I2340,H2341)</f>
        <v>43.9309628600509</v>
      </c>
      <c r="J2341" s="14" t="n">
        <f aca="false">I2341-H2341</f>
        <v>22.7847168994854</v>
      </c>
    </row>
    <row r="2342" customFormat="false" ht="15" hidden="false" customHeight="false" outlineLevel="0" collapsed="false">
      <c r="A2342" s="12" t="n">
        <f aca="false">Data!A2342</f>
        <v>45406</v>
      </c>
      <c r="B2342" s="14" t="n">
        <f aca="false">Data!B2342</f>
        <v>82.81</v>
      </c>
      <c r="C2342" s="0" t="str">
        <f aca="false">IF(Data!D2342="","HOLD",IF(AND(G2341&lt;&gt;"IN",Data!E2342&lt;-5),"BUY",IF(AND(G2341="IN",Data!E2342&gt;0),"SELL","HOLD")))</f>
        <v>HOLD</v>
      </c>
      <c r="D2342" s="14" t="str">
        <f aca="false">IF(C2342="BUY",B2342,IF(G2341="IN",D2341,""))</f>
        <v/>
      </c>
      <c r="E2342" s="14" t="str">
        <f aca="false">IF(C2342="SELL",B2342,"")</f>
        <v/>
      </c>
      <c r="F2342" s="14" t="str">
        <f aca="false">IF(E2342="","",(E2342-D2342)/D2342*100)</f>
        <v/>
      </c>
      <c r="G2342" s="0" t="str">
        <f aca="false">IF(C2342="BUY","IN",IF(C2342="SELL","OUT",IF(G2341="IN","IN","OUT")))</f>
        <v>OUT</v>
      </c>
      <c r="H2342" s="14" t="n">
        <f aca="false">H2341+IF(F2342="",0,F2342)</f>
        <v>21.1462459605654</v>
      </c>
      <c r="I2342" s="14" t="n">
        <f aca="false">MAX(I2341,H2342)</f>
        <v>43.9309628600509</v>
      </c>
      <c r="J2342" s="14" t="n">
        <f aca="false">I2342-H2342</f>
        <v>22.7847168994854</v>
      </c>
    </row>
    <row r="2343" customFormat="false" ht="15" hidden="false" customHeight="false" outlineLevel="0" collapsed="false">
      <c r="A2343" s="12" t="n">
        <f aca="false">Data!A2343</f>
        <v>45407</v>
      </c>
      <c r="B2343" s="14" t="n">
        <f aca="false">Data!B2343</f>
        <v>83.57</v>
      </c>
      <c r="C2343" s="0" t="str">
        <f aca="false">IF(Data!D2343="","HOLD",IF(AND(G2342&lt;&gt;"IN",Data!E2343&lt;-5),"BUY",IF(AND(G2342="IN",Data!E2343&gt;0),"SELL","HOLD")))</f>
        <v>HOLD</v>
      </c>
      <c r="D2343" s="14" t="str">
        <f aca="false">IF(C2343="BUY",B2343,IF(G2342="IN",D2342,""))</f>
        <v/>
      </c>
      <c r="E2343" s="14" t="str">
        <f aca="false">IF(C2343="SELL",B2343,"")</f>
        <v/>
      </c>
      <c r="F2343" s="14" t="str">
        <f aca="false">IF(E2343="","",(E2343-D2343)/D2343*100)</f>
        <v/>
      </c>
      <c r="G2343" s="0" t="str">
        <f aca="false">IF(C2343="BUY","IN",IF(C2343="SELL","OUT",IF(G2342="IN","IN","OUT")))</f>
        <v>OUT</v>
      </c>
      <c r="H2343" s="14" t="n">
        <f aca="false">H2342+IF(F2343="",0,F2343)</f>
        <v>21.1462459605654</v>
      </c>
      <c r="I2343" s="14" t="n">
        <f aca="false">MAX(I2342,H2343)</f>
        <v>43.9309628600509</v>
      </c>
      <c r="J2343" s="14" t="n">
        <f aca="false">I2343-H2343</f>
        <v>22.7847168994854</v>
      </c>
    </row>
    <row r="2344" customFormat="false" ht="15" hidden="false" customHeight="false" outlineLevel="0" collapsed="false">
      <c r="A2344" s="12" t="n">
        <f aca="false">Data!A2344</f>
        <v>45408</v>
      </c>
      <c r="B2344" s="14" t="n">
        <f aca="false">Data!B2344</f>
        <v>83.85</v>
      </c>
      <c r="C2344" s="0" t="str">
        <f aca="false">IF(Data!D2344="","HOLD",IF(AND(G2343&lt;&gt;"IN",Data!E2344&lt;-5),"BUY",IF(AND(G2343="IN",Data!E2344&gt;0),"SELL","HOLD")))</f>
        <v>HOLD</v>
      </c>
      <c r="D2344" s="14" t="str">
        <f aca="false">IF(C2344="BUY",B2344,IF(G2343="IN",D2343,""))</f>
        <v/>
      </c>
      <c r="E2344" s="14" t="str">
        <f aca="false">IF(C2344="SELL",B2344,"")</f>
        <v/>
      </c>
      <c r="F2344" s="14" t="str">
        <f aca="false">IF(E2344="","",(E2344-D2344)/D2344*100)</f>
        <v/>
      </c>
      <c r="G2344" s="0" t="str">
        <f aca="false">IF(C2344="BUY","IN",IF(C2344="SELL","OUT",IF(G2343="IN","IN","OUT")))</f>
        <v>OUT</v>
      </c>
      <c r="H2344" s="14" t="n">
        <f aca="false">H2343+IF(F2344="",0,F2344)</f>
        <v>21.1462459605654</v>
      </c>
      <c r="I2344" s="14" t="n">
        <f aca="false">MAX(I2343,H2344)</f>
        <v>43.9309628600509</v>
      </c>
      <c r="J2344" s="14" t="n">
        <f aca="false">I2344-H2344</f>
        <v>22.7847168994854</v>
      </c>
    </row>
    <row r="2345" customFormat="false" ht="15" hidden="false" customHeight="false" outlineLevel="0" collapsed="false">
      <c r="A2345" s="12" t="n">
        <f aca="false">Data!A2345</f>
        <v>45411</v>
      </c>
      <c r="B2345" s="14" t="n">
        <f aca="false">Data!B2345</f>
        <v>82.63</v>
      </c>
      <c r="C2345" s="0" t="str">
        <f aca="false">IF(Data!D2345="","HOLD",IF(AND(G2344&lt;&gt;"IN",Data!E2345&lt;-5),"BUY",IF(AND(G2344="IN",Data!E2345&gt;0),"SELL","HOLD")))</f>
        <v>HOLD</v>
      </c>
      <c r="D2345" s="14" t="str">
        <f aca="false">IF(C2345="BUY",B2345,IF(G2344="IN",D2344,""))</f>
        <v/>
      </c>
      <c r="E2345" s="14" t="str">
        <f aca="false">IF(C2345="SELL",B2345,"")</f>
        <v/>
      </c>
      <c r="F2345" s="14" t="str">
        <f aca="false">IF(E2345="","",(E2345-D2345)/D2345*100)</f>
        <v/>
      </c>
      <c r="G2345" s="0" t="str">
        <f aca="false">IF(C2345="BUY","IN",IF(C2345="SELL","OUT",IF(G2344="IN","IN","OUT")))</f>
        <v>OUT</v>
      </c>
      <c r="H2345" s="14" t="n">
        <f aca="false">H2344+IF(F2345="",0,F2345)</f>
        <v>21.1462459605654</v>
      </c>
      <c r="I2345" s="14" t="n">
        <f aca="false">MAX(I2344,H2345)</f>
        <v>43.9309628600509</v>
      </c>
      <c r="J2345" s="14" t="n">
        <f aca="false">I2345-H2345</f>
        <v>22.7847168994854</v>
      </c>
    </row>
    <row r="2346" customFormat="false" ht="15" hidden="false" customHeight="false" outlineLevel="0" collapsed="false">
      <c r="A2346" s="12" t="n">
        <f aca="false">Data!A2346</f>
        <v>45412</v>
      </c>
      <c r="B2346" s="14" t="n">
        <f aca="false">Data!B2346</f>
        <v>81.93</v>
      </c>
      <c r="C2346" s="0" t="str">
        <f aca="false">IF(Data!D2346="","HOLD",IF(AND(G2345&lt;&gt;"IN",Data!E2346&lt;-5),"BUY",IF(AND(G2345="IN",Data!E2346&gt;0),"SELL","HOLD")))</f>
        <v>HOLD</v>
      </c>
      <c r="D2346" s="14" t="str">
        <f aca="false">IF(C2346="BUY",B2346,IF(G2345="IN",D2345,""))</f>
        <v/>
      </c>
      <c r="E2346" s="14" t="str">
        <f aca="false">IF(C2346="SELL",B2346,"")</f>
        <v/>
      </c>
      <c r="F2346" s="14" t="str">
        <f aca="false">IF(E2346="","",(E2346-D2346)/D2346*100)</f>
        <v/>
      </c>
      <c r="G2346" s="0" t="str">
        <f aca="false">IF(C2346="BUY","IN",IF(C2346="SELL","OUT",IF(G2345="IN","IN","OUT")))</f>
        <v>OUT</v>
      </c>
      <c r="H2346" s="14" t="n">
        <f aca="false">H2345+IF(F2346="",0,F2346)</f>
        <v>21.1462459605654</v>
      </c>
      <c r="I2346" s="14" t="n">
        <f aca="false">MAX(I2345,H2346)</f>
        <v>43.9309628600509</v>
      </c>
      <c r="J2346" s="14" t="n">
        <f aca="false">I2346-H2346</f>
        <v>22.7847168994854</v>
      </c>
    </row>
    <row r="2347" customFormat="false" ht="15" hidden="false" customHeight="false" outlineLevel="0" collapsed="false">
      <c r="A2347" s="12" t="n">
        <f aca="false">Data!A2347</f>
        <v>45413</v>
      </c>
      <c r="B2347" s="14" t="n">
        <f aca="false">Data!B2347</f>
        <v>79</v>
      </c>
      <c r="C2347" s="0" t="str">
        <f aca="false">IF(Data!D2347="","HOLD",IF(AND(G2346&lt;&gt;"IN",Data!E2347&lt;-5),"BUY",IF(AND(G2346="IN",Data!E2347&gt;0),"SELL","HOLD")))</f>
        <v>BUY</v>
      </c>
      <c r="D2347" s="14" t="n">
        <f aca="false">IF(C2347="BUY",B2347,IF(G2346="IN",D2346,""))</f>
        <v>79</v>
      </c>
      <c r="E2347" s="14" t="str">
        <f aca="false">IF(C2347="SELL",B2347,"")</f>
        <v/>
      </c>
      <c r="F2347" s="14" t="str">
        <f aca="false">IF(E2347="","",(E2347-D2347)/D2347*100)</f>
        <v/>
      </c>
      <c r="G2347" s="0" t="str">
        <f aca="false">IF(C2347="BUY","IN",IF(C2347="SELL","OUT",IF(G2346="IN","IN","OUT")))</f>
        <v>IN</v>
      </c>
      <c r="H2347" s="14" t="n">
        <f aca="false">H2346+IF(F2347="",0,F2347)</f>
        <v>21.1462459605654</v>
      </c>
      <c r="I2347" s="14" t="n">
        <f aca="false">MAX(I2346,H2347)</f>
        <v>43.9309628600509</v>
      </c>
      <c r="J2347" s="14" t="n">
        <f aca="false">I2347-H2347</f>
        <v>22.7847168994854</v>
      </c>
    </row>
    <row r="2348" customFormat="false" ht="15" hidden="false" customHeight="false" outlineLevel="0" collapsed="false">
      <c r="A2348" s="12" t="n">
        <f aca="false">Data!A2348</f>
        <v>45414</v>
      </c>
      <c r="B2348" s="14" t="n">
        <f aca="false">Data!B2348</f>
        <v>78.95</v>
      </c>
      <c r="C2348" s="0" t="str">
        <f aca="false">IF(Data!D2348="","HOLD",IF(AND(G2347&lt;&gt;"IN",Data!E2348&lt;-5),"BUY",IF(AND(G2347="IN",Data!E2348&gt;0),"SELL","HOLD")))</f>
        <v>HOLD</v>
      </c>
      <c r="D2348" s="14" t="n">
        <f aca="false">IF(C2348="BUY",B2348,IF(G2347="IN",D2347,""))</f>
        <v>79</v>
      </c>
      <c r="E2348" s="14" t="str">
        <f aca="false">IF(C2348="SELL",B2348,"")</f>
        <v/>
      </c>
      <c r="F2348" s="14" t="str">
        <f aca="false">IF(E2348="","",(E2348-D2348)/D2348*100)</f>
        <v/>
      </c>
      <c r="G2348" s="0" t="str">
        <f aca="false">IF(C2348="BUY","IN",IF(C2348="SELL","OUT",IF(G2347="IN","IN","OUT")))</f>
        <v>IN</v>
      </c>
      <c r="H2348" s="14" t="n">
        <f aca="false">H2347+IF(F2348="",0,F2348)</f>
        <v>21.1462459605654</v>
      </c>
      <c r="I2348" s="14" t="n">
        <f aca="false">MAX(I2347,H2348)</f>
        <v>43.9309628600509</v>
      </c>
      <c r="J2348" s="14" t="n">
        <f aca="false">I2348-H2348</f>
        <v>22.7847168994854</v>
      </c>
    </row>
    <row r="2349" customFormat="false" ht="15" hidden="false" customHeight="false" outlineLevel="0" collapsed="false">
      <c r="A2349" s="12" t="n">
        <f aca="false">Data!A2349</f>
        <v>45415</v>
      </c>
      <c r="B2349" s="14" t="n">
        <f aca="false">Data!B2349</f>
        <v>78.11</v>
      </c>
      <c r="C2349" s="0" t="str">
        <f aca="false">IF(Data!D2349="","HOLD",IF(AND(G2348&lt;&gt;"IN",Data!E2349&lt;-5),"BUY",IF(AND(G2348="IN",Data!E2349&gt;0),"SELL","HOLD")))</f>
        <v>HOLD</v>
      </c>
      <c r="D2349" s="14" t="n">
        <f aca="false">IF(C2349="BUY",B2349,IF(G2348="IN",D2348,""))</f>
        <v>79</v>
      </c>
      <c r="E2349" s="14" t="str">
        <f aca="false">IF(C2349="SELL",B2349,"")</f>
        <v/>
      </c>
      <c r="F2349" s="14" t="str">
        <f aca="false">IF(E2349="","",(E2349-D2349)/D2349*100)</f>
        <v/>
      </c>
      <c r="G2349" s="0" t="str">
        <f aca="false">IF(C2349="BUY","IN",IF(C2349="SELL","OUT",IF(G2348="IN","IN","OUT")))</f>
        <v>IN</v>
      </c>
      <c r="H2349" s="14" t="n">
        <f aca="false">H2348+IF(F2349="",0,F2349)</f>
        <v>21.1462459605654</v>
      </c>
      <c r="I2349" s="14" t="n">
        <f aca="false">MAX(I2348,H2349)</f>
        <v>43.9309628600509</v>
      </c>
      <c r="J2349" s="14" t="n">
        <f aca="false">I2349-H2349</f>
        <v>22.7847168994854</v>
      </c>
    </row>
    <row r="2350" customFormat="false" ht="15" hidden="false" customHeight="false" outlineLevel="0" collapsed="false">
      <c r="A2350" s="12" t="n">
        <f aca="false">Data!A2350</f>
        <v>45418</v>
      </c>
      <c r="B2350" s="14" t="n">
        <f aca="false">Data!B2350</f>
        <v>78.48</v>
      </c>
      <c r="C2350" s="0" t="str">
        <f aca="false">IF(Data!D2350="","HOLD",IF(AND(G2349&lt;&gt;"IN",Data!E2350&lt;-5),"BUY",IF(AND(G2349="IN",Data!E2350&gt;0),"SELL","HOLD")))</f>
        <v>HOLD</v>
      </c>
      <c r="D2350" s="14" t="n">
        <f aca="false">IF(C2350="BUY",B2350,IF(G2349="IN",D2349,""))</f>
        <v>79</v>
      </c>
      <c r="E2350" s="14" t="str">
        <f aca="false">IF(C2350="SELL",B2350,"")</f>
        <v/>
      </c>
      <c r="F2350" s="14" t="str">
        <f aca="false">IF(E2350="","",(E2350-D2350)/D2350*100)</f>
        <v/>
      </c>
      <c r="G2350" s="0" t="str">
        <f aca="false">IF(C2350="BUY","IN",IF(C2350="SELL","OUT",IF(G2349="IN","IN","OUT")))</f>
        <v>IN</v>
      </c>
      <c r="H2350" s="14" t="n">
        <f aca="false">H2349+IF(F2350="",0,F2350)</f>
        <v>21.1462459605654</v>
      </c>
      <c r="I2350" s="14" t="n">
        <f aca="false">MAX(I2349,H2350)</f>
        <v>43.9309628600509</v>
      </c>
      <c r="J2350" s="14" t="n">
        <f aca="false">I2350-H2350</f>
        <v>22.7847168994854</v>
      </c>
    </row>
    <row r="2351" customFormat="false" ht="15" hidden="false" customHeight="false" outlineLevel="0" collapsed="false">
      <c r="A2351" s="12" t="n">
        <f aca="false">Data!A2351</f>
        <v>45419</v>
      </c>
      <c r="B2351" s="14" t="n">
        <f aca="false">Data!B2351</f>
        <v>78.38</v>
      </c>
      <c r="C2351" s="0" t="str">
        <f aca="false">IF(Data!D2351="","HOLD",IF(AND(G2350&lt;&gt;"IN",Data!E2351&lt;-5),"BUY",IF(AND(G2350="IN",Data!E2351&gt;0),"SELL","HOLD")))</f>
        <v>HOLD</v>
      </c>
      <c r="D2351" s="14" t="n">
        <f aca="false">IF(C2351="BUY",B2351,IF(G2350="IN",D2350,""))</f>
        <v>79</v>
      </c>
      <c r="E2351" s="14" t="str">
        <f aca="false">IF(C2351="SELL",B2351,"")</f>
        <v/>
      </c>
      <c r="F2351" s="14" t="str">
        <f aca="false">IF(E2351="","",(E2351-D2351)/D2351*100)</f>
        <v/>
      </c>
      <c r="G2351" s="0" t="str">
        <f aca="false">IF(C2351="BUY","IN",IF(C2351="SELL","OUT",IF(G2350="IN","IN","OUT")))</f>
        <v>IN</v>
      </c>
      <c r="H2351" s="14" t="n">
        <f aca="false">H2350+IF(F2351="",0,F2351)</f>
        <v>21.1462459605654</v>
      </c>
      <c r="I2351" s="14" t="n">
        <f aca="false">MAX(I2350,H2351)</f>
        <v>43.9309628600509</v>
      </c>
      <c r="J2351" s="14" t="n">
        <f aca="false">I2351-H2351</f>
        <v>22.7847168994854</v>
      </c>
    </row>
    <row r="2352" customFormat="false" ht="15" hidden="false" customHeight="false" outlineLevel="0" collapsed="false">
      <c r="A2352" s="12" t="n">
        <f aca="false">Data!A2352</f>
        <v>45420</v>
      </c>
      <c r="B2352" s="14" t="n">
        <f aca="false">Data!B2352</f>
        <v>78.99</v>
      </c>
      <c r="C2352" s="0" t="str">
        <f aca="false">IF(Data!D2352="","HOLD",IF(AND(G2351&lt;&gt;"IN",Data!E2352&lt;-5),"BUY",IF(AND(G2351="IN",Data!E2352&gt;0),"SELL","HOLD")))</f>
        <v>HOLD</v>
      </c>
      <c r="D2352" s="14" t="n">
        <f aca="false">IF(C2352="BUY",B2352,IF(G2351="IN",D2351,""))</f>
        <v>79</v>
      </c>
      <c r="E2352" s="14" t="str">
        <f aca="false">IF(C2352="SELL",B2352,"")</f>
        <v/>
      </c>
      <c r="F2352" s="14" t="str">
        <f aca="false">IF(E2352="","",(E2352-D2352)/D2352*100)</f>
        <v/>
      </c>
      <c r="G2352" s="0" t="str">
        <f aca="false">IF(C2352="BUY","IN",IF(C2352="SELL","OUT",IF(G2351="IN","IN","OUT")))</f>
        <v>IN</v>
      </c>
      <c r="H2352" s="14" t="n">
        <f aca="false">H2351+IF(F2352="",0,F2352)</f>
        <v>21.1462459605654</v>
      </c>
      <c r="I2352" s="14" t="n">
        <f aca="false">MAX(I2351,H2352)</f>
        <v>43.9309628600509</v>
      </c>
      <c r="J2352" s="14" t="n">
        <f aca="false">I2352-H2352</f>
        <v>22.7847168994854</v>
      </c>
    </row>
    <row r="2353" customFormat="false" ht="15" hidden="false" customHeight="false" outlineLevel="0" collapsed="false">
      <c r="A2353" s="12" t="n">
        <f aca="false">Data!A2353</f>
        <v>45421</v>
      </c>
      <c r="B2353" s="14" t="n">
        <f aca="false">Data!B2353</f>
        <v>79.26</v>
      </c>
      <c r="C2353" s="0" t="str">
        <f aca="false">IF(Data!D2353="","HOLD",IF(AND(G2352&lt;&gt;"IN",Data!E2353&lt;-5),"BUY",IF(AND(G2352="IN",Data!E2353&gt;0),"SELL","HOLD")))</f>
        <v>HOLD</v>
      </c>
      <c r="D2353" s="14" t="n">
        <f aca="false">IF(C2353="BUY",B2353,IF(G2352="IN",D2352,""))</f>
        <v>79</v>
      </c>
      <c r="E2353" s="14" t="str">
        <f aca="false">IF(C2353="SELL",B2353,"")</f>
        <v/>
      </c>
      <c r="F2353" s="14" t="str">
        <f aca="false">IF(E2353="","",(E2353-D2353)/D2353*100)</f>
        <v/>
      </c>
      <c r="G2353" s="0" t="str">
        <f aca="false">IF(C2353="BUY","IN",IF(C2353="SELL","OUT",IF(G2352="IN","IN","OUT")))</f>
        <v>IN</v>
      </c>
      <c r="H2353" s="14" t="n">
        <f aca="false">H2352+IF(F2353="",0,F2353)</f>
        <v>21.1462459605654</v>
      </c>
      <c r="I2353" s="14" t="n">
        <f aca="false">MAX(I2352,H2353)</f>
        <v>43.9309628600509</v>
      </c>
      <c r="J2353" s="14" t="n">
        <f aca="false">I2353-H2353</f>
        <v>22.7847168994854</v>
      </c>
    </row>
    <row r="2354" customFormat="false" ht="15" hidden="false" customHeight="false" outlineLevel="0" collapsed="false">
      <c r="A2354" s="12" t="n">
        <f aca="false">Data!A2354</f>
        <v>45422</v>
      </c>
      <c r="B2354" s="14" t="n">
        <f aca="false">Data!B2354</f>
        <v>78.26</v>
      </c>
      <c r="C2354" s="0" t="str">
        <f aca="false">IF(Data!D2354="","HOLD",IF(AND(G2353&lt;&gt;"IN",Data!E2354&lt;-5),"BUY",IF(AND(G2353="IN",Data!E2354&gt;0),"SELL","HOLD")))</f>
        <v>HOLD</v>
      </c>
      <c r="D2354" s="14" t="n">
        <f aca="false">IF(C2354="BUY",B2354,IF(G2353="IN",D2353,""))</f>
        <v>79</v>
      </c>
      <c r="E2354" s="14" t="str">
        <f aca="false">IF(C2354="SELL",B2354,"")</f>
        <v/>
      </c>
      <c r="F2354" s="14" t="str">
        <f aca="false">IF(E2354="","",(E2354-D2354)/D2354*100)</f>
        <v/>
      </c>
      <c r="G2354" s="0" t="str">
        <f aca="false">IF(C2354="BUY","IN",IF(C2354="SELL","OUT",IF(G2353="IN","IN","OUT")))</f>
        <v>IN</v>
      </c>
      <c r="H2354" s="14" t="n">
        <f aca="false">H2353+IF(F2354="",0,F2354)</f>
        <v>21.1462459605654</v>
      </c>
      <c r="I2354" s="14" t="n">
        <f aca="false">MAX(I2353,H2354)</f>
        <v>43.9309628600509</v>
      </c>
      <c r="J2354" s="14" t="n">
        <f aca="false">I2354-H2354</f>
        <v>22.7847168994854</v>
      </c>
    </row>
    <row r="2355" customFormat="false" ht="15" hidden="false" customHeight="false" outlineLevel="0" collapsed="false">
      <c r="A2355" s="12" t="n">
        <f aca="false">Data!A2355</f>
        <v>45425</v>
      </c>
      <c r="B2355" s="14" t="n">
        <f aca="false">Data!B2355</f>
        <v>79.12</v>
      </c>
      <c r="C2355" s="0" t="str">
        <f aca="false">IF(Data!D2355="","HOLD",IF(AND(G2354&lt;&gt;"IN",Data!E2355&lt;-5),"BUY",IF(AND(G2354="IN",Data!E2355&gt;0),"SELL","HOLD")))</f>
        <v>HOLD</v>
      </c>
      <c r="D2355" s="14" t="n">
        <f aca="false">IF(C2355="BUY",B2355,IF(G2354="IN",D2354,""))</f>
        <v>79</v>
      </c>
      <c r="E2355" s="14" t="str">
        <f aca="false">IF(C2355="SELL",B2355,"")</f>
        <v/>
      </c>
      <c r="F2355" s="14" t="str">
        <f aca="false">IF(E2355="","",(E2355-D2355)/D2355*100)</f>
        <v/>
      </c>
      <c r="G2355" s="0" t="str">
        <f aca="false">IF(C2355="BUY","IN",IF(C2355="SELL","OUT",IF(G2354="IN","IN","OUT")))</f>
        <v>IN</v>
      </c>
      <c r="H2355" s="14" t="n">
        <f aca="false">H2354+IF(F2355="",0,F2355)</f>
        <v>21.1462459605654</v>
      </c>
      <c r="I2355" s="14" t="n">
        <f aca="false">MAX(I2354,H2355)</f>
        <v>43.9309628600509</v>
      </c>
      <c r="J2355" s="14" t="n">
        <f aca="false">I2355-H2355</f>
        <v>22.7847168994854</v>
      </c>
    </row>
    <row r="2356" customFormat="false" ht="15" hidden="false" customHeight="false" outlineLevel="0" collapsed="false">
      <c r="A2356" s="12" t="n">
        <f aca="false">Data!A2356</f>
        <v>45426</v>
      </c>
      <c r="B2356" s="14" t="n">
        <f aca="false">Data!B2356</f>
        <v>78.02</v>
      </c>
      <c r="C2356" s="0" t="str">
        <f aca="false">IF(Data!D2356="","HOLD",IF(AND(G2355&lt;&gt;"IN",Data!E2356&lt;-5),"BUY",IF(AND(G2355="IN",Data!E2356&gt;0),"SELL","HOLD")))</f>
        <v>HOLD</v>
      </c>
      <c r="D2356" s="14" t="n">
        <f aca="false">IF(C2356="BUY",B2356,IF(G2355="IN",D2355,""))</f>
        <v>79</v>
      </c>
      <c r="E2356" s="14" t="str">
        <f aca="false">IF(C2356="SELL",B2356,"")</f>
        <v/>
      </c>
      <c r="F2356" s="14" t="str">
        <f aca="false">IF(E2356="","",(E2356-D2356)/D2356*100)</f>
        <v/>
      </c>
      <c r="G2356" s="0" t="str">
        <f aca="false">IF(C2356="BUY","IN",IF(C2356="SELL","OUT",IF(G2355="IN","IN","OUT")))</f>
        <v>IN</v>
      </c>
      <c r="H2356" s="14" t="n">
        <f aca="false">H2355+IF(F2356="",0,F2356)</f>
        <v>21.1462459605654</v>
      </c>
      <c r="I2356" s="14" t="n">
        <f aca="false">MAX(I2355,H2356)</f>
        <v>43.9309628600509</v>
      </c>
      <c r="J2356" s="14" t="n">
        <f aca="false">I2356-H2356</f>
        <v>22.7847168994854</v>
      </c>
    </row>
    <row r="2357" customFormat="false" ht="15" hidden="false" customHeight="false" outlineLevel="0" collapsed="false">
      <c r="A2357" s="12" t="n">
        <f aca="false">Data!A2357</f>
        <v>45427</v>
      </c>
      <c r="B2357" s="14" t="n">
        <f aca="false">Data!B2357</f>
        <v>78.63</v>
      </c>
      <c r="C2357" s="0" t="str">
        <f aca="false">IF(Data!D2357="","HOLD",IF(AND(G2356&lt;&gt;"IN",Data!E2357&lt;-5),"BUY",IF(AND(G2356="IN",Data!E2357&gt;0),"SELL","HOLD")))</f>
        <v>HOLD</v>
      </c>
      <c r="D2357" s="14" t="n">
        <f aca="false">IF(C2357="BUY",B2357,IF(G2356="IN",D2356,""))</f>
        <v>79</v>
      </c>
      <c r="E2357" s="14" t="str">
        <f aca="false">IF(C2357="SELL",B2357,"")</f>
        <v/>
      </c>
      <c r="F2357" s="14" t="str">
        <f aca="false">IF(E2357="","",(E2357-D2357)/D2357*100)</f>
        <v/>
      </c>
      <c r="G2357" s="0" t="str">
        <f aca="false">IF(C2357="BUY","IN",IF(C2357="SELL","OUT",IF(G2356="IN","IN","OUT")))</f>
        <v>IN</v>
      </c>
      <c r="H2357" s="14" t="n">
        <f aca="false">H2356+IF(F2357="",0,F2357)</f>
        <v>21.1462459605654</v>
      </c>
      <c r="I2357" s="14" t="n">
        <f aca="false">MAX(I2356,H2357)</f>
        <v>43.9309628600509</v>
      </c>
      <c r="J2357" s="14" t="n">
        <f aca="false">I2357-H2357</f>
        <v>22.7847168994854</v>
      </c>
    </row>
    <row r="2358" customFormat="false" ht="15" hidden="false" customHeight="false" outlineLevel="0" collapsed="false">
      <c r="A2358" s="12" t="n">
        <f aca="false">Data!A2358</f>
        <v>45428</v>
      </c>
      <c r="B2358" s="14" t="n">
        <f aca="false">Data!B2358</f>
        <v>79.23</v>
      </c>
      <c r="C2358" s="0" t="str">
        <f aca="false">IF(Data!D2358="","HOLD",IF(AND(G2357&lt;&gt;"IN",Data!E2358&lt;-5),"BUY",IF(AND(G2357="IN",Data!E2358&gt;0),"SELL","HOLD")))</f>
        <v>HOLD</v>
      </c>
      <c r="D2358" s="14" t="n">
        <f aca="false">IF(C2358="BUY",B2358,IF(G2357="IN",D2357,""))</f>
        <v>79</v>
      </c>
      <c r="E2358" s="14" t="str">
        <f aca="false">IF(C2358="SELL",B2358,"")</f>
        <v/>
      </c>
      <c r="F2358" s="14" t="str">
        <f aca="false">IF(E2358="","",(E2358-D2358)/D2358*100)</f>
        <v/>
      </c>
      <c r="G2358" s="0" t="str">
        <f aca="false">IF(C2358="BUY","IN",IF(C2358="SELL","OUT",IF(G2357="IN","IN","OUT")))</f>
        <v>IN</v>
      </c>
      <c r="H2358" s="14" t="n">
        <f aca="false">H2357+IF(F2358="",0,F2358)</f>
        <v>21.1462459605654</v>
      </c>
      <c r="I2358" s="14" t="n">
        <f aca="false">MAX(I2357,H2358)</f>
        <v>43.9309628600509</v>
      </c>
      <c r="J2358" s="14" t="n">
        <f aca="false">I2358-H2358</f>
        <v>22.7847168994854</v>
      </c>
    </row>
    <row r="2359" customFormat="false" ht="15" hidden="false" customHeight="false" outlineLevel="0" collapsed="false">
      <c r="A2359" s="12" t="n">
        <f aca="false">Data!A2359</f>
        <v>45429</v>
      </c>
      <c r="B2359" s="14" t="n">
        <f aca="false">Data!B2359</f>
        <v>80.06</v>
      </c>
      <c r="C2359" s="0" t="str">
        <f aca="false">IF(Data!D2359="","HOLD",IF(AND(G2358&lt;&gt;"IN",Data!E2359&lt;-5),"BUY",IF(AND(G2358="IN",Data!E2359&gt;0),"SELL","HOLD")))</f>
        <v>HOLD</v>
      </c>
      <c r="D2359" s="14" t="n">
        <f aca="false">IF(C2359="BUY",B2359,IF(G2358="IN",D2358,""))</f>
        <v>79</v>
      </c>
      <c r="E2359" s="14" t="str">
        <f aca="false">IF(C2359="SELL",B2359,"")</f>
        <v/>
      </c>
      <c r="F2359" s="14" t="str">
        <f aca="false">IF(E2359="","",(E2359-D2359)/D2359*100)</f>
        <v/>
      </c>
      <c r="G2359" s="0" t="str">
        <f aca="false">IF(C2359="BUY","IN",IF(C2359="SELL","OUT",IF(G2358="IN","IN","OUT")))</f>
        <v>IN</v>
      </c>
      <c r="H2359" s="14" t="n">
        <f aca="false">H2358+IF(F2359="",0,F2359)</f>
        <v>21.1462459605654</v>
      </c>
      <c r="I2359" s="14" t="n">
        <f aca="false">MAX(I2358,H2359)</f>
        <v>43.9309628600509</v>
      </c>
      <c r="J2359" s="14" t="n">
        <f aca="false">I2359-H2359</f>
        <v>22.7847168994854</v>
      </c>
    </row>
    <row r="2360" customFormat="false" ht="15" hidden="false" customHeight="false" outlineLevel="0" collapsed="false">
      <c r="A2360" s="12" t="n">
        <f aca="false">Data!A2360</f>
        <v>45432</v>
      </c>
      <c r="B2360" s="14" t="n">
        <f aca="false">Data!B2360</f>
        <v>79.8</v>
      </c>
      <c r="C2360" s="0" t="str">
        <f aca="false">IF(Data!D2360="","HOLD",IF(AND(G2359&lt;&gt;"IN",Data!E2360&lt;-5),"BUY",IF(AND(G2359="IN",Data!E2360&gt;0),"SELL","HOLD")))</f>
        <v>HOLD</v>
      </c>
      <c r="D2360" s="14" t="n">
        <f aca="false">IF(C2360="BUY",B2360,IF(G2359="IN",D2359,""))</f>
        <v>79</v>
      </c>
      <c r="E2360" s="14" t="str">
        <f aca="false">IF(C2360="SELL",B2360,"")</f>
        <v/>
      </c>
      <c r="F2360" s="14" t="str">
        <f aca="false">IF(E2360="","",(E2360-D2360)/D2360*100)</f>
        <v/>
      </c>
      <c r="G2360" s="0" t="str">
        <f aca="false">IF(C2360="BUY","IN",IF(C2360="SELL","OUT",IF(G2359="IN","IN","OUT")))</f>
        <v>IN</v>
      </c>
      <c r="H2360" s="14" t="n">
        <f aca="false">H2359+IF(F2360="",0,F2360)</f>
        <v>21.1462459605654</v>
      </c>
      <c r="I2360" s="14" t="n">
        <f aca="false">MAX(I2359,H2360)</f>
        <v>43.9309628600509</v>
      </c>
      <c r="J2360" s="14" t="n">
        <f aca="false">I2360-H2360</f>
        <v>22.7847168994854</v>
      </c>
    </row>
    <row r="2361" customFormat="false" ht="15" hidden="false" customHeight="false" outlineLevel="0" collapsed="false">
      <c r="A2361" s="12" t="n">
        <f aca="false">Data!A2361</f>
        <v>45433</v>
      </c>
      <c r="B2361" s="14" t="n">
        <f aca="false">Data!B2361</f>
        <v>79.26</v>
      </c>
      <c r="C2361" s="0" t="str">
        <f aca="false">IF(Data!D2361="","HOLD",IF(AND(G2360&lt;&gt;"IN",Data!E2361&lt;-5),"BUY",IF(AND(G2360="IN",Data!E2361&gt;0),"SELL","HOLD")))</f>
        <v>HOLD</v>
      </c>
      <c r="D2361" s="14" t="n">
        <f aca="false">IF(C2361="BUY",B2361,IF(G2360="IN",D2360,""))</f>
        <v>79</v>
      </c>
      <c r="E2361" s="14" t="str">
        <f aca="false">IF(C2361="SELL",B2361,"")</f>
        <v/>
      </c>
      <c r="F2361" s="14" t="str">
        <f aca="false">IF(E2361="","",(E2361-D2361)/D2361*100)</f>
        <v/>
      </c>
      <c r="G2361" s="0" t="str">
        <f aca="false">IF(C2361="BUY","IN",IF(C2361="SELL","OUT",IF(G2360="IN","IN","OUT")))</f>
        <v>IN</v>
      </c>
      <c r="H2361" s="14" t="n">
        <f aca="false">H2360+IF(F2361="",0,F2361)</f>
        <v>21.1462459605654</v>
      </c>
      <c r="I2361" s="14" t="n">
        <f aca="false">MAX(I2360,H2361)</f>
        <v>43.9309628600509</v>
      </c>
      <c r="J2361" s="14" t="n">
        <f aca="false">I2361-H2361</f>
        <v>22.7847168994854</v>
      </c>
    </row>
    <row r="2362" customFormat="false" ht="15" hidden="false" customHeight="false" outlineLevel="0" collapsed="false">
      <c r="A2362" s="12" t="n">
        <f aca="false">Data!A2362</f>
        <v>45434</v>
      </c>
      <c r="B2362" s="14" t="n">
        <f aca="false">Data!B2362</f>
        <v>77.57</v>
      </c>
      <c r="C2362" s="0" t="str">
        <f aca="false">IF(Data!D2362="","HOLD",IF(AND(G2361&lt;&gt;"IN",Data!E2362&lt;-5),"BUY",IF(AND(G2361="IN",Data!E2362&gt;0),"SELL","HOLD")))</f>
        <v>HOLD</v>
      </c>
      <c r="D2362" s="14" t="n">
        <f aca="false">IF(C2362="BUY",B2362,IF(G2361="IN",D2361,""))</f>
        <v>79</v>
      </c>
      <c r="E2362" s="14" t="str">
        <f aca="false">IF(C2362="SELL",B2362,"")</f>
        <v/>
      </c>
      <c r="F2362" s="14" t="str">
        <f aca="false">IF(E2362="","",(E2362-D2362)/D2362*100)</f>
        <v/>
      </c>
      <c r="G2362" s="0" t="str">
        <f aca="false">IF(C2362="BUY","IN",IF(C2362="SELL","OUT",IF(G2361="IN","IN","OUT")))</f>
        <v>IN</v>
      </c>
      <c r="H2362" s="14" t="n">
        <f aca="false">H2361+IF(F2362="",0,F2362)</f>
        <v>21.1462459605654</v>
      </c>
      <c r="I2362" s="14" t="n">
        <f aca="false">MAX(I2361,H2362)</f>
        <v>43.9309628600509</v>
      </c>
      <c r="J2362" s="14" t="n">
        <f aca="false">I2362-H2362</f>
        <v>22.7847168994854</v>
      </c>
    </row>
    <row r="2363" customFormat="false" ht="15" hidden="false" customHeight="false" outlineLevel="0" collapsed="false">
      <c r="A2363" s="12" t="n">
        <f aca="false">Data!A2363</f>
        <v>45435</v>
      </c>
      <c r="B2363" s="14" t="n">
        <f aca="false">Data!B2363</f>
        <v>76.87</v>
      </c>
      <c r="C2363" s="0" t="str">
        <f aca="false">IF(Data!D2363="","HOLD",IF(AND(G2362&lt;&gt;"IN",Data!E2363&lt;-5),"BUY",IF(AND(G2362="IN",Data!E2363&gt;0),"SELL","HOLD")))</f>
        <v>HOLD</v>
      </c>
      <c r="D2363" s="14" t="n">
        <f aca="false">IF(C2363="BUY",B2363,IF(G2362="IN",D2362,""))</f>
        <v>79</v>
      </c>
      <c r="E2363" s="14" t="str">
        <f aca="false">IF(C2363="SELL",B2363,"")</f>
        <v/>
      </c>
      <c r="F2363" s="14" t="str">
        <f aca="false">IF(E2363="","",(E2363-D2363)/D2363*100)</f>
        <v/>
      </c>
      <c r="G2363" s="0" t="str">
        <f aca="false">IF(C2363="BUY","IN",IF(C2363="SELL","OUT",IF(G2362="IN","IN","OUT")))</f>
        <v>IN</v>
      </c>
      <c r="H2363" s="14" t="n">
        <f aca="false">H2362+IF(F2363="",0,F2363)</f>
        <v>21.1462459605654</v>
      </c>
      <c r="I2363" s="14" t="n">
        <f aca="false">MAX(I2362,H2363)</f>
        <v>43.9309628600509</v>
      </c>
      <c r="J2363" s="14" t="n">
        <f aca="false">I2363-H2363</f>
        <v>22.7847168994854</v>
      </c>
    </row>
    <row r="2364" customFormat="false" ht="15" hidden="false" customHeight="false" outlineLevel="0" collapsed="false">
      <c r="A2364" s="12" t="n">
        <f aca="false">Data!A2364</f>
        <v>45436</v>
      </c>
      <c r="B2364" s="14" t="n">
        <f aca="false">Data!B2364</f>
        <v>77.72</v>
      </c>
      <c r="C2364" s="0" t="str">
        <f aca="false">IF(Data!D2364="","HOLD",IF(AND(G2363&lt;&gt;"IN",Data!E2364&lt;-5),"BUY",IF(AND(G2363="IN",Data!E2364&gt;0),"SELL","HOLD")))</f>
        <v>HOLD</v>
      </c>
      <c r="D2364" s="14" t="n">
        <f aca="false">IF(C2364="BUY",B2364,IF(G2363="IN",D2363,""))</f>
        <v>79</v>
      </c>
      <c r="E2364" s="14" t="str">
        <f aca="false">IF(C2364="SELL",B2364,"")</f>
        <v/>
      </c>
      <c r="F2364" s="14" t="str">
        <f aca="false">IF(E2364="","",(E2364-D2364)/D2364*100)</f>
        <v/>
      </c>
      <c r="G2364" s="0" t="str">
        <f aca="false">IF(C2364="BUY","IN",IF(C2364="SELL","OUT",IF(G2363="IN","IN","OUT")))</f>
        <v>IN</v>
      </c>
      <c r="H2364" s="14" t="n">
        <f aca="false">H2363+IF(F2364="",0,F2364)</f>
        <v>21.1462459605654</v>
      </c>
      <c r="I2364" s="14" t="n">
        <f aca="false">MAX(I2363,H2364)</f>
        <v>43.9309628600509</v>
      </c>
      <c r="J2364" s="14" t="n">
        <f aca="false">I2364-H2364</f>
        <v>22.7847168994854</v>
      </c>
    </row>
    <row r="2365" customFormat="false" ht="15" hidden="false" customHeight="false" outlineLevel="0" collapsed="false">
      <c r="A2365" s="12" t="n">
        <f aca="false">Data!A2365</f>
        <v>45440</v>
      </c>
      <c r="B2365" s="14" t="n">
        <f aca="false">Data!B2365</f>
        <v>79.83</v>
      </c>
      <c r="C2365" s="0" t="str">
        <f aca="false">IF(Data!D2365="","HOLD",IF(AND(G2364&lt;&gt;"IN",Data!E2365&lt;-5),"BUY",IF(AND(G2364="IN",Data!E2365&gt;0),"SELL","HOLD")))</f>
        <v>SELL</v>
      </c>
      <c r="D2365" s="14" t="n">
        <f aca="false">IF(C2365="BUY",B2365,IF(G2364="IN",D2364,""))</f>
        <v>79</v>
      </c>
      <c r="E2365" s="14" t="n">
        <f aca="false">IF(C2365="SELL",B2365,"")</f>
        <v>79.83</v>
      </c>
      <c r="F2365" s="14" t="n">
        <f aca="false">IF(E2365="","",(E2365-D2365)/D2365*100)</f>
        <v>1.0506329113924</v>
      </c>
      <c r="G2365" s="0" t="str">
        <f aca="false">IF(C2365="BUY","IN",IF(C2365="SELL","OUT",IF(G2364="IN","IN","OUT")))</f>
        <v>OUT</v>
      </c>
      <c r="H2365" s="14" t="n">
        <f aca="false">H2364+IF(F2365="",0,F2365)</f>
        <v>22.1968788719578</v>
      </c>
      <c r="I2365" s="14" t="n">
        <f aca="false">MAX(I2364,H2365)</f>
        <v>43.9309628600509</v>
      </c>
      <c r="J2365" s="14" t="n">
        <f aca="false">I2365-H2365</f>
        <v>21.734083988093</v>
      </c>
    </row>
    <row r="2366" customFormat="false" ht="15" hidden="false" customHeight="false" outlineLevel="0" collapsed="false">
      <c r="A2366" s="12" t="n">
        <f aca="false">Data!A2366</f>
        <v>45441</v>
      </c>
      <c r="B2366" s="14" t="n">
        <f aca="false">Data!B2366</f>
        <v>79.23</v>
      </c>
      <c r="C2366" s="0" t="str">
        <f aca="false">IF(Data!D2366="","HOLD",IF(AND(G2365&lt;&gt;"IN",Data!E2366&lt;-5),"BUY",IF(AND(G2365="IN",Data!E2366&gt;0),"SELL","HOLD")))</f>
        <v>HOLD</v>
      </c>
      <c r="D2366" s="14" t="str">
        <f aca="false">IF(C2366="BUY",B2366,IF(G2365="IN",D2365,""))</f>
        <v/>
      </c>
      <c r="E2366" s="14" t="str">
        <f aca="false">IF(C2366="SELL",B2366,"")</f>
        <v/>
      </c>
      <c r="F2366" s="14" t="str">
        <f aca="false">IF(E2366="","",(E2366-D2366)/D2366*100)</f>
        <v/>
      </c>
      <c r="G2366" s="0" t="str">
        <f aca="false">IF(C2366="BUY","IN",IF(C2366="SELL","OUT",IF(G2365="IN","IN","OUT")))</f>
        <v>OUT</v>
      </c>
      <c r="H2366" s="14" t="n">
        <f aca="false">H2365+IF(F2366="",0,F2366)</f>
        <v>22.1968788719578</v>
      </c>
      <c r="I2366" s="14" t="n">
        <f aca="false">MAX(I2365,H2366)</f>
        <v>43.9309628600509</v>
      </c>
      <c r="J2366" s="14" t="n">
        <f aca="false">I2366-H2366</f>
        <v>21.734083988093</v>
      </c>
    </row>
    <row r="2367" customFormat="false" ht="15" hidden="false" customHeight="false" outlineLevel="0" collapsed="false">
      <c r="A2367" s="12" t="n">
        <f aca="false">Data!A2367</f>
        <v>45442</v>
      </c>
      <c r="B2367" s="14" t="n">
        <f aca="false">Data!B2367</f>
        <v>77.91</v>
      </c>
      <c r="C2367" s="0" t="str">
        <f aca="false">IF(Data!D2367="","HOLD",IF(AND(G2366&lt;&gt;"IN",Data!E2367&lt;-5),"BUY",IF(AND(G2366="IN",Data!E2367&gt;0),"SELL","HOLD")))</f>
        <v>HOLD</v>
      </c>
      <c r="D2367" s="14" t="str">
        <f aca="false">IF(C2367="BUY",B2367,IF(G2366="IN",D2366,""))</f>
        <v/>
      </c>
      <c r="E2367" s="14" t="str">
        <f aca="false">IF(C2367="SELL",B2367,"")</f>
        <v/>
      </c>
      <c r="F2367" s="14" t="str">
        <f aca="false">IF(E2367="","",(E2367-D2367)/D2367*100)</f>
        <v/>
      </c>
      <c r="G2367" s="0" t="str">
        <f aca="false">IF(C2367="BUY","IN",IF(C2367="SELL","OUT",IF(G2366="IN","IN","OUT")))</f>
        <v>OUT</v>
      </c>
      <c r="H2367" s="14" t="n">
        <f aca="false">H2366+IF(F2367="",0,F2367)</f>
        <v>22.1968788719578</v>
      </c>
      <c r="I2367" s="14" t="n">
        <f aca="false">MAX(I2366,H2367)</f>
        <v>43.9309628600509</v>
      </c>
      <c r="J2367" s="14" t="n">
        <f aca="false">I2367-H2367</f>
        <v>21.734083988093</v>
      </c>
    </row>
    <row r="2368" customFormat="false" ht="15" hidden="false" customHeight="false" outlineLevel="0" collapsed="false">
      <c r="A2368" s="12" t="n">
        <f aca="false">Data!A2368</f>
        <v>45443</v>
      </c>
      <c r="B2368" s="14" t="n">
        <f aca="false">Data!B2368</f>
        <v>76.99</v>
      </c>
      <c r="C2368" s="0" t="str">
        <f aca="false">IF(Data!D2368="","HOLD",IF(AND(G2367&lt;&gt;"IN",Data!E2368&lt;-5),"BUY",IF(AND(G2367="IN",Data!E2368&gt;0),"SELL","HOLD")))</f>
        <v>HOLD</v>
      </c>
      <c r="D2368" s="14" t="str">
        <f aca="false">IF(C2368="BUY",B2368,IF(G2367="IN",D2367,""))</f>
        <v/>
      </c>
      <c r="E2368" s="14" t="str">
        <f aca="false">IF(C2368="SELL",B2368,"")</f>
        <v/>
      </c>
      <c r="F2368" s="14" t="str">
        <f aca="false">IF(E2368="","",(E2368-D2368)/D2368*100)</f>
        <v/>
      </c>
      <c r="G2368" s="0" t="str">
        <f aca="false">IF(C2368="BUY","IN",IF(C2368="SELL","OUT",IF(G2367="IN","IN","OUT")))</f>
        <v>OUT</v>
      </c>
      <c r="H2368" s="14" t="n">
        <f aca="false">H2367+IF(F2368="",0,F2368)</f>
        <v>22.1968788719578</v>
      </c>
      <c r="I2368" s="14" t="n">
        <f aca="false">MAX(I2367,H2368)</f>
        <v>43.9309628600509</v>
      </c>
      <c r="J2368" s="14" t="n">
        <f aca="false">I2368-H2368</f>
        <v>21.734083988093</v>
      </c>
    </row>
    <row r="2369" customFormat="false" ht="15" hidden="false" customHeight="false" outlineLevel="0" collapsed="false">
      <c r="A2369" s="12" t="n">
        <f aca="false">Data!A2369</f>
        <v>45446</v>
      </c>
      <c r="B2369" s="14" t="n">
        <f aca="false">Data!B2369</f>
        <v>74.22</v>
      </c>
      <c r="C2369" s="0" t="str">
        <f aca="false">IF(Data!D2369="","HOLD",IF(AND(G2368&lt;&gt;"IN",Data!E2369&lt;-5),"BUY",IF(AND(G2368="IN",Data!E2369&gt;0),"SELL","HOLD")))</f>
        <v>BUY</v>
      </c>
      <c r="D2369" s="14" t="n">
        <f aca="false">IF(C2369="BUY",B2369,IF(G2368="IN",D2368,""))</f>
        <v>74.22</v>
      </c>
      <c r="E2369" s="14" t="str">
        <f aca="false">IF(C2369="SELL",B2369,"")</f>
        <v/>
      </c>
      <c r="F2369" s="14" t="str">
        <f aca="false">IF(E2369="","",(E2369-D2369)/D2369*100)</f>
        <v/>
      </c>
      <c r="G2369" s="0" t="str">
        <f aca="false">IF(C2369="BUY","IN",IF(C2369="SELL","OUT",IF(G2368="IN","IN","OUT")))</f>
        <v>IN</v>
      </c>
      <c r="H2369" s="14" t="n">
        <f aca="false">H2368+IF(F2369="",0,F2369)</f>
        <v>22.1968788719578</v>
      </c>
      <c r="I2369" s="14" t="n">
        <f aca="false">MAX(I2368,H2369)</f>
        <v>43.9309628600509</v>
      </c>
      <c r="J2369" s="14" t="n">
        <f aca="false">I2369-H2369</f>
        <v>21.734083988093</v>
      </c>
    </row>
    <row r="2370" customFormat="false" ht="15" hidden="false" customHeight="false" outlineLevel="0" collapsed="false">
      <c r="A2370" s="12" t="n">
        <f aca="false">Data!A2370</f>
        <v>45447</v>
      </c>
      <c r="B2370" s="14" t="n">
        <f aca="false">Data!B2370</f>
        <v>73.25</v>
      </c>
      <c r="C2370" s="0" t="str">
        <f aca="false">IF(Data!D2370="","HOLD",IF(AND(G2369&lt;&gt;"IN",Data!E2370&lt;-5),"BUY",IF(AND(G2369="IN",Data!E2370&gt;0),"SELL","HOLD")))</f>
        <v>HOLD</v>
      </c>
      <c r="D2370" s="14" t="n">
        <f aca="false">IF(C2370="BUY",B2370,IF(G2369="IN",D2369,""))</f>
        <v>74.22</v>
      </c>
      <c r="E2370" s="14" t="str">
        <f aca="false">IF(C2370="SELL",B2370,"")</f>
        <v/>
      </c>
      <c r="F2370" s="14" t="str">
        <f aca="false">IF(E2370="","",(E2370-D2370)/D2370*100)</f>
        <v/>
      </c>
      <c r="G2370" s="0" t="str">
        <f aca="false">IF(C2370="BUY","IN",IF(C2370="SELL","OUT",IF(G2369="IN","IN","OUT")))</f>
        <v>IN</v>
      </c>
      <c r="H2370" s="14" t="n">
        <f aca="false">H2369+IF(F2370="",0,F2370)</f>
        <v>22.1968788719578</v>
      </c>
      <c r="I2370" s="14" t="n">
        <f aca="false">MAX(I2369,H2370)</f>
        <v>43.9309628600509</v>
      </c>
      <c r="J2370" s="14" t="n">
        <f aca="false">I2370-H2370</f>
        <v>21.734083988093</v>
      </c>
    </row>
    <row r="2371" customFormat="false" ht="15" hidden="false" customHeight="false" outlineLevel="0" collapsed="false">
      <c r="A2371" s="12" t="n">
        <f aca="false">Data!A2371</f>
        <v>45448</v>
      </c>
      <c r="B2371" s="14" t="n">
        <f aca="false">Data!B2371</f>
        <v>74.07</v>
      </c>
      <c r="C2371" s="0" t="str">
        <f aca="false">IF(Data!D2371="","HOLD",IF(AND(G2370&lt;&gt;"IN",Data!E2371&lt;-5),"BUY",IF(AND(G2370="IN",Data!E2371&gt;0),"SELL","HOLD")))</f>
        <v>HOLD</v>
      </c>
      <c r="D2371" s="14" t="n">
        <f aca="false">IF(C2371="BUY",B2371,IF(G2370="IN",D2370,""))</f>
        <v>74.22</v>
      </c>
      <c r="E2371" s="14" t="str">
        <f aca="false">IF(C2371="SELL",B2371,"")</f>
        <v/>
      </c>
      <c r="F2371" s="14" t="str">
        <f aca="false">IF(E2371="","",(E2371-D2371)/D2371*100)</f>
        <v/>
      </c>
      <c r="G2371" s="0" t="str">
        <f aca="false">IF(C2371="BUY","IN",IF(C2371="SELL","OUT",IF(G2370="IN","IN","OUT")))</f>
        <v>IN</v>
      </c>
      <c r="H2371" s="14" t="n">
        <f aca="false">H2370+IF(F2371="",0,F2371)</f>
        <v>22.1968788719578</v>
      </c>
      <c r="I2371" s="14" t="n">
        <f aca="false">MAX(I2370,H2371)</f>
        <v>43.9309628600509</v>
      </c>
      <c r="J2371" s="14" t="n">
        <f aca="false">I2371-H2371</f>
        <v>21.734083988093</v>
      </c>
    </row>
    <row r="2372" customFormat="false" ht="15" hidden="false" customHeight="false" outlineLevel="0" collapsed="false">
      <c r="A2372" s="12" t="n">
        <f aca="false">Data!A2372</f>
        <v>45449</v>
      </c>
      <c r="B2372" s="14" t="n">
        <f aca="false">Data!B2372</f>
        <v>75.55</v>
      </c>
      <c r="C2372" s="0" t="str">
        <f aca="false">IF(Data!D2372="","HOLD",IF(AND(G2371&lt;&gt;"IN",Data!E2372&lt;-5),"BUY",IF(AND(G2371="IN",Data!E2372&gt;0),"SELL","HOLD")))</f>
        <v>HOLD</v>
      </c>
      <c r="D2372" s="14" t="n">
        <f aca="false">IF(C2372="BUY",B2372,IF(G2371="IN",D2371,""))</f>
        <v>74.22</v>
      </c>
      <c r="E2372" s="14" t="str">
        <f aca="false">IF(C2372="SELL",B2372,"")</f>
        <v/>
      </c>
      <c r="F2372" s="14" t="str">
        <f aca="false">IF(E2372="","",(E2372-D2372)/D2372*100)</f>
        <v/>
      </c>
      <c r="G2372" s="0" t="str">
        <f aca="false">IF(C2372="BUY","IN",IF(C2372="SELL","OUT",IF(G2371="IN","IN","OUT")))</f>
        <v>IN</v>
      </c>
      <c r="H2372" s="14" t="n">
        <f aca="false">H2371+IF(F2372="",0,F2372)</f>
        <v>22.1968788719578</v>
      </c>
      <c r="I2372" s="14" t="n">
        <f aca="false">MAX(I2371,H2372)</f>
        <v>43.9309628600509</v>
      </c>
      <c r="J2372" s="14" t="n">
        <f aca="false">I2372-H2372</f>
        <v>21.734083988093</v>
      </c>
    </row>
    <row r="2373" customFormat="false" ht="15" hidden="false" customHeight="false" outlineLevel="0" collapsed="false">
      <c r="A2373" s="12" t="n">
        <f aca="false">Data!A2373</f>
        <v>45450</v>
      </c>
      <c r="B2373" s="14" t="n">
        <f aca="false">Data!B2373</f>
        <v>75.53</v>
      </c>
      <c r="C2373" s="0" t="str">
        <f aca="false">IF(Data!D2373="","HOLD",IF(AND(G2372&lt;&gt;"IN",Data!E2373&lt;-5),"BUY",IF(AND(G2372="IN",Data!E2373&gt;0),"SELL","HOLD")))</f>
        <v>HOLD</v>
      </c>
      <c r="D2373" s="14" t="n">
        <f aca="false">IF(C2373="BUY",B2373,IF(G2372="IN",D2372,""))</f>
        <v>74.22</v>
      </c>
      <c r="E2373" s="14" t="str">
        <f aca="false">IF(C2373="SELL",B2373,"")</f>
        <v/>
      </c>
      <c r="F2373" s="14" t="str">
        <f aca="false">IF(E2373="","",(E2373-D2373)/D2373*100)</f>
        <v/>
      </c>
      <c r="G2373" s="0" t="str">
        <f aca="false">IF(C2373="BUY","IN",IF(C2373="SELL","OUT",IF(G2372="IN","IN","OUT")))</f>
        <v>IN</v>
      </c>
      <c r="H2373" s="14" t="n">
        <f aca="false">H2372+IF(F2373="",0,F2373)</f>
        <v>22.1968788719578</v>
      </c>
      <c r="I2373" s="14" t="n">
        <f aca="false">MAX(I2372,H2373)</f>
        <v>43.9309628600509</v>
      </c>
      <c r="J2373" s="14" t="n">
        <f aca="false">I2373-H2373</f>
        <v>21.734083988093</v>
      </c>
    </row>
    <row r="2374" customFormat="false" ht="15" hidden="false" customHeight="false" outlineLevel="0" collapsed="false">
      <c r="A2374" s="12" t="n">
        <f aca="false">Data!A2374</f>
        <v>45453</v>
      </c>
      <c r="B2374" s="14" t="n">
        <f aca="false">Data!B2374</f>
        <v>77.74</v>
      </c>
      <c r="C2374" s="0" t="str">
        <f aca="false">IF(Data!D2374="","HOLD",IF(AND(G2373&lt;&gt;"IN",Data!E2374&lt;-5),"BUY",IF(AND(G2373="IN",Data!E2374&gt;0),"SELL","HOLD")))</f>
        <v>SELL</v>
      </c>
      <c r="D2374" s="14" t="n">
        <f aca="false">IF(C2374="BUY",B2374,IF(G2373="IN",D2373,""))</f>
        <v>74.22</v>
      </c>
      <c r="E2374" s="14" t="n">
        <f aca="false">IF(C2374="SELL",B2374,"")</f>
        <v>77.74</v>
      </c>
      <c r="F2374" s="14" t="n">
        <f aca="false">IF(E2374="","",(E2374-D2374)/D2374*100)</f>
        <v>4.74265696577741</v>
      </c>
      <c r="G2374" s="0" t="str">
        <f aca="false">IF(C2374="BUY","IN",IF(C2374="SELL","OUT",IF(G2373="IN","IN","OUT")))</f>
        <v>OUT</v>
      </c>
      <c r="H2374" s="14" t="n">
        <f aca="false">H2373+IF(F2374="",0,F2374)</f>
        <v>26.9395358377352</v>
      </c>
      <c r="I2374" s="14" t="n">
        <f aca="false">MAX(I2373,H2374)</f>
        <v>43.9309628600509</v>
      </c>
      <c r="J2374" s="14" t="n">
        <f aca="false">I2374-H2374</f>
        <v>16.9914270223156</v>
      </c>
    </row>
    <row r="2375" customFormat="false" ht="15" hidden="false" customHeight="false" outlineLevel="0" collapsed="false">
      <c r="A2375" s="12" t="n">
        <f aca="false">Data!A2375</f>
        <v>45454</v>
      </c>
      <c r="B2375" s="14" t="n">
        <f aca="false">Data!B2375</f>
        <v>77.9</v>
      </c>
      <c r="C2375" s="0" t="str">
        <f aca="false">IF(Data!D2375="","HOLD",IF(AND(G2374&lt;&gt;"IN",Data!E2375&lt;-5),"BUY",IF(AND(G2374="IN",Data!E2375&gt;0),"SELL","HOLD")))</f>
        <v>HOLD</v>
      </c>
      <c r="D2375" s="14" t="str">
        <f aca="false">IF(C2375="BUY",B2375,IF(G2374="IN",D2374,""))</f>
        <v/>
      </c>
      <c r="E2375" s="14" t="str">
        <f aca="false">IF(C2375="SELL",B2375,"")</f>
        <v/>
      </c>
      <c r="F2375" s="14" t="str">
        <f aca="false">IF(E2375="","",(E2375-D2375)/D2375*100)</f>
        <v/>
      </c>
      <c r="G2375" s="0" t="str">
        <f aca="false">IF(C2375="BUY","IN",IF(C2375="SELL","OUT",IF(G2374="IN","IN","OUT")))</f>
        <v>OUT</v>
      </c>
      <c r="H2375" s="14" t="n">
        <f aca="false">H2374+IF(F2375="",0,F2375)</f>
        <v>26.9395358377352</v>
      </c>
      <c r="I2375" s="14" t="n">
        <f aca="false">MAX(I2374,H2375)</f>
        <v>43.9309628600509</v>
      </c>
      <c r="J2375" s="14" t="n">
        <f aca="false">I2375-H2375</f>
        <v>16.9914270223156</v>
      </c>
    </row>
    <row r="2376" customFormat="false" ht="15" hidden="false" customHeight="false" outlineLevel="0" collapsed="false">
      <c r="A2376" s="12" t="n">
        <f aca="false">Data!A2376</f>
        <v>45455</v>
      </c>
      <c r="B2376" s="14" t="n">
        <f aca="false">Data!B2376</f>
        <v>78.5</v>
      </c>
      <c r="C2376" s="0" t="str">
        <f aca="false">IF(Data!D2376="","HOLD",IF(AND(G2375&lt;&gt;"IN",Data!E2376&lt;-5),"BUY",IF(AND(G2375="IN",Data!E2376&gt;0),"SELL","HOLD")))</f>
        <v>HOLD</v>
      </c>
      <c r="D2376" s="14" t="str">
        <f aca="false">IF(C2376="BUY",B2376,IF(G2375="IN",D2375,""))</f>
        <v/>
      </c>
      <c r="E2376" s="14" t="str">
        <f aca="false">IF(C2376="SELL",B2376,"")</f>
        <v/>
      </c>
      <c r="F2376" s="14" t="str">
        <f aca="false">IF(E2376="","",(E2376-D2376)/D2376*100)</f>
        <v/>
      </c>
      <c r="G2376" s="0" t="str">
        <f aca="false">IF(C2376="BUY","IN",IF(C2376="SELL","OUT",IF(G2375="IN","IN","OUT")))</f>
        <v>OUT</v>
      </c>
      <c r="H2376" s="14" t="n">
        <f aca="false">H2375+IF(F2376="",0,F2376)</f>
        <v>26.9395358377352</v>
      </c>
      <c r="I2376" s="14" t="n">
        <f aca="false">MAX(I2375,H2376)</f>
        <v>43.9309628600509</v>
      </c>
      <c r="J2376" s="14" t="n">
        <f aca="false">I2376-H2376</f>
        <v>16.9914270223156</v>
      </c>
    </row>
    <row r="2377" customFormat="false" ht="15" hidden="false" customHeight="false" outlineLevel="0" collapsed="false">
      <c r="A2377" s="12" t="n">
        <f aca="false">Data!A2377</f>
        <v>45456</v>
      </c>
      <c r="B2377" s="14" t="n">
        <f aca="false">Data!B2377</f>
        <v>78.62</v>
      </c>
      <c r="C2377" s="0" t="str">
        <f aca="false">IF(Data!D2377="","HOLD",IF(AND(G2376&lt;&gt;"IN",Data!E2377&lt;-5),"BUY",IF(AND(G2376="IN",Data!E2377&gt;0),"SELL","HOLD")))</f>
        <v>HOLD</v>
      </c>
      <c r="D2377" s="14" t="str">
        <f aca="false">IF(C2377="BUY",B2377,IF(G2376="IN",D2376,""))</f>
        <v/>
      </c>
      <c r="E2377" s="14" t="str">
        <f aca="false">IF(C2377="SELL",B2377,"")</f>
        <v/>
      </c>
      <c r="F2377" s="14" t="str">
        <f aca="false">IF(E2377="","",(E2377-D2377)/D2377*100)</f>
        <v/>
      </c>
      <c r="G2377" s="0" t="str">
        <f aca="false">IF(C2377="BUY","IN",IF(C2377="SELL","OUT",IF(G2376="IN","IN","OUT")))</f>
        <v>OUT</v>
      </c>
      <c r="H2377" s="14" t="n">
        <f aca="false">H2376+IF(F2377="",0,F2377)</f>
        <v>26.9395358377352</v>
      </c>
      <c r="I2377" s="14" t="n">
        <f aca="false">MAX(I2376,H2377)</f>
        <v>43.9309628600509</v>
      </c>
      <c r="J2377" s="14" t="n">
        <f aca="false">I2377-H2377</f>
        <v>16.9914270223156</v>
      </c>
    </row>
    <row r="2378" customFormat="false" ht="15" hidden="false" customHeight="false" outlineLevel="0" collapsed="false">
      <c r="A2378" s="12" t="n">
        <f aca="false">Data!A2378</f>
        <v>45457</v>
      </c>
      <c r="B2378" s="14" t="n">
        <f aca="false">Data!B2378</f>
        <v>78.45</v>
      </c>
      <c r="C2378" s="0" t="str">
        <f aca="false">IF(Data!D2378="","HOLD",IF(AND(G2377&lt;&gt;"IN",Data!E2378&lt;-5),"BUY",IF(AND(G2377="IN",Data!E2378&gt;0),"SELL","HOLD")))</f>
        <v>HOLD</v>
      </c>
      <c r="D2378" s="14" t="str">
        <f aca="false">IF(C2378="BUY",B2378,IF(G2377="IN",D2377,""))</f>
        <v/>
      </c>
      <c r="E2378" s="14" t="str">
        <f aca="false">IF(C2378="SELL",B2378,"")</f>
        <v/>
      </c>
      <c r="F2378" s="14" t="str">
        <f aca="false">IF(E2378="","",(E2378-D2378)/D2378*100)</f>
        <v/>
      </c>
      <c r="G2378" s="0" t="str">
        <f aca="false">IF(C2378="BUY","IN",IF(C2378="SELL","OUT",IF(G2377="IN","IN","OUT")))</f>
        <v>OUT</v>
      </c>
      <c r="H2378" s="14" t="n">
        <f aca="false">H2377+IF(F2378="",0,F2378)</f>
        <v>26.9395358377352</v>
      </c>
      <c r="I2378" s="14" t="n">
        <f aca="false">MAX(I2377,H2378)</f>
        <v>43.9309628600509</v>
      </c>
      <c r="J2378" s="14" t="n">
        <f aca="false">I2378-H2378</f>
        <v>16.9914270223156</v>
      </c>
    </row>
    <row r="2379" customFormat="false" ht="15" hidden="false" customHeight="false" outlineLevel="0" collapsed="false">
      <c r="A2379" s="12" t="n">
        <f aca="false">Data!A2379</f>
        <v>45460</v>
      </c>
      <c r="B2379" s="14" t="n">
        <f aca="false">Data!B2379</f>
        <v>80.33</v>
      </c>
      <c r="C2379" s="0" t="str">
        <f aca="false">IF(Data!D2379="","HOLD",IF(AND(G2378&lt;&gt;"IN",Data!E2379&lt;-5),"BUY",IF(AND(G2378="IN",Data!E2379&gt;0),"SELL","HOLD")))</f>
        <v>HOLD</v>
      </c>
      <c r="D2379" s="14" t="str">
        <f aca="false">IF(C2379="BUY",B2379,IF(G2378="IN",D2378,""))</f>
        <v/>
      </c>
      <c r="E2379" s="14" t="str">
        <f aca="false">IF(C2379="SELL",B2379,"")</f>
        <v/>
      </c>
      <c r="F2379" s="14" t="str">
        <f aca="false">IF(E2379="","",(E2379-D2379)/D2379*100)</f>
        <v/>
      </c>
      <c r="G2379" s="0" t="str">
        <f aca="false">IF(C2379="BUY","IN",IF(C2379="SELL","OUT",IF(G2378="IN","IN","OUT")))</f>
        <v>OUT</v>
      </c>
      <c r="H2379" s="14" t="n">
        <f aca="false">H2378+IF(F2379="",0,F2379)</f>
        <v>26.9395358377352</v>
      </c>
      <c r="I2379" s="14" t="n">
        <f aca="false">MAX(I2378,H2379)</f>
        <v>43.9309628600509</v>
      </c>
      <c r="J2379" s="14" t="n">
        <f aca="false">I2379-H2379</f>
        <v>16.9914270223156</v>
      </c>
    </row>
    <row r="2380" customFormat="false" ht="15" hidden="false" customHeight="false" outlineLevel="0" collapsed="false">
      <c r="A2380" s="12" t="n">
        <f aca="false">Data!A2380</f>
        <v>45461</v>
      </c>
      <c r="B2380" s="14" t="n">
        <f aca="false">Data!B2380</f>
        <v>81.57</v>
      </c>
      <c r="C2380" s="0" t="str">
        <f aca="false">IF(Data!D2380="","HOLD",IF(AND(G2379&lt;&gt;"IN",Data!E2380&lt;-5),"BUY",IF(AND(G2379="IN",Data!E2380&gt;0),"SELL","HOLD")))</f>
        <v>HOLD</v>
      </c>
      <c r="D2380" s="14" t="str">
        <f aca="false">IF(C2380="BUY",B2380,IF(G2379="IN",D2379,""))</f>
        <v/>
      </c>
      <c r="E2380" s="14" t="str">
        <f aca="false">IF(C2380="SELL",B2380,"")</f>
        <v/>
      </c>
      <c r="F2380" s="14" t="str">
        <f aca="false">IF(E2380="","",(E2380-D2380)/D2380*100)</f>
        <v/>
      </c>
      <c r="G2380" s="0" t="str">
        <f aca="false">IF(C2380="BUY","IN",IF(C2380="SELL","OUT",IF(G2379="IN","IN","OUT")))</f>
        <v>OUT</v>
      </c>
      <c r="H2380" s="14" t="n">
        <f aca="false">H2379+IF(F2380="",0,F2380)</f>
        <v>26.9395358377352</v>
      </c>
      <c r="I2380" s="14" t="n">
        <f aca="false">MAX(I2379,H2380)</f>
        <v>43.9309628600509</v>
      </c>
      <c r="J2380" s="14" t="n">
        <f aca="false">I2380-H2380</f>
        <v>16.9914270223156</v>
      </c>
    </row>
    <row r="2381" customFormat="false" ht="15" hidden="false" customHeight="false" outlineLevel="0" collapsed="false">
      <c r="A2381" s="12" t="n">
        <f aca="false">Data!A2381</f>
        <v>45463</v>
      </c>
      <c r="B2381" s="14" t="n">
        <f aca="false">Data!B2381</f>
        <v>82.17</v>
      </c>
      <c r="C2381" s="0" t="str">
        <f aca="false">IF(Data!D2381="","HOLD",IF(AND(G2380&lt;&gt;"IN",Data!E2381&lt;-5),"BUY",IF(AND(G2380="IN",Data!E2381&gt;0),"SELL","HOLD")))</f>
        <v>HOLD</v>
      </c>
      <c r="D2381" s="14" t="str">
        <f aca="false">IF(C2381="BUY",B2381,IF(G2380="IN",D2380,""))</f>
        <v/>
      </c>
      <c r="E2381" s="14" t="str">
        <f aca="false">IF(C2381="SELL",B2381,"")</f>
        <v/>
      </c>
      <c r="F2381" s="14" t="str">
        <f aca="false">IF(E2381="","",(E2381-D2381)/D2381*100)</f>
        <v/>
      </c>
      <c r="G2381" s="0" t="str">
        <f aca="false">IF(C2381="BUY","IN",IF(C2381="SELL","OUT",IF(G2380="IN","IN","OUT")))</f>
        <v>OUT</v>
      </c>
      <c r="H2381" s="14" t="n">
        <f aca="false">H2380+IF(F2381="",0,F2381)</f>
        <v>26.9395358377352</v>
      </c>
      <c r="I2381" s="14" t="n">
        <f aca="false">MAX(I2380,H2381)</f>
        <v>43.9309628600509</v>
      </c>
      <c r="J2381" s="14" t="n">
        <f aca="false">I2381-H2381</f>
        <v>16.9914270223156</v>
      </c>
    </row>
    <row r="2382" customFormat="false" ht="15" hidden="false" customHeight="false" outlineLevel="0" collapsed="false">
      <c r="A2382" s="12" t="n">
        <f aca="false">Data!A2382</f>
        <v>45464</v>
      </c>
      <c r="B2382" s="14" t="n">
        <f aca="false">Data!B2382</f>
        <v>80.73</v>
      </c>
      <c r="C2382" s="0" t="str">
        <f aca="false">IF(Data!D2382="","HOLD",IF(AND(G2381&lt;&gt;"IN",Data!E2382&lt;-5),"BUY",IF(AND(G2381="IN",Data!E2382&gt;0),"SELL","HOLD")))</f>
        <v>HOLD</v>
      </c>
      <c r="D2382" s="14" t="str">
        <f aca="false">IF(C2382="BUY",B2382,IF(G2381="IN",D2381,""))</f>
        <v/>
      </c>
      <c r="E2382" s="14" t="str">
        <f aca="false">IF(C2382="SELL",B2382,"")</f>
        <v/>
      </c>
      <c r="F2382" s="14" t="str">
        <f aca="false">IF(E2382="","",(E2382-D2382)/D2382*100)</f>
        <v/>
      </c>
      <c r="G2382" s="0" t="str">
        <f aca="false">IF(C2382="BUY","IN",IF(C2382="SELL","OUT",IF(G2381="IN","IN","OUT")))</f>
        <v>OUT</v>
      </c>
      <c r="H2382" s="14" t="n">
        <f aca="false">H2381+IF(F2382="",0,F2382)</f>
        <v>26.9395358377352</v>
      </c>
      <c r="I2382" s="14" t="n">
        <f aca="false">MAX(I2381,H2382)</f>
        <v>43.9309628600509</v>
      </c>
      <c r="J2382" s="14" t="n">
        <f aca="false">I2382-H2382</f>
        <v>16.9914270223156</v>
      </c>
    </row>
    <row r="2383" customFormat="false" ht="15" hidden="false" customHeight="false" outlineLevel="0" collapsed="false">
      <c r="A2383" s="12" t="n">
        <f aca="false">Data!A2383</f>
        <v>45467</v>
      </c>
      <c r="B2383" s="14" t="n">
        <f aca="false">Data!B2383</f>
        <v>81.63</v>
      </c>
      <c r="C2383" s="0" t="str">
        <f aca="false">IF(Data!D2383="","HOLD",IF(AND(G2382&lt;&gt;"IN",Data!E2383&lt;-5),"BUY",IF(AND(G2382="IN",Data!E2383&gt;0),"SELL","HOLD")))</f>
        <v>HOLD</v>
      </c>
      <c r="D2383" s="14" t="str">
        <f aca="false">IF(C2383="BUY",B2383,IF(G2382="IN",D2382,""))</f>
        <v/>
      </c>
      <c r="E2383" s="14" t="str">
        <f aca="false">IF(C2383="SELL",B2383,"")</f>
        <v/>
      </c>
      <c r="F2383" s="14" t="str">
        <f aca="false">IF(E2383="","",(E2383-D2383)/D2383*100)</f>
        <v/>
      </c>
      <c r="G2383" s="0" t="str">
        <f aca="false">IF(C2383="BUY","IN",IF(C2383="SELL","OUT",IF(G2382="IN","IN","OUT")))</f>
        <v>OUT</v>
      </c>
      <c r="H2383" s="14" t="n">
        <f aca="false">H2382+IF(F2383="",0,F2383)</f>
        <v>26.9395358377352</v>
      </c>
      <c r="I2383" s="14" t="n">
        <f aca="false">MAX(I2382,H2383)</f>
        <v>43.9309628600509</v>
      </c>
      <c r="J2383" s="14" t="n">
        <f aca="false">I2383-H2383</f>
        <v>16.9914270223156</v>
      </c>
    </row>
    <row r="2384" customFormat="false" ht="15" hidden="false" customHeight="false" outlineLevel="0" collapsed="false">
      <c r="A2384" s="12" t="n">
        <f aca="false">Data!A2384</f>
        <v>45468</v>
      </c>
      <c r="B2384" s="14" t="n">
        <f aca="false">Data!B2384</f>
        <v>80.83</v>
      </c>
      <c r="C2384" s="0" t="str">
        <f aca="false">IF(Data!D2384="","HOLD",IF(AND(G2383&lt;&gt;"IN",Data!E2384&lt;-5),"BUY",IF(AND(G2383="IN",Data!E2384&gt;0),"SELL","HOLD")))</f>
        <v>HOLD</v>
      </c>
      <c r="D2384" s="14" t="str">
        <f aca="false">IF(C2384="BUY",B2384,IF(G2383="IN",D2383,""))</f>
        <v/>
      </c>
      <c r="E2384" s="14" t="str">
        <f aca="false">IF(C2384="SELL",B2384,"")</f>
        <v/>
      </c>
      <c r="F2384" s="14" t="str">
        <f aca="false">IF(E2384="","",(E2384-D2384)/D2384*100)</f>
        <v/>
      </c>
      <c r="G2384" s="0" t="str">
        <f aca="false">IF(C2384="BUY","IN",IF(C2384="SELL","OUT",IF(G2383="IN","IN","OUT")))</f>
        <v>OUT</v>
      </c>
      <c r="H2384" s="14" t="n">
        <f aca="false">H2383+IF(F2384="",0,F2384)</f>
        <v>26.9395358377352</v>
      </c>
      <c r="I2384" s="14" t="n">
        <f aca="false">MAX(I2383,H2384)</f>
        <v>43.9309628600509</v>
      </c>
      <c r="J2384" s="14" t="n">
        <f aca="false">I2384-H2384</f>
        <v>16.9914270223156</v>
      </c>
    </row>
    <row r="2385" customFormat="false" ht="15" hidden="false" customHeight="false" outlineLevel="0" collapsed="false">
      <c r="A2385" s="12" t="n">
        <f aca="false">Data!A2385</f>
        <v>45469</v>
      </c>
      <c r="B2385" s="14" t="n">
        <f aca="false">Data!B2385</f>
        <v>80.9</v>
      </c>
      <c r="C2385" s="0" t="str">
        <f aca="false">IF(Data!D2385="","HOLD",IF(AND(G2384&lt;&gt;"IN",Data!E2385&lt;-5),"BUY",IF(AND(G2384="IN",Data!E2385&gt;0),"SELL","HOLD")))</f>
        <v>HOLD</v>
      </c>
      <c r="D2385" s="14" t="str">
        <f aca="false">IF(C2385="BUY",B2385,IF(G2384="IN",D2384,""))</f>
        <v/>
      </c>
      <c r="E2385" s="14" t="str">
        <f aca="false">IF(C2385="SELL",B2385,"")</f>
        <v/>
      </c>
      <c r="F2385" s="14" t="str">
        <f aca="false">IF(E2385="","",(E2385-D2385)/D2385*100)</f>
        <v/>
      </c>
      <c r="G2385" s="0" t="str">
        <f aca="false">IF(C2385="BUY","IN",IF(C2385="SELL","OUT",IF(G2384="IN","IN","OUT")))</f>
        <v>OUT</v>
      </c>
      <c r="H2385" s="14" t="n">
        <f aca="false">H2384+IF(F2385="",0,F2385)</f>
        <v>26.9395358377352</v>
      </c>
      <c r="I2385" s="14" t="n">
        <f aca="false">MAX(I2384,H2385)</f>
        <v>43.9309628600509</v>
      </c>
      <c r="J2385" s="14" t="n">
        <f aca="false">I2385-H2385</f>
        <v>16.9914270223156</v>
      </c>
    </row>
    <row r="2386" customFormat="false" ht="15" hidden="false" customHeight="false" outlineLevel="0" collapsed="false">
      <c r="A2386" s="12" t="n">
        <f aca="false">Data!A2386</f>
        <v>45470</v>
      </c>
      <c r="B2386" s="14" t="n">
        <f aca="false">Data!B2386</f>
        <v>81.74</v>
      </c>
      <c r="C2386" s="0" t="str">
        <f aca="false">IF(Data!D2386="","HOLD",IF(AND(G2385&lt;&gt;"IN",Data!E2386&lt;-5),"BUY",IF(AND(G2385="IN",Data!E2386&gt;0),"SELL","HOLD")))</f>
        <v>HOLD</v>
      </c>
      <c r="D2386" s="14" t="str">
        <f aca="false">IF(C2386="BUY",B2386,IF(G2385="IN",D2385,""))</f>
        <v/>
      </c>
      <c r="E2386" s="14" t="str">
        <f aca="false">IF(C2386="SELL",B2386,"")</f>
        <v/>
      </c>
      <c r="F2386" s="14" t="str">
        <f aca="false">IF(E2386="","",(E2386-D2386)/D2386*100)</f>
        <v/>
      </c>
      <c r="G2386" s="0" t="str">
        <f aca="false">IF(C2386="BUY","IN",IF(C2386="SELL","OUT",IF(G2385="IN","IN","OUT")))</f>
        <v>OUT</v>
      </c>
      <c r="H2386" s="14" t="n">
        <f aca="false">H2385+IF(F2386="",0,F2386)</f>
        <v>26.9395358377352</v>
      </c>
      <c r="I2386" s="14" t="n">
        <f aca="false">MAX(I2385,H2386)</f>
        <v>43.9309628600509</v>
      </c>
      <c r="J2386" s="14" t="n">
        <f aca="false">I2386-H2386</f>
        <v>16.9914270223156</v>
      </c>
    </row>
    <row r="2387" customFormat="false" ht="15" hidden="false" customHeight="false" outlineLevel="0" collapsed="false">
      <c r="A2387" s="12" t="n">
        <f aca="false">Data!A2387</f>
        <v>45471</v>
      </c>
      <c r="B2387" s="14" t="n">
        <f aca="false">Data!B2387</f>
        <v>81.54</v>
      </c>
      <c r="C2387" s="0" t="str">
        <f aca="false">IF(Data!D2387="","HOLD",IF(AND(G2386&lt;&gt;"IN",Data!E2387&lt;-5),"BUY",IF(AND(G2386="IN",Data!E2387&gt;0),"SELL","HOLD")))</f>
        <v>HOLD</v>
      </c>
      <c r="D2387" s="14" t="str">
        <f aca="false">IF(C2387="BUY",B2387,IF(G2386="IN",D2386,""))</f>
        <v/>
      </c>
      <c r="E2387" s="14" t="str">
        <f aca="false">IF(C2387="SELL",B2387,"")</f>
        <v/>
      </c>
      <c r="F2387" s="14" t="str">
        <f aca="false">IF(E2387="","",(E2387-D2387)/D2387*100)</f>
        <v/>
      </c>
      <c r="G2387" s="0" t="str">
        <f aca="false">IF(C2387="BUY","IN",IF(C2387="SELL","OUT",IF(G2386="IN","IN","OUT")))</f>
        <v>OUT</v>
      </c>
      <c r="H2387" s="14" t="n">
        <f aca="false">H2386+IF(F2387="",0,F2387)</f>
        <v>26.9395358377352</v>
      </c>
      <c r="I2387" s="14" t="n">
        <f aca="false">MAX(I2386,H2387)</f>
        <v>43.9309628600509</v>
      </c>
      <c r="J2387" s="14" t="n">
        <f aca="false">I2387-H2387</f>
        <v>16.9914270223156</v>
      </c>
    </row>
    <row r="2388" customFormat="false" ht="15" hidden="false" customHeight="false" outlineLevel="0" collapsed="false">
      <c r="A2388" s="12" t="n">
        <f aca="false">Data!A2388</f>
        <v>45474</v>
      </c>
      <c r="B2388" s="14" t="n">
        <f aca="false">Data!B2388</f>
        <v>83.38</v>
      </c>
      <c r="C2388" s="0" t="str">
        <f aca="false">IF(Data!D2388="","HOLD",IF(AND(G2387&lt;&gt;"IN",Data!E2388&lt;-5),"BUY",IF(AND(G2387="IN",Data!E2388&gt;0),"SELL","HOLD")))</f>
        <v>HOLD</v>
      </c>
      <c r="D2388" s="14" t="str">
        <f aca="false">IF(C2388="BUY",B2388,IF(G2387="IN",D2387,""))</f>
        <v/>
      </c>
      <c r="E2388" s="14" t="str">
        <f aca="false">IF(C2388="SELL",B2388,"")</f>
        <v/>
      </c>
      <c r="F2388" s="14" t="str">
        <f aca="false">IF(E2388="","",(E2388-D2388)/D2388*100)</f>
        <v/>
      </c>
      <c r="G2388" s="0" t="str">
        <f aca="false">IF(C2388="BUY","IN",IF(C2388="SELL","OUT",IF(G2387="IN","IN","OUT")))</f>
        <v>OUT</v>
      </c>
      <c r="H2388" s="14" t="n">
        <f aca="false">H2387+IF(F2388="",0,F2388)</f>
        <v>26.9395358377352</v>
      </c>
      <c r="I2388" s="14" t="n">
        <f aca="false">MAX(I2387,H2388)</f>
        <v>43.9309628600509</v>
      </c>
      <c r="J2388" s="14" t="n">
        <f aca="false">I2388-H2388</f>
        <v>16.9914270223156</v>
      </c>
    </row>
    <row r="2389" customFormat="false" ht="15" hidden="false" customHeight="false" outlineLevel="0" collapsed="false">
      <c r="A2389" s="12" t="n">
        <f aca="false">Data!A2389</f>
        <v>45475</v>
      </c>
      <c r="B2389" s="14" t="n">
        <f aca="false">Data!B2389</f>
        <v>82.81</v>
      </c>
      <c r="C2389" s="0" t="str">
        <f aca="false">IF(Data!D2389="","HOLD",IF(AND(G2388&lt;&gt;"IN",Data!E2389&lt;-5),"BUY",IF(AND(G2388="IN",Data!E2389&gt;0),"SELL","HOLD")))</f>
        <v>HOLD</v>
      </c>
      <c r="D2389" s="14" t="str">
        <f aca="false">IF(C2389="BUY",B2389,IF(G2388="IN",D2388,""))</f>
        <v/>
      </c>
      <c r="E2389" s="14" t="str">
        <f aca="false">IF(C2389="SELL",B2389,"")</f>
        <v/>
      </c>
      <c r="F2389" s="14" t="str">
        <f aca="false">IF(E2389="","",(E2389-D2389)/D2389*100)</f>
        <v/>
      </c>
      <c r="G2389" s="0" t="str">
        <f aca="false">IF(C2389="BUY","IN",IF(C2389="SELL","OUT",IF(G2388="IN","IN","OUT")))</f>
        <v>OUT</v>
      </c>
      <c r="H2389" s="14" t="n">
        <f aca="false">H2388+IF(F2389="",0,F2389)</f>
        <v>26.9395358377352</v>
      </c>
      <c r="I2389" s="14" t="n">
        <f aca="false">MAX(I2388,H2389)</f>
        <v>43.9309628600509</v>
      </c>
      <c r="J2389" s="14" t="n">
        <f aca="false">I2389-H2389</f>
        <v>16.9914270223156</v>
      </c>
    </row>
    <row r="2390" customFormat="false" ht="15" hidden="false" customHeight="false" outlineLevel="0" collapsed="false">
      <c r="A2390" s="12" t="n">
        <f aca="false">Data!A2390</f>
        <v>45476</v>
      </c>
      <c r="B2390" s="14" t="n">
        <f aca="false">Data!B2390</f>
        <v>83.88</v>
      </c>
      <c r="C2390" s="0" t="str">
        <f aca="false">IF(Data!D2390="","HOLD",IF(AND(G2389&lt;&gt;"IN",Data!E2390&lt;-5),"BUY",IF(AND(G2389="IN",Data!E2390&gt;0),"SELL","HOLD")))</f>
        <v>HOLD</v>
      </c>
      <c r="D2390" s="14" t="str">
        <f aca="false">IF(C2390="BUY",B2390,IF(G2389="IN",D2389,""))</f>
        <v/>
      </c>
      <c r="E2390" s="14" t="str">
        <f aca="false">IF(C2390="SELL",B2390,"")</f>
        <v/>
      </c>
      <c r="F2390" s="14" t="str">
        <f aca="false">IF(E2390="","",(E2390-D2390)/D2390*100)</f>
        <v/>
      </c>
      <c r="G2390" s="0" t="str">
        <f aca="false">IF(C2390="BUY","IN",IF(C2390="SELL","OUT",IF(G2389="IN","IN","OUT")))</f>
        <v>OUT</v>
      </c>
      <c r="H2390" s="14" t="n">
        <f aca="false">H2389+IF(F2390="",0,F2390)</f>
        <v>26.9395358377352</v>
      </c>
      <c r="I2390" s="14" t="n">
        <f aca="false">MAX(I2389,H2390)</f>
        <v>43.9309628600509</v>
      </c>
      <c r="J2390" s="14" t="n">
        <f aca="false">I2390-H2390</f>
        <v>16.9914270223156</v>
      </c>
    </row>
    <row r="2391" customFormat="false" ht="15" hidden="false" customHeight="false" outlineLevel="0" collapsed="false">
      <c r="A2391" s="12" t="n">
        <f aca="false">Data!A2391</f>
        <v>45478</v>
      </c>
      <c r="B2391" s="14" t="n">
        <f aca="false">Data!B2391</f>
        <v>83.16</v>
      </c>
      <c r="C2391" s="0" t="str">
        <f aca="false">IF(Data!D2391="","HOLD",IF(AND(G2390&lt;&gt;"IN",Data!E2391&lt;-5),"BUY",IF(AND(G2390="IN",Data!E2391&gt;0),"SELL","HOLD")))</f>
        <v>HOLD</v>
      </c>
      <c r="D2391" s="14" t="str">
        <f aca="false">IF(C2391="BUY",B2391,IF(G2390="IN",D2390,""))</f>
        <v/>
      </c>
      <c r="E2391" s="14" t="str">
        <f aca="false">IF(C2391="SELL",B2391,"")</f>
        <v/>
      </c>
      <c r="F2391" s="14" t="str">
        <f aca="false">IF(E2391="","",(E2391-D2391)/D2391*100)</f>
        <v/>
      </c>
      <c r="G2391" s="0" t="str">
        <f aca="false">IF(C2391="BUY","IN",IF(C2391="SELL","OUT",IF(G2390="IN","IN","OUT")))</f>
        <v>OUT</v>
      </c>
      <c r="H2391" s="14" t="n">
        <f aca="false">H2390+IF(F2391="",0,F2391)</f>
        <v>26.9395358377352</v>
      </c>
      <c r="I2391" s="14" t="n">
        <f aca="false">MAX(I2390,H2391)</f>
        <v>43.9309628600509</v>
      </c>
      <c r="J2391" s="14" t="n">
        <f aca="false">I2391-H2391</f>
        <v>16.9914270223156</v>
      </c>
    </row>
    <row r="2392" customFormat="false" ht="15" hidden="false" customHeight="false" outlineLevel="0" collapsed="false">
      <c r="A2392" s="12" t="n">
        <f aca="false">Data!A2392</f>
        <v>45481</v>
      </c>
      <c r="B2392" s="14" t="n">
        <f aca="false">Data!B2392</f>
        <v>82.33</v>
      </c>
      <c r="C2392" s="0" t="str">
        <f aca="false">IF(Data!D2392="","HOLD",IF(AND(G2391&lt;&gt;"IN",Data!E2392&lt;-5),"BUY",IF(AND(G2391="IN",Data!E2392&gt;0),"SELL","HOLD")))</f>
        <v>HOLD</v>
      </c>
      <c r="D2392" s="14" t="str">
        <f aca="false">IF(C2392="BUY",B2392,IF(G2391="IN",D2391,""))</f>
        <v/>
      </c>
      <c r="E2392" s="14" t="str">
        <f aca="false">IF(C2392="SELL",B2392,"")</f>
        <v/>
      </c>
      <c r="F2392" s="14" t="str">
        <f aca="false">IF(E2392="","",(E2392-D2392)/D2392*100)</f>
        <v/>
      </c>
      <c r="G2392" s="0" t="str">
        <f aca="false">IF(C2392="BUY","IN",IF(C2392="SELL","OUT",IF(G2391="IN","IN","OUT")))</f>
        <v>OUT</v>
      </c>
      <c r="H2392" s="14" t="n">
        <f aca="false">H2391+IF(F2392="",0,F2392)</f>
        <v>26.9395358377352</v>
      </c>
      <c r="I2392" s="14" t="n">
        <f aca="false">MAX(I2391,H2392)</f>
        <v>43.9309628600509</v>
      </c>
      <c r="J2392" s="14" t="n">
        <f aca="false">I2392-H2392</f>
        <v>16.9914270223156</v>
      </c>
    </row>
    <row r="2393" customFormat="false" ht="15" hidden="false" customHeight="false" outlineLevel="0" collapsed="false">
      <c r="A2393" s="12" t="n">
        <f aca="false">Data!A2393</f>
        <v>45482</v>
      </c>
      <c r="B2393" s="14" t="n">
        <f aca="false">Data!B2393</f>
        <v>81.41</v>
      </c>
      <c r="C2393" s="0" t="str">
        <f aca="false">IF(Data!D2393="","HOLD",IF(AND(G2392&lt;&gt;"IN",Data!E2393&lt;-5),"BUY",IF(AND(G2392="IN",Data!E2393&gt;0),"SELL","HOLD")))</f>
        <v>HOLD</v>
      </c>
      <c r="D2393" s="14" t="str">
        <f aca="false">IF(C2393="BUY",B2393,IF(G2392="IN",D2392,""))</f>
        <v/>
      </c>
      <c r="E2393" s="14" t="str">
        <f aca="false">IF(C2393="SELL",B2393,"")</f>
        <v/>
      </c>
      <c r="F2393" s="14" t="str">
        <f aca="false">IF(E2393="","",(E2393-D2393)/D2393*100)</f>
        <v/>
      </c>
      <c r="G2393" s="0" t="str">
        <f aca="false">IF(C2393="BUY","IN",IF(C2393="SELL","OUT",IF(G2392="IN","IN","OUT")))</f>
        <v>OUT</v>
      </c>
      <c r="H2393" s="14" t="n">
        <f aca="false">H2392+IF(F2393="",0,F2393)</f>
        <v>26.9395358377352</v>
      </c>
      <c r="I2393" s="14" t="n">
        <f aca="false">MAX(I2392,H2393)</f>
        <v>43.9309628600509</v>
      </c>
      <c r="J2393" s="14" t="n">
        <f aca="false">I2393-H2393</f>
        <v>16.9914270223156</v>
      </c>
    </row>
    <row r="2394" customFormat="false" ht="15" hidden="false" customHeight="false" outlineLevel="0" collapsed="false">
      <c r="A2394" s="12" t="n">
        <f aca="false">Data!A2394</f>
        <v>45483</v>
      </c>
      <c r="B2394" s="14" t="n">
        <f aca="false">Data!B2394</f>
        <v>82.1</v>
      </c>
      <c r="C2394" s="0" t="str">
        <f aca="false">IF(Data!D2394="","HOLD",IF(AND(G2393&lt;&gt;"IN",Data!E2394&lt;-5),"BUY",IF(AND(G2393="IN",Data!E2394&gt;0),"SELL","HOLD")))</f>
        <v>HOLD</v>
      </c>
      <c r="D2394" s="14" t="str">
        <f aca="false">IF(C2394="BUY",B2394,IF(G2393="IN",D2393,""))</f>
        <v/>
      </c>
      <c r="E2394" s="14" t="str">
        <f aca="false">IF(C2394="SELL",B2394,"")</f>
        <v/>
      </c>
      <c r="F2394" s="14" t="str">
        <f aca="false">IF(E2394="","",(E2394-D2394)/D2394*100)</f>
        <v/>
      </c>
      <c r="G2394" s="0" t="str">
        <f aca="false">IF(C2394="BUY","IN",IF(C2394="SELL","OUT",IF(G2393="IN","IN","OUT")))</f>
        <v>OUT</v>
      </c>
      <c r="H2394" s="14" t="n">
        <f aca="false">H2393+IF(F2394="",0,F2394)</f>
        <v>26.9395358377352</v>
      </c>
      <c r="I2394" s="14" t="n">
        <f aca="false">MAX(I2393,H2394)</f>
        <v>43.9309628600509</v>
      </c>
      <c r="J2394" s="14" t="n">
        <f aca="false">I2394-H2394</f>
        <v>16.9914270223156</v>
      </c>
    </row>
    <row r="2395" customFormat="false" ht="15" hidden="false" customHeight="false" outlineLevel="0" collapsed="false">
      <c r="A2395" s="12" t="n">
        <f aca="false">Data!A2395</f>
        <v>45484</v>
      </c>
      <c r="B2395" s="14" t="n">
        <f aca="false">Data!B2395</f>
        <v>82.62</v>
      </c>
      <c r="C2395" s="0" t="str">
        <f aca="false">IF(Data!D2395="","HOLD",IF(AND(G2394&lt;&gt;"IN",Data!E2395&lt;-5),"BUY",IF(AND(G2394="IN",Data!E2395&gt;0),"SELL","HOLD")))</f>
        <v>HOLD</v>
      </c>
      <c r="D2395" s="14" t="str">
        <f aca="false">IF(C2395="BUY",B2395,IF(G2394="IN",D2394,""))</f>
        <v/>
      </c>
      <c r="E2395" s="14" t="str">
        <f aca="false">IF(C2395="SELL",B2395,"")</f>
        <v/>
      </c>
      <c r="F2395" s="14" t="str">
        <f aca="false">IF(E2395="","",(E2395-D2395)/D2395*100)</f>
        <v/>
      </c>
      <c r="G2395" s="0" t="str">
        <f aca="false">IF(C2395="BUY","IN",IF(C2395="SELL","OUT",IF(G2394="IN","IN","OUT")))</f>
        <v>OUT</v>
      </c>
      <c r="H2395" s="14" t="n">
        <f aca="false">H2394+IF(F2395="",0,F2395)</f>
        <v>26.9395358377352</v>
      </c>
      <c r="I2395" s="14" t="n">
        <f aca="false">MAX(I2394,H2395)</f>
        <v>43.9309628600509</v>
      </c>
      <c r="J2395" s="14" t="n">
        <f aca="false">I2395-H2395</f>
        <v>16.9914270223156</v>
      </c>
    </row>
    <row r="2396" customFormat="false" ht="15" hidden="false" customHeight="false" outlineLevel="0" collapsed="false">
      <c r="A2396" s="12" t="n">
        <f aca="false">Data!A2396</f>
        <v>45485</v>
      </c>
      <c r="B2396" s="14" t="n">
        <f aca="false">Data!B2396</f>
        <v>82.21</v>
      </c>
      <c r="C2396" s="0" t="str">
        <f aca="false">IF(Data!D2396="","HOLD",IF(AND(G2395&lt;&gt;"IN",Data!E2396&lt;-5),"BUY",IF(AND(G2395="IN",Data!E2396&gt;0),"SELL","HOLD")))</f>
        <v>HOLD</v>
      </c>
      <c r="D2396" s="14" t="str">
        <f aca="false">IF(C2396="BUY",B2396,IF(G2395="IN",D2395,""))</f>
        <v/>
      </c>
      <c r="E2396" s="14" t="str">
        <f aca="false">IF(C2396="SELL",B2396,"")</f>
        <v/>
      </c>
      <c r="F2396" s="14" t="str">
        <f aca="false">IF(E2396="","",(E2396-D2396)/D2396*100)</f>
        <v/>
      </c>
      <c r="G2396" s="0" t="str">
        <f aca="false">IF(C2396="BUY","IN",IF(C2396="SELL","OUT",IF(G2395="IN","IN","OUT")))</f>
        <v>OUT</v>
      </c>
      <c r="H2396" s="14" t="n">
        <f aca="false">H2395+IF(F2396="",0,F2396)</f>
        <v>26.9395358377352</v>
      </c>
      <c r="I2396" s="14" t="n">
        <f aca="false">MAX(I2395,H2396)</f>
        <v>43.9309628600509</v>
      </c>
      <c r="J2396" s="14" t="n">
        <f aca="false">I2396-H2396</f>
        <v>16.9914270223156</v>
      </c>
    </row>
    <row r="2397" customFormat="false" ht="15" hidden="false" customHeight="false" outlineLevel="0" collapsed="false">
      <c r="A2397" s="12" t="n">
        <f aca="false">Data!A2397</f>
        <v>45488</v>
      </c>
      <c r="B2397" s="14" t="n">
        <f aca="false">Data!B2397</f>
        <v>81.91</v>
      </c>
      <c r="C2397" s="0" t="str">
        <f aca="false">IF(Data!D2397="","HOLD",IF(AND(G2396&lt;&gt;"IN",Data!E2397&lt;-5),"BUY",IF(AND(G2396="IN",Data!E2397&gt;0),"SELL","HOLD")))</f>
        <v>HOLD</v>
      </c>
      <c r="D2397" s="14" t="str">
        <f aca="false">IF(C2397="BUY",B2397,IF(G2396="IN",D2396,""))</f>
        <v/>
      </c>
      <c r="E2397" s="14" t="str">
        <f aca="false">IF(C2397="SELL",B2397,"")</f>
        <v/>
      </c>
      <c r="F2397" s="14" t="str">
        <f aca="false">IF(E2397="","",(E2397-D2397)/D2397*100)</f>
        <v/>
      </c>
      <c r="G2397" s="0" t="str">
        <f aca="false">IF(C2397="BUY","IN",IF(C2397="SELL","OUT",IF(G2396="IN","IN","OUT")))</f>
        <v>OUT</v>
      </c>
      <c r="H2397" s="14" t="n">
        <f aca="false">H2396+IF(F2397="",0,F2397)</f>
        <v>26.9395358377352</v>
      </c>
      <c r="I2397" s="14" t="n">
        <f aca="false">MAX(I2396,H2397)</f>
        <v>43.9309628600509</v>
      </c>
      <c r="J2397" s="14" t="n">
        <f aca="false">I2397-H2397</f>
        <v>16.9914270223156</v>
      </c>
    </row>
    <row r="2398" customFormat="false" ht="15" hidden="false" customHeight="false" outlineLevel="0" collapsed="false">
      <c r="A2398" s="12" t="n">
        <f aca="false">Data!A2398</f>
        <v>45489</v>
      </c>
      <c r="B2398" s="14" t="n">
        <f aca="false">Data!B2398</f>
        <v>80.76</v>
      </c>
      <c r="C2398" s="0" t="str">
        <f aca="false">IF(Data!D2398="","HOLD",IF(AND(G2397&lt;&gt;"IN",Data!E2398&lt;-5),"BUY",IF(AND(G2397="IN",Data!E2398&gt;0),"SELL","HOLD")))</f>
        <v>HOLD</v>
      </c>
      <c r="D2398" s="14" t="str">
        <f aca="false">IF(C2398="BUY",B2398,IF(G2397="IN",D2397,""))</f>
        <v/>
      </c>
      <c r="E2398" s="14" t="str">
        <f aca="false">IF(C2398="SELL",B2398,"")</f>
        <v/>
      </c>
      <c r="F2398" s="14" t="str">
        <f aca="false">IF(E2398="","",(E2398-D2398)/D2398*100)</f>
        <v/>
      </c>
      <c r="G2398" s="0" t="str">
        <f aca="false">IF(C2398="BUY","IN",IF(C2398="SELL","OUT",IF(G2397="IN","IN","OUT")))</f>
        <v>OUT</v>
      </c>
      <c r="H2398" s="14" t="n">
        <f aca="false">H2397+IF(F2398="",0,F2398)</f>
        <v>26.9395358377352</v>
      </c>
      <c r="I2398" s="14" t="n">
        <f aca="false">MAX(I2397,H2398)</f>
        <v>43.9309628600509</v>
      </c>
      <c r="J2398" s="14" t="n">
        <f aca="false">I2398-H2398</f>
        <v>16.9914270223156</v>
      </c>
    </row>
    <row r="2399" customFormat="false" ht="15" hidden="false" customHeight="false" outlineLevel="0" collapsed="false">
      <c r="A2399" s="12" t="n">
        <f aca="false">Data!A2399</f>
        <v>45490</v>
      </c>
      <c r="B2399" s="14" t="n">
        <f aca="false">Data!B2399</f>
        <v>82.85</v>
      </c>
      <c r="C2399" s="0" t="str">
        <f aca="false">IF(Data!D2399="","HOLD",IF(AND(G2398&lt;&gt;"IN",Data!E2399&lt;-5),"BUY",IF(AND(G2398="IN",Data!E2399&gt;0),"SELL","HOLD")))</f>
        <v>HOLD</v>
      </c>
      <c r="D2399" s="14" t="str">
        <f aca="false">IF(C2399="BUY",B2399,IF(G2398="IN",D2398,""))</f>
        <v/>
      </c>
      <c r="E2399" s="14" t="str">
        <f aca="false">IF(C2399="SELL",B2399,"")</f>
        <v/>
      </c>
      <c r="F2399" s="14" t="str">
        <f aca="false">IF(E2399="","",(E2399-D2399)/D2399*100)</f>
        <v/>
      </c>
      <c r="G2399" s="0" t="str">
        <f aca="false">IF(C2399="BUY","IN",IF(C2399="SELL","OUT",IF(G2398="IN","IN","OUT")))</f>
        <v>OUT</v>
      </c>
      <c r="H2399" s="14" t="n">
        <f aca="false">H2398+IF(F2399="",0,F2399)</f>
        <v>26.9395358377352</v>
      </c>
      <c r="I2399" s="14" t="n">
        <f aca="false">MAX(I2398,H2399)</f>
        <v>43.9309628600509</v>
      </c>
      <c r="J2399" s="14" t="n">
        <f aca="false">I2399-H2399</f>
        <v>16.9914270223156</v>
      </c>
    </row>
    <row r="2400" customFormat="false" ht="15" hidden="false" customHeight="false" outlineLevel="0" collapsed="false">
      <c r="A2400" s="12" t="n">
        <f aca="false">Data!A2400</f>
        <v>45491</v>
      </c>
      <c r="B2400" s="14" t="n">
        <f aca="false">Data!B2400</f>
        <v>82.82</v>
      </c>
      <c r="C2400" s="0" t="str">
        <f aca="false">IF(Data!D2400="","HOLD",IF(AND(G2399&lt;&gt;"IN",Data!E2400&lt;-5),"BUY",IF(AND(G2399="IN",Data!E2400&gt;0),"SELL","HOLD")))</f>
        <v>HOLD</v>
      </c>
      <c r="D2400" s="14" t="str">
        <f aca="false">IF(C2400="BUY",B2400,IF(G2399="IN",D2399,""))</f>
        <v/>
      </c>
      <c r="E2400" s="14" t="str">
        <f aca="false">IF(C2400="SELL",B2400,"")</f>
        <v/>
      </c>
      <c r="F2400" s="14" t="str">
        <f aca="false">IF(E2400="","",(E2400-D2400)/D2400*100)</f>
        <v/>
      </c>
      <c r="G2400" s="0" t="str">
        <f aca="false">IF(C2400="BUY","IN",IF(C2400="SELL","OUT",IF(G2399="IN","IN","OUT")))</f>
        <v>OUT</v>
      </c>
      <c r="H2400" s="14" t="n">
        <f aca="false">H2399+IF(F2400="",0,F2400)</f>
        <v>26.9395358377352</v>
      </c>
      <c r="I2400" s="14" t="n">
        <f aca="false">MAX(I2399,H2400)</f>
        <v>43.9309628600509</v>
      </c>
      <c r="J2400" s="14" t="n">
        <f aca="false">I2400-H2400</f>
        <v>16.9914270223156</v>
      </c>
    </row>
    <row r="2401" customFormat="false" ht="15" hidden="false" customHeight="false" outlineLevel="0" collapsed="false">
      <c r="A2401" s="12" t="n">
        <f aca="false">Data!A2401</f>
        <v>45492</v>
      </c>
      <c r="B2401" s="14" t="n">
        <f aca="false">Data!B2401</f>
        <v>80.13</v>
      </c>
      <c r="C2401" s="0" t="str">
        <f aca="false">IF(Data!D2401="","HOLD",IF(AND(G2400&lt;&gt;"IN",Data!E2401&lt;-5),"BUY",IF(AND(G2400="IN",Data!E2401&gt;0),"SELL","HOLD")))</f>
        <v>HOLD</v>
      </c>
      <c r="D2401" s="14" t="str">
        <f aca="false">IF(C2401="BUY",B2401,IF(G2400="IN",D2400,""))</f>
        <v/>
      </c>
      <c r="E2401" s="14" t="str">
        <f aca="false">IF(C2401="SELL",B2401,"")</f>
        <v/>
      </c>
      <c r="F2401" s="14" t="str">
        <f aca="false">IF(E2401="","",(E2401-D2401)/D2401*100)</f>
        <v/>
      </c>
      <c r="G2401" s="0" t="str">
        <f aca="false">IF(C2401="BUY","IN",IF(C2401="SELL","OUT",IF(G2400="IN","IN","OUT")))</f>
        <v>OUT</v>
      </c>
      <c r="H2401" s="14" t="n">
        <f aca="false">H2400+IF(F2401="",0,F2401)</f>
        <v>26.9395358377352</v>
      </c>
      <c r="I2401" s="14" t="n">
        <f aca="false">MAX(I2400,H2401)</f>
        <v>43.9309628600509</v>
      </c>
      <c r="J2401" s="14" t="n">
        <f aca="false">I2401-H2401</f>
        <v>16.9914270223156</v>
      </c>
    </row>
    <row r="2402" customFormat="false" ht="15" hidden="false" customHeight="false" outlineLevel="0" collapsed="false">
      <c r="A2402" s="12" t="n">
        <f aca="false">Data!A2402</f>
        <v>45495</v>
      </c>
      <c r="B2402" s="14" t="n">
        <f aca="false">Data!B2402</f>
        <v>79.78</v>
      </c>
      <c r="C2402" s="0" t="str">
        <f aca="false">IF(Data!D2402="","HOLD",IF(AND(G2401&lt;&gt;"IN",Data!E2402&lt;-5),"BUY",IF(AND(G2401="IN",Data!E2402&gt;0),"SELL","HOLD")))</f>
        <v>HOLD</v>
      </c>
      <c r="D2402" s="14" t="str">
        <f aca="false">IF(C2402="BUY",B2402,IF(G2401="IN",D2401,""))</f>
        <v/>
      </c>
      <c r="E2402" s="14" t="str">
        <f aca="false">IF(C2402="SELL",B2402,"")</f>
        <v/>
      </c>
      <c r="F2402" s="14" t="str">
        <f aca="false">IF(E2402="","",(E2402-D2402)/D2402*100)</f>
        <v/>
      </c>
      <c r="G2402" s="0" t="str">
        <f aca="false">IF(C2402="BUY","IN",IF(C2402="SELL","OUT",IF(G2401="IN","IN","OUT")))</f>
        <v>OUT</v>
      </c>
      <c r="H2402" s="14" t="n">
        <f aca="false">H2401+IF(F2402="",0,F2402)</f>
        <v>26.9395358377352</v>
      </c>
      <c r="I2402" s="14" t="n">
        <f aca="false">MAX(I2401,H2402)</f>
        <v>43.9309628600509</v>
      </c>
      <c r="J2402" s="14" t="n">
        <f aca="false">I2402-H2402</f>
        <v>16.9914270223156</v>
      </c>
    </row>
    <row r="2403" customFormat="false" ht="15" hidden="false" customHeight="false" outlineLevel="0" collapsed="false">
      <c r="A2403" s="12" t="n">
        <f aca="false">Data!A2403</f>
        <v>45496</v>
      </c>
      <c r="B2403" s="14" t="n">
        <f aca="false">Data!B2403</f>
        <v>76.96</v>
      </c>
      <c r="C2403" s="0" t="str">
        <f aca="false">IF(Data!D2403="","HOLD",IF(AND(G2402&lt;&gt;"IN",Data!E2403&lt;-5),"BUY",IF(AND(G2402="IN",Data!E2403&gt;0),"SELL","HOLD")))</f>
        <v>BUY</v>
      </c>
      <c r="D2403" s="14" t="n">
        <f aca="false">IF(C2403="BUY",B2403,IF(G2402="IN",D2402,""))</f>
        <v>76.96</v>
      </c>
      <c r="E2403" s="14" t="str">
        <f aca="false">IF(C2403="SELL",B2403,"")</f>
        <v/>
      </c>
      <c r="F2403" s="14" t="str">
        <f aca="false">IF(E2403="","",(E2403-D2403)/D2403*100)</f>
        <v/>
      </c>
      <c r="G2403" s="0" t="str">
        <f aca="false">IF(C2403="BUY","IN",IF(C2403="SELL","OUT",IF(G2402="IN","IN","OUT")))</f>
        <v>IN</v>
      </c>
      <c r="H2403" s="14" t="n">
        <f aca="false">H2402+IF(F2403="",0,F2403)</f>
        <v>26.9395358377352</v>
      </c>
      <c r="I2403" s="14" t="n">
        <f aca="false">MAX(I2402,H2403)</f>
        <v>43.9309628600509</v>
      </c>
      <c r="J2403" s="14" t="n">
        <f aca="false">I2403-H2403</f>
        <v>16.9914270223156</v>
      </c>
    </row>
    <row r="2404" customFormat="false" ht="15" hidden="false" customHeight="false" outlineLevel="0" collapsed="false">
      <c r="A2404" s="12" t="n">
        <f aca="false">Data!A2404</f>
        <v>45497</v>
      </c>
      <c r="B2404" s="14" t="n">
        <f aca="false">Data!B2404</f>
        <v>77.59</v>
      </c>
      <c r="C2404" s="0" t="str">
        <f aca="false">IF(Data!D2404="","HOLD",IF(AND(G2403&lt;&gt;"IN",Data!E2404&lt;-5),"BUY",IF(AND(G2403="IN",Data!E2404&gt;0),"SELL","HOLD")))</f>
        <v>HOLD</v>
      </c>
      <c r="D2404" s="14" t="n">
        <f aca="false">IF(C2404="BUY",B2404,IF(G2403="IN",D2403,""))</f>
        <v>76.96</v>
      </c>
      <c r="E2404" s="14" t="str">
        <f aca="false">IF(C2404="SELL",B2404,"")</f>
        <v/>
      </c>
      <c r="F2404" s="14" t="str">
        <f aca="false">IF(E2404="","",(E2404-D2404)/D2404*100)</f>
        <v/>
      </c>
      <c r="G2404" s="0" t="str">
        <f aca="false">IF(C2404="BUY","IN",IF(C2404="SELL","OUT",IF(G2403="IN","IN","OUT")))</f>
        <v>IN</v>
      </c>
      <c r="H2404" s="14" t="n">
        <f aca="false">H2403+IF(F2404="",0,F2404)</f>
        <v>26.9395358377352</v>
      </c>
      <c r="I2404" s="14" t="n">
        <f aca="false">MAX(I2403,H2404)</f>
        <v>43.9309628600509</v>
      </c>
      <c r="J2404" s="14" t="n">
        <f aca="false">I2404-H2404</f>
        <v>16.9914270223156</v>
      </c>
    </row>
    <row r="2405" customFormat="false" ht="15" hidden="false" customHeight="false" outlineLevel="0" collapsed="false">
      <c r="A2405" s="12" t="n">
        <f aca="false">Data!A2405</f>
        <v>45498</v>
      </c>
      <c r="B2405" s="14" t="n">
        <f aca="false">Data!B2405</f>
        <v>78.28</v>
      </c>
      <c r="C2405" s="0" t="str">
        <f aca="false">IF(Data!D2405="","HOLD",IF(AND(G2404&lt;&gt;"IN",Data!E2405&lt;-5),"BUY",IF(AND(G2404="IN",Data!E2405&gt;0),"SELL","HOLD")))</f>
        <v>HOLD</v>
      </c>
      <c r="D2405" s="14" t="n">
        <f aca="false">IF(C2405="BUY",B2405,IF(G2404="IN",D2404,""))</f>
        <v>76.96</v>
      </c>
      <c r="E2405" s="14" t="str">
        <f aca="false">IF(C2405="SELL",B2405,"")</f>
        <v/>
      </c>
      <c r="F2405" s="14" t="str">
        <f aca="false">IF(E2405="","",(E2405-D2405)/D2405*100)</f>
        <v/>
      </c>
      <c r="G2405" s="0" t="str">
        <f aca="false">IF(C2405="BUY","IN",IF(C2405="SELL","OUT",IF(G2404="IN","IN","OUT")))</f>
        <v>IN</v>
      </c>
      <c r="H2405" s="14" t="n">
        <f aca="false">H2404+IF(F2405="",0,F2405)</f>
        <v>26.9395358377352</v>
      </c>
      <c r="I2405" s="14" t="n">
        <f aca="false">MAX(I2404,H2405)</f>
        <v>43.9309628600509</v>
      </c>
      <c r="J2405" s="14" t="n">
        <f aca="false">I2405-H2405</f>
        <v>16.9914270223156</v>
      </c>
    </row>
    <row r="2406" customFormat="false" ht="15" hidden="false" customHeight="false" outlineLevel="0" collapsed="false">
      <c r="A2406" s="12" t="n">
        <f aca="false">Data!A2406</f>
        <v>45499</v>
      </c>
      <c r="B2406" s="14" t="n">
        <f aca="false">Data!B2406</f>
        <v>77.16</v>
      </c>
      <c r="C2406" s="0" t="str">
        <f aca="false">IF(Data!D2406="","HOLD",IF(AND(G2405&lt;&gt;"IN",Data!E2406&lt;-5),"BUY",IF(AND(G2405="IN",Data!E2406&gt;0),"SELL","HOLD")))</f>
        <v>HOLD</v>
      </c>
      <c r="D2406" s="14" t="n">
        <f aca="false">IF(C2406="BUY",B2406,IF(G2405="IN",D2405,""))</f>
        <v>76.96</v>
      </c>
      <c r="E2406" s="14" t="str">
        <f aca="false">IF(C2406="SELL",B2406,"")</f>
        <v/>
      </c>
      <c r="F2406" s="14" t="str">
        <f aca="false">IF(E2406="","",(E2406-D2406)/D2406*100)</f>
        <v/>
      </c>
      <c r="G2406" s="0" t="str">
        <f aca="false">IF(C2406="BUY","IN",IF(C2406="SELL","OUT",IF(G2405="IN","IN","OUT")))</f>
        <v>IN</v>
      </c>
      <c r="H2406" s="14" t="n">
        <f aca="false">H2405+IF(F2406="",0,F2406)</f>
        <v>26.9395358377352</v>
      </c>
      <c r="I2406" s="14" t="n">
        <f aca="false">MAX(I2405,H2406)</f>
        <v>43.9309628600509</v>
      </c>
      <c r="J2406" s="14" t="n">
        <f aca="false">I2406-H2406</f>
        <v>16.9914270223156</v>
      </c>
    </row>
    <row r="2407" customFormat="false" ht="15" hidden="false" customHeight="false" outlineLevel="0" collapsed="false">
      <c r="A2407" s="12" t="n">
        <f aca="false">Data!A2407</f>
        <v>45502</v>
      </c>
      <c r="B2407" s="14" t="n">
        <f aca="false">Data!B2407</f>
        <v>75.81</v>
      </c>
      <c r="C2407" s="0" t="str">
        <f aca="false">IF(Data!D2407="","HOLD",IF(AND(G2406&lt;&gt;"IN",Data!E2407&lt;-5),"BUY",IF(AND(G2406="IN",Data!E2407&gt;0),"SELL","HOLD")))</f>
        <v>HOLD</v>
      </c>
      <c r="D2407" s="14" t="n">
        <f aca="false">IF(C2407="BUY",B2407,IF(G2406="IN",D2406,""))</f>
        <v>76.96</v>
      </c>
      <c r="E2407" s="14" t="str">
        <f aca="false">IF(C2407="SELL",B2407,"")</f>
        <v/>
      </c>
      <c r="F2407" s="14" t="str">
        <f aca="false">IF(E2407="","",(E2407-D2407)/D2407*100)</f>
        <v/>
      </c>
      <c r="G2407" s="0" t="str">
        <f aca="false">IF(C2407="BUY","IN",IF(C2407="SELL","OUT",IF(G2406="IN","IN","OUT")))</f>
        <v>IN</v>
      </c>
      <c r="H2407" s="14" t="n">
        <f aca="false">H2406+IF(F2407="",0,F2407)</f>
        <v>26.9395358377352</v>
      </c>
      <c r="I2407" s="14" t="n">
        <f aca="false">MAX(I2406,H2407)</f>
        <v>43.9309628600509</v>
      </c>
      <c r="J2407" s="14" t="n">
        <f aca="false">I2407-H2407</f>
        <v>16.9914270223156</v>
      </c>
    </row>
    <row r="2408" customFormat="false" ht="15" hidden="false" customHeight="false" outlineLevel="0" collapsed="false">
      <c r="A2408" s="12" t="n">
        <f aca="false">Data!A2408</f>
        <v>45503</v>
      </c>
      <c r="B2408" s="14" t="n">
        <f aca="false">Data!B2408</f>
        <v>74.73</v>
      </c>
      <c r="C2408" s="0" t="str">
        <f aca="false">IF(Data!D2408="","HOLD",IF(AND(G2407&lt;&gt;"IN",Data!E2408&lt;-5),"BUY",IF(AND(G2407="IN",Data!E2408&gt;0),"SELL","HOLD")))</f>
        <v>HOLD</v>
      </c>
      <c r="D2408" s="14" t="n">
        <f aca="false">IF(C2408="BUY",B2408,IF(G2407="IN",D2407,""))</f>
        <v>76.96</v>
      </c>
      <c r="E2408" s="14" t="str">
        <f aca="false">IF(C2408="SELL",B2408,"")</f>
        <v/>
      </c>
      <c r="F2408" s="14" t="str">
        <f aca="false">IF(E2408="","",(E2408-D2408)/D2408*100)</f>
        <v/>
      </c>
      <c r="G2408" s="0" t="str">
        <f aca="false">IF(C2408="BUY","IN",IF(C2408="SELL","OUT",IF(G2407="IN","IN","OUT")))</f>
        <v>IN</v>
      </c>
      <c r="H2408" s="14" t="n">
        <f aca="false">H2407+IF(F2408="",0,F2408)</f>
        <v>26.9395358377352</v>
      </c>
      <c r="I2408" s="14" t="n">
        <f aca="false">MAX(I2407,H2408)</f>
        <v>43.9309628600509</v>
      </c>
      <c r="J2408" s="14" t="n">
        <f aca="false">I2408-H2408</f>
        <v>16.9914270223156</v>
      </c>
    </row>
    <row r="2409" customFormat="false" ht="15" hidden="false" customHeight="false" outlineLevel="0" collapsed="false">
      <c r="A2409" s="12" t="n">
        <f aca="false">Data!A2409</f>
        <v>45504</v>
      </c>
      <c r="B2409" s="14" t="n">
        <f aca="false">Data!B2409</f>
        <v>77.91</v>
      </c>
      <c r="C2409" s="0" t="str">
        <f aca="false">IF(Data!D2409="","HOLD",IF(AND(G2408&lt;&gt;"IN",Data!E2409&lt;-5),"BUY",IF(AND(G2408="IN",Data!E2409&gt;0),"SELL","HOLD")))</f>
        <v>HOLD</v>
      </c>
      <c r="D2409" s="14" t="n">
        <f aca="false">IF(C2409="BUY",B2409,IF(G2408="IN",D2408,""))</f>
        <v>76.96</v>
      </c>
      <c r="E2409" s="14" t="str">
        <f aca="false">IF(C2409="SELL",B2409,"")</f>
        <v/>
      </c>
      <c r="F2409" s="14" t="str">
        <f aca="false">IF(E2409="","",(E2409-D2409)/D2409*100)</f>
        <v/>
      </c>
      <c r="G2409" s="0" t="str">
        <f aca="false">IF(C2409="BUY","IN",IF(C2409="SELL","OUT",IF(G2408="IN","IN","OUT")))</f>
        <v>IN</v>
      </c>
      <c r="H2409" s="14" t="n">
        <f aca="false">H2408+IF(F2409="",0,F2409)</f>
        <v>26.9395358377352</v>
      </c>
      <c r="I2409" s="14" t="n">
        <f aca="false">MAX(I2408,H2409)</f>
        <v>43.9309628600509</v>
      </c>
      <c r="J2409" s="14" t="n">
        <f aca="false">I2409-H2409</f>
        <v>16.9914270223156</v>
      </c>
    </row>
    <row r="2410" customFormat="false" ht="15" hidden="false" customHeight="false" outlineLevel="0" collapsed="false">
      <c r="A2410" s="12" t="n">
        <f aca="false">Data!A2410</f>
        <v>45505</v>
      </c>
      <c r="B2410" s="14" t="n">
        <f aca="false">Data!B2410</f>
        <v>76.31</v>
      </c>
      <c r="C2410" s="0" t="str">
        <f aca="false">IF(Data!D2410="","HOLD",IF(AND(G2409&lt;&gt;"IN",Data!E2410&lt;-5),"BUY",IF(AND(G2409="IN",Data!E2410&gt;0),"SELL","HOLD")))</f>
        <v>HOLD</v>
      </c>
      <c r="D2410" s="14" t="n">
        <f aca="false">IF(C2410="BUY",B2410,IF(G2409="IN",D2409,""))</f>
        <v>76.96</v>
      </c>
      <c r="E2410" s="14" t="str">
        <f aca="false">IF(C2410="SELL",B2410,"")</f>
        <v/>
      </c>
      <c r="F2410" s="14" t="str">
        <f aca="false">IF(E2410="","",(E2410-D2410)/D2410*100)</f>
        <v/>
      </c>
      <c r="G2410" s="0" t="str">
        <f aca="false">IF(C2410="BUY","IN",IF(C2410="SELL","OUT",IF(G2409="IN","IN","OUT")))</f>
        <v>IN</v>
      </c>
      <c r="H2410" s="14" t="n">
        <f aca="false">H2409+IF(F2410="",0,F2410)</f>
        <v>26.9395358377352</v>
      </c>
      <c r="I2410" s="14" t="n">
        <f aca="false">MAX(I2409,H2410)</f>
        <v>43.9309628600509</v>
      </c>
      <c r="J2410" s="14" t="n">
        <f aca="false">I2410-H2410</f>
        <v>16.9914270223156</v>
      </c>
    </row>
    <row r="2411" customFormat="false" ht="15" hidden="false" customHeight="false" outlineLevel="0" collapsed="false">
      <c r="A2411" s="12" t="n">
        <f aca="false">Data!A2411</f>
        <v>45506</v>
      </c>
      <c r="B2411" s="14" t="n">
        <f aca="false">Data!B2411</f>
        <v>73.52</v>
      </c>
      <c r="C2411" s="0" t="str">
        <f aca="false">IF(Data!D2411="","HOLD",IF(AND(G2410&lt;&gt;"IN",Data!E2411&lt;-5),"BUY",IF(AND(G2410="IN",Data!E2411&gt;0),"SELL","HOLD")))</f>
        <v>HOLD</v>
      </c>
      <c r="D2411" s="14" t="n">
        <f aca="false">IF(C2411="BUY",B2411,IF(G2410="IN",D2410,""))</f>
        <v>76.96</v>
      </c>
      <c r="E2411" s="14" t="str">
        <f aca="false">IF(C2411="SELL",B2411,"")</f>
        <v/>
      </c>
      <c r="F2411" s="14" t="str">
        <f aca="false">IF(E2411="","",(E2411-D2411)/D2411*100)</f>
        <v/>
      </c>
      <c r="G2411" s="0" t="str">
        <f aca="false">IF(C2411="BUY","IN",IF(C2411="SELL","OUT",IF(G2410="IN","IN","OUT")))</f>
        <v>IN</v>
      </c>
      <c r="H2411" s="14" t="n">
        <f aca="false">H2410+IF(F2411="",0,F2411)</f>
        <v>26.9395358377352</v>
      </c>
      <c r="I2411" s="14" t="n">
        <f aca="false">MAX(I2410,H2411)</f>
        <v>43.9309628600509</v>
      </c>
      <c r="J2411" s="14" t="n">
        <f aca="false">I2411-H2411</f>
        <v>16.9914270223156</v>
      </c>
    </row>
    <row r="2412" customFormat="false" ht="15" hidden="false" customHeight="false" outlineLevel="0" collapsed="false">
      <c r="A2412" s="12" t="n">
        <f aca="false">Data!A2412</f>
        <v>45509</v>
      </c>
      <c r="B2412" s="14" t="n">
        <f aca="false">Data!B2412</f>
        <v>72.94</v>
      </c>
      <c r="C2412" s="0" t="str">
        <f aca="false">IF(Data!D2412="","HOLD",IF(AND(G2411&lt;&gt;"IN",Data!E2412&lt;-5),"BUY",IF(AND(G2411="IN",Data!E2412&gt;0),"SELL","HOLD")))</f>
        <v>HOLD</v>
      </c>
      <c r="D2412" s="14" t="n">
        <f aca="false">IF(C2412="BUY",B2412,IF(G2411="IN",D2411,""))</f>
        <v>76.96</v>
      </c>
      <c r="E2412" s="14" t="str">
        <f aca="false">IF(C2412="SELL",B2412,"")</f>
        <v/>
      </c>
      <c r="F2412" s="14" t="str">
        <f aca="false">IF(E2412="","",(E2412-D2412)/D2412*100)</f>
        <v/>
      </c>
      <c r="G2412" s="0" t="str">
        <f aca="false">IF(C2412="BUY","IN",IF(C2412="SELL","OUT",IF(G2411="IN","IN","OUT")))</f>
        <v>IN</v>
      </c>
      <c r="H2412" s="14" t="n">
        <f aca="false">H2411+IF(F2412="",0,F2412)</f>
        <v>26.9395358377352</v>
      </c>
      <c r="I2412" s="14" t="n">
        <f aca="false">MAX(I2411,H2412)</f>
        <v>43.9309628600509</v>
      </c>
      <c r="J2412" s="14" t="n">
        <f aca="false">I2412-H2412</f>
        <v>16.9914270223156</v>
      </c>
    </row>
    <row r="2413" customFormat="false" ht="15" hidden="false" customHeight="false" outlineLevel="0" collapsed="false">
      <c r="A2413" s="12" t="n">
        <f aca="false">Data!A2413</f>
        <v>45510</v>
      </c>
      <c r="B2413" s="14" t="n">
        <f aca="false">Data!B2413</f>
        <v>73.2</v>
      </c>
      <c r="C2413" s="0" t="str">
        <f aca="false">IF(Data!D2413="","HOLD",IF(AND(G2412&lt;&gt;"IN",Data!E2413&lt;-5),"BUY",IF(AND(G2412="IN",Data!E2413&gt;0),"SELL","HOLD")))</f>
        <v>HOLD</v>
      </c>
      <c r="D2413" s="14" t="n">
        <f aca="false">IF(C2413="BUY",B2413,IF(G2412="IN",D2412,""))</f>
        <v>76.96</v>
      </c>
      <c r="E2413" s="14" t="str">
        <f aca="false">IF(C2413="SELL",B2413,"")</f>
        <v/>
      </c>
      <c r="F2413" s="14" t="str">
        <f aca="false">IF(E2413="","",(E2413-D2413)/D2413*100)</f>
        <v/>
      </c>
      <c r="G2413" s="0" t="str">
        <f aca="false">IF(C2413="BUY","IN",IF(C2413="SELL","OUT",IF(G2412="IN","IN","OUT")))</f>
        <v>IN</v>
      </c>
      <c r="H2413" s="14" t="n">
        <f aca="false">H2412+IF(F2413="",0,F2413)</f>
        <v>26.9395358377352</v>
      </c>
      <c r="I2413" s="14" t="n">
        <f aca="false">MAX(I2412,H2413)</f>
        <v>43.9309628600509</v>
      </c>
      <c r="J2413" s="14" t="n">
        <f aca="false">I2413-H2413</f>
        <v>16.9914270223156</v>
      </c>
    </row>
    <row r="2414" customFormat="false" ht="15" hidden="false" customHeight="false" outlineLevel="0" collapsed="false">
      <c r="A2414" s="12" t="n">
        <f aca="false">Data!A2414</f>
        <v>45511</v>
      </c>
      <c r="B2414" s="14" t="n">
        <f aca="false">Data!B2414</f>
        <v>75.23</v>
      </c>
      <c r="C2414" s="0" t="str">
        <f aca="false">IF(Data!D2414="","HOLD",IF(AND(G2413&lt;&gt;"IN",Data!E2414&lt;-5),"BUY",IF(AND(G2413="IN",Data!E2414&gt;0),"SELL","HOLD")))</f>
        <v>HOLD</v>
      </c>
      <c r="D2414" s="14" t="n">
        <f aca="false">IF(C2414="BUY",B2414,IF(G2413="IN",D2413,""))</f>
        <v>76.96</v>
      </c>
      <c r="E2414" s="14" t="str">
        <f aca="false">IF(C2414="SELL",B2414,"")</f>
        <v/>
      </c>
      <c r="F2414" s="14" t="str">
        <f aca="false">IF(E2414="","",(E2414-D2414)/D2414*100)</f>
        <v/>
      </c>
      <c r="G2414" s="0" t="str">
        <f aca="false">IF(C2414="BUY","IN",IF(C2414="SELL","OUT",IF(G2413="IN","IN","OUT")))</f>
        <v>IN</v>
      </c>
      <c r="H2414" s="14" t="n">
        <f aca="false">H2413+IF(F2414="",0,F2414)</f>
        <v>26.9395358377352</v>
      </c>
      <c r="I2414" s="14" t="n">
        <f aca="false">MAX(I2413,H2414)</f>
        <v>43.9309628600509</v>
      </c>
      <c r="J2414" s="14" t="n">
        <f aca="false">I2414-H2414</f>
        <v>16.9914270223156</v>
      </c>
    </row>
    <row r="2415" customFormat="false" ht="15" hidden="false" customHeight="false" outlineLevel="0" collapsed="false">
      <c r="A2415" s="12" t="n">
        <f aca="false">Data!A2415</f>
        <v>45512</v>
      </c>
      <c r="B2415" s="14" t="n">
        <f aca="false">Data!B2415</f>
        <v>76.19</v>
      </c>
      <c r="C2415" s="0" t="str">
        <f aca="false">IF(Data!D2415="","HOLD",IF(AND(G2414&lt;&gt;"IN",Data!E2415&lt;-5),"BUY",IF(AND(G2414="IN",Data!E2415&gt;0),"SELL","HOLD")))</f>
        <v>HOLD</v>
      </c>
      <c r="D2415" s="14" t="n">
        <f aca="false">IF(C2415="BUY",B2415,IF(G2414="IN",D2414,""))</f>
        <v>76.96</v>
      </c>
      <c r="E2415" s="14" t="str">
        <f aca="false">IF(C2415="SELL",B2415,"")</f>
        <v/>
      </c>
      <c r="F2415" s="14" t="str">
        <f aca="false">IF(E2415="","",(E2415-D2415)/D2415*100)</f>
        <v/>
      </c>
      <c r="G2415" s="0" t="str">
        <f aca="false">IF(C2415="BUY","IN",IF(C2415="SELL","OUT",IF(G2414="IN","IN","OUT")))</f>
        <v>IN</v>
      </c>
      <c r="H2415" s="14" t="n">
        <f aca="false">H2414+IF(F2415="",0,F2415)</f>
        <v>26.9395358377352</v>
      </c>
      <c r="I2415" s="14" t="n">
        <f aca="false">MAX(I2414,H2415)</f>
        <v>43.9309628600509</v>
      </c>
      <c r="J2415" s="14" t="n">
        <f aca="false">I2415-H2415</f>
        <v>16.9914270223156</v>
      </c>
    </row>
    <row r="2416" customFormat="false" ht="15" hidden="false" customHeight="false" outlineLevel="0" collapsed="false">
      <c r="A2416" s="12" t="n">
        <f aca="false">Data!A2416</f>
        <v>45513</v>
      </c>
      <c r="B2416" s="14" t="n">
        <f aca="false">Data!B2416</f>
        <v>76.84</v>
      </c>
      <c r="C2416" s="0" t="str">
        <f aca="false">IF(Data!D2416="","HOLD",IF(AND(G2415&lt;&gt;"IN",Data!E2416&lt;-5),"BUY",IF(AND(G2415="IN",Data!E2416&gt;0),"SELL","HOLD")))</f>
        <v>HOLD</v>
      </c>
      <c r="D2416" s="14" t="n">
        <f aca="false">IF(C2416="BUY",B2416,IF(G2415="IN",D2415,""))</f>
        <v>76.96</v>
      </c>
      <c r="E2416" s="14" t="str">
        <f aca="false">IF(C2416="SELL",B2416,"")</f>
        <v/>
      </c>
      <c r="F2416" s="14" t="str">
        <f aca="false">IF(E2416="","",(E2416-D2416)/D2416*100)</f>
        <v/>
      </c>
      <c r="G2416" s="0" t="str">
        <f aca="false">IF(C2416="BUY","IN",IF(C2416="SELL","OUT",IF(G2415="IN","IN","OUT")))</f>
        <v>IN</v>
      </c>
      <c r="H2416" s="14" t="n">
        <f aca="false">H2415+IF(F2416="",0,F2416)</f>
        <v>26.9395358377352</v>
      </c>
      <c r="I2416" s="14" t="n">
        <f aca="false">MAX(I2415,H2416)</f>
        <v>43.9309628600509</v>
      </c>
      <c r="J2416" s="14" t="n">
        <f aca="false">I2416-H2416</f>
        <v>16.9914270223156</v>
      </c>
    </row>
    <row r="2417" customFormat="false" ht="15" hidden="false" customHeight="false" outlineLevel="0" collapsed="false">
      <c r="A2417" s="12" t="n">
        <f aca="false">Data!A2417</f>
        <v>45516</v>
      </c>
      <c r="B2417" s="14" t="n">
        <f aca="false">Data!B2417</f>
        <v>80.06</v>
      </c>
      <c r="C2417" s="0" t="str">
        <f aca="false">IF(Data!D2417="","HOLD",IF(AND(G2416&lt;&gt;"IN",Data!E2417&lt;-5),"BUY",IF(AND(G2416="IN",Data!E2417&gt;0),"SELL","HOLD")))</f>
        <v>SELL</v>
      </c>
      <c r="D2417" s="14" t="n">
        <f aca="false">IF(C2417="BUY",B2417,IF(G2416="IN",D2416,""))</f>
        <v>76.96</v>
      </c>
      <c r="E2417" s="14" t="n">
        <f aca="false">IF(C2417="SELL",B2417,"")</f>
        <v>80.06</v>
      </c>
      <c r="F2417" s="14" t="n">
        <f aca="false">IF(E2417="","",(E2417-D2417)/D2417*100)</f>
        <v>4.02806652806654</v>
      </c>
      <c r="G2417" s="0" t="str">
        <f aca="false">IF(C2417="BUY","IN",IF(C2417="SELL","OUT",IF(G2416="IN","IN","OUT")))</f>
        <v>OUT</v>
      </c>
      <c r="H2417" s="14" t="n">
        <f aca="false">H2416+IF(F2417="",0,F2417)</f>
        <v>30.9676023658018</v>
      </c>
      <c r="I2417" s="14" t="n">
        <f aca="false">MAX(I2416,H2417)</f>
        <v>43.9309628600509</v>
      </c>
      <c r="J2417" s="14" t="n">
        <f aca="false">I2417-H2417</f>
        <v>12.9633604942491</v>
      </c>
    </row>
    <row r="2418" customFormat="false" ht="15" hidden="false" customHeight="false" outlineLevel="0" collapsed="false">
      <c r="A2418" s="12" t="n">
        <f aca="false">Data!A2418</f>
        <v>45517</v>
      </c>
      <c r="B2418" s="14" t="n">
        <f aca="false">Data!B2418</f>
        <v>78.35</v>
      </c>
      <c r="C2418" s="0" t="str">
        <f aca="false">IF(Data!D2418="","HOLD",IF(AND(G2417&lt;&gt;"IN",Data!E2418&lt;-5),"BUY",IF(AND(G2417="IN",Data!E2418&gt;0),"SELL","HOLD")))</f>
        <v>HOLD</v>
      </c>
      <c r="D2418" s="14" t="str">
        <f aca="false">IF(C2418="BUY",B2418,IF(G2417="IN",D2417,""))</f>
        <v/>
      </c>
      <c r="E2418" s="14" t="str">
        <f aca="false">IF(C2418="SELL",B2418,"")</f>
        <v/>
      </c>
      <c r="F2418" s="14" t="str">
        <f aca="false">IF(E2418="","",(E2418-D2418)/D2418*100)</f>
        <v/>
      </c>
      <c r="G2418" s="0" t="str">
        <f aca="false">IF(C2418="BUY","IN",IF(C2418="SELL","OUT",IF(G2417="IN","IN","OUT")))</f>
        <v>OUT</v>
      </c>
      <c r="H2418" s="14" t="n">
        <f aca="false">H2417+IF(F2418="",0,F2418)</f>
        <v>30.9676023658018</v>
      </c>
      <c r="I2418" s="14" t="n">
        <f aca="false">MAX(I2417,H2418)</f>
        <v>43.9309628600509</v>
      </c>
      <c r="J2418" s="14" t="n">
        <f aca="false">I2418-H2418</f>
        <v>12.9633604942491</v>
      </c>
    </row>
    <row r="2419" customFormat="false" ht="15" hidden="false" customHeight="false" outlineLevel="0" collapsed="false">
      <c r="A2419" s="12" t="n">
        <f aca="false">Data!A2419</f>
        <v>45518</v>
      </c>
      <c r="B2419" s="14" t="n">
        <f aca="false">Data!B2419</f>
        <v>76.98</v>
      </c>
      <c r="C2419" s="0" t="str">
        <f aca="false">IF(Data!D2419="","HOLD",IF(AND(G2418&lt;&gt;"IN",Data!E2419&lt;-5),"BUY",IF(AND(G2418="IN",Data!E2419&gt;0),"SELL","HOLD")))</f>
        <v>HOLD</v>
      </c>
      <c r="D2419" s="14" t="str">
        <f aca="false">IF(C2419="BUY",B2419,IF(G2418="IN",D2418,""))</f>
        <v/>
      </c>
      <c r="E2419" s="14" t="str">
        <f aca="false">IF(C2419="SELL",B2419,"")</f>
        <v/>
      </c>
      <c r="F2419" s="14" t="str">
        <f aca="false">IF(E2419="","",(E2419-D2419)/D2419*100)</f>
        <v/>
      </c>
      <c r="G2419" s="0" t="str">
        <f aca="false">IF(C2419="BUY","IN",IF(C2419="SELL","OUT",IF(G2418="IN","IN","OUT")))</f>
        <v>OUT</v>
      </c>
      <c r="H2419" s="14" t="n">
        <f aca="false">H2418+IF(F2419="",0,F2419)</f>
        <v>30.9676023658018</v>
      </c>
      <c r="I2419" s="14" t="n">
        <f aca="false">MAX(I2418,H2419)</f>
        <v>43.9309628600509</v>
      </c>
      <c r="J2419" s="14" t="n">
        <f aca="false">I2419-H2419</f>
        <v>12.9633604942491</v>
      </c>
    </row>
    <row r="2420" customFormat="false" ht="15" hidden="false" customHeight="false" outlineLevel="0" collapsed="false">
      <c r="A2420" s="12" t="n">
        <f aca="false">Data!A2420</f>
        <v>45519</v>
      </c>
      <c r="B2420" s="14" t="n">
        <f aca="false">Data!B2420</f>
        <v>78.16</v>
      </c>
      <c r="C2420" s="0" t="str">
        <f aca="false">IF(Data!D2420="","HOLD",IF(AND(G2419&lt;&gt;"IN",Data!E2420&lt;-5),"BUY",IF(AND(G2419="IN",Data!E2420&gt;0),"SELL","HOLD")))</f>
        <v>HOLD</v>
      </c>
      <c r="D2420" s="14" t="str">
        <f aca="false">IF(C2420="BUY",B2420,IF(G2419="IN",D2419,""))</f>
        <v/>
      </c>
      <c r="E2420" s="14" t="str">
        <f aca="false">IF(C2420="SELL",B2420,"")</f>
        <v/>
      </c>
      <c r="F2420" s="14" t="str">
        <f aca="false">IF(E2420="","",(E2420-D2420)/D2420*100)</f>
        <v/>
      </c>
      <c r="G2420" s="0" t="str">
        <f aca="false">IF(C2420="BUY","IN",IF(C2420="SELL","OUT",IF(G2419="IN","IN","OUT")))</f>
        <v>OUT</v>
      </c>
      <c r="H2420" s="14" t="n">
        <f aca="false">H2419+IF(F2420="",0,F2420)</f>
        <v>30.9676023658018</v>
      </c>
      <c r="I2420" s="14" t="n">
        <f aca="false">MAX(I2419,H2420)</f>
        <v>43.9309628600509</v>
      </c>
      <c r="J2420" s="14" t="n">
        <f aca="false">I2420-H2420</f>
        <v>12.9633604942491</v>
      </c>
    </row>
    <row r="2421" customFormat="false" ht="15" hidden="false" customHeight="false" outlineLevel="0" collapsed="false">
      <c r="A2421" s="12" t="n">
        <f aca="false">Data!A2421</f>
        <v>45520</v>
      </c>
      <c r="B2421" s="14" t="n">
        <f aca="false">Data!B2421</f>
        <v>76.65</v>
      </c>
      <c r="C2421" s="0" t="str">
        <f aca="false">IF(Data!D2421="","HOLD",IF(AND(G2420&lt;&gt;"IN",Data!E2421&lt;-5),"BUY",IF(AND(G2420="IN",Data!E2421&gt;0),"SELL","HOLD")))</f>
        <v>HOLD</v>
      </c>
      <c r="D2421" s="14" t="str">
        <f aca="false">IF(C2421="BUY",B2421,IF(G2420="IN",D2420,""))</f>
        <v/>
      </c>
      <c r="E2421" s="14" t="str">
        <f aca="false">IF(C2421="SELL",B2421,"")</f>
        <v/>
      </c>
      <c r="F2421" s="14" t="str">
        <f aca="false">IF(E2421="","",(E2421-D2421)/D2421*100)</f>
        <v/>
      </c>
      <c r="G2421" s="0" t="str">
        <f aca="false">IF(C2421="BUY","IN",IF(C2421="SELL","OUT",IF(G2420="IN","IN","OUT")))</f>
        <v>OUT</v>
      </c>
      <c r="H2421" s="14" t="n">
        <f aca="false">H2420+IF(F2421="",0,F2421)</f>
        <v>30.9676023658018</v>
      </c>
      <c r="I2421" s="14" t="n">
        <f aca="false">MAX(I2420,H2421)</f>
        <v>43.9309628600509</v>
      </c>
      <c r="J2421" s="14" t="n">
        <f aca="false">I2421-H2421</f>
        <v>12.9633604942491</v>
      </c>
    </row>
    <row r="2422" customFormat="false" ht="15" hidden="false" customHeight="false" outlineLevel="0" collapsed="false">
      <c r="A2422" s="12" t="n">
        <f aca="false">Data!A2422</f>
        <v>45523</v>
      </c>
      <c r="B2422" s="14" t="n">
        <f aca="false">Data!B2422</f>
        <v>74.37</v>
      </c>
      <c r="C2422" s="0" t="str">
        <f aca="false">IF(Data!D2422="","HOLD",IF(AND(G2421&lt;&gt;"IN",Data!E2422&lt;-5),"BUY",IF(AND(G2421="IN",Data!E2422&gt;0),"SELL","HOLD")))</f>
        <v>HOLD</v>
      </c>
      <c r="D2422" s="14" t="str">
        <f aca="false">IF(C2422="BUY",B2422,IF(G2421="IN",D2421,""))</f>
        <v/>
      </c>
      <c r="E2422" s="14" t="str">
        <f aca="false">IF(C2422="SELL",B2422,"")</f>
        <v/>
      </c>
      <c r="F2422" s="14" t="str">
        <f aca="false">IF(E2422="","",(E2422-D2422)/D2422*100)</f>
        <v/>
      </c>
      <c r="G2422" s="0" t="str">
        <f aca="false">IF(C2422="BUY","IN",IF(C2422="SELL","OUT",IF(G2421="IN","IN","OUT")))</f>
        <v>OUT</v>
      </c>
      <c r="H2422" s="14" t="n">
        <f aca="false">H2421+IF(F2422="",0,F2422)</f>
        <v>30.9676023658018</v>
      </c>
      <c r="I2422" s="14" t="n">
        <f aca="false">MAX(I2421,H2422)</f>
        <v>43.9309628600509</v>
      </c>
      <c r="J2422" s="14" t="n">
        <f aca="false">I2422-H2422</f>
        <v>12.9633604942491</v>
      </c>
    </row>
    <row r="2423" customFormat="false" ht="15" hidden="false" customHeight="false" outlineLevel="0" collapsed="false">
      <c r="A2423" s="12" t="n">
        <f aca="false">Data!A2423</f>
        <v>45524</v>
      </c>
      <c r="B2423" s="14" t="n">
        <f aca="false">Data!B2423</f>
        <v>74.04</v>
      </c>
      <c r="C2423" s="0" t="str">
        <f aca="false">IF(Data!D2423="","HOLD",IF(AND(G2422&lt;&gt;"IN",Data!E2423&lt;-5),"BUY",IF(AND(G2422="IN",Data!E2423&gt;0),"SELL","HOLD")))</f>
        <v>HOLD</v>
      </c>
      <c r="D2423" s="14" t="str">
        <f aca="false">IF(C2423="BUY",B2423,IF(G2422="IN",D2422,""))</f>
        <v/>
      </c>
      <c r="E2423" s="14" t="str">
        <f aca="false">IF(C2423="SELL",B2423,"")</f>
        <v/>
      </c>
      <c r="F2423" s="14" t="str">
        <f aca="false">IF(E2423="","",(E2423-D2423)/D2423*100)</f>
        <v/>
      </c>
      <c r="G2423" s="0" t="str">
        <f aca="false">IF(C2423="BUY","IN",IF(C2423="SELL","OUT",IF(G2422="IN","IN","OUT")))</f>
        <v>OUT</v>
      </c>
      <c r="H2423" s="14" t="n">
        <f aca="false">H2422+IF(F2423="",0,F2423)</f>
        <v>30.9676023658018</v>
      </c>
      <c r="I2423" s="14" t="n">
        <f aca="false">MAX(I2422,H2423)</f>
        <v>43.9309628600509</v>
      </c>
      <c r="J2423" s="14" t="n">
        <f aca="false">I2423-H2423</f>
        <v>12.9633604942491</v>
      </c>
    </row>
    <row r="2424" customFormat="false" ht="15" hidden="false" customHeight="false" outlineLevel="0" collapsed="false">
      <c r="A2424" s="12" t="n">
        <f aca="false">Data!A2424</f>
        <v>45525</v>
      </c>
      <c r="B2424" s="14" t="n">
        <f aca="false">Data!B2424</f>
        <v>71.93</v>
      </c>
      <c r="C2424" s="0" t="str">
        <f aca="false">IF(Data!D2424="","HOLD",IF(AND(G2423&lt;&gt;"IN",Data!E2424&lt;-5),"BUY",IF(AND(G2423="IN",Data!E2424&gt;0),"SELL","HOLD")))</f>
        <v>BUY</v>
      </c>
      <c r="D2424" s="14" t="n">
        <f aca="false">IF(C2424="BUY",B2424,IF(G2423="IN",D2423,""))</f>
        <v>71.93</v>
      </c>
      <c r="E2424" s="14" t="str">
        <f aca="false">IF(C2424="SELL",B2424,"")</f>
        <v/>
      </c>
      <c r="F2424" s="14" t="str">
        <f aca="false">IF(E2424="","",(E2424-D2424)/D2424*100)</f>
        <v/>
      </c>
      <c r="G2424" s="0" t="str">
        <f aca="false">IF(C2424="BUY","IN",IF(C2424="SELL","OUT",IF(G2423="IN","IN","OUT")))</f>
        <v>IN</v>
      </c>
      <c r="H2424" s="14" t="n">
        <f aca="false">H2423+IF(F2424="",0,F2424)</f>
        <v>30.9676023658018</v>
      </c>
      <c r="I2424" s="14" t="n">
        <f aca="false">MAX(I2423,H2424)</f>
        <v>43.9309628600509</v>
      </c>
      <c r="J2424" s="14" t="n">
        <f aca="false">I2424-H2424</f>
        <v>12.9633604942491</v>
      </c>
    </row>
    <row r="2425" customFormat="false" ht="15" hidden="false" customHeight="false" outlineLevel="0" collapsed="false">
      <c r="A2425" s="12" t="n">
        <f aca="false">Data!A2425</f>
        <v>45526</v>
      </c>
      <c r="B2425" s="14" t="n">
        <f aca="false">Data!B2425</f>
        <v>73.01</v>
      </c>
      <c r="C2425" s="0" t="str">
        <f aca="false">IF(Data!D2425="","HOLD",IF(AND(G2424&lt;&gt;"IN",Data!E2425&lt;-5),"BUY",IF(AND(G2424="IN",Data!E2425&gt;0),"SELL","HOLD")))</f>
        <v>HOLD</v>
      </c>
      <c r="D2425" s="14" t="n">
        <f aca="false">IF(C2425="BUY",B2425,IF(G2424="IN",D2424,""))</f>
        <v>71.93</v>
      </c>
      <c r="E2425" s="14" t="str">
        <f aca="false">IF(C2425="SELL",B2425,"")</f>
        <v/>
      </c>
      <c r="F2425" s="14" t="str">
        <f aca="false">IF(E2425="","",(E2425-D2425)/D2425*100)</f>
        <v/>
      </c>
      <c r="G2425" s="0" t="str">
        <f aca="false">IF(C2425="BUY","IN",IF(C2425="SELL","OUT",IF(G2424="IN","IN","OUT")))</f>
        <v>IN</v>
      </c>
      <c r="H2425" s="14" t="n">
        <f aca="false">H2424+IF(F2425="",0,F2425)</f>
        <v>30.9676023658018</v>
      </c>
      <c r="I2425" s="14" t="n">
        <f aca="false">MAX(I2424,H2425)</f>
        <v>43.9309628600509</v>
      </c>
      <c r="J2425" s="14" t="n">
        <f aca="false">I2425-H2425</f>
        <v>12.9633604942491</v>
      </c>
    </row>
    <row r="2426" customFormat="false" ht="15" hidden="false" customHeight="false" outlineLevel="0" collapsed="false">
      <c r="A2426" s="12" t="n">
        <f aca="false">Data!A2426</f>
        <v>45527</v>
      </c>
      <c r="B2426" s="14" t="n">
        <f aca="false">Data!B2426</f>
        <v>74.83</v>
      </c>
      <c r="C2426" s="0" t="str">
        <f aca="false">IF(Data!D2426="","HOLD",IF(AND(G2425&lt;&gt;"IN",Data!E2426&lt;-5),"BUY",IF(AND(G2425="IN",Data!E2426&gt;0),"SELL","HOLD")))</f>
        <v>HOLD</v>
      </c>
      <c r="D2426" s="14" t="n">
        <f aca="false">IF(C2426="BUY",B2426,IF(G2425="IN",D2425,""))</f>
        <v>71.93</v>
      </c>
      <c r="E2426" s="14" t="str">
        <f aca="false">IF(C2426="SELL",B2426,"")</f>
        <v/>
      </c>
      <c r="F2426" s="14" t="str">
        <f aca="false">IF(E2426="","",(E2426-D2426)/D2426*100)</f>
        <v/>
      </c>
      <c r="G2426" s="0" t="str">
        <f aca="false">IF(C2426="BUY","IN",IF(C2426="SELL","OUT",IF(G2425="IN","IN","OUT")))</f>
        <v>IN</v>
      </c>
      <c r="H2426" s="14" t="n">
        <f aca="false">H2425+IF(F2426="",0,F2426)</f>
        <v>30.9676023658018</v>
      </c>
      <c r="I2426" s="14" t="n">
        <f aca="false">MAX(I2425,H2426)</f>
        <v>43.9309628600509</v>
      </c>
      <c r="J2426" s="14" t="n">
        <f aca="false">I2426-H2426</f>
        <v>12.9633604942491</v>
      </c>
    </row>
    <row r="2427" customFormat="false" ht="15" hidden="false" customHeight="false" outlineLevel="0" collapsed="false">
      <c r="A2427" s="12" t="n">
        <f aca="false">Data!A2427</f>
        <v>45530</v>
      </c>
      <c r="B2427" s="14" t="n">
        <f aca="false">Data!B2427</f>
        <v>77.42</v>
      </c>
      <c r="C2427" s="0" t="str">
        <f aca="false">IF(Data!D2427="","HOLD",IF(AND(G2426&lt;&gt;"IN",Data!E2427&lt;-5),"BUY",IF(AND(G2426="IN",Data!E2427&gt;0),"SELL","HOLD")))</f>
        <v>SELL</v>
      </c>
      <c r="D2427" s="14" t="n">
        <f aca="false">IF(C2427="BUY",B2427,IF(G2426="IN",D2426,""))</f>
        <v>71.93</v>
      </c>
      <c r="E2427" s="14" t="n">
        <f aca="false">IF(C2427="SELL",B2427,"")</f>
        <v>77.42</v>
      </c>
      <c r="F2427" s="14" t="n">
        <f aca="false">IF(E2427="","",(E2427-D2427)/D2427*100)</f>
        <v>7.6324204087307</v>
      </c>
      <c r="G2427" s="0" t="str">
        <f aca="false">IF(C2427="BUY","IN",IF(C2427="SELL","OUT",IF(G2426="IN","IN","OUT")))</f>
        <v>OUT</v>
      </c>
      <c r="H2427" s="14" t="n">
        <f aca="false">H2426+IF(F2427="",0,F2427)</f>
        <v>38.6000227745325</v>
      </c>
      <c r="I2427" s="14" t="n">
        <f aca="false">MAX(I2426,H2427)</f>
        <v>43.9309628600509</v>
      </c>
      <c r="J2427" s="14" t="n">
        <f aca="false">I2427-H2427</f>
        <v>5.33094008551837</v>
      </c>
    </row>
    <row r="2428" customFormat="false" ht="15" hidden="false" customHeight="false" outlineLevel="0" collapsed="false">
      <c r="A2428" s="12" t="n">
        <f aca="false">Data!A2428</f>
        <v>45531</v>
      </c>
      <c r="B2428" s="14" t="n">
        <f aca="false">Data!B2428</f>
        <v>75.53</v>
      </c>
      <c r="C2428" s="0" t="str">
        <f aca="false">IF(Data!D2428="","HOLD",IF(AND(G2427&lt;&gt;"IN",Data!E2428&lt;-5),"BUY",IF(AND(G2427="IN",Data!E2428&gt;0),"SELL","HOLD")))</f>
        <v>HOLD</v>
      </c>
      <c r="D2428" s="14" t="str">
        <f aca="false">IF(C2428="BUY",B2428,IF(G2427="IN",D2427,""))</f>
        <v/>
      </c>
      <c r="E2428" s="14" t="str">
        <f aca="false">IF(C2428="SELL",B2428,"")</f>
        <v/>
      </c>
      <c r="F2428" s="14" t="str">
        <f aca="false">IF(E2428="","",(E2428-D2428)/D2428*100)</f>
        <v/>
      </c>
      <c r="G2428" s="0" t="str">
        <f aca="false">IF(C2428="BUY","IN",IF(C2428="SELL","OUT",IF(G2427="IN","IN","OUT")))</f>
        <v>OUT</v>
      </c>
      <c r="H2428" s="14" t="n">
        <f aca="false">H2427+IF(F2428="",0,F2428)</f>
        <v>38.6000227745325</v>
      </c>
      <c r="I2428" s="14" t="n">
        <f aca="false">MAX(I2427,H2428)</f>
        <v>43.9309628600509</v>
      </c>
      <c r="J2428" s="14" t="n">
        <f aca="false">I2428-H2428</f>
        <v>5.33094008551837</v>
      </c>
    </row>
    <row r="2429" customFormat="false" ht="15" hidden="false" customHeight="false" outlineLevel="0" collapsed="false">
      <c r="A2429" s="12" t="n">
        <f aca="false">Data!A2429</f>
        <v>45532</v>
      </c>
      <c r="B2429" s="14" t="n">
        <f aca="false">Data!B2429</f>
        <v>74.52</v>
      </c>
      <c r="C2429" s="0" t="str">
        <f aca="false">IF(Data!D2429="","HOLD",IF(AND(G2428&lt;&gt;"IN",Data!E2429&lt;-5),"BUY",IF(AND(G2428="IN",Data!E2429&gt;0),"SELL","HOLD")))</f>
        <v>HOLD</v>
      </c>
      <c r="D2429" s="14" t="str">
        <f aca="false">IF(C2429="BUY",B2429,IF(G2428="IN",D2428,""))</f>
        <v/>
      </c>
      <c r="E2429" s="14" t="str">
        <f aca="false">IF(C2429="SELL",B2429,"")</f>
        <v/>
      </c>
      <c r="F2429" s="14" t="str">
        <f aca="false">IF(E2429="","",(E2429-D2429)/D2429*100)</f>
        <v/>
      </c>
      <c r="G2429" s="0" t="str">
        <f aca="false">IF(C2429="BUY","IN",IF(C2429="SELL","OUT",IF(G2428="IN","IN","OUT")))</f>
        <v>OUT</v>
      </c>
      <c r="H2429" s="14" t="n">
        <f aca="false">H2428+IF(F2429="",0,F2429)</f>
        <v>38.6000227745325</v>
      </c>
      <c r="I2429" s="14" t="n">
        <f aca="false">MAX(I2428,H2429)</f>
        <v>43.9309628600509</v>
      </c>
      <c r="J2429" s="14" t="n">
        <f aca="false">I2429-H2429</f>
        <v>5.33094008551837</v>
      </c>
    </row>
    <row r="2430" customFormat="false" ht="15" hidden="false" customHeight="false" outlineLevel="0" collapsed="false">
      <c r="A2430" s="12" t="n">
        <f aca="false">Data!A2430</f>
        <v>45533</v>
      </c>
      <c r="B2430" s="14" t="n">
        <f aca="false">Data!B2430</f>
        <v>75.91</v>
      </c>
      <c r="C2430" s="0" t="str">
        <f aca="false">IF(Data!D2430="","HOLD",IF(AND(G2429&lt;&gt;"IN",Data!E2430&lt;-5),"BUY",IF(AND(G2429="IN",Data!E2430&gt;0),"SELL","HOLD")))</f>
        <v>HOLD</v>
      </c>
      <c r="D2430" s="14" t="str">
        <f aca="false">IF(C2430="BUY",B2430,IF(G2429="IN",D2429,""))</f>
        <v/>
      </c>
      <c r="E2430" s="14" t="str">
        <f aca="false">IF(C2430="SELL",B2430,"")</f>
        <v/>
      </c>
      <c r="F2430" s="14" t="str">
        <f aca="false">IF(E2430="","",(E2430-D2430)/D2430*100)</f>
        <v/>
      </c>
      <c r="G2430" s="0" t="str">
        <f aca="false">IF(C2430="BUY","IN",IF(C2430="SELL","OUT",IF(G2429="IN","IN","OUT")))</f>
        <v>OUT</v>
      </c>
      <c r="H2430" s="14" t="n">
        <f aca="false">H2429+IF(F2430="",0,F2430)</f>
        <v>38.6000227745325</v>
      </c>
      <c r="I2430" s="14" t="n">
        <f aca="false">MAX(I2429,H2430)</f>
        <v>43.9309628600509</v>
      </c>
      <c r="J2430" s="14" t="n">
        <f aca="false">I2430-H2430</f>
        <v>5.33094008551837</v>
      </c>
    </row>
    <row r="2431" customFormat="false" ht="15" hidden="false" customHeight="false" outlineLevel="0" collapsed="false">
      <c r="A2431" s="12" t="n">
        <f aca="false">Data!A2431</f>
        <v>45534</v>
      </c>
      <c r="B2431" s="14" t="n">
        <f aca="false">Data!B2431</f>
        <v>73.55</v>
      </c>
      <c r="C2431" s="0" t="str">
        <f aca="false">IF(Data!D2431="","HOLD",IF(AND(G2430&lt;&gt;"IN",Data!E2431&lt;-5),"BUY",IF(AND(G2430="IN",Data!E2431&gt;0),"SELL","HOLD")))</f>
        <v>HOLD</v>
      </c>
      <c r="D2431" s="14" t="str">
        <f aca="false">IF(C2431="BUY",B2431,IF(G2430="IN",D2430,""))</f>
        <v/>
      </c>
      <c r="E2431" s="14" t="str">
        <f aca="false">IF(C2431="SELL",B2431,"")</f>
        <v/>
      </c>
      <c r="F2431" s="14" t="str">
        <f aca="false">IF(E2431="","",(E2431-D2431)/D2431*100)</f>
        <v/>
      </c>
      <c r="G2431" s="0" t="str">
        <f aca="false">IF(C2431="BUY","IN",IF(C2431="SELL","OUT",IF(G2430="IN","IN","OUT")))</f>
        <v>OUT</v>
      </c>
      <c r="H2431" s="14" t="n">
        <f aca="false">H2430+IF(F2431="",0,F2431)</f>
        <v>38.6000227745325</v>
      </c>
      <c r="I2431" s="14" t="n">
        <f aca="false">MAX(I2430,H2431)</f>
        <v>43.9309628600509</v>
      </c>
      <c r="J2431" s="14" t="n">
        <f aca="false">I2431-H2431</f>
        <v>5.33094008551837</v>
      </c>
    </row>
    <row r="2432" customFormat="false" ht="15" hidden="false" customHeight="false" outlineLevel="0" collapsed="false">
      <c r="A2432" s="12" t="n">
        <f aca="false">Data!A2432</f>
        <v>45538</v>
      </c>
      <c r="B2432" s="14" t="n">
        <f aca="false">Data!B2432</f>
        <v>70.34</v>
      </c>
      <c r="C2432" s="0" t="str">
        <f aca="false">IF(Data!D2432="","HOLD",IF(AND(G2431&lt;&gt;"IN",Data!E2432&lt;-5),"BUY",IF(AND(G2431="IN",Data!E2432&gt;0),"SELL","HOLD")))</f>
        <v>BUY</v>
      </c>
      <c r="D2432" s="14" t="n">
        <f aca="false">IF(C2432="BUY",B2432,IF(G2431="IN",D2431,""))</f>
        <v>70.34</v>
      </c>
      <c r="E2432" s="14" t="str">
        <f aca="false">IF(C2432="SELL",B2432,"")</f>
        <v/>
      </c>
      <c r="F2432" s="14" t="str">
        <f aca="false">IF(E2432="","",(E2432-D2432)/D2432*100)</f>
        <v/>
      </c>
      <c r="G2432" s="0" t="str">
        <f aca="false">IF(C2432="BUY","IN",IF(C2432="SELL","OUT",IF(G2431="IN","IN","OUT")))</f>
        <v>IN</v>
      </c>
      <c r="H2432" s="14" t="n">
        <f aca="false">H2431+IF(F2432="",0,F2432)</f>
        <v>38.6000227745325</v>
      </c>
      <c r="I2432" s="14" t="n">
        <f aca="false">MAX(I2431,H2432)</f>
        <v>43.9309628600509</v>
      </c>
      <c r="J2432" s="14" t="n">
        <f aca="false">I2432-H2432</f>
        <v>5.33094008551837</v>
      </c>
    </row>
    <row r="2433" customFormat="false" ht="15" hidden="false" customHeight="false" outlineLevel="0" collapsed="false">
      <c r="A2433" s="12" t="n">
        <f aca="false">Data!A2433</f>
        <v>45539</v>
      </c>
      <c r="B2433" s="14" t="n">
        <f aca="false">Data!B2433</f>
        <v>69.2</v>
      </c>
      <c r="C2433" s="0" t="str">
        <f aca="false">IF(Data!D2433="","HOLD",IF(AND(G2432&lt;&gt;"IN",Data!E2433&lt;-5),"BUY",IF(AND(G2432="IN",Data!E2433&gt;0),"SELL","HOLD")))</f>
        <v>HOLD</v>
      </c>
      <c r="D2433" s="14" t="n">
        <f aca="false">IF(C2433="BUY",B2433,IF(G2432="IN",D2432,""))</f>
        <v>70.34</v>
      </c>
      <c r="E2433" s="14" t="str">
        <f aca="false">IF(C2433="SELL",B2433,"")</f>
        <v/>
      </c>
      <c r="F2433" s="14" t="str">
        <f aca="false">IF(E2433="","",(E2433-D2433)/D2433*100)</f>
        <v/>
      </c>
      <c r="G2433" s="0" t="str">
        <f aca="false">IF(C2433="BUY","IN",IF(C2433="SELL","OUT",IF(G2432="IN","IN","OUT")))</f>
        <v>IN</v>
      </c>
      <c r="H2433" s="14" t="n">
        <f aca="false">H2432+IF(F2433="",0,F2433)</f>
        <v>38.6000227745325</v>
      </c>
      <c r="I2433" s="14" t="n">
        <f aca="false">MAX(I2432,H2433)</f>
        <v>43.9309628600509</v>
      </c>
      <c r="J2433" s="14" t="n">
        <f aca="false">I2433-H2433</f>
        <v>5.33094008551837</v>
      </c>
    </row>
    <row r="2434" customFormat="false" ht="15" hidden="false" customHeight="false" outlineLevel="0" collapsed="false">
      <c r="A2434" s="12" t="n">
        <f aca="false">Data!A2434</f>
        <v>45540</v>
      </c>
      <c r="B2434" s="14" t="n">
        <f aca="false">Data!B2434</f>
        <v>69.15</v>
      </c>
      <c r="C2434" s="0" t="str">
        <f aca="false">IF(Data!D2434="","HOLD",IF(AND(G2433&lt;&gt;"IN",Data!E2434&lt;-5),"BUY",IF(AND(G2433="IN",Data!E2434&gt;0),"SELL","HOLD")))</f>
        <v>HOLD</v>
      </c>
      <c r="D2434" s="14" t="n">
        <f aca="false">IF(C2434="BUY",B2434,IF(G2433="IN",D2433,""))</f>
        <v>70.34</v>
      </c>
      <c r="E2434" s="14" t="str">
        <f aca="false">IF(C2434="SELL",B2434,"")</f>
        <v/>
      </c>
      <c r="F2434" s="14" t="str">
        <f aca="false">IF(E2434="","",(E2434-D2434)/D2434*100)</f>
        <v/>
      </c>
      <c r="G2434" s="0" t="str">
        <f aca="false">IF(C2434="BUY","IN",IF(C2434="SELL","OUT",IF(G2433="IN","IN","OUT")))</f>
        <v>IN</v>
      </c>
      <c r="H2434" s="14" t="n">
        <f aca="false">H2433+IF(F2434="",0,F2434)</f>
        <v>38.6000227745325</v>
      </c>
      <c r="I2434" s="14" t="n">
        <f aca="false">MAX(I2433,H2434)</f>
        <v>43.9309628600509</v>
      </c>
      <c r="J2434" s="14" t="n">
        <f aca="false">I2434-H2434</f>
        <v>5.33094008551837</v>
      </c>
    </row>
    <row r="2435" customFormat="false" ht="15" hidden="false" customHeight="false" outlineLevel="0" collapsed="false">
      <c r="A2435" s="12" t="n">
        <f aca="false">Data!A2435</f>
        <v>45541</v>
      </c>
      <c r="B2435" s="14" t="n">
        <f aca="false">Data!B2435</f>
        <v>67.67</v>
      </c>
      <c r="C2435" s="0" t="str">
        <f aca="false">IF(Data!D2435="","HOLD",IF(AND(G2434&lt;&gt;"IN",Data!E2435&lt;-5),"BUY",IF(AND(G2434="IN",Data!E2435&gt;0),"SELL","HOLD")))</f>
        <v>HOLD</v>
      </c>
      <c r="D2435" s="14" t="n">
        <f aca="false">IF(C2435="BUY",B2435,IF(G2434="IN",D2434,""))</f>
        <v>70.34</v>
      </c>
      <c r="E2435" s="14" t="str">
        <f aca="false">IF(C2435="SELL",B2435,"")</f>
        <v/>
      </c>
      <c r="F2435" s="14" t="str">
        <f aca="false">IF(E2435="","",(E2435-D2435)/D2435*100)</f>
        <v/>
      </c>
      <c r="G2435" s="0" t="str">
        <f aca="false">IF(C2435="BUY","IN",IF(C2435="SELL","OUT",IF(G2434="IN","IN","OUT")))</f>
        <v>IN</v>
      </c>
      <c r="H2435" s="14" t="n">
        <f aca="false">H2434+IF(F2435="",0,F2435)</f>
        <v>38.6000227745325</v>
      </c>
      <c r="I2435" s="14" t="n">
        <f aca="false">MAX(I2434,H2435)</f>
        <v>43.9309628600509</v>
      </c>
      <c r="J2435" s="14" t="n">
        <f aca="false">I2435-H2435</f>
        <v>5.33094008551837</v>
      </c>
    </row>
    <row r="2436" customFormat="false" ht="15" hidden="false" customHeight="false" outlineLevel="0" collapsed="false">
      <c r="A2436" s="12" t="n">
        <f aca="false">Data!A2436</f>
        <v>45544</v>
      </c>
      <c r="B2436" s="14" t="n">
        <f aca="false">Data!B2436</f>
        <v>68.71</v>
      </c>
      <c r="C2436" s="0" t="str">
        <f aca="false">IF(Data!D2436="","HOLD",IF(AND(G2435&lt;&gt;"IN",Data!E2436&lt;-5),"BUY",IF(AND(G2435="IN",Data!E2436&gt;0),"SELL","HOLD")))</f>
        <v>HOLD</v>
      </c>
      <c r="D2436" s="14" t="n">
        <f aca="false">IF(C2436="BUY",B2436,IF(G2435="IN",D2435,""))</f>
        <v>70.34</v>
      </c>
      <c r="E2436" s="14" t="str">
        <f aca="false">IF(C2436="SELL",B2436,"")</f>
        <v/>
      </c>
      <c r="F2436" s="14" t="str">
        <f aca="false">IF(E2436="","",(E2436-D2436)/D2436*100)</f>
        <v/>
      </c>
      <c r="G2436" s="0" t="str">
        <f aca="false">IF(C2436="BUY","IN",IF(C2436="SELL","OUT",IF(G2435="IN","IN","OUT")))</f>
        <v>IN</v>
      </c>
      <c r="H2436" s="14" t="n">
        <f aca="false">H2435+IF(F2436="",0,F2436)</f>
        <v>38.6000227745325</v>
      </c>
      <c r="I2436" s="14" t="n">
        <f aca="false">MAX(I2435,H2436)</f>
        <v>43.9309628600509</v>
      </c>
      <c r="J2436" s="14" t="n">
        <f aca="false">I2436-H2436</f>
        <v>5.33094008551837</v>
      </c>
    </row>
    <row r="2437" customFormat="false" ht="15" hidden="false" customHeight="false" outlineLevel="0" collapsed="false">
      <c r="A2437" s="12" t="n">
        <f aca="false">Data!A2437</f>
        <v>45545</v>
      </c>
      <c r="B2437" s="14" t="n">
        <f aca="false">Data!B2437</f>
        <v>65.75</v>
      </c>
      <c r="C2437" s="0" t="str">
        <f aca="false">IF(Data!D2437="","HOLD",IF(AND(G2436&lt;&gt;"IN",Data!E2437&lt;-5),"BUY",IF(AND(G2436="IN",Data!E2437&gt;0),"SELL","HOLD")))</f>
        <v>HOLD</v>
      </c>
      <c r="D2437" s="14" t="n">
        <f aca="false">IF(C2437="BUY",B2437,IF(G2436="IN",D2436,""))</f>
        <v>70.34</v>
      </c>
      <c r="E2437" s="14" t="str">
        <f aca="false">IF(C2437="SELL",B2437,"")</f>
        <v/>
      </c>
      <c r="F2437" s="14" t="str">
        <f aca="false">IF(E2437="","",(E2437-D2437)/D2437*100)</f>
        <v/>
      </c>
      <c r="G2437" s="0" t="str">
        <f aca="false">IF(C2437="BUY","IN",IF(C2437="SELL","OUT",IF(G2436="IN","IN","OUT")))</f>
        <v>IN</v>
      </c>
      <c r="H2437" s="14" t="n">
        <f aca="false">H2436+IF(F2437="",0,F2437)</f>
        <v>38.6000227745325</v>
      </c>
      <c r="I2437" s="14" t="n">
        <f aca="false">MAX(I2436,H2437)</f>
        <v>43.9309628600509</v>
      </c>
      <c r="J2437" s="14" t="n">
        <f aca="false">I2437-H2437</f>
        <v>5.33094008551837</v>
      </c>
    </row>
    <row r="2438" customFormat="false" ht="15" hidden="false" customHeight="false" outlineLevel="0" collapsed="false">
      <c r="A2438" s="12" t="n">
        <f aca="false">Data!A2438</f>
        <v>45546</v>
      </c>
      <c r="B2438" s="14" t="n">
        <f aca="false">Data!B2438</f>
        <v>67.31</v>
      </c>
      <c r="C2438" s="0" t="str">
        <f aca="false">IF(Data!D2438="","HOLD",IF(AND(G2437&lt;&gt;"IN",Data!E2438&lt;-5),"BUY",IF(AND(G2437="IN",Data!E2438&gt;0),"SELL","HOLD")))</f>
        <v>HOLD</v>
      </c>
      <c r="D2438" s="14" t="n">
        <f aca="false">IF(C2438="BUY",B2438,IF(G2437="IN",D2437,""))</f>
        <v>70.34</v>
      </c>
      <c r="E2438" s="14" t="str">
        <f aca="false">IF(C2438="SELL",B2438,"")</f>
        <v/>
      </c>
      <c r="F2438" s="14" t="str">
        <f aca="false">IF(E2438="","",(E2438-D2438)/D2438*100)</f>
        <v/>
      </c>
      <c r="G2438" s="0" t="str">
        <f aca="false">IF(C2438="BUY","IN",IF(C2438="SELL","OUT",IF(G2437="IN","IN","OUT")))</f>
        <v>IN</v>
      </c>
      <c r="H2438" s="14" t="n">
        <f aca="false">H2437+IF(F2438="",0,F2438)</f>
        <v>38.6000227745325</v>
      </c>
      <c r="I2438" s="14" t="n">
        <f aca="false">MAX(I2437,H2438)</f>
        <v>43.9309628600509</v>
      </c>
      <c r="J2438" s="14" t="n">
        <f aca="false">I2438-H2438</f>
        <v>5.33094008551837</v>
      </c>
    </row>
    <row r="2439" customFormat="false" ht="15" hidden="false" customHeight="false" outlineLevel="0" collapsed="false">
      <c r="A2439" s="12" t="n">
        <f aca="false">Data!A2439</f>
        <v>45547</v>
      </c>
      <c r="B2439" s="14" t="n">
        <f aca="false">Data!B2439</f>
        <v>68.97</v>
      </c>
      <c r="C2439" s="0" t="str">
        <f aca="false">IF(Data!D2439="","HOLD",IF(AND(G2438&lt;&gt;"IN",Data!E2439&lt;-5),"BUY",IF(AND(G2438="IN",Data!E2439&gt;0),"SELL","HOLD")))</f>
        <v>HOLD</v>
      </c>
      <c r="D2439" s="14" t="n">
        <f aca="false">IF(C2439="BUY",B2439,IF(G2438="IN",D2438,""))</f>
        <v>70.34</v>
      </c>
      <c r="E2439" s="14" t="str">
        <f aca="false">IF(C2439="SELL",B2439,"")</f>
        <v/>
      </c>
      <c r="F2439" s="14" t="str">
        <f aca="false">IF(E2439="","",(E2439-D2439)/D2439*100)</f>
        <v/>
      </c>
      <c r="G2439" s="0" t="str">
        <f aca="false">IF(C2439="BUY","IN",IF(C2439="SELL","OUT",IF(G2438="IN","IN","OUT")))</f>
        <v>IN</v>
      </c>
      <c r="H2439" s="14" t="n">
        <f aca="false">H2438+IF(F2439="",0,F2439)</f>
        <v>38.6000227745325</v>
      </c>
      <c r="I2439" s="14" t="n">
        <f aca="false">MAX(I2438,H2439)</f>
        <v>43.9309628600509</v>
      </c>
      <c r="J2439" s="14" t="n">
        <f aca="false">I2439-H2439</f>
        <v>5.33094008551837</v>
      </c>
    </row>
    <row r="2440" customFormat="false" ht="15" hidden="false" customHeight="false" outlineLevel="0" collapsed="false">
      <c r="A2440" s="12" t="n">
        <f aca="false">Data!A2440</f>
        <v>45548</v>
      </c>
      <c r="B2440" s="14" t="n">
        <f aca="false">Data!B2440</f>
        <v>68.65</v>
      </c>
      <c r="C2440" s="0" t="str">
        <f aca="false">IF(Data!D2440="","HOLD",IF(AND(G2439&lt;&gt;"IN",Data!E2440&lt;-5),"BUY",IF(AND(G2439="IN",Data!E2440&gt;0),"SELL","HOLD")))</f>
        <v>HOLD</v>
      </c>
      <c r="D2440" s="14" t="n">
        <f aca="false">IF(C2440="BUY",B2440,IF(G2439="IN",D2439,""))</f>
        <v>70.34</v>
      </c>
      <c r="E2440" s="14" t="str">
        <f aca="false">IF(C2440="SELL",B2440,"")</f>
        <v/>
      </c>
      <c r="F2440" s="14" t="str">
        <f aca="false">IF(E2440="","",(E2440-D2440)/D2440*100)</f>
        <v/>
      </c>
      <c r="G2440" s="0" t="str">
        <f aca="false">IF(C2440="BUY","IN",IF(C2440="SELL","OUT",IF(G2439="IN","IN","OUT")))</f>
        <v>IN</v>
      </c>
      <c r="H2440" s="14" t="n">
        <f aca="false">H2439+IF(F2440="",0,F2440)</f>
        <v>38.6000227745325</v>
      </c>
      <c r="I2440" s="14" t="n">
        <f aca="false">MAX(I2439,H2440)</f>
        <v>43.9309628600509</v>
      </c>
      <c r="J2440" s="14" t="n">
        <f aca="false">I2440-H2440</f>
        <v>5.33094008551837</v>
      </c>
    </row>
    <row r="2441" customFormat="false" ht="15" hidden="false" customHeight="false" outlineLevel="0" collapsed="false">
      <c r="A2441" s="12" t="n">
        <f aca="false">Data!A2441</f>
        <v>45551</v>
      </c>
      <c r="B2441" s="14" t="n">
        <f aca="false">Data!B2441</f>
        <v>70.09</v>
      </c>
      <c r="C2441" s="0" t="str">
        <f aca="false">IF(Data!D2441="","HOLD",IF(AND(G2440&lt;&gt;"IN",Data!E2441&lt;-5),"BUY",IF(AND(G2440="IN",Data!E2441&gt;0),"SELL","HOLD")))</f>
        <v>HOLD</v>
      </c>
      <c r="D2441" s="14" t="n">
        <f aca="false">IF(C2441="BUY",B2441,IF(G2440="IN",D2440,""))</f>
        <v>70.34</v>
      </c>
      <c r="E2441" s="14" t="str">
        <f aca="false">IF(C2441="SELL",B2441,"")</f>
        <v/>
      </c>
      <c r="F2441" s="14" t="str">
        <f aca="false">IF(E2441="","",(E2441-D2441)/D2441*100)</f>
        <v/>
      </c>
      <c r="G2441" s="0" t="str">
        <f aca="false">IF(C2441="BUY","IN",IF(C2441="SELL","OUT",IF(G2440="IN","IN","OUT")))</f>
        <v>IN</v>
      </c>
      <c r="H2441" s="14" t="n">
        <f aca="false">H2440+IF(F2441="",0,F2441)</f>
        <v>38.6000227745325</v>
      </c>
      <c r="I2441" s="14" t="n">
        <f aca="false">MAX(I2440,H2441)</f>
        <v>43.9309628600509</v>
      </c>
      <c r="J2441" s="14" t="n">
        <f aca="false">I2441-H2441</f>
        <v>5.33094008551837</v>
      </c>
    </row>
    <row r="2442" customFormat="false" ht="15" hidden="false" customHeight="false" outlineLevel="0" collapsed="false">
      <c r="A2442" s="12" t="n">
        <f aca="false">Data!A2442</f>
        <v>45552</v>
      </c>
      <c r="B2442" s="14" t="n">
        <f aca="false">Data!B2442</f>
        <v>71.19</v>
      </c>
      <c r="C2442" s="0" t="str">
        <f aca="false">IF(Data!D2442="","HOLD",IF(AND(G2441&lt;&gt;"IN",Data!E2442&lt;-5),"BUY",IF(AND(G2441="IN",Data!E2442&gt;0),"SELL","HOLD")))</f>
        <v>HOLD</v>
      </c>
      <c r="D2442" s="14" t="n">
        <f aca="false">IF(C2442="BUY",B2442,IF(G2441="IN",D2441,""))</f>
        <v>70.34</v>
      </c>
      <c r="E2442" s="14" t="str">
        <f aca="false">IF(C2442="SELL",B2442,"")</f>
        <v/>
      </c>
      <c r="F2442" s="14" t="str">
        <f aca="false">IF(E2442="","",(E2442-D2442)/D2442*100)</f>
        <v/>
      </c>
      <c r="G2442" s="0" t="str">
        <f aca="false">IF(C2442="BUY","IN",IF(C2442="SELL","OUT",IF(G2441="IN","IN","OUT")))</f>
        <v>IN</v>
      </c>
      <c r="H2442" s="14" t="n">
        <f aca="false">H2441+IF(F2442="",0,F2442)</f>
        <v>38.6000227745325</v>
      </c>
      <c r="I2442" s="14" t="n">
        <f aca="false">MAX(I2441,H2442)</f>
        <v>43.9309628600509</v>
      </c>
      <c r="J2442" s="14" t="n">
        <f aca="false">I2442-H2442</f>
        <v>5.33094008551837</v>
      </c>
    </row>
    <row r="2443" customFormat="false" ht="15" hidden="false" customHeight="false" outlineLevel="0" collapsed="false">
      <c r="A2443" s="12" t="n">
        <f aca="false">Data!A2443</f>
        <v>45553</v>
      </c>
      <c r="B2443" s="14" t="n">
        <f aca="false">Data!B2443</f>
        <v>70.91</v>
      </c>
      <c r="C2443" s="0" t="str">
        <f aca="false">IF(Data!D2443="","HOLD",IF(AND(G2442&lt;&gt;"IN",Data!E2443&lt;-5),"BUY",IF(AND(G2442="IN",Data!E2443&gt;0),"SELL","HOLD")))</f>
        <v>HOLD</v>
      </c>
      <c r="D2443" s="14" t="n">
        <f aca="false">IF(C2443="BUY",B2443,IF(G2442="IN",D2442,""))</f>
        <v>70.34</v>
      </c>
      <c r="E2443" s="14" t="str">
        <f aca="false">IF(C2443="SELL",B2443,"")</f>
        <v/>
      </c>
      <c r="F2443" s="14" t="str">
        <f aca="false">IF(E2443="","",(E2443-D2443)/D2443*100)</f>
        <v/>
      </c>
      <c r="G2443" s="0" t="str">
        <f aca="false">IF(C2443="BUY","IN",IF(C2443="SELL","OUT",IF(G2442="IN","IN","OUT")))</f>
        <v>IN</v>
      </c>
      <c r="H2443" s="14" t="n">
        <f aca="false">H2442+IF(F2443="",0,F2443)</f>
        <v>38.6000227745325</v>
      </c>
      <c r="I2443" s="14" t="n">
        <f aca="false">MAX(I2442,H2443)</f>
        <v>43.9309628600509</v>
      </c>
      <c r="J2443" s="14" t="n">
        <f aca="false">I2443-H2443</f>
        <v>5.33094008551837</v>
      </c>
    </row>
    <row r="2444" customFormat="false" ht="15" hidden="false" customHeight="false" outlineLevel="0" collapsed="false">
      <c r="A2444" s="12" t="n">
        <f aca="false">Data!A2444</f>
        <v>45554</v>
      </c>
      <c r="B2444" s="14" t="n">
        <f aca="false">Data!B2444</f>
        <v>71.95</v>
      </c>
      <c r="C2444" s="0" t="str">
        <f aca="false">IF(Data!D2444="","HOLD",IF(AND(G2443&lt;&gt;"IN",Data!E2444&lt;-5),"BUY",IF(AND(G2443="IN",Data!E2444&gt;0),"SELL","HOLD")))</f>
        <v>SELL</v>
      </c>
      <c r="D2444" s="14" t="n">
        <f aca="false">IF(C2444="BUY",B2444,IF(G2443="IN",D2443,""))</f>
        <v>70.34</v>
      </c>
      <c r="E2444" s="14" t="n">
        <f aca="false">IF(C2444="SELL",B2444,"")</f>
        <v>71.95</v>
      </c>
      <c r="F2444" s="14" t="n">
        <f aca="false">IF(E2444="","",(E2444-D2444)/D2444*100)</f>
        <v>2.28888257037248</v>
      </c>
      <c r="G2444" s="0" t="str">
        <f aca="false">IF(C2444="BUY","IN",IF(C2444="SELL","OUT",IF(G2443="IN","IN","OUT")))</f>
        <v>OUT</v>
      </c>
      <c r="H2444" s="14" t="n">
        <f aca="false">H2443+IF(F2444="",0,F2444)</f>
        <v>40.888905344905</v>
      </c>
      <c r="I2444" s="14" t="n">
        <f aca="false">MAX(I2443,H2444)</f>
        <v>43.9309628600509</v>
      </c>
      <c r="J2444" s="14" t="n">
        <f aca="false">I2444-H2444</f>
        <v>3.04205751514589</v>
      </c>
    </row>
    <row r="2445" customFormat="false" ht="15" hidden="false" customHeight="false" outlineLevel="0" collapsed="false">
      <c r="A2445" s="12" t="n">
        <f aca="false">Data!A2445</f>
        <v>45555</v>
      </c>
      <c r="B2445" s="14" t="n">
        <f aca="false">Data!B2445</f>
        <v>71.92</v>
      </c>
      <c r="C2445" s="0" t="str">
        <f aca="false">IF(Data!D2445="","HOLD",IF(AND(G2444&lt;&gt;"IN",Data!E2445&lt;-5),"BUY",IF(AND(G2444="IN",Data!E2445&gt;0),"SELL","HOLD")))</f>
        <v>HOLD</v>
      </c>
      <c r="D2445" s="14" t="str">
        <f aca="false">IF(C2445="BUY",B2445,IF(G2444="IN",D2444,""))</f>
        <v/>
      </c>
      <c r="E2445" s="14" t="str">
        <f aca="false">IF(C2445="SELL",B2445,"")</f>
        <v/>
      </c>
      <c r="F2445" s="14" t="str">
        <f aca="false">IF(E2445="","",(E2445-D2445)/D2445*100)</f>
        <v/>
      </c>
      <c r="G2445" s="0" t="str">
        <f aca="false">IF(C2445="BUY","IN",IF(C2445="SELL","OUT",IF(G2444="IN","IN","OUT")))</f>
        <v>OUT</v>
      </c>
      <c r="H2445" s="14" t="n">
        <f aca="false">H2444+IF(F2445="",0,F2445)</f>
        <v>40.888905344905</v>
      </c>
      <c r="I2445" s="14" t="n">
        <f aca="false">MAX(I2444,H2445)</f>
        <v>43.9309628600509</v>
      </c>
      <c r="J2445" s="14" t="n">
        <f aca="false">I2445-H2445</f>
        <v>3.04205751514589</v>
      </c>
    </row>
    <row r="2446" customFormat="false" ht="15" hidden="false" customHeight="false" outlineLevel="0" collapsed="false">
      <c r="A2446" s="12" t="n">
        <f aca="false">Data!A2446</f>
        <v>45558</v>
      </c>
      <c r="B2446" s="14" t="n">
        <f aca="false">Data!B2446</f>
        <v>70.37</v>
      </c>
      <c r="C2446" s="0" t="str">
        <f aca="false">IF(Data!D2446="","HOLD",IF(AND(G2445&lt;&gt;"IN",Data!E2446&lt;-5),"BUY",IF(AND(G2445="IN",Data!E2446&gt;0),"SELL","HOLD")))</f>
        <v>HOLD</v>
      </c>
      <c r="D2446" s="14" t="str">
        <f aca="false">IF(C2446="BUY",B2446,IF(G2445="IN",D2445,""))</f>
        <v/>
      </c>
      <c r="E2446" s="14" t="str">
        <f aca="false">IF(C2446="SELL",B2446,"")</f>
        <v/>
      </c>
      <c r="F2446" s="14" t="str">
        <f aca="false">IF(E2446="","",(E2446-D2446)/D2446*100)</f>
        <v/>
      </c>
      <c r="G2446" s="0" t="str">
        <f aca="false">IF(C2446="BUY","IN",IF(C2446="SELL","OUT",IF(G2445="IN","IN","OUT")))</f>
        <v>OUT</v>
      </c>
      <c r="H2446" s="14" t="n">
        <f aca="false">H2445+IF(F2446="",0,F2446)</f>
        <v>40.888905344905</v>
      </c>
      <c r="I2446" s="14" t="n">
        <f aca="false">MAX(I2445,H2446)</f>
        <v>43.9309628600509</v>
      </c>
      <c r="J2446" s="14" t="n">
        <f aca="false">I2446-H2446</f>
        <v>3.04205751514589</v>
      </c>
    </row>
    <row r="2447" customFormat="false" ht="15" hidden="false" customHeight="false" outlineLevel="0" collapsed="false">
      <c r="A2447" s="12" t="n">
        <f aca="false">Data!A2447</f>
        <v>45559</v>
      </c>
      <c r="B2447" s="14" t="n">
        <f aca="false">Data!B2447</f>
        <v>71.56</v>
      </c>
      <c r="C2447" s="0" t="str">
        <f aca="false">IF(Data!D2447="","HOLD",IF(AND(G2446&lt;&gt;"IN",Data!E2447&lt;-5),"BUY",IF(AND(G2446="IN",Data!E2447&gt;0),"SELL","HOLD")))</f>
        <v>HOLD</v>
      </c>
      <c r="D2447" s="14" t="str">
        <f aca="false">IF(C2447="BUY",B2447,IF(G2446="IN",D2446,""))</f>
        <v/>
      </c>
      <c r="E2447" s="14" t="str">
        <f aca="false">IF(C2447="SELL",B2447,"")</f>
        <v/>
      </c>
      <c r="F2447" s="14" t="str">
        <f aca="false">IF(E2447="","",(E2447-D2447)/D2447*100)</f>
        <v/>
      </c>
      <c r="G2447" s="0" t="str">
        <f aca="false">IF(C2447="BUY","IN",IF(C2447="SELL","OUT",IF(G2446="IN","IN","OUT")))</f>
        <v>OUT</v>
      </c>
      <c r="H2447" s="14" t="n">
        <f aca="false">H2446+IF(F2447="",0,F2447)</f>
        <v>40.888905344905</v>
      </c>
      <c r="I2447" s="14" t="n">
        <f aca="false">MAX(I2446,H2447)</f>
        <v>43.9309628600509</v>
      </c>
      <c r="J2447" s="14" t="n">
        <f aca="false">I2447-H2447</f>
        <v>3.04205751514589</v>
      </c>
    </row>
    <row r="2448" customFormat="false" ht="15" hidden="false" customHeight="false" outlineLevel="0" collapsed="false">
      <c r="A2448" s="12" t="n">
        <f aca="false">Data!A2448</f>
        <v>45560</v>
      </c>
      <c r="B2448" s="14" t="n">
        <f aca="false">Data!B2448</f>
        <v>69.69</v>
      </c>
      <c r="C2448" s="0" t="str">
        <f aca="false">IF(Data!D2448="","HOLD",IF(AND(G2447&lt;&gt;"IN",Data!E2448&lt;-5),"BUY",IF(AND(G2447="IN",Data!E2448&gt;0),"SELL","HOLD")))</f>
        <v>HOLD</v>
      </c>
      <c r="D2448" s="14" t="str">
        <f aca="false">IF(C2448="BUY",B2448,IF(G2447="IN",D2447,""))</f>
        <v/>
      </c>
      <c r="E2448" s="14" t="str">
        <f aca="false">IF(C2448="SELL",B2448,"")</f>
        <v/>
      </c>
      <c r="F2448" s="14" t="str">
        <f aca="false">IF(E2448="","",(E2448-D2448)/D2448*100)</f>
        <v/>
      </c>
      <c r="G2448" s="0" t="str">
        <f aca="false">IF(C2448="BUY","IN",IF(C2448="SELL","OUT",IF(G2447="IN","IN","OUT")))</f>
        <v>OUT</v>
      </c>
      <c r="H2448" s="14" t="n">
        <f aca="false">H2447+IF(F2448="",0,F2448)</f>
        <v>40.888905344905</v>
      </c>
      <c r="I2448" s="14" t="n">
        <f aca="false">MAX(I2447,H2448)</f>
        <v>43.9309628600509</v>
      </c>
      <c r="J2448" s="14" t="n">
        <f aca="false">I2448-H2448</f>
        <v>3.04205751514589</v>
      </c>
    </row>
    <row r="2449" customFormat="false" ht="15" hidden="false" customHeight="false" outlineLevel="0" collapsed="false">
      <c r="A2449" s="12" t="n">
        <f aca="false">Data!A2449</f>
        <v>45561</v>
      </c>
      <c r="B2449" s="14" t="n">
        <f aca="false">Data!B2449</f>
        <v>67.67</v>
      </c>
      <c r="C2449" s="0" t="str">
        <f aca="false">IF(Data!D2449="","HOLD",IF(AND(G2448&lt;&gt;"IN",Data!E2449&lt;-5),"BUY",IF(AND(G2448="IN",Data!E2449&gt;0),"SELL","HOLD")))</f>
        <v>HOLD</v>
      </c>
      <c r="D2449" s="14" t="str">
        <f aca="false">IF(C2449="BUY",B2449,IF(G2448="IN",D2448,""))</f>
        <v/>
      </c>
      <c r="E2449" s="14" t="str">
        <f aca="false">IF(C2449="SELL",B2449,"")</f>
        <v/>
      </c>
      <c r="F2449" s="14" t="str">
        <f aca="false">IF(E2449="","",(E2449-D2449)/D2449*100)</f>
        <v/>
      </c>
      <c r="G2449" s="0" t="str">
        <f aca="false">IF(C2449="BUY","IN",IF(C2449="SELL","OUT",IF(G2448="IN","IN","OUT")))</f>
        <v>OUT</v>
      </c>
      <c r="H2449" s="14" t="n">
        <f aca="false">H2448+IF(F2449="",0,F2449)</f>
        <v>40.888905344905</v>
      </c>
      <c r="I2449" s="14" t="n">
        <f aca="false">MAX(I2448,H2449)</f>
        <v>43.9309628600509</v>
      </c>
      <c r="J2449" s="14" t="n">
        <f aca="false">I2449-H2449</f>
        <v>3.04205751514589</v>
      </c>
    </row>
    <row r="2450" customFormat="false" ht="15" hidden="false" customHeight="false" outlineLevel="0" collapsed="false">
      <c r="A2450" s="12" t="n">
        <f aca="false">Data!A2450</f>
        <v>45562</v>
      </c>
      <c r="B2450" s="14" t="n">
        <f aca="false">Data!B2450</f>
        <v>68.18</v>
      </c>
      <c r="C2450" s="0" t="str">
        <f aca="false">IF(Data!D2450="","HOLD",IF(AND(G2449&lt;&gt;"IN",Data!E2450&lt;-5),"BUY",IF(AND(G2449="IN",Data!E2450&gt;0),"SELL","HOLD")))</f>
        <v>HOLD</v>
      </c>
      <c r="D2450" s="14" t="str">
        <f aca="false">IF(C2450="BUY",B2450,IF(G2449="IN",D2449,""))</f>
        <v/>
      </c>
      <c r="E2450" s="14" t="str">
        <f aca="false">IF(C2450="SELL",B2450,"")</f>
        <v/>
      </c>
      <c r="F2450" s="14" t="str">
        <f aca="false">IF(E2450="","",(E2450-D2450)/D2450*100)</f>
        <v/>
      </c>
      <c r="G2450" s="0" t="str">
        <f aca="false">IF(C2450="BUY","IN",IF(C2450="SELL","OUT",IF(G2449="IN","IN","OUT")))</f>
        <v>OUT</v>
      </c>
      <c r="H2450" s="14" t="n">
        <f aca="false">H2449+IF(F2450="",0,F2450)</f>
        <v>40.888905344905</v>
      </c>
      <c r="I2450" s="14" t="n">
        <f aca="false">MAX(I2449,H2450)</f>
        <v>43.9309628600509</v>
      </c>
      <c r="J2450" s="14" t="n">
        <f aca="false">I2450-H2450</f>
        <v>3.04205751514589</v>
      </c>
    </row>
    <row r="2451" customFormat="false" ht="15" hidden="false" customHeight="false" outlineLevel="0" collapsed="false">
      <c r="A2451" s="12" t="n">
        <f aca="false">Data!A2451</f>
        <v>45565</v>
      </c>
      <c r="B2451" s="14" t="n">
        <f aca="false">Data!B2451</f>
        <v>68.17</v>
      </c>
      <c r="C2451" s="0" t="str">
        <f aca="false">IF(Data!D2451="","HOLD",IF(AND(G2450&lt;&gt;"IN",Data!E2451&lt;-5),"BUY",IF(AND(G2450="IN",Data!E2451&gt;0),"SELL","HOLD")))</f>
        <v>HOLD</v>
      </c>
      <c r="D2451" s="14" t="str">
        <f aca="false">IF(C2451="BUY",B2451,IF(G2450="IN",D2450,""))</f>
        <v/>
      </c>
      <c r="E2451" s="14" t="str">
        <f aca="false">IF(C2451="SELL",B2451,"")</f>
        <v/>
      </c>
      <c r="F2451" s="14" t="str">
        <f aca="false">IF(E2451="","",(E2451-D2451)/D2451*100)</f>
        <v/>
      </c>
      <c r="G2451" s="0" t="str">
        <f aca="false">IF(C2451="BUY","IN",IF(C2451="SELL","OUT",IF(G2450="IN","IN","OUT")))</f>
        <v>OUT</v>
      </c>
      <c r="H2451" s="14" t="n">
        <f aca="false">H2450+IF(F2451="",0,F2451)</f>
        <v>40.888905344905</v>
      </c>
      <c r="I2451" s="14" t="n">
        <f aca="false">MAX(I2450,H2451)</f>
        <v>43.9309628600509</v>
      </c>
      <c r="J2451" s="14" t="n">
        <f aca="false">I2451-H2451</f>
        <v>3.04205751514589</v>
      </c>
    </row>
    <row r="2452" customFormat="false" ht="15" hidden="false" customHeight="false" outlineLevel="0" collapsed="false">
      <c r="A2452" s="12" t="n">
        <f aca="false">Data!A2452</f>
        <v>45566</v>
      </c>
      <c r="B2452" s="14" t="n">
        <f aca="false">Data!B2452</f>
        <v>69.83</v>
      </c>
      <c r="C2452" s="0" t="str">
        <f aca="false">IF(Data!D2452="","HOLD",IF(AND(G2451&lt;&gt;"IN",Data!E2452&lt;-5),"BUY",IF(AND(G2451="IN",Data!E2452&gt;0),"SELL","HOLD")))</f>
        <v>HOLD</v>
      </c>
      <c r="D2452" s="14" t="str">
        <f aca="false">IF(C2452="BUY",B2452,IF(G2451="IN",D2451,""))</f>
        <v/>
      </c>
      <c r="E2452" s="14" t="str">
        <f aca="false">IF(C2452="SELL",B2452,"")</f>
        <v/>
      </c>
      <c r="F2452" s="14" t="str">
        <f aca="false">IF(E2452="","",(E2452-D2452)/D2452*100)</f>
        <v/>
      </c>
      <c r="G2452" s="0" t="str">
        <f aca="false">IF(C2452="BUY","IN",IF(C2452="SELL","OUT",IF(G2451="IN","IN","OUT")))</f>
        <v>OUT</v>
      </c>
      <c r="H2452" s="14" t="n">
        <f aca="false">H2451+IF(F2452="",0,F2452)</f>
        <v>40.888905344905</v>
      </c>
      <c r="I2452" s="14" t="n">
        <f aca="false">MAX(I2451,H2452)</f>
        <v>43.9309628600509</v>
      </c>
      <c r="J2452" s="14" t="n">
        <f aca="false">I2452-H2452</f>
        <v>3.04205751514589</v>
      </c>
    </row>
    <row r="2453" customFormat="false" ht="15" hidden="false" customHeight="false" outlineLevel="0" collapsed="false">
      <c r="A2453" s="12" t="n">
        <f aca="false">Data!A2453</f>
        <v>45567</v>
      </c>
      <c r="B2453" s="14" t="n">
        <f aca="false">Data!B2453</f>
        <v>70.1</v>
      </c>
      <c r="C2453" s="0" t="str">
        <f aca="false">IF(Data!D2453="","HOLD",IF(AND(G2452&lt;&gt;"IN",Data!E2453&lt;-5),"BUY",IF(AND(G2452="IN",Data!E2453&gt;0),"SELL","HOLD")))</f>
        <v>HOLD</v>
      </c>
      <c r="D2453" s="14" t="str">
        <f aca="false">IF(C2453="BUY",B2453,IF(G2452="IN",D2452,""))</f>
        <v/>
      </c>
      <c r="E2453" s="14" t="str">
        <f aca="false">IF(C2453="SELL",B2453,"")</f>
        <v/>
      </c>
      <c r="F2453" s="14" t="str">
        <f aca="false">IF(E2453="","",(E2453-D2453)/D2453*100)</f>
        <v/>
      </c>
      <c r="G2453" s="0" t="str">
        <f aca="false">IF(C2453="BUY","IN",IF(C2453="SELL","OUT",IF(G2452="IN","IN","OUT")))</f>
        <v>OUT</v>
      </c>
      <c r="H2453" s="14" t="n">
        <f aca="false">H2452+IF(F2453="",0,F2453)</f>
        <v>40.888905344905</v>
      </c>
      <c r="I2453" s="14" t="n">
        <f aca="false">MAX(I2452,H2453)</f>
        <v>43.9309628600509</v>
      </c>
      <c r="J2453" s="14" t="n">
        <f aca="false">I2453-H2453</f>
        <v>3.04205751514589</v>
      </c>
    </row>
    <row r="2454" customFormat="false" ht="15" hidden="false" customHeight="false" outlineLevel="0" collapsed="false">
      <c r="A2454" s="12" t="n">
        <f aca="false">Data!A2454</f>
        <v>45568</v>
      </c>
      <c r="B2454" s="14" t="n">
        <f aca="false">Data!B2454</f>
        <v>73.71</v>
      </c>
      <c r="C2454" s="0" t="str">
        <f aca="false">IF(Data!D2454="","HOLD",IF(AND(G2453&lt;&gt;"IN",Data!E2454&lt;-5),"BUY",IF(AND(G2453="IN",Data!E2454&gt;0),"SELL","HOLD")))</f>
        <v>HOLD</v>
      </c>
      <c r="D2454" s="14" t="str">
        <f aca="false">IF(C2454="BUY",B2454,IF(G2453="IN",D2453,""))</f>
        <v/>
      </c>
      <c r="E2454" s="14" t="str">
        <f aca="false">IF(C2454="SELL",B2454,"")</f>
        <v/>
      </c>
      <c r="F2454" s="14" t="str">
        <f aca="false">IF(E2454="","",(E2454-D2454)/D2454*100)</f>
        <v/>
      </c>
      <c r="G2454" s="0" t="str">
        <f aca="false">IF(C2454="BUY","IN",IF(C2454="SELL","OUT",IF(G2453="IN","IN","OUT")))</f>
        <v>OUT</v>
      </c>
      <c r="H2454" s="14" t="n">
        <f aca="false">H2453+IF(F2454="",0,F2454)</f>
        <v>40.888905344905</v>
      </c>
      <c r="I2454" s="14" t="n">
        <f aca="false">MAX(I2453,H2454)</f>
        <v>43.9309628600509</v>
      </c>
      <c r="J2454" s="14" t="n">
        <f aca="false">I2454-H2454</f>
        <v>3.04205751514589</v>
      </c>
    </row>
    <row r="2455" customFormat="false" ht="15" hidden="false" customHeight="false" outlineLevel="0" collapsed="false">
      <c r="A2455" s="12" t="n">
        <f aca="false">Data!A2455</f>
        <v>45569</v>
      </c>
      <c r="B2455" s="14" t="n">
        <f aca="false">Data!B2455</f>
        <v>74.38</v>
      </c>
      <c r="C2455" s="0" t="str">
        <f aca="false">IF(Data!D2455="","HOLD",IF(AND(G2454&lt;&gt;"IN",Data!E2455&lt;-5),"BUY",IF(AND(G2454="IN",Data!E2455&gt;0),"SELL","HOLD")))</f>
        <v>HOLD</v>
      </c>
      <c r="D2455" s="14" t="str">
        <f aca="false">IF(C2455="BUY",B2455,IF(G2454="IN",D2454,""))</f>
        <v/>
      </c>
      <c r="E2455" s="14" t="str">
        <f aca="false">IF(C2455="SELL",B2455,"")</f>
        <v/>
      </c>
      <c r="F2455" s="14" t="str">
        <f aca="false">IF(E2455="","",(E2455-D2455)/D2455*100)</f>
        <v/>
      </c>
      <c r="G2455" s="0" t="str">
        <f aca="false">IF(C2455="BUY","IN",IF(C2455="SELL","OUT",IF(G2454="IN","IN","OUT")))</f>
        <v>OUT</v>
      </c>
      <c r="H2455" s="14" t="n">
        <f aca="false">H2454+IF(F2455="",0,F2455)</f>
        <v>40.888905344905</v>
      </c>
      <c r="I2455" s="14" t="n">
        <f aca="false">MAX(I2454,H2455)</f>
        <v>43.9309628600509</v>
      </c>
      <c r="J2455" s="14" t="n">
        <f aca="false">I2455-H2455</f>
        <v>3.04205751514589</v>
      </c>
    </row>
    <row r="2456" customFormat="false" ht="15" hidden="false" customHeight="false" outlineLevel="0" collapsed="false">
      <c r="A2456" s="12" t="n">
        <f aca="false">Data!A2456</f>
        <v>45572</v>
      </c>
      <c r="B2456" s="14" t="n">
        <f aca="false">Data!B2456</f>
        <v>77.14</v>
      </c>
      <c r="C2456" s="0" t="str">
        <f aca="false">IF(Data!D2456="","HOLD",IF(AND(G2455&lt;&gt;"IN",Data!E2456&lt;-5),"BUY",IF(AND(G2455="IN",Data!E2456&gt;0),"SELL","HOLD")))</f>
        <v>HOLD</v>
      </c>
      <c r="D2456" s="14" t="str">
        <f aca="false">IF(C2456="BUY",B2456,IF(G2455="IN",D2455,""))</f>
        <v/>
      </c>
      <c r="E2456" s="14" t="str">
        <f aca="false">IF(C2456="SELL",B2456,"")</f>
        <v/>
      </c>
      <c r="F2456" s="14" t="str">
        <f aca="false">IF(E2456="","",(E2456-D2456)/D2456*100)</f>
        <v/>
      </c>
      <c r="G2456" s="0" t="str">
        <f aca="false">IF(C2456="BUY","IN",IF(C2456="SELL","OUT",IF(G2455="IN","IN","OUT")))</f>
        <v>OUT</v>
      </c>
      <c r="H2456" s="14" t="n">
        <f aca="false">H2455+IF(F2456="",0,F2456)</f>
        <v>40.888905344905</v>
      </c>
      <c r="I2456" s="14" t="n">
        <f aca="false">MAX(I2455,H2456)</f>
        <v>43.9309628600509</v>
      </c>
      <c r="J2456" s="14" t="n">
        <f aca="false">I2456-H2456</f>
        <v>3.04205751514589</v>
      </c>
    </row>
    <row r="2457" customFormat="false" ht="15" hidden="false" customHeight="false" outlineLevel="0" collapsed="false">
      <c r="A2457" s="12" t="n">
        <f aca="false">Data!A2457</f>
        <v>45573</v>
      </c>
      <c r="B2457" s="14" t="n">
        <f aca="false">Data!B2457</f>
        <v>73.57</v>
      </c>
      <c r="C2457" s="0" t="str">
        <f aca="false">IF(Data!D2457="","HOLD",IF(AND(G2456&lt;&gt;"IN",Data!E2457&lt;-5),"BUY",IF(AND(G2456="IN",Data!E2457&gt;0),"SELL","HOLD")))</f>
        <v>HOLD</v>
      </c>
      <c r="D2457" s="14" t="str">
        <f aca="false">IF(C2457="BUY",B2457,IF(G2456="IN",D2456,""))</f>
        <v/>
      </c>
      <c r="E2457" s="14" t="str">
        <f aca="false">IF(C2457="SELL",B2457,"")</f>
        <v/>
      </c>
      <c r="F2457" s="14" t="str">
        <f aca="false">IF(E2457="","",(E2457-D2457)/D2457*100)</f>
        <v/>
      </c>
      <c r="G2457" s="0" t="str">
        <f aca="false">IF(C2457="BUY","IN",IF(C2457="SELL","OUT",IF(G2456="IN","IN","OUT")))</f>
        <v>OUT</v>
      </c>
      <c r="H2457" s="14" t="n">
        <f aca="false">H2456+IF(F2457="",0,F2457)</f>
        <v>40.888905344905</v>
      </c>
      <c r="I2457" s="14" t="n">
        <f aca="false">MAX(I2456,H2457)</f>
        <v>43.9309628600509</v>
      </c>
      <c r="J2457" s="14" t="n">
        <f aca="false">I2457-H2457</f>
        <v>3.04205751514589</v>
      </c>
    </row>
    <row r="2458" customFormat="false" ht="15" hidden="false" customHeight="false" outlineLevel="0" collapsed="false">
      <c r="A2458" s="12" t="n">
        <f aca="false">Data!A2458</f>
        <v>45574</v>
      </c>
      <c r="B2458" s="14" t="n">
        <f aca="false">Data!B2458</f>
        <v>73.24</v>
      </c>
      <c r="C2458" s="0" t="str">
        <f aca="false">IF(Data!D2458="","HOLD",IF(AND(G2457&lt;&gt;"IN",Data!E2458&lt;-5),"BUY",IF(AND(G2457="IN",Data!E2458&gt;0),"SELL","HOLD")))</f>
        <v>HOLD</v>
      </c>
      <c r="D2458" s="14" t="str">
        <f aca="false">IF(C2458="BUY",B2458,IF(G2457="IN",D2457,""))</f>
        <v/>
      </c>
      <c r="E2458" s="14" t="str">
        <f aca="false">IF(C2458="SELL",B2458,"")</f>
        <v/>
      </c>
      <c r="F2458" s="14" t="str">
        <f aca="false">IF(E2458="","",(E2458-D2458)/D2458*100)</f>
        <v/>
      </c>
      <c r="G2458" s="0" t="str">
        <f aca="false">IF(C2458="BUY","IN",IF(C2458="SELL","OUT",IF(G2457="IN","IN","OUT")))</f>
        <v>OUT</v>
      </c>
      <c r="H2458" s="14" t="n">
        <f aca="false">H2457+IF(F2458="",0,F2458)</f>
        <v>40.888905344905</v>
      </c>
      <c r="I2458" s="14" t="n">
        <f aca="false">MAX(I2457,H2458)</f>
        <v>43.9309628600509</v>
      </c>
      <c r="J2458" s="14" t="n">
        <f aca="false">I2458-H2458</f>
        <v>3.04205751514589</v>
      </c>
    </row>
    <row r="2459" customFormat="false" ht="15" hidden="false" customHeight="false" outlineLevel="0" collapsed="false">
      <c r="A2459" s="12" t="n">
        <f aca="false">Data!A2459</f>
        <v>45575</v>
      </c>
      <c r="B2459" s="14" t="n">
        <f aca="false">Data!B2459</f>
        <v>75.85</v>
      </c>
      <c r="C2459" s="0" t="str">
        <f aca="false">IF(Data!D2459="","HOLD",IF(AND(G2458&lt;&gt;"IN",Data!E2459&lt;-5),"BUY",IF(AND(G2458="IN",Data!E2459&gt;0),"SELL","HOLD")))</f>
        <v>HOLD</v>
      </c>
      <c r="D2459" s="14" t="str">
        <f aca="false">IF(C2459="BUY",B2459,IF(G2458="IN",D2458,""))</f>
        <v/>
      </c>
      <c r="E2459" s="14" t="str">
        <f aca="false">IF(C2459="SELL",B2459,"")</f>
        <v/>
      </c>
      <c r="F2459" s="14" t="str">
        <f aca="false">IF(E2459="","",(E2459-D2459)/D2459*100)</f>
        <v/>
      </c>
      <c r="G2459" s="0" t="str">
        <f aca="false">IF(C2459="BUY","IN",IF(C2459="SELL","OUT",IF(G2458="IN","IN","OUT")))</f>
        <v>OUT</v>
      </c>
      <c r="H2459" s="14" t="n">
        <f aca="false">H2458+IF(F2459="",0,F2459)</f>
        <v>40.888905344905</v>
      </c>
      <c r="I2459" s="14" t="n">
        <f aca="false">MAX(I2458,H2459)</f>
        <v>43.9309628600509</v>
      </c>
      <c r="J2459" s="14" t="n">
        <f aca="false">I2459-H2459</f>
        <v>3.04205751514589</v>
      </c>
    </row>
    <row r="2460" customFormat="false" ht="15" hidden="false" customHeight="false" outlineLevel="0" collapsed="false">
      <c r="A2460" s="12" t="n">
        <f aca="false">Data!A2460</f>
        <v>45576</v>
      </c>
      <c r="B2460" s="14" t="n">
        <f aca="false">Data!B2460</f>
        <v>75.56</v>
      </c>
      <c r="C2460" s="0" t="str">
        <f aca="false">IF(Data!D2460="","HOLD",IF(AND(G2459&lt;&gt;"IN",Data!E2460&lt;-5),"BUY",IF(AND(G2459="IN",Data!E2460&gt;0),"SELL","HOLD")))</f>
        <v>HOLD</v>
      </c>
      <c r="D2460" s="14" t="str">
        <f aca="false">IF(C2460="BUY",B2460,IF(G2459="IN",D2459,""))</f>
        <v/>
      </c>
      <c r="E2460" s="14" t="str">
        <f aca="false">IF(C2460="SELL",B2460,"")</f>
        <v/>
      </c>
      <c r="F2460" s="14" t="str">
        <f aca="false">IF(E2460="","",(E2460-D2460)/D2460*100)</f>
        <v/>
      </c>
      <c r="G2460" s="0" t="str">
        <f aca="false">IF(C2460="BUY","IN",IF(C2460="SELL","OUT",IF(G2459="IN","IN","OUT")))</f>
        <v>OUT</v>
      </c>
      <c r="H2460" s="14" t="n">
        <f aca="false">H2459+IF(F2460="",0,F2460)</f>
        <v>40.888905344905</v>
      </c>
      <c r="I2460" s="14" t="n">
        <f aca="false">MAX(I2459,H2460)</f>
        <v>43.9309628600509</v>
      </c>
      <c r="J2460" s="14" t="n">
        <f aca="false">I2460-H2460</f>
        <v>3.04205751514589</v>
      </c>
    </row>
    <row r="2461" customFormat="false" ht="15" hidden="false" customHeight="false" outlineLevel="0" collapsed="false">
      <c r="A2461" s="12" t="n">
        <f aca="false">Data!A2461</f>
        <v>45579</v>
      </c>
      <c r="B2461" s="14" t="n">
        <f aca="false">Data!B2461</f>
        <v>73.83</v>
      </c>
      <c r="C2461" s="0" t="str">
        <f aca="false">IF(Data!D2461="","HOLD",IF(AND(G2460&lt;&gt;"IN",Data!E2461&lt;-5),"BUY",IF(AND(G2460="IN",Data!E2461&gt;0),"SELL","HOLD")))</f>
        <v>HOLD</v>
      </c>
      <c r="D2461" s="14" t="str">
        <f aca="false">IF(C2461="BUY",B2461,IF(G2460="IN",D2460,""))</f>
        <v/>
      </c>
      <c r="E2461" s="14" t="str">
        <f aca="false">IF(C2461="SELL",B2461,"")</f>
        <v/>
      </c>
      <c r="F2461" s="14" t="str">
        <f aca="false">IF(E2461="","",(E2461-D2461)/D2461*100)</f>
        <v/>
      </c>
      <c r="G2461" s="0" t="str">
        <f aca="false">IF(C2461="BUY","IN",IF(C2461="SELL","OUT",IF(G2460="IN","IN","OUT")))</f>
        <v>OUT</v>
      </c>
      <c r="H2461" s="14" t="n">
        <f aca="false">H2460+IF(F2461="",0,F2461)</f>
        <v>40.888905344905</v>
      </c>
      <c r="I2461" s="14" t="n">
        <f aca="false">MAX(I2460,H2461)</f>
        <v>43.9309628600509</v>
      </c>
      <c r="J2461" s="14" t="n">
        <f aca="false">I2461-H2461</f>
        <v>3.04205751514589</v>
      </c>
    </row>
    <row r="2462" customFormat="false" ht="15" hidden="false" customHeight="false" outlineLevel="0" collapsed="false">
      <c r="A2462" s="12" t="n">
        <f aca="false">Data!A2462</f>
        <v>45580</v>
      </c>
      <c r="B2462" s="14" t="n">
        <f aca="false">Data!B2462</f>
        <v>70.58</v>
      </c>
      <c r="C2462" s="0" t="str">
        <f aca="false">IF(Data!D2462="","HOLD",IF(AND(G2461&lt;&gt;"IN",Data!E2462&lt;-5),"BUY",IF(AND(G2461="IN",Data!E2462&gt;0),"SELL","HOLD")))</f>
        <v>HOLD</v>
      </c>
      <c r="D2462" s="14" t="str">
        <f aca="false">IF(C2462="BUY",B2462,IF(G2461="IN",D2461,""))</f>
        <v/>
      </c>
      <c r="E2462" s="14" t="str">
        <f aca="false">IF(C2462="SELL",B2462,"")</f>
        <v/>
      </c>
      <c r="F2462" s="14" t="str">
        <f aca="false">IF(E2462="","",(E2462-D2462)/D2462*100)</f>
        <v/>
      </c>
      <c r="G2462" s="0" t="str">
        <f aca="false">IF(C2462="BUY","IN",IF(C2462="SELL","OUT",IF(G2461="IN","IN","OUT")))</f>
        <v>OUT</v>
      </c>
      <c r="H2462" s="14" t="n">
        <f aca="false">H2461+IF(F2462="",0,F2462)</f>
        <v>40.888905344905</v>
      </c>
      <c r="I2462" s="14" t="n">
        <f aca="false">MAX(I2461,H2462)</f>
        <v>43.9309628600509</v>
      </c>
      <c r="J2462" s="14" t="n">
        <f aca="false">I2462-H2462</f>
        <v>3.04205751514589</v>
      </c>
    </row>
    <row r="2463" customFormat="false" ht="15" hidden="false" customHeight="false" outlineLevel="0" collapsed="false">
      <c r="A2463" s="12" t="n">
        <f aca="false">Data!A2463</f>
        <v>45581</v>
      </c>
      <c r="B2463" s="14" t="n">
        <f aca="false">Data!B2463</f>
        <v>70.39</v>
      </c>
      <c r="C2463" s="0" t="str">
        <f aca="false">IF(Data!D2463="","HOLD",IF(AND(G2462&lt;&gt;"IN",Data!E2463&lt;-5),"BUY",IF(AND(G2462="IN",Data!E2463&gt;0),"SELL","HOLD")))</f>
        <v>HOLD</v>
      </c>
      <c r="D2463" s="14" t="str">
        <f aca="false">IF(C2463="BUY",B2463,IF(G2462="IN",D2462,""))</f>
        <v/>
      </c>
      <c r="E2463" s="14" t="str">
        <f aca="false">IF(C2463="SELL",B2463,"")</f>
        <v/>
      </c>
      <c r="F2463" s="14" t="str">
        <f aca="false">IF(E2463="","",(E2463-D2463)/D2463*100)</f>
        <v/>
      </c>
      <c r="G2463" s="0" t="str">
        <f aca="false">IF(C2463="BUY","IN",IF(C2463="SELL","OUT",IF(G2462="IN","IN","OUT")))</f>
        <v>OUT</v>
      </c>
      <c r="H2463" s="14" t="n">
        <f aca="false">H2462+IF(F2463="",0,F2463)</f>
        <v>40.888905344905</v>
      </c>
      <c r="I2463" s="14" t="n">
        <f aca="false">MAX(I2462,H2463)</f>
        <v>43.9309628600509</v>
      </c>
      <c r="J2463" s="14" t="n">
        <f aca="false">I2463-H2463</f>
        <v>3.04205751514589</v>
      </c>
    </row>
    <row r="2464" customFormat="false" ht="15" hidden="false" customHeight="false" outlineLevel="0" collapsed="false">
      <c r="A2464" s="12" t="n">
        <f aca="false">Data!A2464</f>
        <v>45582</v>
      </c>
      <c r="B2464" s="14" t="n">
        <f aca="false">Data!B2464</f>
        <v>70.67</v>
      </c>
      <c r="C2464" s="0" t="str">
        <f aca="false">IF(Data!D2464="","HOLD",IF(AND(G2463&lt;&gt;"IN",Data!E2464&lt;-5),"BUY",IF(AND(G2463="IN",Data!E2464&gt;0),"SELL","HOLD")))</f>
        <v>HOLD</v>
      </c>
      <c r="D2464" s="14" t="str">
        <f aca="false">IF(C2464="BUY",B2464,IF(G2463="IN",D2463,""))</f>
        <v/>
      </c>
      <c r="E2464" s="14" t="str">
        <f aca="false">IF(C2464="SELL",B2464,"")</f>
        <v/>
      </c>
      <c r="F2464" s="14" t="str">
        <f aca="false">IF(E2464="","",(E2464-D2464)/D2464*100)</f>
        <v/>
      </c>
      <c r="G2464" s="0" t="str">
        <f aca="false">IF(C2464="BUY","IN",IF(C2464="SELL","OUT",IF(G2463="IN","IN","OUT")))</f>
        <v>OUT</v>
      </c>
      <c r="H2464" s="14" t="n">
        <f aca="false">H2463+IF(F2464="",0,F2464)</f>
        <v>40.888905344905</v>
      </c>
      <c r="I2464" s="14" t="n">
        <f aca="false">MAX(I2463,H2464)</f>
        <v>43.9309628600509</v>
      </c>
      <c r="J2464" s="14" t="n">
        <f aca="false">I2464-H2464</f>
        <v>3.04205751514589</v>
      </c>
    </row>
    <row r="2465" customFormat="false" ht="15" hidden="false" customHeight="false" outlineLevel="0" collapsed="false">
      <c r="A2465" s="12" t="n">
        <f aca="false">Data!A2465</f>
        <v>45583</v>
      </c>
      <c r="B2465" s="14" t="n">
        <f aca="false">Data!B2465</f>
        <v>69.22</v>
      </c>
      <c r="C2465" s="0" t="str">
        <f aca="false">IF(Data!D2465="","HOLD",IF(AND(G2464&lt;&gt;"IN",Data!E2465&lt;-5),"BUY",IF(AND(G2464="IN",Data!E2465&gt;0),"SELL","HOLD")))</f>
        <v>HOLD</v>
      </c>
      <c r="D2465" s="14" t="str">
        <f aca="false">IF(C2465="BUY",B2465,IF(G2464="IN",D2464,""))</f>
        <v/>
      </c>
      <c r="E2465" s="14" t="str">
        <f aca="false">IF(C2465="SELL",B2465,"")</f>
        <v/>
      </c>
      <c r="F2465" s="14" t="str">
        <f aca="false">IF(E2465="","",(E2465-D2465)/D2465*100)</f>
        <v/>
      </c>
      <c r="G2465" s="0" t="str">
        <f aca="false">IF(C2465="BUY","IN",IF(C2465="SELL","OUT",IF(G2464="IN","IN","OUT")))</f>
        <v>OUT</v>
      </c>
      <c r="H2465" s="14" t="n">
        <f aca="false">H2464+IF(F2465="",0,F2465)</f>
        <v>40.888905344905</v>
      </c>
      <c r="I2465" s="14" t="n">
        <f aca="false">MAX(I2464,H2465)</f>
        <v>43.9309628600509</v>
      </c>
      <c r="J2465" s="14" t="n">
        <f aca="false">I2465-H2465</f>
        <v>3.04205751514589</v>
      </c>
    </row>
    <row r="2466" customFormat="false" ht="15" hidden="false" customHeight="false" outlineLevel="0" collapsed="false">
      <c r="A2466" s="12" t="n">
        <f aca="false">Data!A2466</f>
        <v>45586</v>
      </c>
      <c r="B2466" s="14" t="n">
        <f aca="false">Data!B2466</f>
        <v>70.56</v>
      </c>
      <c r="C2466" s="0" t="str">
        <f aca="false">IF(Data!D2466="","HOLD",IF(AND(G2465&lt;&gt;"IN",Data!E2466&lt;-5),"BUY",IF(AND(G2465="IN",Data!E2466&gt;0),"SELL","HOLD")))</f>
        <v>HOLD</v>
      </c>
      <c r="D2466" s="14" t="str">
        <f aca="false">IF(C2466="BUY",B2466,IF(G2465="IN",D2465,""))</f>
        <v/>
      </c>
      <c r="E2466" s="14" t="str">
        <f aca="false">IF(C2466="SELL",B2466,"")</f>
        <v/>
      </c>
      <c r="F2466" s="14" t="str">
        <f aca="false">IF(E2466="","",(E2466-D2466)/D2466*100)</f>
        <v/>
      </c>
      <c r="G2466" s="0" t="str">
        <f aca="false">IF(C2466="BUY","IN",IF(C2466="SELL","OUT",IF(G2465="IN","IN","OUT")))</f>
        <v>OUT</v>
      </c>
      <c r="H2466" s="14" t="n">
        <f aca="false">H2465+IF(F2466="",0,F2466)</f>
        <v>40.888905344905</v>
      </c>
      <c r="I2466" s="14" t="n">
        <f aca="false">MAX(I2465,H2466)</f>
        <v>43.9309628600509</v>
      </c>
      <c r="J2466" s="14" t="n">
        <f aca="false">I2466-H2466</f>
        <v>3.04205751514589</v>
      </c>
    </row>
    <row r="2467" customFormat="false" ht="15" hidden="false" customHeight="false" outlineLevel="0" collapsed="false">
      <c r="A2467" s="12" t="n">
        <f aca="false">Data!A2467</f>
        <v>45587</v>
      </c>
      <c r="B2467" s="14" t="n">
        <f aca="false">Data!B2467</f>
        <v>72.09</v>
      </c>
      <c r="C2467" s="0" t="str">
        <f aca="false">IF(Data!D2467="","HOLD",IF(AND(G2466&lt;&gt;"IN",Data!E2467&lt;-5),"BUY",IF(AND(G2466="IN",Data!E2467&gt;0),"SELL","HOLD")))</f>
        <v>HOLD</v>
      </c>
      <c r="D2467" s="14" t="str">
        <f aca="false">IF(C2467="BUY",B2467,IF(G2466="IN",D2466,""))</f>
        <v/>
      </c>
      <c r="E2467" s="14" t="str">
        <f aca="false">IF(C2467="SELL",B2467,"")</f>
        <v/>
      </c>
      <c r="F2467" s="14" t="str">
        <f aca="false">IF(E2467="","",(E2467-D2467)/D2467*100)</f>
        <v/>
      </c>
      <c r="G2467" s="0" t="str">
        <f aca="false">IF(C2467="BUY","IN",IF(C2467="SELL","OUT",IF(G2466="IN","IN","OUT")))</f>
        <v>OUT</v>
      </c>
      <c r="H2467" s="14" t="n">
        <f aca="false">H2466+IF(F2467="",0,F2467)</f>
        <v>40.888905344905</v>
      </c>
      <c r="I2467" s="14" t="n">
        <f aca="false">MAX(I2466,H2467)</f>
        <v>43.9309628600509</v>
      </c>
      <c r="J2467" s="14" t="n">
        <f aca="false">I2467-H2467</f>
        <v>3.04205751514589</v>
      </c>
    </row>
    <row r="2468" customFormat="false" ht="15" hidden="false" customHeight="false" outlineLevel="0" collapsed="false">
      <c r="A2468" s="12" t="n">
        <f aca="false">Data!A2468</f>
        <v>45588</v>
      </c>
      <c r="B2468" s="14" t="n">
        <f aca="false">Data!B2468</f>
        <v>70.77</v>
      </c>
      <c r="C2468" s="0" t="str">
        <f aca="false">IF(Data!D2468="","HOLD",IF(AND(G2467&lt;&gt;"IN",Data!E2468&lt;-5),"BUY",IF(AND(G2467="IN",Data!E2468&gt;0),"SELL","HOLD")))</f>
        <v>HOLD</v>
      </c>
      <c r="D2468" s="14" t="str">
        <f aca="false">IF(C2468="BUY",B2468,IF(G2467="IN",D2467,""))</f>
        <v/>
      </c>
      <c r="E2468" s="14" t="str">
        <f aca="false">IF(C2468="SELL",B2468,"")</f>
        <v/>
      </c>
      <c r="F2468" s="14" t="str">
        <f aca="false">IF(E2468="","",(E2468-D2468)/D2468*100)</f>
        <v/>
      </c>
      <c r="G2468" s="0" t="str">
        <f aca="false">IF(C2468="BUY","IN",IF(C2468="SELL","OUT",IF(G2467="IN","IN","OUT")))</f>
        <v>OUT</v>
      </c>
      <c r="H2468" s="14" t="n">
        <f aca="false">H2467+IF(F2468="",0,F2468)</f>
        <v>40.888905344905</v>
      </c>
      <c r="I2468" s="14" t="n">
        <f aca="false">MAX(I2467,H2468)</f>
        <v>43.9309628600509</v>
      </c>
      <c r="J2468" s="14" t="n">
        <f aca="false">I2468-H2468</f>
        <v>3.04205751514589</v>
      </c>
    </row>
    <row r="2469" customFormat="false" ht="15" hidden="false" customHeight="false" outlineLevel="0" collapsed="false">
      <c r="A2469" s="12" t="n">
        <f aca="false">Data!A2469</f>
        <v>45589</v>
      </c>
      <c r="B2469" s="14" t="n">
        <f aca="false">Data!B2469</f>
        <v>70.19</v>
      </c>
      <c r="C2469" s="0" t="str">
        <f aca="false">IF(Data!D2469="","HOLD",IF(AND(G2468&lt;&gt;"IN",Data!E2469&lt;-5),"BUY",IF(AND(G2468="IN",Data!E2469&gt;0),"SELL","HOLD")))</f>
        <v>HOLD</v>
      </c>
      <c r="D2469" s="14" t="str">
        <f aca="false">IF(C2469="BUY",B2469,IF(G2468="IN",D2468,""))</f>
        <v/>
      </c>
      <c r="E2469" s="14" t="str">
        <f aca="false">IF(C2469="SELL",B2469,"")</f>
        <v/>
      </c>
      <c r="F2469" s="14" t="str">
        <f aca="false">IF(E2469="","",(E2469-D2469)/D2469*100)</f>
        <v/>
      </c>
      <c r="G2469" s="0" t="str">
        <f aca="false">IF(C2469="BUY","IN",IF(C2469="SELL","OUT",IF(G2468="IN","IN","OUT")))</f>
        <v>OUT</v>
      </c>
      <c r="H2469" s="14" t="n">
        <f aca="false">H2468+IF(F2469="",0,F2469)</f>
        <v>40.888905344905</v>
      </c>
      <c r="I2469" s="14" t="n">
        <f aca="false">MAX(I2468,H2469)</f>
        <v>43.9309628600509</v>
      </c>
      <c r="J2469" s="14" t="n">
        <f aca="false">I2469-H2469</f>
        <v>3.04205751514589</v>
      </c>
    </row>
    <row r="2470" customFormat="false" ht="15" hidden="false" customHeight="false" outlineLevel="0" collapsed="false">
      <c r="A2470" s="12" t="n">
        <f aca="false">Data!A2470</f>
        <v>45590</v>
      </c>
      <c r="B2470" s="14" t="n">
        <f aca="false">Data!B2470</f>
        <v>71.78</v>
      </c>
      <c r="C2470" s="0" t="str">
        <f aca="false">IF(Data!D2470="","HOLD",IF(AND(G2469&lt;&gt;"IN",Data!E2470&lt;-5),"BUY",IF(AND(G2469="IN",Data!E2470&gt;0),"SELL","HOLD")))</f>
        <v>HOLD</v>
      </c>
      <c r="D2470" s="14" t="str">
        <f aca="false">IF(C2470="BUY",B2470,IF(G2469="IN",D2469,""))</f>
        <v/>
      </c>
      <c r="E2470" s="14" t="str">
        <f aca="false">IF(C2470="SELL",B2470,"")</f>
        <v/>
      </c>
      <c r="F2470" s="14" t="str">
        <f aca="false">IF(E2470="","",(E2470-D2470)/D2470*100)</f>
        <v/>
      </c>
      <c r="G2470" s="0" t="str">
        <f aca="false">IF(C2470="BUY","IN",IF(C2470="SELL","OUT",IF(G2469="IN","IN","OUT")))</f>
        <v>OUT</v>
      </c>
      <c r="H2470" s="14" t="n">
        <f aca="false">H2469+IF(F2470="",0,F2470)</f>
        <v>40.888905344905</v>
      </c>
      <c r="I2470" s="14" t="n">
        <f aca="false">MAX(I2469,H2470)</f>
        <v>43.9309628600509</v>
      </c>
      <c r="J2470" s="14" t="n">
        <f aca="false">I2470-H2470</f>
        <v>3.04205751514589</v>
      </c>
    </row>
    <row r="2471" customFormat="false" ht="15" hidden="false" customHeight="false" outlineLevel="0" collapsed="false">
      <c r="A2471" s="12" t="n">
        <f aca="false">Data!A2471</f>
        <v>45593</v>
      </c>
      <c r="B2471" s="14" t="n">
        <f aca="false">Data!B2471</f>
        <v>67.38</v>
      </c>
      <c r="C2471" s="0" t="str">
        <f aca="false">IF(Data!D2471="","HOLD",IF(AND(G2470&lt;&gt;"IN",Data!E2471&lt;-5),"BUY",IF(AND(G2470="IN",Data!E2471&gt;0),"SELL","HOLD")))</f>
        <v>BUY</v>
      </c>
      <c r="D2471" s="14" t="n">
        <f aca="false">IF(C2471="BUY",B2471,IF(G2470="IN",D2470,""))</f>
        <v>67.38</v>
      </c>
      <c r="E2471" s="14" t="str">
        <f aca="false">IF(C2471="SELL",B2471,"")</f>
        <v/>
      </c>
      <c r="F2471" s="14" t="str">
        <f aca="false">IF(E2471="","",(E2471-D2471)/D2471*100)</f>
        <v/>
      </c>
      <c r="G2471" s="0" t="str">
        <f aca="false">IF(C2471="BUY","IN",IF(C2471="SELL","OUT",IF(G2470="IN","IN","OUT")))</f>
        <v>IN</v>
      </c>
      <c r="H2471" s="14" t="n">
        <f aca="false">H2470+IF(F2471="",0,F2471)</f>
        <v>40.888905344905</v>
      </c>
      <c r="I2471" s="14" t="n">
        <f aca="false">MAX(I2470,H2471)</f>
        <v>43.9309628600509</v>
      </c>
      <c r="J2471" s="14" t="n">
        <f aca="false">I2471-H2471</f>
        <v>3.04205751514589</v>
      </c>
    </row>
    <row r="2472" customFormat="false" ht="15" hidden="false" customHeight="false" outlineLevel="0" collapsed="false">
      <c r="A2472" s="12" t="n">
        <f aca="false">Data!A2472</f>
        <v>45594</v>
      </c>
      <c r="B2472" s="14" t="n">
        <f aca="false">Data!B2472</f>
        <v>67.21</v>
      </c>
      <c r="C2472" s="0" t="str">
        <f aca="false">IF(Data!D2472="","HOLD",IF(AND(G2471&lt;&gt;"IN",Data!E2472&lt;-5),"BUY",IF(AND(G2471="IN",Data!E2472&gt;0),"SELL","HOLD")))</f>
        <v>HOLD</v>
      </c>
      <c r="D2472" s="14" t="n">
        <f aca="false">IF(C2472="BUY",B2472,IF(G2471="IN",D2471,""))</f>
        <v>67.38</v>
      </c>
      <c r="E2472" s="14" t="str">
        <f aca="false">IF(C2472="SELL",B2472,"")</f>
        <v/>
      </c>
      <c r="F2472" s="14" t="str">
        <f aca="false">IF(E2472="","",(E2472-D2472)/D2472*100)</f>
        <v/>
      </c>
      <c r="G2472" s="0" t="str">
        <f aca="false">IF(C2472="BUY","IN",IF(C2472="SELL","OUT",IF(G2471="IN","IN","OUT")))</f>
        <v>IN</v>
      </c>
      <c r="H2472" s="14" t="n">
        <f aca="false">H2471+IF(F2472="",0,F2472)</f>
        <v>40.888905344905</v>
      </c>
      <c r="I2472" s="14" t="n">
        <f aca="false">MAX(I2471,H2472)</f>
        <v>43.9309628600509</v>
      </c>
      <c r="J2472" s="14" t="n">
        <f aca="false">I2472-H2472</f>
        <v>3.04205751514589</v>
      </c>
    </row>
    <row r="2473" customFormat="false" ht="15" hidden="false" customHeight="false" outlineLevel="0" collapsed="false">
      <c r="A2473" s="12" t="n">
        <f aca="false">Data!A2473</f>
        <v>45595</v>
      </c>
      <c r="B2473" s="14" t="n">
        <f aca="false">Data!B2473</f>
        <v>68.61</v>
      </c>
      <c r="C2473" s="0" t="str">
        <f aca="false">IF(Data!D2473="","HOLD",IF(AND(G2472&lt;&gt;"IN",Data!E2473&lt;-5),"BUY",IF(AND(G2472="IN",Data!E2473&gt;0),"SELL","HOLD")))</f>
        <v>HOLD</v>
      </c>
      <c r="D2473" s="14" t="n">
        <f aca="false">IF(C2473="BUY",B2473,IF(G2472="IN",D2472,""))</f>
        <v>67.38</v>
      </c>
      <c r="E2473" s="14" t="str">
        <f aca="false">IF(C2473="SELL",B2473,"")</f>
        <v/>
      </c>
      <c r="F2473" s="14" t="str">
        <f aca="false">IF(E2473="","",(E2473-D2473)/D2473*100)</f>
        <v/>
      </c>
      <c r="G2473" s="0" t="str">
        <f aca="false">IF(C2473="BUY","IN",IF(C2473="SELL","OUT",IF(G2472="IN","IN","OUT")))</f>
        <v>IN</v>
      </c>
      <c r="H2473" s="14" t="n">
        <f aca="false">H2472+IF(F2473="",0,F2473)</f>
        <v>40.888905344905</v>
      </c>
      <c r="I2473" s="14" t="n">
        <f aca="false">MAX(I2472,H2473)</f>
        <v>43.9309628600509</v>
      </c>
      <c r="J2473" s="14" t="n">
        <f aca="false">I2473-H2473</f>
        <v>3.04205751514589</v>
      </c>
    </row>
    <row r="2474" customFormat="false" ht="15" hidden="false" customHeight="false" outlineLevel="0" collapsed="false">
      <c r="A2474" s="12" t="n">
        <f aca="false">Data!A2474</f>
        <v>45596</v>
      </c>
      <c r="B2474" s="14" t="n">
        <f aca="false">Data!B2474</f>
        <v>69.26</v>
      </c>
      <c r="C2474" s="0" t="str">
        <f aca="false">IF(Data!D2474="","HOLD",IF(AND(G2473&lt;&gt;"IN",Data!E2474&lt;-5),"BUY",IF(AND(G2473="IN",Data!E2474&gt;0),"SELL","HOLD")))</f>
        <v>HOLD</v>
      </c>
      <c r="D2474" s="14" t="n">
        <f aca="false">IF(C2474="BUY",B2474,IF(G2473="IN",D2473,""))</f>
        <v>67.38</v>
      </c>
      <c r="E2474" s="14" t="str">
        <f aca="false">IF(C2474="SELL",B2474,"")</f>
        <v/>
      </c>
      <c r="F2474" s="14" t="str">
        <f aca="false">IF(E2474="","",(E2474-D2474)/D2474*100)</f>
        <v/>
      </c>
      <c r="G2474" s="0" t="str">
        <f aca="false">IF(C2474="BUY","IN",IF(C2474="SELL","OUT",IF(G2473="IN","IN","OUT")))</f>
        <v>IN</v>
      </c>
      <c r="H2474" s="14" t="n">
        <f aca="false">H2473+IF(F2474="",0,F2474)</f>
        <v>40.888905344905</v>
      </c>
      <c r="I2474" s="14" t="n">
        <f aca="false">MAX(I2473,H2474)</f>
        <v>43.9309628600509</v>
      </c>
      <c r="J2474" s="14" t="n">
        <f aca="false">I2474-H2474</f>
        <v>3.04205751514589</v>
      </c>
    </row>
    <row r="2475" customFormat="false" ht="15" hidden="false" customHeight="false" outlineLevel="0" collapsed="false">
      <c r="A2475" s="12" t="n">
        <f aca="false">Data!A2475</f>
        <v>45597</v>
      </c>
      <c r="B2475" s="14" t="n">
        <f aca="false">Data!B2475</f>
        <v>69.49</v>
      </c>
      <c r="C2475" s="0" t="str">
        <f aca="false">IF(Data!D2475="","HOLD",IF(AND(G2474&lt;&gt;"IN",Data!E2475&lt;-5),"BUY",IF(AND(G2474="IN",Data!E2475&gt;0),"SELL","HOLD")))</f>
        <v>HOLD</v>
      </c>
      <c r="D2475" s="14" t="n">
        <f aca="false">IF(C2475="BUY",B2475,IF(G2474="IN",D2474,""))</f>
        <v>67.38</v>
      </c>
      <c r="E2475" s="14" t="str">
        <f aca="false">IF(C2475="SELL",B2475,"")</f>
        <v/>
      </c>
      <c r="F2475" s="14" t="str">
        <f aca="false">IF(E2475="","",(E2475-D2475)/D2475*100)</f>
        <v/>
      </c>
      <c r="G2475" s="0" t="str">
        <f aca="false">IF(C2475="BUY","IN",IF(C2475="SELL","OUT",IF(G2474="IN","IN","OUT")))</f>
        <v>IN</v>
      </c>
      <c r="H2475" s="14" t="n">
        <f aca="false">H2474+IF(F2475="",0,F2475)</f>
        <v>40.888905344905</v>
      </c>
      <c r="I2475" s="14" t="n">
        <f aca="false">MAX(I2474,H2475)</f>
        <v>43.9309628600509</v>
      </c>
      <c r="J2475" s="14" t="n">
        <f aca="false">I2475-H2475</f>
        <v>3.04205751514589</v>
      </c>
    </row>
    <row r="2476" customFormat="false" ht="15" hidden="false" customHeight="false" outlineLevel="0" collapsed="false">
      <c r="A2476" s="12" t="n">
        <f aca="false">Data!A2476</f>
        <v>45600</v>
      </c>
      <c r="B2476" s="14" t="n">
        <f aca="false">Data!B2476</f>
        <v>71.47</v>
      </c>
      <c r="C2476" s="0" t="str">
        <f aca="false">IF(Data!D2476="","HOLD",IF(AND(G2475&lt;&gt;"IN",Data!E2476&lt;-5),"BUY",IF(AND(G2475="IN",Data!E2476&gt;0),"SELL","HOLD")))</f>
        <v>SELL</v>
      </c>
      <c r="D2476" s="14" t="n">
        <f aca="false">IF(C2476="BUY",B2476,IF(G2475="IN",D2475,""))</f>
        <v>67.38</v>
      </c>
      <c r="E2476" s="14" t="n">
        <f aca="false">IF(C2476="SELL",B2476,"")</f>
        <v>71.47</v>
      </c>
      <c r="F2476" s="14" t="n">
        <f aca="false">IF(E2476="","",(E2476-D2476)/D2476*100)</f>
        <v>6.07005046007718</v>
      </c>
      <c r="G2476" s="0" t="str">
        <f aca="false">IF(C2476="BUY","IN",IF(C2476="SELL","OUT",IF(G2475="IN","IN","OUT")))</f>
        <v>OUT</v>
      </c>
      <c r="H2476" s="14" t="n">
        <f aca="false">H2475+IF(F2476="",0,F2476)</f>
        <v>46.9589558049821</v>
      </c>
      <c r="I2476" s="14" t="n">
        <f aca="false">MAX(I2475,H2476)</f>
        <v>46.9589558049821</v>
      </c>
      <c r="J2476" s="14" t="n">
        <f aca="false">I2476-H2476</f>
        <v>0</v>
      </c>
    </row>
    <row r="2477" customFormat="false" ht="15" hidden="false" customHeight="false" outlineLevel="0" collapsed="false">
      <c r="A2477" s="12" t="n">
        <f aca="false">Data!A2477</f>
        <v>45601</v>
      </c>
      <c r="B2477" s="14" t="n">
        <f aca="false">Data!B2477</f>
        <v>71.99</v>
      </c>
      <c r="C2477" s="0" t="str">
        <f aca="false">IF(Data!D2477="","HOLD",IF(AND(G2476&lt;&gt;"IN",Data!E2477&lt;-5),"BUY",IF(AND(G2476="IN",Data!E2477&gt;0),"SELL","HOLD")))</f>
        <v>HOLD</v>
      </c>
      <c r="D2477" s="14" t="str">
        <f aca="false">IF(C2477="BUY",B2477,IF(G2476="IN",D2476,""))</f>
        <v/>
      </c>
      <c r="E2477" s="14" t="str">
        <f aca="false">IF(C2477="SELL",B2477,"")</f>
        <v/>
      </c>
      <c r="F2477" s="14" t="str">
        <f aca="false">IF(E2477="","",(E2477-D2477)/D2477*100)</f>
        <v/>
      </c>
      <c r="G2477" s="0" t="str">
        <f aca="false">IF(C2477="BUY","IN",IF(C2477="SELL","OUT",IF(G2476="IN","IN","OUT")))</f>
        <v>OUT</v>
      </c>
      <c r="H2477" s="14" t="n">
        <f aca="false">H2476+IF(F2477="",0,F2477)</f>
        <v>46.9589558049821</v>
      </c>
      <c r="I2477" s="14" t="n">
        <f aca="false">MAX(I2476,H2477)</f>
        <v>46.9589558049821</v>
      </c>
      <c r="J2477" s="14" t="n">
        <f aca="false">I2477-H2477</f>
        <v>0</v>
      </c>
    </row>
    <row r="2478" customFormat="false" ht="15" hidden="false" customHeight="false" outlineLevel="0" collapsed="false">
      <c r="A2478" s="12" t="n">
        <f aca="false">Data!A2478</f>
        <v>45602</v>
      </c>
      <c r="B2478" s="14" t="n">
        <f aca="false">Data!B2478</f>
        <v>71.69</v>
      </c>
      <c r="C2478" s="0" t="str">
        <f aca="false">IF(Data!D2478="","HOLD",IF(AND(G2477&lt;&gt;"IN",Data!E2478&lt;-5),"BUY",IF(AND(G2477="IN",Data!E2478&gt;0),"SELL","HOLD")))</f>
        <v>HOLD</v>
      </c>
      <c r="D2478" s="14" t="str">
        <f aca="false">IF(C2478="BUY",B2478,IF(G2477="IN",D2477,""))</f>
        <v/>
      </c>
      <c r="E2478" s="14" t="str">
        <f aca="false">IF(C2478="SELL",B2478,"")</f>
        <v/>
      </c>
      <c r="F2478" s="14" t="str">
        <f aca="false">IF(E2478="","",(E2478-D2478)/D2478*100)</f>
        <v/>
      </c>
      <c r="G2478" s="0" t="str">
        <f aca="false">IF(C2478="BUY","IN",IF(C2478="SELL","OUT",IF(G2477="IN","IN","OUT")))</f>
        <v>OUT</v>
      </c>
      <c r="H2478" s="14" t="n">
        <f aca="false">H2477+IF(F2478="",0,F2478)</f>
        <v>46.9589558049821</v>
      </c>
      <c r="I2478" s="14" t="n">
        <f aca="false">MAX(I2477,H2478)</f>
        <v>46.9589558049821</v>
      </c>
      <c r="J2478" s="14" t="n">
        <f aca="false">I2478-H2478</f>
        <v>0</v>
      </c>
    </row>
    <row r="2479" customFormat="false" ht="15" hidden="false" customHeight="false" outlineLevel="0" collapsed="false">
      <c r="A2479" s="12" t="n">
        <f aca="false">Data!A2479</f>
        <v>45603</v>
      </c>
      <c r="B2479" s="14" t="n">
        <f aca="false">Data!B2479</f>
        <v>72.36</v>
      </c>
      <c r="C2479" s="0" t="str">
        <f aca="false">IF(Data!D2479="","HOLD",IF(AND(G2478&lt;&gt;"IN",Data!E2479&lt;-5),"BUY",IF(AND(G2478="IN",Data!E2479&gt;0),"SELL","HOLD")))</f>
        <v>HOLD</v>
      </c>
      <c r="D2479" s="14" t="str">
        <f aca="false">IF(C2479="BUY",B2479,IF(G2478="IN",D2478,""))</f>
        <v/>
      </c>
      <c r="E2479" s="14" t="str">
        <f aca="false">IF(C2479="SELL",B2479,"")</f>
        <v/>
      </c>
      <c r="F2479" s="14" t="str">
        <f aca="false">IF(E2479="","",(E2479-D2479)/D2479*100)</f>
        <v/>
      </c>
      <c r="G2479" s="0" t="str">
        <f aca="false">IF(C2479="BUY","IN",IF(C2479="SELL","OUT",IF(G2478="IN","IN","OUT")))</f>
        <v>OUT</v>
      </c>
      <c r="H2479" s="14" t="n">
        <f aca="false">H2478+IF(F2479="",0,F2479)</f>
        <v>46.9589558049821</v>
      </c>
      <c r="I2479" s="14" t="n">
        <f aca="false">MAX(I2478,H2479)</f>
        <v>46.9589558049821</v>
      </c>
      <c r="J2479" s="14" t="n">
        <f aca="false">I2479-H2479</f>
        <v>0</v>
      </c>
    </row>
    <row r="2480" customFormat="false" ht="15" hidden="false" customHeight="false" outlineLevel="0" collapsed="false">
      <c r="A2480" s="12" t="n">
        <f aca="false">Data!A2480</f>
        <v>45604</v>
      </c>
      <c r="B2480" s="14" t="n">
        <f aca="false">Data!B2480</f>
        <v>70.38</v>
      </c>
      <c r="C2480" s="0" t="str">
        <f aca="false">IF(Data!D2480="","HOLD",IF(AND(G2479&lt;&gt;"IN",Data!E2480&lt;-5),"BUY",IF(AND(G2479="IN",Data!E2480&gt;0),"SELL","HOLD")))</f>
        <v>HOLD</v>
      </c>
      <c r="D2480" s="14" t="str">
        <f aca="false">IF(C2480="BUY",B2480,IF(G2479="IN",D2479,""))</f>
        <v/>
      </c>
      <c r="E2480" s="14" t="str">
        <f aca="false">IF(C2480="SELL",B2480,"")</f>
        <v/>
      </c>
      <c r="F2480" s="14" t="str">
        <f aca="false">IF(E2480="","",(E2480-D2480)/D2480*100)</f>
        <v/>
      </c>
      <c r="G2480" s="0" t="str">
        <f aca="false">IF(C2480="BUY","IN",IF(C2480="SELL","OUT",IF(G2479="IN","IN","OUT")))</f>
        <v>OUT</v>
      </c>
      <c r="H2480" s="14" t="n">
        <f aca="false">H2479+IF(F2480="",0,F2480)</f>
        <v>46.9589558049821</v>
      </c>
      <c r="I2480" s="14" t="n">
        <f aca="false">MAX(I2479,H2480)</f>
        <v>46.9589558049821</v>
      </c>
      <c r="J2480" s="14" t="n">
        <f aca="false">I2480-H2480</f>
        <v>0</v>
      </c>
    </row>
    <row r="2481" customFormat="false" ht="15" hidden="false" customHeight="false" outlineLevel="0" collapsed="false">
      <c r="A2481" s="12" t="n">
        <f aca="false">Data!A2481</f>
        <v>45607</v>
      </c>
      <c r="B2481" s="14" t="n">
        <f aca="false">Data!B2481</f>
        <v>68.04</v>
      </c>
      <c r="C2481" s="0" t="str">
        <f aca="false">IF(Data!D2481="","HOLD",IF(AND(G2480&lt;&gt;"IN",Data!E2481&lt;-5),"BUY",IF(AND(G2480="IN",Data!E2481&gt;0),"SELL","HOLD")))</f>
        <v>HOLD</v>
      </c>
      <c r="D2481" s="14" t="str">
        <f aca="false">IF(C2481="BUY",B2481,IF(G2480="IN",D2480,""))</f>
        <v/>
      </c>
      <c r="E2481" s="14" t="str">
        <f aca="false">IF(C2481="SELL",B2481,"")</f>
        <v/>
      </c>
      <c r="F2481" s="14" t="str">
        <f aca="false">IF(E2481="","",(E2481-D2481)/D2481*100)</f>
        <v/>
      </c>
      <c r="G2481" s="0" t="str">
        <f aca="false">IF(C2481="BUY","IN",IF(C2481="SELL","OUT",IF(G2480="IN","IN","OUT")))</f>
        <v>OUT</v>
      </c>
      <c r="H2481" s="14" t="n">
        <f aca="false">H2480+IF(F2481="",0,F2481)</f>
        <v>46.9589558049821</v>
      </c>
      <c r="I2481" s="14" t="n">
        <f aca="false">MAX(I2480,H2481)</f>
        <v>46.9589558049821</v>
      </c>
      <c r="J2481" s="14" t="n">
        <f aca="false">I2481-H2481</f>
        <v>0</v>
      </c>
    </row>
    <row r="2482" customFormat="false" ht="15" hidden="false" customHeight="false" outlineLevel="0" collapsed="false">
      <c r="A2482" s="12" t="n">
        <f aca="false">Data!A2482</f>
        <v>45608</v>
      </c>
      <c r="B2482" s="14" t="n">
        <f aca="false">Data!B2482</f>
        <v>68.12</v>
      </c>
      <c r="C2482" s="0" t="str">
        <f aca="false">IF(Data!D2482="","HOLD",IF(AND(G2481&lt;&gt;"IN",Data!E2482&lt;-5),"BUY",IF(AND(G2481="IN",Data!E2482&gt;0),"SELL","HOLD")))</f>
        <v>HOLD</v>
      </c>
      <c r="D2482" s="14" t="str">
        <f aca="false">IF(C2482="BUY",B2482,IF(G2481="IN",D2481,""))</f>
        <v/>
      </c>
      <c r="E2482" s="14" t="str">
        <f aca="false">IF(C2482="SELL",B2482,"")</f>
        <v/>
      </c>
      <c r="F2482" s="14" t="str">
        <f aca="false">IF(E2482="","",(E2482-D2482)/D2482*100)</f>
        <v/>
      </c>
      <c r="G2482" s="0" t="str">
        <f aca="false">IF(C2482="BUY","IN",IF(C2482="SELL","OUT",IF(G2481="IN","IN","OUT")))</f>
        <v>OUT</v>
      </c>
      <c r="H2482" s="14" t="n">
        <f aca="false">H2481+IF(F2482="",0,F2482)</f>
        <v>46.9589558049821</v>
      </c>
      <c r="I2482" s="14" t="n">
        <f aca="false">MAX(I2481,H2482)</f>
        <v>46.9589558049821</v>
      </c>
      <c r="J2482" s="14" t="n">
        <f aca="false">I2482-H2482</f>
        <v>0</v>
      </c>
    </row>
    <row r="2483" customFormat="false" ht="15" hidden="false" customHeight="false" outlineLevel="0" collapsed="false">
      <c r="A2483" s="12" t="n">
        <f aca="false">Data!A2483</f>
        <v>45609</v>
      </c>
      <c r="B2483" s="14" t="n">
        <f aca="false">Data!B2483</f>
        <v>68.43</v>
      </c>
      <c r="C2483" s="0" t="str">
        <f aca="false">IF(Data!D2483="","HOLD",IF(AND(G2482&lt;&gt;"IN",Data!E2483&lt;-5),"BUY",IF(AND(G2482="IN",Data!E2483&gt;0),"SELL","HOLD")))</f>
        <v>HOLD</v>
      </c>
      <c r="D2483" s="14" t="str">
        <f aca="false">IF(C2483="BUY",B2483,IF(G2482="IN",D2482,""))</f>
        <v/>
      </c>
      <c r="E2483" s="14" t="str">
        <f aca="false">IF(C2483="SELL",B2483,"")</f>
        <v/>
      </c>
      <c r="F2483" s="14" t="str">
        <f aca="false">IF(E2483="","",(E2483-D2483)/D2483*100)</f>
        <v/>
      </c>
      <c r="G2483" s="0" t="str">
        <f aca="false">IF(C2483="BUY","IN",IF(C2483="SELL","OUT",IF(G2482="IN","IN","OUT")))</f>
        <v>OUT</v>
      </c>
      <c r="H2483" s="14" t="n">
        <f aca="false">H2482+IF(F2483="",0,F2483)</f>
        <v>46.9589558049821</v>
      </c>
      <c r="I2483" s="14" t="n">
        <f aca="false">MAX(I2482,H2483)</f>
        <v>46.9589558049821</v>
      </c>
      <c r="J2483" s="14" t="n">
        <f aca="false">I2483-H2483</f>
        <v>0</v>
      </c>
    </row>
    <row r="2484" customFormat="false" ht="15" hidden="false" customHeight="false" outlineLevel="0" collapsed="false">
      <c r="A2484" s="12" t="n">
        <f aca="false">Data!A2484</f>
        <v>45610</v>
      </c>
      <c r="B2484" s="14" t="n">
        <f aca="false">Data!B2484</f>
        <v>68.7</v>
      </c>
      <c r="C2484" s="0" t="str">
        <f aca="false">IF(Data!D2484="","HOLD",IF(AND(G2483&lt;&gt;"IN",Data!E2484&lt;-5),"BUY",IF(AND(G2483="IN",Data!E2484&gt;0),"SELL","HOLD")))</f>
        <v>HOLD</v>
      </c>
      <c r="D2484" s="14" t="str">
        <f aca="false">IF(C2484="BUY",B2484,IF(G2483="IN",D2483,""))</f>
        <v/>
      </c>
      <c r="E2484" s="14" t="str">
        <f aca="false">IF(C2484="SELL",B2484,"")</f>
        <v/>
      </c>
      <c r="F2484" s="14" t="str">
        <f aca="false">IF(E2484="","",(E2484-D2484)/D2484*100)</f>
        <v/>
      </c>
      <c r="G2484" s="0" t="str">
        <f aca="false">IF(C2484="BUY","IN",IF(C2484="SELL","OUT",IF(G2483="IN","IN","OUT")))</f>
        <v>OUT</v>
      </c>
      <c r="H2484" s="14" t="n">
        <f aca="false">H2483+IF(F2484="",0,F2484)</f>
        <v>46.9589558049821</v>
      </c>
      <c r="I2484" s="14" t="n">
        <f aca="false">MAX(I2483,H2484)</f>
        <v>46.9589558049821</v>
      </c>
      <c r="J2484" s="14" t="n">
        <f aca="false">I2484-H2484</f>
        <v>0</v>
      </c>
    </row>
    <row r="2485" customFormat="false" ht="15" hidden="false" customHeight="false" outlineLevel="0" collapsed="false">
      <c r="A2485" s="12" t="n">
        <f aca="false">Data!A2485</f>
        <v>45611</v>
      </c>
      <c r="B2485" s="14" t="n">
        <f aca="false">Data!B2485</f>
        <v>67.02</v>
      </c>
      <c r="C2485" s="0" t="str">
        <f aca="false">IF(Data!D2485="","HOLD",IF(AND(G2484&lt;&gt;"IN",Data!E2485&lt;-5),"BUY",IF(AND(G2484="IN",Data!E2485&gt;0),"SELL","HOLD")))</f>
        <v>HOLD</v>
      </c>
      <c r="D2485" s="14" t="str">
        <f aca="false">IF(C2485="BUY",B2485,IF(G2484="IN",D2484,""))</f>
        <v/>
      </c>
      <c r="E2485" s="14" t="str">
        <f aca="false">IF(C2485="SELL",B2485,"")</f>
        <v/>
      </c>
      <c r="F2485" s="14" t="str">
        <f aca="false">IF(E2485="","",(E2485-D2485)/D2485*100)</f>
        <v/>
      </c>
      <c r="G2485" s="0" t="str">
        <f aca="false">IF(C2485="BUY","IN",IF(C2485="SELL","OUT",IF(G2484="IN","IN","OUT")))</f>
        <v>OUT</v>
      </c>
      <c r="H2485" s="14" t="n">
        <f aca="false">H2484+IF(F2485="",0,F2485)</f>
        <v>46.9589558049821</v>
      </c>
      <c r="I2485" s="14" t="n">
        <f aca="false">MAX(I2484,H2485)</f>
        <v>46.9589558049821</v>
      </c>
      <c r="J2485" s="14" t="n">
        <f aca="false">I2485-H2485</f>
        <v>0</v>
      </c>
    </row>
    <row r="2486" customFormat="false" ht="15" hidden="false" customHeight="false" outlineLevel="0" collapsed="false">
      <c r="A2486" s="12" t="n">
        <f aca="false">Data!A2486</f>
        <v>45614</v>
      </c>
      <c r="B2486" s="14" t="n">
        <f aca="false">Data!B2486</f>
        <v>69.16</v>
      </c>
      <c r="C2486" s="0" t="str">
        <f aca="false">IF(Data!D2486="","HOLD",IF(AND(G2485&lt;&gt;"IN",Data!E2486&lt;-5),"BUY",IF(AND(G2485="IN",Data!E2486&gt;0),"SELL","HOLD")))</f>
        <v>HOLD</v>
      </c>
      <c r="D2486" s="14" t="str">
        <f aca="false">IF(C2486="BUY",B2486,IF(G2485="IN",D2485,""))</f>
        <v/>
      </c>
      <c r="E2486" s="14" t="str">
        <f aca="false">IF(C2486="SELL",B2486,"")</f>
        <v/>
      </c>
      <c r="F2486" s="14" t="str">
        <f aca="false">IF(E2486="","",(E2486-D2486)/D2486*100)</f>
        <v/>
      </c>
      <c r="G2486" s="0" t="str">
        <f aca="false">IF(C2486="BUY","IN",IF(C2486="SELL","OUT",IF(G2485="IN","IN","OUT")))</f>
        <v>OUT</v>
      </c>
      <c r="H2486" s="14" t="n">
        <f aca="false">H2485+IF(F2486="",0,F2486)</f>
        <v>46.9589558049821</v>
      </c>
      <c r="I2486" s="14" t="n">
        <f aca="false">MAX(I2485,H2486)</f>
        <v>46.9589558049821</v>
      </c>
      <c r="J2486" s="14" t="n">
        <f aca="false">I2486-H2486</f>
        <v>0</v>
      </c>
    </row>
    <row r="2487" customFormat="false" ht="15" hidden="false" customHeight="false" outlineLevel="0" collapsed="false">
      <c r="A2487" s="12" t="n">
        <f aca="false">Data!A2487</f>
        <v>45615</v>
      </c>
      <c r="B2487" s="14" t="n">
        <f aca="false">Data!B2487</f>
        <v>69.39</v>
      </c>
      <c r="C2487" s="0" t="str">
        <f aca="false">IF(Data!D2487="","HOLD",IF(AND(G2486&lt;&gt;"IN",Data!E2487&lt;-5),"BUY",IF(AND(G2486="IN",Data!E2487&gt;0),"SELL","HOLD")))</f>
        <v>HOLD</v>
      </c>
      <c r="D2487" s="14" t="str">
        <f aca="false">IF(C2487="BUY",B2487,IF(G2486="IN",D2486,""))</f>
        <v/>
      </c>
      <c r="E2487" s="14" t="str">
        <f aca="false">IF(C2487="SELL",B2487,"")</f>
        <v/>
      </c>
      <c r="F2487" s="14" t="str">
        <f aca="false">IF(E2487="","",(E2487-D2487)/D2487*100)</f>
        <v/>
      </c>
      <c r="G2487" s="0" t="str">
        <f aca="false">IF(C2487="BUY","IN",IF(C2487="SELL","OUT",IF(G2486="IN","IN","OUT")))</f>
        <v>OUT</v>
      </c>
      <c r="H2487" s="14" t="n">
        <f aca="false">H2486+IF(F2487="",0,F2487)</f>
        <v>46.9589558049821</v>
      </c>
      <c r="I2487" s="14" t="n">
        <f aca="false">MAX(I2486,H2487)</f>
        <v>46.9589558049821</v>
      </c>
      <c r="J2487" s="14" t="n">
        <f aca="false">I2487-H2487</f>
        <v>0</v>
      </c>
    </row>
    <row r="2488" customFormat="false" ht="15" hidden="false" customHeight="false" outlineLevel="0" collapsed="false">
      <c r="A2488" s="12" t="n">
        <f aca="false">Data!A2488</f>
        <v>45616</v>
      </c>
      <c r="B2488" s="14" t="n">
        <f aca="false">Data!B2488</f>
        <v>68.87</v>
      </c>
      <c r="C2488" s="0" t="str">
        <f aca="false">IF(Data!D2488="","HOLD",IF(AND(G2487&lt;&gt;"IN",Data!E2488&lt;-5),"BUY",IF(AND(G2487="IN",Data!E2488&gt;0),"SELL","HOLD")))</f>
        <v>HOLD</v>
      </c>
      <c r="D2488" s="14" t="str">
        <f aca="false">IF(C2488="BUY",B2488,IF(G2487="IN",D2487,""))</f>
        <v/>
      </c>
      <c r="E2488" s="14" t="str">
        <f aca="false">IF(C2488="SELL",B2488,"")</f>
        <v/>
      </c>
      <c r="F2488" s="14" t="str">
        <f aca="false">IF(E2488="","",(E2488-D2488)/D2488*100)</f>
        <v/>
      </c>
      <c r="G2488" s="0" t="str">
        <f aca="false">IF(C2488="BUY","IN",IF(C2488="SELL","OUT",IF(G2487="IN","IN","OUT")))</f>
        <v>OUT</v>
      </c>
      <c r="H2488" s="14" t="n">
        <f aca="false">H2487+IF(F2488="",0,F2488)</f>
        <v>46.9589558049821</v>
      </c>
      <c r="I2488" s="14" t="n">
        <f aca="false">MAX(I2487,H2488)</f>
        <v>46.9589558049821</v>
      </c>
      <c r="J2488" s="14" t="n">
        <f aca="false">I2488-H2488</f>
        <v>0</v>
      </c>
    </row>
    <row r="2489" customFormat="false" ht="15" hidden="false" customHeight="false" outlineLevel="0" collapsed="false">
      <c r="A2489" s="12" t="n">
        <f aca="false">Data!A2489</f>
        <v>45617</v>
      </c>
      <c r="B2489" s="14" t="n">
        <f aca="false">Data!B2489</f>
        <v>70.1</v>
      </c>
      <c r="C2489" s="0" t="str">
        <f aca="false">IF(Data!D2489="","HOLD",IF(AND(G2488&lt;&gt;"IN",Data!E2489&lt;-5),"BUY",IF(AND(G2488="IN",Data!E2489&gt;0),"SELL","HOLD")))</f>
        <v>HOLD</v>
      </c>
      <c r="D2489" s="14" t="str">
        <f aca="false">IF(C2489="BUY",B2489,IF(G2488="IN",D2488,""))</f>
        <v/>
      </c>
      <c r="E2489" s="14" t="str">
        <f aca="false">IF(C2489="SELL",B2489,"")</f>
        <v/>
      </c>
      <c r="F2489" s="14" t="str">
        <f aca="false">IF(E2489="","",(E2489-D2489)/D2489*100)</f>
        <v/>
      </c>
      <c r="G2489" s="0" t="str">
        <f aca="false">IF(C2489="BUY","IN",IF(C2489="SELL","OUT",IF(G2488="IN","IN","OUT")))</f>
        <v>OUT</v>
      </c>
      <c r="H2489" s="14" t="n">
        <f aca="false">H2488+IF(F2489="",0,F2489)</f>
        <v>46.9589558049821</v>
      </c>
      <c r="I2489" s="14" t="n">
        <f aca="false">MAX(I2488,H2489)</f>
        <v>46.9589558049821</v>
      </c>
      <c r="J2489" s="14" t="n">
        <f aca="false">I2489-H2489</f>
        <v>0</v>
      </c>
    </row>
    <row r="2490" customFormat="false" ht="15" hidden="false" customHeight="false" outlineLevel="0" collapsed="false">
      <c r="A2490" s="12" t="n">
        <f aca="false">Data!A2490</f>
        <v>45618</v>
      </c>
      <c r="B2490" s="14" t="n">
        <f aca="false">Data!B2490</f>
        <v>71.24</v>
      </c>
      <c r="C2490" s="0" t="str">
        <f aca="false">IF(Data!D2490="","HOLD",IF(AND(G2489&lt;&gt;"IN",Data!E2490&lt;-5),"BUY",IF(AND(G2489="IN",Data!E2490&gt;0),"SELL","HOLD")))</f>
        <v>HOLD</v>
      </c>
      <c r="D2490" s="14" t="str">
        <f aca="false">IF(C2490="BUY",B2490,IF(G2489="IN",D2489,""))</f>
        <v/>
      </c>
      <c r="E2490" s="14" t="str">
        <f aca="false">IF(C2490="SELL",B2490,"")</f>
        <v/>
      </c>
      <c r="F2490" s="14" t="str">
        <f aca="false">IF(E2490="","",(E2490-D2490)/D2490*100)</f>
        <v/>
      </c>
      <c r="G2490" s="0" t="str">
        <f aca="false">IF(C2490="BUY","IN",IF(C2490="SELL","OUT",IF(G2489="IN","IN","OUT")))</f>
        <v>OUT</v>
      </c>
      <c r="H2490" s="14" t="n">
        <f aca="false">H2489+IF(F2490="",0,F2490)</f>
        <v>46.9589558049821</v>
      </c>
      <c r="I2490" s="14" t="n">
        <f aca="false">MAX(I2489,H2490)</f>
        <v>46.9589558049821</v>
      </c>
      <c r="J2490" s="14" t="n">
        <f aca="false">I2490-H2490</f>
        <v>0</v>
      </c>
    </row>
    <row r="2491" customFormat="false" ht="15" hidden="false" customHeight="false" outlineLevel="0" collapsed="false">
      <c r="A2491" s="12" t="n">
        <f aca="false">Data!A2491</f>
        <v>45621</v>
      </c>
      <c r="B2491" s="14" t="n">
        <f aca="false">Data!B2491</f>
        <v>68.94</v>
      </c>
      <c r="C2491" s="0" t="str">
        <f aca="false">IF(Data!D2491="","HOLD",IF(AND(G2490&lt;&gt;"IN",Data!E2491&lt;-5),"BUY",IF(AND(G2490="IN",Data!E2491&gt;0),"SELL","HOLD")))</f>
        <v>HOLD</v>
      </c>
      <c r="D2491" s="14" t="str">
        <f aca="false">IF(C2491="BUY",B2491,IF(G2490="IN",D2490,""))</f>
        <v/>
      </c>
      <c r="E2491" s="14" t="str">
        <f aca="false">IF(C2491="SELL",B2491,"")</f>
        <v/>
      </c>
      <c r="F2491" s="14" t="str">
        <f aca="false">IF(E2491="","",(E2491-D2491)/D2491*100)</f>
        <v/>
      </c>
      <c r="G2491" s="0" t="str">
        <f aca="false">IF(C2491="BUY","IN",IF(C2491="SELL","OUT",IF(G2490="IN","IN","OUT")))</f>
        <v>OUT</v>
      </c>
      <c r="H2491" s="14" t="n">
        <f aca="false">H2490+IF(F2491="",0,F2491)</f>
        <v>46.9589558049821</v>
      </c>
      <c r="I2491" s="14" t="n">
        <f aca="false">MAX(I2490,H2491)</f>
        <v>46.9589558049821</v>
      </c>
      <c r="J2491" s="14" t="n">
        <f aca="false">I2491-H2491</f>
        <v>0</v>
      </c>
    </row>
    <row r="2492" customFormat="false" ht="15" hidden="false" customHeight="false" outlineLevel="0" collapsed="false">
      <c r="A2492" s="12" t="n">
        <f aca="false">Data!A2492</f>
        <v>45622</v>
      </c>
      <c r="B2492" s="14" t="n">
        <f aca="false">Data!B2492</f>
        <v>68.77</v>
      </c>
      <c r="C2492" s="0" t="str">
        <f aca="false">IF(Data!D2492="","HOLD",IF(AND(G2491&lt;&gt;"IN",Data!E2492&lt;-5),"BUY",IF(AND(G2491="IN",Data!E2492&gt;0),"SELL","HOLD")))</f>
        <v>HOLD</v>
      </c>
      <c r="D2492" s="14" t="str">
        <f aca="false">IF(C2492="BUY",B2492,IF(G2491="IN",D2491,""))</f>
        <v/>
      </c>
      <c r="E2492" s="14" t="str">
        <f aca="false">IF(C2492="SELL",B2492,"")</f>
        <v/>
      </c>
      <c r="F2492" s="14" t="str">
        <f aca="false">IF(E2492="","",(E2492-D2492)/D2492*100)</f>
        <v/>
      </c>
      <c r="G2492" s="0" t="str">
        <f aca="false">IF(C2492="BUY","IN",IF(C2492="SELL","OUT",IF(G2491="IN","IN","OUT")))</f>
        <v>OUT</v>
      </c>
      <c r="H2492" s="14" t="n">
        <f aca="false">H2491+IF(F2492="",0,F2492)</f>
        <v>46.9589558049821</v>
      </c>
      <c r="I2492" s="14" t="n">
        <f aca="false">MAX(I2491,H2492)</f>
        <v>46.9589558049821</v>
      </c>
      <c r="J2492" s="14" t="n">
        <f aca="false">I2492-H2492</f>
        <v>0</v>
      </c>
    </row>
    <row r="2493" customFormat="false" ht="15" hidden="false" customHeight="false" outlineLevel="0" collapsed="false">
      <c r="A2493" s="12" t="n">
        <f aca="false">Data!A2493</f>
        <v>45623</v>
      </c>
      <c r="B2493" s="14" t="n">
        <f aca="false">Data!B2493</f>
        <v>68.72</v>
      </c>
      <c r="C2493" s="0" t="str">
        <f aca="false">IF(Data!D2493="","HOLD",IF(AND(G2492&lt;&gt;"IN",Data!E2493&lt;-5),"BUY",IF(AND(G2492="IN",Data!E2493&gt;0),"SELL","HOLD")))</f>
        <v>HOLD</v>
      </c>
      <c r="D2493" s="14" t="str">
        <f aca="false">IF(C2493="BUY",B2493,IF(G2492="IN",D2492,""))</f>
        <v/>
      </c>
      <c r="E2493" s="14" t="str">
        <f aca="false">IF(C2493="SELL",B2493,"")</f>
        <v/>
      </c>
      <c r="F2493" s="14" t="str">
        <f aca="false">IF(E2493="","",(E2493-D2493)/D2493*100)</f>
        <v/>
      </c>
      <c r="G2493" s="0" t="str">
        <f aca="false">IF(C2493="BUY","IN",IF(C2493="SELL","OUT",IF(G2492="IN","IN","OUT")))</f>
        <v>OUT</v>
      </c>
      <c r="H2493" s="14" t="n">
        <f aca="false">H2492+IF(F2493="",0,F2493)</f>
        <v>46.9589558049821</v>
      </c>
      <c r="I2493" s="14" t="n">
        <f aca="false">MAX(I2492,H2493)</f>
        <v>46.9589558049821</v>
      </c>
      <c r="J2493" s="14" t="n">
        <f aca="false">I2493-H2493</f>
        <v>0</v>
      </c>
    </row>
    <row r="2494" customFormat="false" ht="15" hidden="false" customHeight="false" outlineLevel="0" collapsed="false">
      <c r="A2494" s="12" t="n">
        <f aca="false">Data!A2494</f>
        <v>45625</v>
      </c>
      <c r="B2494" s="14" t="n">
        <f aca="false">Data!B2494</f>
        <v>68</v>
      </c>
      <c r="C2494" s="0" t="str">
        <f aca="false">IF(Data!D2494="","HOLD",IF(AND(G2493&lt;&gt;"IN",Data!E2494&lt;-5),"BUY",IF(AND(G2493="IN",Data!E2494&gt;0),"SELL","HOLD")))</f>
        <v>HOLD</v>
      </c>
      <c r="D2494" s="14" t="str">
        <f aca="false">IF(C2494="BUY",B2494,IF(G2493="IN",D2493,""))</f>
        <v/>
      </c>
      <c r="E2494" s="14" t="str">
        <f aca="false">IF(C2494="SELL",B2494,"")</f>
        <v/>
      </c>
      <c r="F2494" s="14" t="str">
        <f aca="false">IF(E2494="","",(E2494-D2494)/D2494*100)</f>
        <v/>
      </c>
      <c r="G2494" s="0" t="str">
        <f aca="false">IF(C2494="BUY","IN",IF(C2494="SELL","OUT",IF(G2493="IN","IN","OUT")))</f>
        <v>OUT</v>
      </c>
      <c r="H2494" s="14" t="n">
        <f aca="false">H2493+IF(F2494="",0,F2494)</f>
        <v>46.9589558049821</v>
      </c>
      <c r="I2494" s="14" t="n">
        <f aca="false">MAX(I2493,H2494)</f>
        <v>46.9589558049821</v>
      </c>
      <c r="J2494" s="14" t="n">
        <f aca="false">I2494-H2494</f>
        <v>0</v>
      </c>
    </row>
    <row r="2495" customFormat="false" ht="15" hidden="false" customHeight="false" outlineLevel="0" collapsed="false">
      <c r="A2495" s="12" t="n">
        <f aca="false">Data!A2495</f>
        <v>45628</v>
      </c>
      <c r="B2495" s="14" t="n">
        <f aca="false">Data!B2495</f>
        <v>68.1</v>
      </c>
      <c r="C2495" s="0" t="str">
        <f aca="false">IF(Data!D2495="","HOLD",IF(AND(G2494&lt;&gt;"IN",Data!E2495&lt;-5),"BUY",IF(AND(G2494="IN",Data!E2495&gt;0),"SELL","HOLD")))</f>
        <v>HOLD</v>
      </c>
      <c r="D2495" s="14" t="str">
        <f aca="false">IF(C2495="BUY",B2495,IF(G2494="IN",D2494,""))</f>
        <v/>
      </c>
      <c r="E2495" s="14" t="str">
        <f aca="false">IF(C2495="SELL",B2495,"")</f>
        <v/>
      </c>
      <c r="F2495" s="14" t="str">
        <f aca="false">IF(E2495="","",(E2495-D2495)/D2495*100)</f>
        <v/>
      </c>
      <c r="G2495" s="0" t="str">
        <f aca="false">IF(C2495="BUY","IN",IF(C2495="SELL","OUT",IF(G2494="IN","IN","OUT")))</f>
        <v>OUT</v>
      </c>
      <c r="H2495" s="14" t="n">
        <f aca="false">H2494+IF(F2495="",0,F2495)</f>
        <v>46.9589558049821</v>
      </c>
      <c r="I2495" s="14" t="n">
        <f aca="false">MAX(I2494,H2495)</f>
        <v>46.9589558049821</v>
      </c>
      <c r="J2495" s="14" t="n">
        <f aca="false">I2495-H2495</f>
        <v>0</v>
      </c>
    </row>
    <row r="2496" customFormat="false" ht="15" hidden="false" customHeight="false" outlineLevel="0" collapsed="false">
      <c r="A2496" s="12" t="n">
        <f aca="false">Data!A2496</f>
        <v>45629</v>
      </c>
      <c r="B2496" s="14" t="n">
        <f aca="false">Data!B2496</f>
        <v>69.94</v>
      </c>
      <c r="C2496" s="0" t="str">
        <f aca="false">IF(Data!D2496="","HOLD",IF(AND(G2495&lt;&gt;"IN",Data!E2496&lt;-5),"BUY",IF(AND(G2495="IN",Data!E2496&gt;0),"SELL","HOLD")))</f>
        <v>HOLD</v>
      </c>
      <c r="D2496" s="14" t="str">
        <f aca="false">IF(C2496="BUY",B2496,IF(G2495="IN",D2495,""))</f>
        <v/>
      </c>
      <c r="E2496" s="14" t="str">
        <f aca="false">IF(C2496="SELL",B2496,"")</f>
        <v/>
      </c>
      <c r="F2496" s="14" t="str">
        <f aca="false">IF(E2496="","",(E2496-D2496)/D2496*100)</f>
        <v/>
      </c>
      <c r="G2496" s="0" t="str">
        <f aca="false">IF(C2496="BUY","IN",IF(C2496="SELL","OUT",IF(G2495="IN","IN","OUT")))</f>
        <v>OUT</v>
      </c>
      <c r="H2496" s="14" t="n">
        <f aca="false">H2495+IF(F2496="",0,F2496)</f>
        <v>46.9589558049821</v>
      </c>
      <c r="I2496" s="14" t="n">
        <f aca="false">MAX(I2495,H2496)</f>
        <v>46.9589558049821</v>
      </c>
      <c r="J2496" s="14" t="n">
        <f aca="false">I2496-H2496</f>
        <v>0</v>
      </c>
    </row>
    <row r="2497" customFormat="false" ht="15" hidden="false" customHeight="false" outlineLevel="0" collapsed="false">
      <c r="A2497" s="12" t="n">
        <f aca="false">Data!A2497</f>
        <v>45630</v>
      </c>
      <c r="B2497" s="14" t="n">
        <f aca="false">Data!B2497</f>
        <v>68.54</v>
      </c>
      <c r="C2497" s="0" t="str">
        <f aca="false">IF(Data!D2497="","HOLD",IF(AND(G2496&lt;&gt;"IN",Data!E2497&lt;-5),"BUY",IF(AND(G2496="IN",Data!E2497&gt;0),"SELL","HOLD")))</f>
        <v>HOLD</v>
      </c>
      <c r="D2497" s="14" t="str">
        <f aca="false">IF(C2497="BUY",B2497,IF(G2496="IN",D2496,""))</f>
        <v/>
      </c>
      <c r="E2497" s="14" t="str">
        <f aca="false">IF(C2497="SELL",B2497,"")</f>
        <v/>
      </c>
      <c r="F2497" s="14" t="str">
        <f aca="false">IF(E2497="","",(E2497-D2497)/D2497*100)</f>
        <v/>
      </c>
      <c r="G2497" s="0" t="str">
        <f aca="false">IF(C2497="BUY","IN",IF(C2497="SELL","OUT",IF(G2496="IN","IN","OUT")))</f>
        <v>OUT</v>
      </c>
      <c r="H2497" s="14" t="n">
        <f aca="false">H2496+IF(F2497="",0,F2497)</f>
        <v>46.9589558049821</v>
      </c>
      <c r="I2497" s="14" t="n">
        <f aca="false">MAX(I2496,H2497)</f>
        <v>46.9589558049821</v>
      </c>
      <c r="J2497" s="14" t="n">
        <f aca="false">I2497-H2497</f>
        <v>0</v>
      </c>
    </row>
    <row r="2498" customFormat="false" ht="15" hidden="false" customHeight="false" outlineLevel="0" collapsed="false">
      <c r="A2498" s="12" t="n">
        <f aca="false">Data!A2498</f>
        <v>45631</v>
      </c>
      <c r="B2498" s="14" t="n">
        <f aca="false">Data!B2498</f>
        <v>68.3</v>
      </c>
      <c r="C2498" s="0" t="str">
        <f aca="false">IF(Data!D2498="","HOLD",IF(AND(G2497&lt;&gt;"IN",Data!E2498&lt;-5),"BUY",IF(AND(G2497="IN",Data!E2498&gt;0),"SELL","HOLD")))</f>
        <v>HOLD</v>
      </c>
      <c r="D2498" s="14" t="str">
        <f aca="false">IF(C2498="BUY",B2498,IF(G2497="IN",D2497,""))</f>
        <v/>
      </c>
      <c r="E2498" s="14" t="str">
        <f aca="false">IF(C2498="SELL",B2498,"")</f>
        <v/>
      </c>
      <c r="F2498" s="14" t="str">
        <f aca="false">IF(E2498="","",(E2498-D2498)/D2498*100)</f>
        <v/>
      </c>
      <c r="G2498" s="0" t="str">
        <f aca="false">IF(C2498="BUY","IN",IF(C2498="SELL","OUT",IF(G2497="IN","IN","OUT")))</f>
        <v>OUT</v>
      </c>
      <c r="H2498" s="14" t="n">
        <f aca="false">H2497+IF(F2498="",0,F2498)</f>
        <v>46.9589558049821</v>
      </c>
      <c r="I2498" s="14" t="n">
        <f aca="false">MAX(I2497,H2498)</f>
        <v>46.9589558049821</v>
      </c>
      <c r="J2498" s="14" t="n">
        <f aca="false">I2498-H2498</f>
        <v>0</v>
      </c>
    </row>
    <row r="2499" customFormat="false" ht="15" hidden="false" customHeight="false" outlineLevel="0" collapsed="false">
      <c r="A2499" s="12" t="n">
        <f aca="false">Data!A2499</f>
        <v>45632</v>
      </c>
      <c r="B2499" s="14" t="n">
        <f aca="false">Data!B2499</f>
        <v>67.2</v>
      </c>
      <c r="C2499" s="0" t="str">
        <f aca="false">IF(Data!D2499="","HOLD",IF(AND(G2498&lt;&gt;"IN",Data!E2499&lt;-5),"BUY",IF(AND(G2498="IN",Data!E2499&gt;0),"SELL","HOLD")))</f>
        <v>HOLD</v>
      </c>
      <c r="D2499" s="14" t="str">
        <f aca="false">IF(C2499="BUY",B2499,IF(G2498="IN",D2498,""))</f>
        <v/>
      </c>
      <c r="E2499" s="14" t="str">
        <f aca="false">IF(C2499="SELL",B2499,"")</f>
        <v/>
      </c>
      <c r="F2499" s="14" t="str">
        <f aca="false">IF(E2499="","",(E2499-D2499)/D2499*100)</f>
        <v/>
      </c>
      <c r="G2499" s="0" t="str">
        <f aca="false">IF(C2499="BUY","IN",IF(C2499="SELL","OUT",IF(G2498="IN","IN","OUT")))</f>
        <v>OUT</v>
      </c>
      <c r="H2499" s="14" t="n">
        <f aca="false">H2498+IF(F2499="",0,F2499)</f>
        <v>46.9589558049821</v>
      </c>
      <c r="I2499" s="14" t="n">
        <f aca="false">MAX(I2498,H2499)</f>
        <v>46.9589558049821</v>
      </c>
      <c r="J2499" s="14" t="n">
        <f aca="false">I2499-H2499</f>
        <v>0</v>
      </c>
    </row>
    <row r="2500" customFormat="false" ht="15" hidden="false" customHeight="false" outlineLevel="0" collapsed="false">
      <c r="A2500" s="12" t="n">
        <f aca="false">Data!A2500</f>
        <v>45635</v>
      </c>
      <c r="B2500" s="14" t="n">
        <f aca="false">Data!B2500</f>
        <v>68.37</v>
      </c>
      <c r="C2500" s="0" t="str">
        <f aca="false">IF(Data!D2500="","HOLD",IF(AND(G2499&lt;&gt;"IN",Data!E2500&lt;-5),"BUY",IF(AND(G2499="IN",Data!E2500&gt;0),"SELL","HOLD")))</f>
        <v>HOLD</v>
      </c>
      <c r="D2500" s="14" t="str">
        <f aca="false">IF(C2500="BUY",B2500,IF(G2499="IN",D2499,""))</f>
        <v/>
      </c>
      <c r="E2500" s="14" t="str">
        <f aca="false">IF(C2500="SELL",B2500,"")</f>
        <v/>
      </c>
      <c r="F2500" s="14" t="str">
        <f aca="false">IF(E2500="","",(E2500-D2500)/D2500*100)</f>
        <v/>
      </c>
      <c r="G2500" s="0" t="str">
        <f aca="false">IF(C2500="BUY","IN",IF(C2500="SELL","OUT",IF(G2499="IN","IN","OUT")))</f>
        <v>OUT</v>
      </c>
      <c r="H2500" s="14" t="n">
        <f aca="false">H2499+IF(F2500="",0,F2500)</f>
        <v>46.9589558049821</v>
      </c>
      <c r="I2500" s="14" t="n">
        <f aca="false">MAX(I2499,H2500)</f>
        <v>46.9589558049821</v>
      </c>
      <c r="J2500" s="14" t="n">
        <f aca="false">I2500-H2500</f>
        <v>0</v>
      </c>
    </row>
    <row r="2501" customFormat="false" ht="15" hidden="false" customHeight="false" outlineLevel="0" collapsed="false">
      <c r="A2501" s="12" t="n">
        <f aca="false">Data!A2501</f>
        <v>45636</v>
      </c>
      <c r="B2501" s="14" t="n">
        <f aca="false">Data!B2501</f>
        <v>68.59</v>
      </c>
      <c r="C2501" s="0" t="str">
        <f aca="false">IF(Data!D2501="","HOLD",IF(AND(G2500&lt;&gt;"IN",Data!E2501&lt;-5),"BUY",IF(AND(G2500="IN",Data!E2501&gt;0),"SELL","HOLD")))</f>
        <v>HOLD</v>
      </c>
      <c r="D2501" s="14" t="str">
        <f aca="false">IF(C2501="BUY",B2501,IF(G2500="IN",D2500,""))</f>
        <v/>
      </c>
      <c r="E2501" s="14" t="str">
        <f aca="false">IF(C2501="SELL",B2501,"")</f>
        <v/>
      </c>
      <c r="F2501" s="14" t="str">
        <f aca="false">IF(E2501="","",(E2501-D2501)/D2501*100)</f>
        <v/>
      </c>
      <c r="G2501" s="0" t="str">
        <f aca="false">IF(C2501="BUY","IN",IF(C2501="SELL","OUT",IF(G2500="IN","IN","OUT")))</f>
        <v>OUT</v>
      </c>
      <c r="H2501" s="14" t="n">
        <f aca="false">H2500+IF(F2501="",0,F2501)</f>
        <v>46.9589558049821</v>
      </c>
      <c r="I2501" s="14" t="n">
        <f aca="false">MAX(I2500,H2501)</f>
        <v>46.9589558049821</v>
      </c>
      <c r="J2501" s="14" t="n">
        <f aca="false">I2501-H2501</f>
        <v>0</v>
      </c>
    </row>
    <row r="2502" customFormat="false" ht="15" hidden="false" customHeight="false" outlineLevel="0" collapsed="false">
      <c r="A2502" s="12" t="n">
        <f aca="false">Data!A2502</f>
        <v>45637</v>
      </c>
      <c r="B2502" s="14" t="n">
        <f aca="false">Data!B2502</f>
        <v>70.29</v>
      </c>
      <c r="C2502" s="0" t="str">
        <f aca="false">IF(Data!D2502="","HOLD",IF(AND(G2501&lt;&gt;"IN",Data!E2502&lt;-5),"BUY",IF(AND(G2501="IN",Data!E2502&gt;0),"SELL","HOLD")))</f>
        <v>HOLD</v>
      </c>
      <c r="D2502" s="14" t="str">
        <f aca="false">IF(C2502="BUY",B2502,IF(G2501="IN",D2501,""))</f>
        <v/>
      </c>
      <c r="E2502" s="14" t="str">
        <f aca="false">IF(C2502="SELL",B2502,"")</f>
        <v/>
      </c>
      <c r="F2502" s="14" t="str">
        <f aca="false">IF(E2502="","",(E2502-D2502)/D2502*100)</f>
        <v/>
      </c>
      <c r="G2502" s="0" t="str">
        <f aca="false">IF(C2502="BUY","IN",IF(C2502="SELL","OUT",IF(G2501="IN","IN","OUT")))</f>
        <v>OUT</v>
      </c>
      <c r="H2502" s="14" t="n">
        <f aca="false">H2501+IF(F2502="",0,F2502)</f>
        <v>46.9589558049821</v>
      </c>
      <c r="I2502" s="14" t="n">
        <f aca="false">MAX(I2501,H2502)</f>
        <v>46.9589558049821</v>
      </c>
      <c r="J2502" s="14" t="n">
        <f aca="false">I2502-H2502</f>
        <v>0</v>
      </c>
    </row>
    <row r="2503" customFormat="false" ht="15" hidden="false" customHeight="false" outlineLevel="0" collapsed="false">
      <c r="A2503" s="12" t="n">
        <f aca="false">Data!A2503</f>
        <v>45638</v>
      </c>
      <c r="B2503" s="14" t="n">
        <f aca="false">Data!B2503</f>
        <v>70.02</v>
      </c>
      <c r="C2503" s="0" t="str">
        <f aca="false">IF(Data!D2503="","HOLD",IF(AND(G2502&lt;&gt;"IN",Data!E2503&lt;-5),"BUY",IF(AND(G2502="IN",Data!E2503&gt;0),"SELL","HOLD")))</f>
        <v>HOLD</v>
      </c>
      <c r="D2503" s="14" t="str">
        <f aca="false">IF(C2503="BUY",B2503,IF(G2502="IN",D2502,""))</f>
        <v/>
      </c>
      <c r="E2503" s="14" t="str">
        <f aca="false">IF(C2503="SELL",B2503,"")</f>
        <v/>
      </c>
      <c r="F2503" s="14" t="str">
        <f aca="false">IF(E2503="","",(E2503-D2503)/D2503*100)</f>
        <v/>
      </c>
      <c r="G2503" s="0" t="str">
        <f aca="false">IF(C2503="BUY","IN",IF(C2503="SELL","OUT",IF(G2502="IN","IN","OUT")))</f>
        <v>OUT</v>
      </c>
      <c r="H2503" s="14" t="n">
        <f aca="false">H2502+IF(F2503="",0,F2503)</f>
        <v>46.9589558049821</v>
      </c>
      <c r="I2503" s="14" t="n">
        <f aca="false">MAX(I2502,H2503)</f>
        <v>46.9589558049821</v>
      </c>
      <c r="J2503" s="14" t="n">
        <f aca="false">I2503-H2503</f>
        <v>0</v>
      </c>
    </row>
    <row r="2504" customFormat="false" ht="15" hidden="false" customHeight="false" outlineLevel="0" collapsed="false">
      <c r="A2504" s="12" t="n">
        <f aca="false">Data!A2504</f>
        <v>45639</v>
      </c>
      <c r="B2504" s="14" t="n">
        <f aca="false">Data!B2504</f>
        <v>71.29</v>
      </c>
      <c r="C2504" s="0" t="str">
        <f aca="false">IF(Data!D2504="","HOLD",IF(AND(G2503&lt;&gt;"IN",Data!E2504&lt;-5),"BUY",IF(AND(G2503="IN",Data!E2504&gt;0),"SELL","HOLD")))</f>
        <v>HOLD</v>
      </c>
      <c r="D2504" s="14" t="str">
        <f aca="false">IF(C2504="BUY",B2504,IF(G2503="IN",D2503,""))</f>
        <v/>
      </c>
      <c r="E2504" s="14" t="str">
        <f aca="false">IF(C2504="SELL",B2504,"")</f>
        <v/>
      </c>
      <c r="F2504" s="14" t="str">
        <f aca="false">IF(E2504="","",(E2504-D2504)/D2504*100)</f>
        <v/>
      </c>
      <c r="G2504" s="0" t="str">
        <f aca="false">IF(C2504="BUY","IN",IF(C2504="SELL","OUT",IF(G2503="IN","IN","OUT")))</f>
        <v>OUT</v>
      </c>
      <c r="H2504" s="14" t="n">
        <f aca="false">H2503+IF(F2504="",0,F2504)</f>
        <v>46.9589558049821</v>
      </c>
      <c r="I2504" s="14" t="n">
        <f aca="false">MAX(I2503,H2504)</f>
        <v>46.9589558049821</v>
      </c>
      <c r="J2504" s="14" t="n">
        <f aca="false">I2504-H2504</f>
        <v>0</v>
      </c>
    </row>
    <row r="2505" customFormat="false" ht="15" hidden="false" customHeight="false" outlineLevel="0" collapsed="false">
      <c r="A2505" s="12" t="n">
        <f aca="false">Data!A2505</f>
        <v>45642</v>
      </c>
      <c r="B2505" s="14" t="n">
        <f aca="false">Data!B2505</f>
        <v>70.71</v>
      </c>
      <c r="C2505" s="0" t="str">
        <f aca="false">IF(Data!D2505="","HOLD",IF(AND(G2504&lt;&gt;"IN",Data!E2505&lt;-5),"BUY",IF(AND(G2504="IN",Data!E2505&gt;0),"SELL","HOLD")))</f>
        <v>HOLD</v>
      </c>
      <c r="D2505" s="14" t="str">
        <f aca="false">IF(C2505="BUY",B2505,IF(G2504="IN",D2504,""))</f>
        <v/>
      </c>
      <c r="E2505" s="14" t="str">
        <f aca="false">IF(C2505="SELL",B2505,"")</f>
        <v/>
      </c>
      <c r="F2505" s="14" t="str">
        <f aca="false">IF(E2505="","",(E2505-D2505)/D2505*100)</f>
        <v/>
      </c>
      <c r="G2505" s="0" t="str">
        <f aca="false">IF(C2505="BUY","IN",IF(C2505="SELL","OUT",IF(G2504="IN","IN","OUT")))</f>
        <v>OUT</v>
      </c>
      <c r="H2505" s="14" t="n">
        <f aca="false">H2504+IF(F2505="",0,F2505)</f>
        <v>46.9589558049821</v>
      </c>
      <c r="I2505" s="14" t="n">
        <f aca="false">MAX(I2504,H2505)</f>
        <v>46.9589558049821</v>
      </c>
      <c r="J2505" s="14" t="n">
        <f aca="false">I2505-H2505</f>
        <v>0</v>
      </c>
    </row>
    <row r="2506" customFormat="false" ht="15" hidden="false" customHeight="false" outlineLevel="0" collapsed="false">
      <c r="A2506" s="12" t="n">
        <f aca="false">Data!A2506</f>
        <v>45643</v>
      </c>
      <c r="B2506" s="14" t="n">
        <f aca="false">Data!B2506</f>
        <v>70.08</v>
      </c>
      <c r="C2506" s="0" t="str">
        <f aca="false">IF(Data!D2506="","HOLD",IF(AND(G2505&lt;&gt;"IN",Data!E2506&lt;-5),"BUY",IF(AND(G2505="IN",Data!E2506&gt;0),"SELL","HOLD")))</f>
        <v>HOLD</v>
      </c>
      <c r="D2506" s="14" t="str">
        <f aca="false">IF(C2506="BUY",B2506,IF(G2505="IN",D2505,""))</f>
        <v/>
      </c>
      <c r="E2506" s="14" t="str">
        <f aca="false">IF(C2506="SELL",B2506,"")</f>
        <v/>
      </c>
      <c r="F2506" s="14" t="str">
        <f aca="false">IF(E2506="","",(E2506-D2506)/D2506*100)</f>
        <v/>
      </c>
      <c r="G2506" s="0" t="str">
        <f aca="false">IF(C2506="BUY","IN",IF(C2506="SELL","OUT",IF(G2505="IN","IN","OUT")))</f>
        <v>OUT</v>
      </c>
      <c r="H2506" s="14" t="n">
        <f aca="false">H2505+IF(F2506="",0,F2506)</f>
        <v>46.9589558049821</v>
      </c>
      <c r="I2506" s="14" t="n">
        <f aca="false">MAX(I2505,H2506)</f>
        <v>46.9589558049821</v>
      </c>
      <c r="J2506" s="14" t="n">
        <f aca="false">I2506-H2506</f>
        <v>0</v>
      </c>
    </row>
    <row r="2507" customFormat="false" ht="15" hidden="false" customHeight="false" outlineLevel="0" collapsed="false">
      <c r="A2507" s="12" t="n">
        <f aca="false">Data!A2507</f>
        <v>45644</v>
      </c>
      <c r="B2507" s="14" t="n">
        <f aca="false">Data!B2507</f>
        <v>70.58</v>
      </c>
      <c r="C2507" s="0" t="str">
        <f aca="false">IF(Data!D2507="","HOLD",IF(AND(G2506&lt;&gt;"IN",Data!E2507&lt;-5),"BUY",IF(AND(G2506="IN",Data!E2507&gt;0),"SELL","HOLD")))</f>
        <v>HOLD</v>
      </c>
      <c r="D2507" s="14" t="str">
        <f aca="false">IF(C2507="BUY",B2507,IF(G2506="IN",D2506,""))</f>
        <v/>
      </c>
      <c r="E2507" s="14" t="str">
        <f aca="false">IF(C2507="SELL",B2507,"")</f>
        <v/>
      </c>
      <c r="F2507" s="14" t="str">
        <f aca="false">IF(E2507="","",(E2507-D2507)/D2507*100)</f>
        <v/>
      </c>
      <c r="G2507" s="0" t="str">
        <f aca="false">IF(C2507="BUY","IN",IF(C2507="SELL","OUT",IF(G2506="IN","IN","OUT")))</f>
        <v>OUT</v>
      </c>
      <c r="H2507" s="14" t="n">
        <f aca="false">H2506+IF(F2507="",0,F2507)</f>
        <v>46.9589558049821</v>
      </c>
      <c r="I2507" s="14" t="n">
        <f aca="false">MAX(I2506,H2507)</f>
        <v>46.9589558049821</v>
      </c>
      <c r="J2507" s="14" t="n">
        <f aca="false">I2507-H2507</f>
        <v>0</v>
      </c>
    </row>
    <row r="2508" customFormat="false" ht="15" hidden="false" customHeight="false" outlineLevel="0" collapsed="false">
      <c r="A2508" s="12" t="n">
        <f aca="false">Data!A2508</f>
        <v>45645</v>
      </c>
      <c r="B2508" s="14" t="n">
        <f aca="false">Data!B2508</f>
        <v>69.91</v>
      </c>
      <c r="C2508" s="0" t="str">
        <f aca="false">IF(Data!D2508="","HOLD",IF(AND(G2507&lt;&gt;"IN",Data!E2508&lt;-5),"BUY",IF(AND(G2507="IN",Data!E2508&gt;0),"SELL","HOLD")))</f>
        <v>HOLD</v>
      </c>
      <c r="D2508" s="14" t="str">
        <f aca="false">IF(C2508="BUY",B2508,IF(G2507="IN",D2507,""))</f>
        <v/>
      </c>
      <c r="E2508" s="14" t="str">
        <f aca="false">IF(C2508="SELL",B2508,"")</f>
        <v/>
      </c>
      <c r="F2508" s="14" t="str">
        <f aca="false">IF(E2508="","",(E2508-D2508)/D2508*100)</f>
        <v/>
      </c>
      <c r="G2508" s="0" t="str">
        <f aca="false">IF(C2508="BUY","IN",IF(C2508="SELL","OUT",IF(G2507="IN","IN","OUT")))</f>
        <v>OUT</v>
      </c>
      <c r="H2508" s="14" t="n">
        <f aca="false">H2507+IF(F2508="",0,F2508)</f>
        <v>46.9589558049821</v>
      </c>
      <c r="I2508" s="14" t="n">
        <f aca="false">MAX(I2507,H2508)</f>
        <v>46.9589558049821</v>
      </c>
      <c r="J2508" s="14" t="n">
        <f aca="false">I2508-H2508</f>
        <v>0</v>
      </c>
    </row>
    <row r="2509" customFormat="false" ht="15" hidden="false" customHeight="false" outlineLevel="0" collapsed="false">
      <c r="A2509" s="12" t="n">
        <f aca="false">Data!A2509</f>
        <v>45646</v>
      </c>
      <c r="B2509" s="14" t="n">
        <f aca="false">Data!B2509</f>
        <v>69.46</v>
      </c>
      <c r="C2509" s="0" t="str">
        <f aca="false">IF(Data!D2509="","HOLD",IF(AND(G2508&lt;&gt;"IN",Data!E2509&lt;-5),"BUY",IF(AND(G2508="IN",Data!E2509&gt;0),"SELL","HOLD")))</f>
        <v>HOLD</v>
      </c>
      <c r="D2509" s="14" t="str">
        <f aca="false">IF(C2509="BUY",B2509,IF(G2508="IN",D2508,""))</f>
        <v/>
      </c>
      <c r="E2509" s="14" t="str">
        <f aca="false">IF(C2509="SELL",B2509,"")</f>
        <v/>
      </c>
      <c r="F2509" s="14" t="str">
        <f aca="false">IF(E2509="","",(E2509-D2509)/D2509*100)</f>
        <v/>
      </c>
      <c r="G2509" s="0" t="str">
        <f aca="false">IF(C2509="BUY","IN",IF(C2509="SELL","OUT",IF(G2508="IN","IN","OUT")))</f>
        <v>OUT</v>
      </c>
      <c r="H2509" s="14" t="n">
        <f aca="false">H2508+IF(F2509="",0,F2509)</f>
        <v>46.9589558049821</v>
      </c>
      <c r="I2509" s="14" t="n">
        <f aca="false">MAX(I2508,H2509)</f>
        <v>46.9589558049821</v>
      </c>
      <c r="J2509" s="14" t="n">
        <f aca="false">I2509-H2509</f>
        <v>0</v>
      </c>
    </row>
    <row r="2510" customFormat="false" ht="15" hidden="false" customHeight="false" outlineLevel="0" collapsed="false">
      <c r="A2510" s="12" t="n">
        <f aca="false">Data!A2510</f>
        <v>45649</v>
      </c>
      <c r="B2510" s="14" t="n">
        <f aca="false">Data!B2510</f>
        <v>69.24</v>
      </c>
      <c r="C2510" s="0" t="str">
        <f aca="false">IF(Data!D2510="","HOLD",IF(AND(G2509&lt;&gt;"IN",Data!E2510&lt;-5),"BUY",IF(AND(G2509="IN",Data!E2510&gt;0),"SELL","HOLD")))</f>
        <v>HOLD</v>
      </c>
      <c r="D2510" s="14" t="str">
        <f aca="false">IF(C2510="BUY",B2510,IF(G2509="IN",D2509,""))</f>
        <v/>
      </c>
      <c r="E2510" s="14" t="str">
        <f aca="false">IF(C2510="SELL",B2510,"")</f>
        <v/>
      </c>
      <c r="F2510" s="14" t="str">
        <f aca="false">IF(E2510="","",(E2510-D2510)/D2510*100)</f>
        <v/>
      </c>
      <c r="G2510" s="0" t="str">
        <f aca="false">IF(C2510="BUY","IN",IF(C2510="SELL","OUT",IF(G2509="IN","IN","OUT")))</f>
        <v>OUT</v>
      </c>
      <c r="H2510" s="14" t="n">
        <f aca="false">H2509+IF(F2510="",0,F2510)</f>
        <v>46.9589558049821</v>
      </c>
      <c r="I2510" s="14" t="n">
        <f aca="false">MAX(I2509,H2510)</f>
        <v>46.9589558049821</v>
      </c>
      <c r="J2510" s="14" t="n">
        <f aca="false">I2510-H2510</f>
        <v>0</v>
      </c>
    </row>
    <row r="2511" customFormat="false" ht="15" hidden="false" customHeight="false" outlineLevel="0" collapsed="false">
      <c r="A2511" s="12" t="n">
        <f aca="false">Data!A2511</f>
        <v>45650</v>
      </c>
      <c r="B2511" s="14" t="n">
        <f aca="false">Data!B2511</f>
        <v>70.1</v>
      </c>
      <c r="C2511" s="0" t="str">
        <f aca="false">IF(Data!D2511="","HOLD",IF(AND(G2510&lt;&gt;"IN",Data!E2511&lt;-5),"BUY",IF(AND(G2510="IN",Data!E2511&gt;0),"SELL","HOLD")))</f>
        <v>HOLD</v>
      </c>
      <c r="D2511" s="14" t="str">
        <f aca="false">IF(C2511="BUY",B2511,IF(G2510="IN",D2510,""))</f>
        <v/>
      </c>
      <c r="E2511" s="14" t="str">
        <f aca="false">IF(C2511="SELL",B2511,"")</f>
        <v/>
      </c>
      <c r="F2511" s="14" t="str">
        <f aca="false">IF(E2511="","",(E2511-D2511)/D2511*100)</f>
        <v/>
      </c>
      <c r="G2511" s="0" t="str">
        <f aca="false">IF(C2511="BUY","IN",IF(C2511="SELL","OUT",IF(G2510="IN","IN","OUT")))</f>
        <v>OUT</v>
      </c>
      <c r="H2511" s="14" t="n">
        <f aca="false">H2510+IF(F2511="",0,F2511)</f>
        <v>46.9589558049821</v>
      </c>
      <c r="I2511" s="14" t="n">
        <f aca="false">MAX(I2510,H2511)</f>
        <v>46.9589558049821</v>
      </c>
      <c r="J2511" s="14" t="n">
        <f aca="false">I2511-H2511</f>
        <v>0</v>
      </c>
    </row>
    <row r="2512" customFormat="false" ht="15" hidden="false" customHeight="false" outlineLevel="0" collapsed="false">
      <c r="A2512" s="12" t="n">
        <f aca="false">Data!A2512</f>
        <v>45652</v>
      </c>
      <c r="B2512" s="14" t="n">
        <f aca="false">Data!B2512</f>
        <v>69.62</v>
      </c>
      <c r="C2512" s="0" t="str">
        <f aca="false">IF(Data!D2512="","HOLD",IF(AND(G2511&lt;&gt;"IN",Data!E2512&lt;-5),"BUY",IF(AND(G2511="IN",Data!E2512&gt;0),"SELL","HOLD")))</f>
        <v>HOLD</v>
      </c>
      <c r="D2512" s="14" t="str">
        <f aca="false">IF(C2512="BUY",B2512,IF(G2511="IN",D2511,""))</f>
        <v/>
      </c>
      <c r="E2512" s="14" t="str">
        <f aca="false">IF(C2512="SELL",B2512,"")</f>
        <v/>
      </c>
      <c r="F2512" s="14" t="str">
        <f aca="false">IF(E2512="","",(E2512-D2512)/D2512*100)</f>
        <v/>
      </c>
      <c r="G2512" s="0" t="str">
        <f aca="false">IF(C2512="BUY","IN",IF(C2512="SELL","OUT",IF(G2511="IN","IN","OUT")))</f>
        <v>OUT</v>
      </c>
      <c r="H2512" s="14" t="n">
        <f aca="false">H2511+IF(F2512="",0,F2512)</f>
        <v>46.9589558049821</v>
      </c>
      <c r="I2512" s="14" t="n">
        <f aca="false">MAX(I2511,H2512)</f>
        <v>46.9589558049821</v>
      </c>
      <c r="J2512" s="14" t="n">
        <f aca="false">I2512-H2512</f>
        <v>0</v>
      </c>
    </row>
    <row r="2513" customFormat="false" ht="15" hidden="false" customHeight="false" outlineLevel="0" collapsed="false">
      <c r="A2513" s="12" t="n">
        <f aca="false">Data!A2513</f>
        <v>45653</v>
      </c>
      <c r="B2513" s="14" t="n">
        <f aca="false">Data!B2513</f>
        <v>70.6</v>
      </c>
      <c r="C2513" s="0" t="str">
        <f aca="false">IF(Data!D2513="","HOLD",IF(AND(G2512&lt;&gt;"IN",Data!E2513&lt;-5),"BUY",IF(AND(G2512="IN",Data!E2513&gt;0),"SELL","HOLD")))</f>
        <v>HOLD</v>
      </c>
      <c r="D2513" s="14" t="str">
        <f aca="false">IF(C2513="BUY",B2513,IF(G2512="IN",D2512,""))</f>
        <v/>
      </c>
      <c r="E2513" s="14" t="str">
        <f aca="false">IF(C2513="SELL",B2513,"")</f>
        <v/>
      </c>
      <c r="F2513" s="14" t="str">
        <f aca="false">IF(E2513="","",(E2513-D2513)/D2513*100)</f>
        <v/>
      </c>
      <c r="G2513" s="0" t="str">
        <f aca="false">IF(C2513="BUY","IN",IF(C2513="SELL","OUT",IF(G2512="IN","IN","OUT")))</f>
        <v>OUT</v>
      </c>
      <c r="H2513" s="14" t="n">
        <f aca="false">H2512+IF(F2513="",0,F2513)</f>
        <v>46.9589558049821</v>
      </c>
      <c r="I2513" s="14" t="n">
        <f aca="false">MAX(I2512,H2513)</f>
        <v>46.9589558049821</v>
      </c>
      <c r="J2513" s="14" t="n">
        <f aca="false">I2513-H2513</f>
        <v>0</v>
      </c>
    </row>
    <row r="2514" customFormat="false" ht="15" hidden="false" customHeight="false" outlineLevel="0" collapsed="false">
      <c r="A2514" s="12" t="n">
        <f aca="false">Data!A2514</f>
        <v>45656</v>
      </c>
      <c r="B2514" s="14" t="n">
        <f aca="false">Data!B2514</f>
        <v>70.99</v>
      </c>
      <c r="C2514" s="0" t="str">
        <f aca="false">IF(Data!D2514="","HOLD",IF(AND(G2513&lt;&gt;"IN",Data!E2514&lt;-5),"BUY",IF(AND(G2513="IN",Data!E2514&gt;0),"SELL","HOLD")))</f>
        <v>HOLD</v>
      </c>
      <c r="D2514" s="14" t="str">
        <f aca="false">IF(C2514="BUY",B2514,IF(G2513="IN",D2513,""))</f>
        <v/>
      </c>
      <c r="E2514" s="14" t="str">
        <f aca="false">IF(C2514="SELL",B2514,"")</f>
        <v/>
      </c>
      <c r="F2514" s="14" t="str">
        <f aca="false">IF(E2514="","",(E2514-D2514)/D2514*100)</f>
        <v/>
      </c>
      <c r="G2514" s="0" t="str">
        <f aca="false">IF(C2514="BUY","IN",IF(C2514="SELL","OUT",IF(G2513="IN","IN","OUT")))</f>
        <v>OUT</v>
      </c>
      <c r="H2514" s="14" t="n">
        <f aca="false">H2513+IF(F2514="",0,F2514)</f>
        <v>46.9589558049821</v>
      </c>
      <c r="I2514" s="14" t="n">
        <f aca="false">MAX(I2513,H2514)</f>
        <v>46.9589558049821</v>
      </c>
      <c r="J2514" s="14" t="n">
        <f aca="false">I2514-H2514</f>
        <v>0</v>
      </c>
    </row>
    <row r="2515" customFormat="false" ht="15" hidden="false" customHeight="false" outlineLevel="0" collapsed="false">
      <c r="A2515" s="12" t="n">
        <f aca="false">Data!A2515</f>
        <v>45657</v>
      </c>
      <c r="B2515" s="14" t="n">
        <f aca="false">Data!B2515</f>
        <v>71.72</v>
      </c>
      <c r="C2515" s="0" t="str">
        <f aca="false">IF(Data!D2515="","HOLD",IF(AND(G2514&lt;&gt;"IN",Data!E2515&lt;-5),"BUY",IF(AND(G2514="IN",Data!E2515&gt;0),"SELL","HOLD")))</f>
        <v>HOLD</v>
      </c>
      <c r="D2515" s="14" t="str">
        <f aca="false">IF(C2515="BUY",B2515,IF(G2514="IN",D2514,""))</f>
        <v/>
      </c>
      <c r="E2515" s="14" t="str">
        <f aca="false">IF(C2515="SELL",B2515,"")</f>
        <v/>
      </c>
      <c r="F2515" s="14" t="str">
        <f aca="false">IF(E2515="","",(E2515-D2515)/D2515*100)</f>
        <v/>
      </c>
      <c r="G2515" s="0" t="str">
        <f aca="false">IF(C2515="BUY","IN",IF(C2515="SELL","OUT",IF(G2514="IN","IN","OUT")))</f>
        <v>OUT</v>
      </c>
      <c r="H2515" s="14" t="n">
        <f aca="false">H2514+IF(F2515="",0,F2515)</f>
        <v>46.9589558049821</v>
      </c>
      <c r="I2515" s="14" t="n">
        <f aca="false">MAX(I2514,H2515)</f>
        <v>46.9589558049821</v>
      </c>
      <c r="J2515" s="14" t="n">
        <f aca="false">I2515-H2515</f>
        <v>0</v>
      </c>
    </row>
    <row r="2516" customFormat="false" ht="15" hidden="false" customHeight="false" outlineLevel="0" collapsed="false">
      <c r="A2516" s="12" t="n">
        <f aca="false">Data!A2516</f>
        <v>45659</v>
      </c>
      <c r="B2516" s="14" t="n">
        <f aca="false">Data!B2516</f>
        <v>73.13</v>
      </c>
      <c r="C2516" s="0" t="str">
        <f aca="false">IF(Data!D2516="","HOLD",IF(AND(G2515&lt;&gt;"IN",Data!E2516&lt;-5),"BUY",IF(AND(G2515="IN",Data!E2516&gt;0),"SELL","HOLD")))</f>
        <v>HOLD</v>
      </c>
      <c r="D2516" s="14" t="str">
        <f aca="false">IF(C2516="BUY",B2516,IF(G2515="IN",D2515,""))</f>
        <v/>
      </c>
      <c r="E2516" s="14" t="str">
        <f aca="false">IF(C2516="SELL",B2516,"")</f>
        <v/>
      </c>
      <c r="F2516" s="14" t="str">
        <f aca="false">IF(E2516="","",(E2516-D2516)/D2516*100)</f>
        <v/>
      </c>
      <c r="G2516" s="0" t="str">
        <f aca="false">IF(C2516="BUY","IN",IF(C2516="SELL","OUT",IF(G2515="IN","IN","OUT")))</f>
        <v>OUT</v>
      </c>
      <c r="H2516" s="14" t="n">
        <f aca="false">H2515+IF(F2516="",0,F2516)</f>
        <v>46.9589558049821</v>
      </c>
      <c r="I2516" s="14" t="n">
        <f aca="false">MAX(I2515,H2516)</f>
        <v>46.9589558049821</v>
      </c>
      <c r="J2516" s="14" t="n">
        <f aca="false">I2516-H2516</f>
        <v>0</v>
      </c>
    </row>
    <row r="2517" customFormat="false" ht="15" hidden="false" customHeight="false" outlineLevel="0" collapsed="false">
      <c r="A2517" s="12" t="n">
        <f aca="false">Data!A2517</f>
        <v>45660</v>
      </c>
      <c r="B2517" s="14" t="n">
        <f aca="false">Data!B2517</f>
        <v>73.96</v>
      </c>
      <c r="C2517" s="0" t="str">
        <f aca="false">IF(Data!D2517="","HOLD",IF(AND(G2516&lt;&gt;"IN",Data!E2517&lt;-5),"BUY",IF(AND(G2516="IN",Data!E2517&gt;0),"SELL","HOLD")))</f>
        <v>HOLD</v>
      </c>
      <c r="D2517" s="14" t="str">
        <f aca="false">IF(C2517="BUY",B2517,IF(G2516="IN",D2516,""))</f>
        <v/>
      </c>
      <c r="E2517" s="14" t="str">
        <f aca="false">IF(C2517="SELL",B2517,"")</f>
        <v/>
      </c>
      <c r="F2517" s="14" t="str">
        <f aca="false">IF(E2517="","",(E2517-D2517)/D2517*100)</f>
        <v/>
      </c>
      <c r="G2517" s="0" t="str">
        <f aca="false">IF(C2517="BUY","IN",IF(C2517="SELL","OUT",IF(G2516="IN","IN","OUT")))</f>
        <v>OUT</v>
      </c>
      <c r="H2517" s="14" t="n">
        <f aca="false">H2516+IF(F2517="",0,F2517)</f>
        <v>46.9589558049821</v>
      </c>
      <c r="I2517" s="14" t="n">
        <f aca="false">MAX(I2516,H2517)</f>
        <v>46.9589558049821</v>
      </c>
      <c r="J2517" s="14" t="n">
        <f aca="false">I2517-H2517</f>
        <v>0</v>
      </c>
    </row>
    <row r="2518" customFormat="false" ht="15" hidden="false" customHeight="false" outlineLevel="0" collapsed="false">
      <c r="A2518" s="12" t="n">
        <f aca="false">Data!A2518</f>
        <v>45663</v>
      </c>
      <c r="B2518" s="14" t="n">
        <f aca="false">Data!B2518</f>
        <v>73.56</v>
      </c>
      <c r="C2518" s="0" t="str">
        <f aca="false">IF(Data!D2518="","HOLD",IF(AND(G2517&lt;&gt;"IN",Data!E2518&lt;-5),"BUY",IF(AND(G2517="IN",Data!E2518&gt;0),"SELL","HOLD")))</f>
        <v>HOLD</v>
      </c>
      <c r="D2518" s="14" t="str">
        <f aca="false">IF(C2518="BUY",B2518,IF(G2517="IN",D2517,""))</f>
        <v/>
      </c>
      <c r="E2518" s="14" t="str">
        <f aca="false">IF(C2518="SELL",B2518,"")</f>
        <v/>
      </c>
      <c r="F2518" s="14" t="str">
        <f aca="false">IF(E2518="","",(E2518-D2518)/D2518*100)</f>
        <v/>
      </c>
      <c r="G2518" s="0" t="str">
        <f aca="false">IF(C2518="BUY","IN",IF(C2518="SELL","OUT",IF(G2517="IN","IN","OUT")))</f>
        <v>OUT</v>
      </c>
      <c r="H2518" s="14" t="n">
        <f aca="false">H2517+IF(F2518="",0,F2518)</f>
        <v>46.9589558049821</v>
      </c>
      <c r="I2518" s="14" t="n">
        <f aca="false">MAX(I2517,H2518)</f>
        <v>46.9589558049821</v>
      </c>
      <c r="J2518" s="14" t="n">
        <f aca="false">I2518-H2518</f>
        <v>0</v>
      </c>
    </row>
    <row r="2519" customFormat="false" ht="15" hidden="false" customHeight="false" outlineLevel="0" collapsed="false">
      <c r="A2519" s="12" t="n">
        <f aca="false">Data!A2519</f>
        <v>45664</v>
      </c>
      <c r="B2519" s="14" t="n">
        <f aca="false">Data!B2519</f>
        <v>74.25</v>
      </c>
      <c r="C2519" s="0" t="str">
        <f aca="false">IF(Data!D2519="","HOLD",IF(AND(G2518&lt;&gt;"IN",Data!E2519&lt;-5),"BUY",IF(AND(G2518="IN",Data!E2519&gt;0),"SELL","HOLD")))</f>
        <v>HOLD</v>
      </c>
      <c r="D2519" s="14" t="str">
        <f aca="false">IF(C2519="BUY",B2519,IF(G2518="IN",D2518,""))</f>
        <v/>
      </c>
      <c r="E2519" s="14" t="str">
        <f aca="false">IF(C2519="SELL",B2519,"")</f>
        <v/>
      </c>
      <c r="F2519" s="14" t="str">
        <f aca="false">IF(E2519="","",(E2519-D2519)/D2519*100)</f>
        <v/>
      </c>
      <c r="G2519" s="0" t="str">
        <f aca="false">IF(C2519="BUY","IN",IF(C2519="SELL","OUT",IF(G2518="IN","IN","OUT")))</f>
        <v>OUT</v>
      </c>
      <c r="H2519" s="14" t="n">
        <f aca="false">H2518+IF(F2519="",0,F2519)</f>
        <v>46.9589558049821</v>
      </c>
      <c r="I2519" s="14" t="n">
        <f aca="false">MAX(I2518,H2519)</f>
        <v>46.9589558049821</v>
      </c>
      <c r="J2519" s="14" t="n">
        <f aca="false">I2519-H2519</f>
        <v>0</v>
      </c>
    </row>
    <row r="2520" customFormat="false" ht="15" hidden="false" customHeight="false" outlineLevel="0" collapsed="false">
      <c r="A2520" s="12" t="n">
        <f aca="false">Data!A2520</f>
        <v>45665</v>
      </c>
      <c r="B2520" s="14" t="n">
        <f aca="false">Data!B2520</f>
        <v>73.32</v>
      </c>
      <c r="C2520" s="0" t="str">
        <f aca="false">IF(Data!D2520="","HOLD",IF(AND(G2519&lt;&gt;"IN",Data!E2520&lt;-5),"BUY",IF(AND(G2519="IN",Data!E2520&gt;0),"SELL","HOLD")))</f>
        <v>HOLD</v>
      </c>
      <c r="D2520" s="14" t="str">
        <f aca="false">IF(C2520="BUY",B2520,IF(G2519="IN",D2519,""))</f>
        <v/>
      </c>
      <c r="E2520" s="14" t="str">
        <f aca="false">IF(C2520="SELL",B2520,"")</f>
        <v/>
      </c>
      <c r="F2520" s="14" t="str">
        <f aca="false">IF(E2520="","",(E2520-D2520)/D2520*100)</f>
        <v/>
      </c>
      <c r="G2520" s="0" t="str">
        <f aca="false">IF(C2520="BUY","IN",IF(C2520="SELL","OUT",IF(G2519="IN","IN","OUT")))</f>
        <v>OUT</v>
      </c>
      <c r="H2520" s="14" t="n">
        <f aca="false">H2519+IF(F2520="",0,F2520)</f>
        <v>46.9589558049821</v>
      </c>
      <c r="I2520" s="14" t="n">
        <f aca="false">MAX(I2519,H2520)</f>
        <v>46.9589558049821</v>
      </c>
      <c r="J2520" s="14" t="n">
        <f aca="false">I2520-H2520</f>
        <v>0</v>
      </c>
    </row>
    <row r="2521" customFormat="false" ht="15" hidden="false" customHeight="false" outlineLevel="0" collapsed="false">
      <c r="A2521" s="12" t="n">
        <f aca="false">Data!A2521</f>
        <v>45666</v>
      </c>
      <c r="B2521" s="14" t="n">
        <f aca="false">Data!B2521</f>
        <v>73.92</v>
      </c>
      <c r="C2521" s="0" t="str">
        <f aca="false">IF(Data!D2521="","HOLD",IF(AND(G2520&lt;&gt;"IN",Data!E2521&lt;-5),"BUY",IF(AND(G2520="IN",Data!E2521&gt;0),"SELL","HOLD")))</f>
        <v>HOLD</v>
      </c>
      <c r="D2521" s="14" t="str">
        <f aca="false">IF(C2521="BUY",B2521,IF(G2520="IN",D2520,""))</f>
        <v/>
      </c>
      <c r="E2521" s="14" t="str">
        <f aca="false">IF(C2521="SELL",B2521,"")</f>
        <v/>
      </c>
      <c r="F2521" s="14" t="str">
        <f aca="false">IF(E2521="","",(E2521-D2521)/D2521*100)</f>
        <v/>
      </c>
      <c r="G2521" s="0" t="str">
        <f aca="false">IF(C2521="BUY","IN",IF(C2521="SELL","OUT",IF(G2520="IN","IN","OUT")))</f>
        <v>OUT</v>
      </c>
      <c r="H2521" s="14" t="n">
        <f aca="false">H2520+IF(F2521="",0,F2521)</f>
        <v>46.9589558049821</v>
      </c>
      <c r="I2521" s="14" t="n">
        <f aca="false">MAX(I2520,H2521)</f>
        <v>46.9589558049821</v>
      </c>
      <c r="J2521" s="14" t="n">
        <f aca="false">I2521-H2521</f>
        <v>0</v>
      </c>
    </row>
    <row r="2522" customFormat="false" ht="15" hidden="false" customHeight="false" outlineLevel="0" collapsed="false">
      <c r="A2522" s="12" t="n">
        <f aca="false">Data!A2522</f>
        <v>45667</v>
      </c>
      <c r="B2522" s="14" t="n">
        <f aca="false">Data!B2522</f>
        <v>76.57</v>
      </c>
      <c r="C2522" s="0" t="str">
        <f aca="false">IF(Data!D2522="","HOLD",IF(AND(G2521&lt;&gt;"IN",Data!E2522&lt;-5),"BUY",IF(AND(G2521="IN",Data!E2522&gt;0),"SELL","HOLD")))</f>
        <v>HOLD</v>
      </c>
      <c r="D2522" s="14" t="str">
        <f aca="false">IF(C2522="BUY",B2522,IF(G2521="IN",D2521,""))</f>
        <v/>
      </c>
      <c r="E2522" s="14" t="str">
        <f aca="false">IF(C2522="SELL",B2522,"")</f>
        <v/>
      </c>
      <c r="F2522" s="14" t="str">
        <f aca="false">IF(E2522="","",(E2522-D2522)/D2522*100)</f>
        <v/>
      </c>
      <c r="G2522" s="0" t="str">
        <f aca="false">IF(C2522="BUY","IN",IF(C2522="SELL","OUT",IF(G2521="IN","IN","OUT")))</f>
        <v>OUT</v>
      </c>
      <c r="H2522" s="14" t="n">
        <f aca="false">H2521+IF(F2522="",0,F2522)</f>
        <v>46.9589558049821</v>
      </c>
      <c r="I2522" s="14" t="n">
        <f aca="false">MAX(I2521,H2522)</f>
        <v>46.9589558049821</v>
      </c>
      <c r="J2522" s="14" t="n">
        <f aca="false">I2522-H2522</f>
        <v>0</v>
      </c>
    </row>
    <row r="2523" customFormat="false" ht="15" hidden="false" customHeight="false" outlineLevel="0" collapsed="false">
      <c r="A2523" s="12" t="n">
        <f aca="false">Data!A2523</f>
        <v>45670</v>
      </c>
      <c r="B2523" s="14" t="n">
        <f aca="false">Data!B2523</f>
        <v>78.82</v>
      </c>
      <c r="C2523" s="0" t="str">
        <f aca="false">IF(Data!D2523="","HOLD",IF(AND(G2522&lt;&gt;"IN",Data!E2523&lt;-5),"BUY",IF(AND(G2522="IN",Data!E2523&gt;0),"SELL","HOLD")))</f>
        <v>HOLD</v>
      </c>
      <c r="D2523" s="14" t="str">
        <f aca="false">IF(C2523="BUY",B2523,IF(G2522="IN",D2522,""))</f>
        <v/>
      </c>
      <c r="E2523" s="14" t="str">
        <f aca="false">IF(C2523="SELL",B2523,"")</f>
        <v/>
      </c>
      <c r="F2523" s="14" t="str">
        <f aca="false">IF(E2523="","",(E2523-D2523)/D2523*100)</f>
        <v/>
      </c>
      <c r="G2523" s="0" t="str">
        <f aca="false">IF(C2523="BUY","IN",IF(C2523="SELL","OUT",IF(G2522="IN","IN","OUT")))</f>
        <v>OUT</v>
      </c>
      <c r="H2523" s="14" t="n">
        <f aca="false">H2522+IF(F2523="",0,F2523)</f>
        <v>46.9589558049821</v>
      </c>
      <c r="I2523" s="14" t="n">
        <f aca="false">MAX(I2522,H2523)</f>
        <v>46.9589558049821</v>
      </c>
      <c r="J2523" s="14" t="n">
        <f aca="false">I2523-H2523</f>
        <v>0</v>
      </c>
    </row>
    <row r="2524" customFormat="false" ht="15" hidden="false" customHeight="false" outlineLevel="0" collapsed="false">
      <c r="A2524" s="12" t="n">
        <f aca="false">Data!A2524</f>
        <v>45671</v>
      </c>
      <c r="B2524" s="14" t="n">
        <f aca="false">Data!B2524</f>
        <v>77.5</v>
      </c>
      <c r="C2524" s="0" t="str">
        <f aca="false">IF(Data!D2524="","HOLD",IF(AND(G2523&lt;&gt;"IN",Data!E2524&lt;-5),"BUY",IF(AND(G2523="IN",Data!E2524&gt;0),"SELL","HOLD")))</f>
        <v>HOLD</v>
      </c>
      <c r="D2524" s="14" t="str">
        <f aca="false">IF(C2524="BUY",B2524,IF(G2523="IN",D2523,""))</f>
        <v/>
      </c>
      <c r="E2524" s="14" t="str">
        <f aca="false">IF(C2524="SELL",B2524,"")</f>
        <v/>
      </c>
      <c r="F2524" s="14" t="str">
        <f aca="false">IF(E2524="","",(E2524-D2524)/D2524*100)</f>
        <v/>
      </c>
      <c r="G2524" s="0" t="str">
        <f aca="false">IF(C2524="BUY","IN",IF(C2524="SELL","OUT",IF(G2523="IN","IN","OUT")))</f>
        <v>OUT</v>
      </c>
      <c r="H2524" s="14" t="n">
        <f aca="false">H2523+IF(F2524="",0,F2524)</f>
        <v>46.9589558049821</v>
      </c>
      <c r="I2524" s="14" t="n">
        <f aca="false">MAX(I2523,H2524)</f>
        <v>46.9589558049821</v>
      </c>
      <c r="J2524" s="14" t="n">
        <f aca="false">I2524-H2524</f>
        <v>0</v>
      </c>
    </row>
    <row r="2525" customFormat="false" ht="15" hidden="false" customHeight="false" outlineLevel="0" collapsed="false">
      <c r="A2525" s="12" t="n">
        <f aca="false">Data!A2525</f>
        <v>45672</v>
      </c>
      <c r="B2525" s="14" t="n">
        <f aca="false">Data!B2525</f>
        <v>80.04</v>
      </c>
      <c r="C2525" s="0" t="str">
        <f aca="false">IF(Data!D2525="","HOLD",IF(AND(G2524&lt;&gt;"IN",Data!E2525&lt;-5),"BUY",IF(AND(G2524="IN",Data!E2525&gt;0),"SELL","HOLD")))</f>
        <v>HOLD</v>
      </c>
      <c r="D2525" s="14" t="str">
        <f aca="false">IF(C2525="BUY",B2525,IF(G2524="IN",D2524,""))</f>
        <v/>
      </c>
      <c r="E2525" s="14" t="str">
        <f aca="false">IF(C2525="SELL",B2525,"")</f>
        <v/>
      </c>
      <c r="F2525" s="14" t="str">
        <f aca="false">IF(E2525="","",(E2525-D2525)/D2525*100)</f>
        <v/>
      </c>
      <c r="G2525" s="0" t="str">
        <f aca="false">IF(C2525="BUY","IN",IF(C2525="SELL","OUT",IF(G2524="IN","IN","OUT")))</f>
        <v>OUT</v>
      </c>
      <c r="H2525" s="14" t="n">
        <f aca="false">H2524+IF(F2525="",0,F2525)</f>
        <v>46.9589558049821</v>
      </c>
      <c r="I2525" s="14" t="n">
        <f aca="false">MAX(I2524,H2525)</f>
        <v>46.9589558049821</v>
      </c>
      <c r="J2525" s="14" t="n">
        <f aca="false">I2525-H2525</f>
        <v>0</v>
      </c>
    </row>
    <row r="2526" customFormat="false" ht="15" hidden="false" customHeight="false" outlineLevel="0" collapsed="false">
      <c r="A2526" s="12" t="n">
        <f aca="false">Data!A2526</f>
        <v>45673</v>
      </c>
      <c r="B2526" s="14" t="n">
        <f aca="false">Data!B2526</f>
        <v>78.68</v>
      </c>
      <c r="C2526" s="0" t="str">
        <f aca="false">IF(Data!D2526="","HOLD",IF(AND(G2525&lt;&gt;"IN",Data!E2526&lt;-5),"BUY",IF(AND(G2525="IN",Data!E2526&gt;0),"SELL","HOLD")))</f>
        <v>HOLD</v>
      </c>
      <c r="D2526" s="14" t="str">
        <f aca="false">IF(C2526="BUY",B2526,IF(G2525="IN",D2525,""))</f>
        <v/>
      </c>
      <c r="E2526" s="14" t="str">
        <f aca="false">IF(C2526="SELL",B2526,"")</f>
        <v/>
      </c>
      <c r="F2526" s="14" t="str">
        <f aca="false">IF(E2526="","",(E2526-D2526)/D2526*100)</f>
        <v/>
      </c>
      <c r="G2526" s="0" t="str">
        <f aca="false">IF(C2526="BUY","IN",IF(C2526="SELL","OUT",IF(G2525="IN","IN","OUT")))</f>
        <v>OUT</v>
      </c>
      <c r="H2526" s="14" t="n">
        <f aca="false">H2525+IF(F2526="",0,F2526)</f>
        <v>46.9589558049821</v>
      </c>
      <c r="I2526" s="14" t="n">
        <f aca="false">MAX(I2525,H2526)</f>
        <v>46.9589558049821</v>
      </c>
      <c r="J2526" s="14" t="n">
        <f aca="false">I2526-H2526</f>
        <v>0</v>
      </c>
    </row>
    <row r="2527" customFormat="false" ht="15" hidden="false" customHeight="false" outlineLevel="0" collapsed="false">
      <c r="A2527" s="12" t="n">
        <f aca="false">Data!A2527</f>
        <v>45674</v>
      </c>
      <c r="B2527" s="14" t="n">
        <f aca="false">Data!B2527</f>
        <v>77.88</v>
      </c>
      <c r="C2527" s="0" t="str">
        <f aca="false">IF(Data!D2527="","HOLD",IF(AND(G2526&lt;&gt;"IN",Data!E2527&lt;-5),"BUY",IF(AND(G2526="IN",Data!E2527&gt;0),"SELL","HOLD")))</f>
        <v>HOLD</v>
      </c>
      <c r="D2527" s="14" t="str">
        <f aca="false">IF(C2527="BUY",B2527,IF(G2526="IN",D2526,""))</f>
        <v/>
      </c>
      <c r="E2527" s="14" t="str">
        <f aca="false">IF(C2527="SELL",B2527,"")</f>
        <v/>
      </c>
      <c r="F2527" s="14" t="str">
        <f aca="false">IF(E2527="","",(E2527-D2527)/D2527*100)</f>
        <v/>
      </c>
      <c r="G2527" s="0" t="str">
        <f aca="false">IF(C2527="BUY","IN",IF(C2527="SELL","OUT",IF(G2526="IN","IN","OUT")))</f>
        <v>OUT</v>
      </c>
      <c r="H2527" s="14" t="n">
        <f aca="false">H2526+IF(F2527="",0,F2527)</f>
        <v>46.9589558049821</v>
      </c>
      <c r="I2527" s="14" t="n">
        <f aca="false">MAX(I2526,H2527)</f>
        <v>46.9589558049821</v>
      </c>
      <c r="J2527" s="14" t="n">
        <f aca="false">I2527-H2527</f>
        <v>0</v>
      </c>
    </row>
    <row r="2528" customFormat="false" ht="15" hidden="false" customHeight="false" outlineLevel="0" collapsed="false">
      <c r="A2528" s="12" t="n">
        <f aca="false">Data!A2528</f>
        <v>45678</v>
      </c>
      <c r="B2528" s="14" t="n">
        <f aca="false">Data!B2528</f>
        <v>75.89</v>
      </c>
      <c r="C2528" s="0" t="str">
        <f aca="false">IF(Data!D2528="","HOLD",IF(AND(G2527&lt;&gt;"IN",Data!E2528&lt;-5),"BUY",IF(AND(G2527="IN",Data!E2528&gt;0),"SELL","HOLD")))</f>
        <v>HOLD</v>
      </c>
      <c r="D2528" s="14" t="str">
        <f aca="false">IF(C2528="BUY",B2528,IF(G2527="IN",D2527,""))</f>
        <v/>
      </c>
      <c r="E2528" s="14" t="str">
        <f aca="false">IF(C2528="SELL",B2528,"")</f>
        <v/>
      </c>
      <c r="F2528" s="14" t="str">
        <f aca="false">IF(E2528="","",(E2528-D2528)/D2528*100)</f>
        <v/>
      </c>
      <c r="G2528" s="0" t="str">
        <f aca="false">IF(C2528="BUY","IN",IF(C2528="SELL","OUT",IF(G2527="IN","IN","OUT")))</f>
        <v>OUT</v>
      </c>
      <c r="H2528" s="14" t="n">
        <f aca="false">H2527+IF(F2528="",0,F2528)</f>
        <v>46.9589558049821</v>
      </c>
      <c r="I2528" s="14" t="n">
        <f aca="false">MAX(I2527,H2528)</f>
        <v>46.9589558049821</v>
      </c>
      <c r="J2528" s="14" t="n">
        <f aca="false">I2528-H2528</f>
        <v>0</v>
      </c>
    </row>
    <row r="2529" customFormat="false" ht="15" hidden="false" customHeight="false" outlineLevel="0" collapsed="false">
      <c r="A2529" s="12" t="n">
        <f aca="false">Data!A2529</f>
        <v>45679</v>
      </c>
      <c r="B2529" s="14" t="n">
        <f aca="false">Data!B2529</f>
        <v>75.44</v>
      </c>
      <c r="C2529" s="0" t="str">
        <f aca="false">IF(Data!D2529="","HOLD",IF(AND(G2528&lt;&gt;"IN",Data!E2529&lt;-5),"BUY",IF(AND(G2528="IN",Data!E2529&gt;0),"SELL","HOLD")))</f>
        <v>HOLD</v>
      </c>
      <c r="D2529" s="14" t="str">
        <f aca="false">IF(C2529="BUY",B2529,IF(G2528="IN",D2528,""))</f>
        <v/>
      </c>
      <c r="E2529" s="14" t="str">
        <f aca="false">IF(C2529="SELL",B2529,"")</f>
        <v/>
      </c>
      <c r="F2529" s="14" t="str">
        <f aca="false">IF(E2529="","",(E2529-D2529)/D2529*100)</f>
        <v/>
      </c>
      <c r="G2529" s="0" t="str">
        <f aca="false">IF(C2529="BUY","IN",IF(C2529="SELL","OUT",IF(G2528="IN","IN","OUT")))</f>
        <v>OUT</v>
      </c>
      <c r="H2529" s="14" t="n">
        <f aca="false">H2528+IF(F2529="",0,F2529)</f>
        <v>46.9589558049821</v>
      </c>
      <c r="I2529" s="14" t="n">
        <f aca="false">MAX(I2528,H2529)</f>
        <v>46.9589558049821</v>
      </c>
      <c r="J2529" s="14" t="n">
        <f aca="false">I2529-H2529</f>
        <v>0</v>
      </c>
    </row>
    <row r="2530" customFormat="false" ht="15" hidden="false" customHeight="false" outlineLevel="0" collapsed="false">
      <c r="A2530" s="12" t="n">
        <f aca="false">Data!A2530</f>
        <v>45680</v>
      </c>
      <c r="B2530" s="14" t="n">
        <f aca="false">Data!B2530</f>
        <v>74.62</v>
      </c>
      <c r="C2530" s="0" t="str">
        <f aca="false">IF(Data!D2530="","HOLD",IF(AND(G2529&lt;&gt;"IN",Data!E2530&lt;-5),"BUY",IF(AND(G2529="IN",Data!E2530&gt;0),"SELL","HOLD")))</f>
        <v>HOLD</v>
      </c>
      <c r="D2530" s="14" t="str">
        <f aca="false">IF(C2530="BUY",B2530,IF(G2529="IN",D2529,""))</f>
        <v/>
      </c>
      <c r="E2530" s="14" t="str">
        <f aca="false">IF(C2530="SELL",B2530,"")</f>
        <v/>
      </c>
      <c r="F2530" s="14" t="str">
        <f aca="false">IF(E2530="","",(E2530-D2530)/D2530*100)</f>
        <v/>
      </c>
      <c r="G2530" s="0" t="str">
        <f aca="false">IF(C2530="BUY","IN",IF(C2530="SELL","OUT",IF(G2529="IN","IN","OUT")))</f>
        <v>OUT</v>
      </c>
      <c r="H2530" s="14" t="n">
        <f aca="false">H2529+IF(F2530="",0,F2530)</f>
        <v>46.9589558049821</v>
      </c>
      <c r="I2530" s="14" t="n">
        <f aca="false">MAX(I2529,H2530)</f>
        <v>46.9589558049821</v>
      </c>
      <c r="J2530" s="14" t="n">
        <f aca="false">I2530-H2530</f>
        <v>0</v>
      </c>
    </row>
    <row r="2531" customFormat="false" ht="15" hidden="false" customHeight="false" outlineLevel="0" collapsed="false">
      <c r="A2531" s="12" t="n">
        <f aca="false">Data!A2531</f>
        <v>45681</v>
      </c>
      <c r="B2531" s="14" t="n">
        <f aca="false">Data!B2531</f>
        <v>74.66</v>
      </c>
      <c r="C2531" s="0" t="str">
        <f aca="false">IF(Data!D2531="","HOLD",IF(AND(G2530&lt;&gt;"IN",Data!E2531&lt;-5),"BUY",IF(AND(G2530="IN",Data!E2531&gt;0),"SELL","HOLD")))</f>
        <v>HOLD</v>
      </c>
      <c r="D2531" s="14" t="str">
        <f aca="false">IF(C2531="BUY",B2531,IF(G2530="IN",D2530,""))</f>
        <v/>
      </c>
      <c r="E2531" s="14" t="str">
        <f aca="false">IF(C2531="SELL",B2531,"")</f>
        <v/>
      </c>
      <c r="F2531" s="14" t="str">
        <f aca="false">IF(E2531="","",(E2531-D2531)/D2531*100)</f>
        <v/>
      </c>
      <c r="G2531" s="0" t="str">
        <f aca="false">IF(C2531="BUY","IN",IF(C2531="SELL","OUT",IF(G2530="IN","IN","OUT")))</f>
        <v>OUT</v>
      </c>
      <c r="H2531" s="14" t="n">
        <f aca="false">H2530+IF(F2531="",0,F2531)</f>
        <v>46.9589558049821</v>
      </c>
      <c r="I2531" s="14" t="n">
        <f aca="false">MAX(I2530,H2531)</f>
        <v>46.9589558049821</v>
      </c>
      <c r="J2531" s="14" t="n">
        <f aca="false">I2531-H2531</f>
        <v>0</v>
      </c>
    </row>
    <row r="2532" customFormat="false" ht="15" hidden="false" customHeight="false" outlineLevel="0" collapsed="false">
      <c r="A2532" s="12" t="n">
        <f aca="false">Data!A2532</f>
        <v>45684</v>
      </c>
      <c r="B2532" s="14" t="n">
        <f aca="false">Data!B2532</f>
        <v>73.17</v>
      </c>
      <c r="C2532" s="0" t="str">
        <f aca="false">IF(Data!D2532="","HOLD",IF(AND(G2531&lt;&gt;"IN",Data!E2532&lt;-5),"BUY",IF(AND(G2531="IN",Data!E2532&gt;0),"SELL","HOLD")))</f>
        <v>HOLD</v>
      </c>
      <c r="D2532" s="14" t="str">
        <f aca="false">IF(C2532="BUY",B2532,IF(G2531="IN",D2531,""))</f>
        <v/>
      </c>
      <c r="E2532" s="14" t="str">
        <f aca="false">IF(C2532="SELL",B2532,"")</f>
        <v/>
      </c>
      <c r="F2532" s="14" t="str">
        <f aca="false">IF(E2532="","",(E2532-D2532)/D2532*100)</f>
        <v/>
      </c>
      <c r="G2532" s="0" t="str">
        <f aca="false">IF(C2532="BUY","IN",IF(C2532="SELL","OUT",IF(G2531="IN","IN","OUT")))</f>
        <v>OUT</v>
      </c>
      <c r="H2532" s="14" t="n">
        <f aca="false">H2531+IF(F2532="",0,F2532)</f>
        <v>46.9589558049821</v>
      </c>
      <c r="I2532" s="14" t="n">
        <f aca="false">MAX(I2531,H2532)</f>
        <v>46.9589558049821</v>
      </c>
      <c r="J2532" s="14" t="n">
        <f aca="false">I2532-H2532</f>
        <v>0</v>
      </c>
    </row>
    <row r="2533" customFormat="false" ht="15" hidden="false" customHeight="false" outlineLevel="0" collapsed="false">
      <c r="A2533" s="12" t="n">
        <f aca="false">Data!A2533</f>
        <v>45685</v>
      </c>
      <c r="B2533" s="14" t="n">
        <f aca="false">Data!B2533</f>
        <v>73.77</v>
      </c>
      <c r="C2533" s="0" t="str">
        <f aca="false">IF(Data!D2533="","HOLD",IF(AND(G2532&lt;&gt;"IN",Data!E2533&lt;-5),"BUY",IF(AND(G2532="IN",Data!E2533&gt;0),"SELL","HOLD")))</f>
        <v>HOLD</v>
      </c>
      <c r="D2533" s="14" t="str">
        <f aca="false">IF(C2533="BUY",B2533,IF(G2532="IN",D2532,""))</f>
        <v/>
      </c>
      <c r="E2533" s="14" t="str">
        <f aca="false">IF(C2533="SELL",B2533,"")</f>
        <v/>
      </c>
      <c r="F2533" s="14" t="str">
        <f aca="false">IF(E2533="","",(E2533-D2533)/D2533*100)</f>
        <v/>
      </c>
      <c r="G2533" s="0" t="str">
        <f aca="false">IF(C2533="BUY","IN",IF(C2533="SELL","OUT",IF(G2532="IN","IN","OUT")))</f>
        <v>OUT</v>
      </c>
      <c r="H2533" s="14" t="n">
        <f aca="false">H2532+IF(F2533="",0,F2533)</f>
        <v>46.9589558049821</v>
      </c>
      <c r="I2533" s="14" t="n">
        <f aca="false">MAX(I2532,H2533)</f>
        <v>46.9589558049821</v>
      </c>
      <c r="J2533" s="14" t="n">
        <f aca="false">I2533-H2533</f>
        <v>0</v>
      </c>
    </row>
    <row r="2534" customFormat="false" ht="15" hidden="false" customHeight="false" outlineLevel="0" collapsed="false">
      <c r="A2534" s="12" t="n">
        <f aca="false">Data!A2534</f>
        <v>45686</v>
      </c>
      <c r="B2534" s="14" t="n">
        <f aca="false">Data!B2534</f>
        <v>72.62</v>
      </c>
      <c r="C2534" s="0" t="str">
        <f aca="false">IF(Data!D2534="","HOLD",IF(AND(G2533&lt;&gt;"IN",Data!E2534&lt;-5),"BUY",IF(AND(G2533="IN",Data!E2534&gt;0),"SELL","HOLD")))</f>
        <v>HOLD</v>
      </c>
      <c r="D2534" s="14" t="str">
        <f aca="false">IF(C2534="BUY",B2534,IF(G2533="IN",D2533,""))</f>
        <v/>
      </c>
      <c r="E2534" s="14" t="str">
        <f aca="false">IF(C2534="SELL",B2534,"")</f>
        <v/>
      </c>
      <c r="F2534" s="14" t="str">
        <f aca="false">IF(E2534="","",(E2534-D2534)/D2534*100)</f>
        <v/>
      </c>
      <c r="G2534" s="0" t="str">
        <f aca="false">IF(C2534="BUY","IN",IF(C2534="SELL","OUT",IF(G2533="IN","IN","OUT")))</f>
        <v>OUT</v>
      </c>
      <c r="H2534" s="14" t="n">
        <f aca="false">H2533+IF(F2534="",0,F2534)</f>
        <v>46.9589558049821</v>
      </c>
      <c r="I2534" s="14" t="n">
        <f aca="false">MAX(I2533,H2534)</f>
        <v>46.9589558049821</v>
      </c>
      <c r="J2534" s="14" t="n">
        <f aca="false">I2534-H2534</f>
        <v>0</v>
      </c>
    </row>
    <row r="2535" customFormat="false" ht="15" hidden="false" customHeight="false" outlineLevel="0" collapsed="false">
      <c r="A2535" s="12" t="n">
        <f aca="false">Data!A2535</f>
        <v>45687</v>
      </c>
      <c r="B2535" s="14" t="n">
        <f aca="false">Data!B2535</f>
        <v>72.73</v>
      </c>
      <c r="C2535" s="0" t="str">
        <f aca="false">IF(Data!D2535="","HOLD",IF(AND(G2534&lt;&gt;"IN",Data!E2535&lt;-5),"BUY",IF(AND(G2534="IN",Data!E2535&gt;0),"SELL","HOLD")))</f>
        <v>HOLD</v>
      </c>
      <c r="D2535" s="14" t="str">
        <f aca="false">IF(C2535="BUY",B2535,IF(G2534="IN",D2534,""))</f>
        <v/>
      </c>
      <c r="E2535" s="14" t="str">
        <f aca="false">IF(C2535="SELL",B2535,"")</f>
        <v/>
      </c>
      <c r="F2535" s="14" t="str">
        <f aca="false">IF(E2535="","",(E2535-D2535)/D2535*100)</f>
        <v/>
      </c>
      <c r="G2535" s="0" t="str">
        <f aca="false">IF(C2535="BUY","IN",IF(C2535="SELL","OUT",IF(G2534="IN","IN","OUT")))</f>
        <v>OUT</v>
      </c>
      <c r="H2535" s="14" t="n">
        <f aca="false">H2534+IF(F2535="",0,F2535)</f>
        <v>46.9589558049821</v>
      </c>
      <c r="I2535" s="14" t="n">
        <f aca="false">MAX(I2534,H2535)</f>
        <v>46.9589558049821</v>
      </c>
      <c r="J2535" s="14" t="n">
        <f aca="false">I2535-H2535</f>
        <v>0</v>
      </c>
    </row>
    <row r="2536" customFormat="false" ht="15" hidden="false" customHeight="false" outlineLevel="0" collapsed="false">
      <c r="A2536" s="12" t="n">
        <f aca="false">Data!A2536</f>
        <v>45688</v>
      </c>
      <c r="B2536" s="14" t="n">
        <f aca="false">Data!B2536</f>
        <v>72.53</v>
      </c>
      <c r="C2536" s="0" t="str">
        <f aca="false">IF(Data!D2536="","HOLD",IF(AND(G2535&lt;&gt;"IN",Data!E2536&lt;-5),"BUY",IF(AND(G2535="IN",Data!E2536&gt;0),"SELL","HOLD")))</f>
        <v>HOLD</v>
      </c>
      <c r="D2536" s="14" t="str">
        <f aca="false">IF(C2536="BUY",B2536,IF(G2535="IN",D2535,""))</f>
        <v/>
      </c>
      <c r="E2536" s="14" t="str">
        <f aca="false">IF(C2536="SELL",B2536,"")</f>
        <v/>
      </c>
      <c r="F2536" s="14" t="str">
        <f aca="false">IF(E2536="","",(E2536-D2536)/D2536*100)</f>
        <v/>
      </c>
      <c r="G2536" s="0" t="str">
        <f aca="false">IF(C2536="BUY","IN",IF(C2536="SELL","OUT",IF(G2535="IN","IN","OUT")))</f>
        <v>OUT</v>
      </c>
      <c r="H2536" s="14" t="n">
        <f aca="false">H2535+IF(F2536="",0,F2536)</f>
        <v>46.9589558049821</v>
      </c>
      <c r="I2536" s="14" t="n">
        <f aca="false">MAX(I2535,H2536)</f>
        <v>46.9589558049821</v>
      </c>
      <c r="J2536" s="14" t="n">
        <f aca="false">I2536-H2536</f>
        <v>0</v>
      </c>
    </row>
    <row r="2537" customFormat="false" ht="15" hidden="false" customHeight="false" outlineLevel="0" collapsed="false">
      <c r="A2537" s="12" t="n">
        <f aca="false">Data!A2537</f>
        <v>45691</v>
      </c>
      <c r="B2537" s="14" t="n">
        <f aca="false">Data!B2537</f>
        <v>73.16</v>
      </c>
      <c r="C2537" s="0" t="str">
        <f aca="false">IF(Data!D2537="","HOLD",IF(AND(G2536&lt;&gt;"IN",Data!E2537&lt;-5),"BUY",IF(AND(G2536="IN",Data!E2537&gt;0),"SELL","HOLD")))</f>
        <v>HOLD</v>
      </c>
      <c r="D2537" s="14" t="str">
        <f aca="false">IF(C2537="BUY",B2537,IF(G2536="IN",D2536,""))</f>
        <v/>
      </c>
      <c r="E2537" s="14" t="str">
        <f aca="false">IF(C2537="SELL",B2537,"")</f>
        <v/>
      </c>
      <c r="F2537" s="14" t="str">
        <f aca="false">IF(E2537="","",(E2537-D2537)/D2537*100)</f>
        <v/>
      </c>
      <c r="G2537" s="0" t="str">
        <f aca="false">IF(C2537="BUY","IN",IF(C2537="SELL","OUT",IF(G2536="IN","IN","OUT")))</f>
        <v>OUT</v>
      </c>
      <c r="H2537" s="14" t="n">
        <f aca="false">H2536+IF(F2537="",0,F2537)</f>
        <v>46.9589558049821</v>
      </c>
      <c r="I2537" s="14" t="n">
        <f aca="false">MAX(I2536,H2537)</f>
        <v>46.9589558049821</v>
      </c>
      <c r="J2537" s="14" t="n">
        <f aca="false">I2537-H2537</f>
        <v>0</v>
      </c>
    </row>
    <row r="2538" customFormat="false" ht="15" hidden="false" customHeight="false" outlineLevel="0" collapsed="false">
      <c r="A2538" s="12" t="n">
        <f aca="false">Data!A2538</f>
        <v>45692</v>
      </c>
      <c r="B2538" s="14" t="n">
        <f aca="false">Data!B2538</f>
        <v>72.7</v>
      </c>
      <c r="C2538" s="0" t="str">
        <f aca="false">IF(Data!D2538="","HOLD",IF(AND(G2537&lt;&gt;"IN",Data!E2538&lt;-5),"BUY",IF(AND(G2537="IN",Data!E2538&gt;0),"SELL","HOLD")))</f>
        <v>HOLD</v>
      </c>
      <c r="D2538" s="14" t="str">
        <f aca="false">IF(C2538="BUY",B2538,IF(G2537="IN",D2537,""))</f>
        <v/>
      </c>
      <c r="E2538" s="14" t="str">
        <f aca="false">IF(C2538="SELL",B2538,"")</f>
        <v/>
      </c>
      <c r="F2538" s="14" t="str">
        <f aca="false">IF(E2538="","",(E2538-D2538)/D2538*100)</f>
        <v/>
      </c>
      <c r="G2538" s="0" t="str">
        <f aca="false">IF(C2538="BUY","IN",IF(C2538="SELL","OUT",IF(G2537="IN","IN","OUT")))</f>
        <v>OUT</v>
      </c>
      <c r="H2538" s="14" t="n">
        <f aca="false">H2537+IF(F2538="",0,F2538)</f>
        <v>46.9589558049821</v>
      </c>
      <c r="I2538" s="14" t="n">
        <f aca="false">MAX(I2537,H2538)</f>
        <v>46.9589558049821</v>
      </c>
      <c r="J2538" s="14" t="n">
        <f aca="false">I2538-H2538</f>
        <v>0</v>
      </c>
    </row>
    <row r="2539" customFormat="false" ht="15" hidden="false" customHeight="false" outlineLevel="0" collapsed="false">
      <c r="A2539" s="12" t="n">
        <f aca="false">Data!A2539</f>
        <v>45693</v>
      </c>
      <c r="B2539" s="14" t="n">
        <f aca="false">Data!B2539</f>
        <v>71.03</v>
      </c>
      <c r="C2539" s="0" t="str">
        <f aca="false">IF(Data!D2539="","HOLD",IF(AND(G2538&lt;&gt;"IN",Data!E2539&lt;-5),"BUY",IF(AND(G2538="IN",Data!E2539&gt;0),"SELL","HOLD")))</f>
        <v>BUY</v>
      </c>
      <c r="D2539" s="14" t="n">
        <f aca="false">IF(C2539="BUY",B2539,IF(G2538="IN",D2538,""))</f>
        <v>71.03</v>
      </c>
      <c r="E2539" s="14" t="str">
        <f aca="false">IF(C2539="SELL",B2539,"")</f>
        <v/>
      </c>
      <c r="F2539" s="14" t="str">
        <f aca="false">IF(E2539="","",(E2539-D2539)/D2539*100)</f>
        <v/>
      </c>
      <c r="G2539" s="0" t="str">
        <f aca="false">IF(C2539="BUY","IN",IF(C2539="SELL","OUT",IF(G2538="IN","IN","OUT")))</f>
        <v>IN</v>
      </c>
      <c r="H2539" s="14" t="n">
        <f aca="false">H2538+IF(F2539="",0,F2539)</f>
        <v>46.9589558049821</v>
      </c>
      <c r="I2539" s="14" t="n">
        <f aca="false">MAX(I2538,H2539)</f>
        <v>46.9589558049821</v>
      </c>
      <c r="J2539" s="14" t="n">
        <f aca="false">I2539-H2539</f>
        <v>0</v>
      </c>
    </row>
    <row r="2540" customFormat="false" ht="15" hidden="false" customHeight="false" outlineLevel="0" collapsed="false">
      <c r="A2540" s="12" t="n">
        <f aca="false">Data!A2540</f>
        <v>45694</v>
      </c>
      <c r="B2540" s="14" t="n">
        <f aca="false">Data!B2540</f>
        <v>70.61</v>
      </c>
      <c r="C2540" s="0" t="str">
        <f aca="false">IF(Data!D2540="","HOLD",IF(AND(G2539&lt;&gt;"IN",Data!E2540&lt;-5),"BUY",IF(AND(G2539="IN",Data!E2540&gt;0),"SELL","HOLD")))</f>
        <v>HOLD</v>
      </c>
      <c r="D2540" s="14" t="n">
        <f aca="false">IF(C2540="BUY",B2540,IF(G2539="IN",D2539,""))</f>
        <v>71.03</v>
      </c>
      <c r="E2540" s="14" t="str">
        <f aca="false">IF(C2540="SELL",B2540,"")</f>
        <v/>
      </c>
      <c r="F2540" s="14" t="str">
        <f aca="false">IF(E2540="","",(E2540-D2540)/D2540*100)</f>
        <v/>
      </c>
      <c r="G2540" s="0" t="str">
        <f aca="false">IF(C2540="BUY","IN",IF(C2540="SELL","OUT",IF(G2539="IN","IN","OUT")))</f>
        <v>IN</v>
      </c>
      <c r="H2540" s="14" t="n">
        <f aca="false">H2539+IF(F2540="",0,F2540)</f>
        <v>46.9589558049821</v>
      </c>
      <c r="I2540" s="14" t="n">
        <f aca="false">MAX(I2539,H2540)</f>
        <v>46.9589558049821</v>
      </c>
      <c r="J2540" s="14" t="n">
        <f aca="false">I2540-H2540</f>
        <v>0</v>
      </c>
    </row>
    <row r="2541" customFormat="false" ht="15" hidden="false" customHeight="false" outlineLevel="0" collapsed="false">
      <c r="A2541" s="12" t="n">
        <f aca="false">Data!A2541</f>
        <v>45695</v>
      </c>
      <c r="B2541" s="14" t="n">
        <f aca="false">Data!B2541</f>
        <v>71</v>
      </c>
      <c r="C2541" s="0" t="str">
        <f aca="false">IF(Data!D2541="","HOLD",IF(AND(G2540&lt;&gt;"IN",Data!E2541&lt;-5),"BUY",IF(AND(G2540="IN",Data!E2541&gt;0),"SELL","HOLD")))</f>
        <v>HOLD</v>
      </c>
      <c r="D2541" s="14" t="n">
        <f aca="false">IF(C2541="BUY",B2541,IF(G2540="IN",D2540,""))</f>
        <v>71.03</v>
      </c>
      <c r="E2541" s="14" t="str">
        <f aca="false">IF(C2541="SELL",B2541,"")</f>
        <v/>
      </c>
      <c r="F2541" s="14" t="str">
        <f aca="false">IF(E2541="","",(E2541-D2541)/D2541*100)</f>
        <v/>
      </c>
      <c r="G2541" s="0" t="str">
        <f aca="false">IF(C2541="BUY","IN",IF(C2541="SELL","OUT",IF(G2540="IN","IN","OUT")))</f>
        <v>IN</v>
      </c>
      <c r="H2541" s="14" t="n">
        <f aca="false">H2540+IF(F2541="",0,F2541)</f>
        <v>46.9589558049821</v>
      </c>
      <c r="I2541" s="14" t="n">
        <f aca="false">MAX(I2540,H2541)</f>
        <v>46.9589558049821</v>
      </c>
      <c r="J2541" s="14" t="n">
        <f aca="false">I2541-H2541</f>
        <v>0</v>
      </c>
    </row>
    <row r="2542" customFormat="false" ht="15" hidden="false" customHeight="false" outlineLevel="0" collapsed="false">
      <c r="A2542" s="12" t="n">
        <f aca="false">Data!A2542</f>
        <v>45698</v>
      </c>
      <c r="B2542" s="14" t="n">
        <f aca="false">Data!B2542</f>
        <v>72.32</v>
      </c>
      <c r="C2542" s="0" t="str">
        <f aca="false">IF(Data!D2542="","HOLD",IF(AND(G2541&lt;&gt;"IN",Data!E2542&lt;-5),"BUY",IF(AND(G2541="IN",Data!E2542&gt;0),"SELL","HOLD")))</f>
        <v>HOLD</v>
      </c>
      <c r="D2542" s="14" t="n">
        <f aca="false">IF(C2542="BUY",B2542,IF(G2541="IN",D2541,""))</f>
        <v>71.03</v>
      </c>
      <c r="E2542" s="14" t="str">
        <f aca="false">IF(C2542="SELL",B2542,"")</f>
        <v/>
      </c>
      <c r="F2542" s="14" t="str">
        <f aca="false">IF(E2542="","",(E2542-D2542)/D2542*100)</f>
        <v/>
      </c>
      <c r="G2542" s="0" t="str">
        <f aca="false">IF(C2542="BUY","IN",IF(C2542="SELL","OUT",IF(G2541="IN","IN","OUT")))</f>
        <v>IN</v>
      </c>
      <c r="H2542" s="14" t="n">
        <f aca="false">H2541+IF(F2542="",0,F2542)</f>
        <v>46.9589558049821</v>
      </c>
      <c r="I2542" s="14" t="n">
        <f aca="false">MAX(I2541,H2542)</f>
        <v>46.9589558049821</v>
      </c>
      <c r="J2542" s="14" t="n">
        <f aca="false">I2542-H2542</f>
        <v>0</v>
      </c>
    </row>
    <row r="2543" customFormat="false" ht="15" hidden="false" customHeight="false" outlineLevel="0" collapsed="false">
      <c r="A2543" s="12" t="n">
        <f aca="false">Data!A2543</f>
        <v>45699</v>
      </c>
      <c r="B2543" s="14" t="n">
        <f aca="false">Data!B2543</f>
        <v>73.32</v>
      </c>
      <c r="C2543" s="0" t="str">
        <f aca="false">IF(Data!D2543="","HOLD",IF(AND(G2542&lt;&gt;"IN",Data!E2543&lt;-5),"BUY",IF(AND(G2542="IN",Data!E2543&gt;0),"SELL","HOLD")))</f>
        <v>HOLD</v>
      </c>
      <c r="D2543" s="14" t="n">
        <f aca="false">IF(C2543="BUY",B2543,IF(G2542="IN",D2542,""))</f>
        <v>71.03</v>
      </c>
      <c r="E2543" s="14" t="str">
        <f aca="false">IF(C2543="SELL",B2543,"")</f>
        <v/>
      </c>
      <c r="F2543" s="14" t="str">
        <f aca="false">IF(E2543="","",(E2543-D2543)/D2543*100)</f>
        <v/>
      </c>
      <c r="G2543" s="0" t="str">
        <f aca="false">IF(C2543="BUY","IN",IF(C2543="SELL","OUT",IF(G2542="IN","IN","OUT")))</f>
        <v>IN</v>
      </c>
      <c r="H2543" s="14" t="n">
        <f aca="false">H2542+IF(F2543="",0,F2543)</f>
        <v>46.9589558049821</v>
      </c>
      <c r="I2543" s="14" t="n">
        <f aca="false">MAX(I2542,H2543)</f>
        <v>46.9589558049821</v>
      </c>
      <c r="J2543" s="14" t="n">
        <f aca="false">I2543-H2543</f>
        <v>0</v>
      </c>
    </row>
    <row r="2544" customFormat="false" ht="15" hidden="false" customHeight="false" outlineLevel="0" collapsed="false">
      <c r="A2544" s="12" t="n">
        <f aca="false">Data!A2544</f>
        <v>45700</v>
      </c>
      <c r="B2544" s="14" t="n">
        <f aca="false">Data!B2544</f>
        <v>71.37</v>
      </c>
      <c r="C2544" s="0" t="str">
        <f aca="false">IF(Data!D2544="","HOLD",IF(AND(G2543&lt;&gt;"IN",Data!E2544&lt;-5),"BUY",IF(AND(G2543="IN",Data!E2544&gt;0),"SELL","HOLD")))</f>
        <v>HOLD</v>
      </c>
      <c r="D2544" s="14" t="n">
        <f aca="false">IF(C2544="BUY",B2544,IF(G2543="IN",D2543,""))</f>
        <v>71.03</v>
      </c>
      <c r="E2544" s="14" t="str">
        <f aca="false">IF(C2544="SELL",B2544,"")</f>
        <v/>
      </c>
      <c r="F2544" s="14" t="str">
        <f aca="false">IF(E2544="","",(E2544-D2544)/D2544*100)</f>
        <v/>
      </c>
      <c r="G2544" s="0" t="str">
        <f aca="false">IF(C2544="BUY","IN",IF(C2544="SELL","OUT",IF(G2543="IN","IN","OUT")))</f>
        <v>IN</v>
      </c>
      <c r="H2544" s="14" t="n">
        <f aca="false">H2543+IF(F2544="",0,F2544)</f>
        <v>46.9589558049821</v>
      </c>
      <c r="I2544" s="14" t="n">
        <f aca="false">MAX(I2543,H2544)</f>
        <v>46.9589558049821</v>
      </c>
      <c r="J2544" s="14" t="n">
        <f aca="false">I2544-H2544</f>
        <v>0</v>
      </c>
    </row>
    <row r="2545" customFormat="false" ht="15" hidden="false" customHeight="false" outlineLevel="0" collapsed="false">
      <c r="A2545" s="12" t="n">
        <f aca="false">Data!A2545</f>
        <v>45701</v>
      </c>
      <c r="B2545" s="14" t="n">
        <f aca="false">Data!B2545</f>
        <v>71.29</v>
      </c>
      <c r="C2545" s="0" t="str">
        <f aca="false">IF(Data!D2545="","HOLD",IF(AND(G2544&lt;&gt;"IN",Data!E2545&lt;-5),"BUY",IF(AND(G2544="IN",Data!E2545&gt;0),"SELL","HOLD")))</f>
        <v>HOLD</v>
      </c>
      <c r="D2545" s="14" t="n">
        <f aca="false">IF(C2545="BUY",B2545,IF(G2544="IN",D2544,""))</f>
        <v>71.03</v>
      </c>
      <c r="E2545" s="14" t="str">
        <f aca="false">IF(C2545="SELL",B2545,"")</f>
        <v/>
      </c>
      <c r="F2545" s="14" t="str">
        <f aca="false">IF(E2545="","",(E2545-D2545)/D2545*100)</f>
        <v/>
      </c>
      <c r="G2545" s="0" t="str">
        <f aca="false">IF(C2545="BUY","IN",IF(C2545="SELL","OUT",IF(G2544="IN","IN","OUT")))</f>
        <v>IN</v>
      </c>
      <c r="H2545" s="14" t="n">
        <f aca="false">H2544+IF(F2545="",0,F2545)</f>
        <v>46.9589558049821</v>
      </c>
      <c r="I2545" s="14" t="n">
        <f aca="false">MAX(I2544,H2545)</f>
        <v>46.9589558049821</v>
      </c>
      <c r="J2545" s="14" t="n">
        <f aca="false">I2545-H2545</f>
        <v>0</v>
      </c>
    </row>
    <row r="2546" customFormat="false" ht="15" hidden="false" customHeight="false" outlineLevel="0" collapsed="false">
      <c r="A2546" s="12" t="n">
        <f aca="false">Data!A2546</f>
        <v>45702</v>
      </c>
      <c r="B2546" s="14" t="n">
        <f aca="false">Data!B2546</f>
        <v>70.74</v>
      </c>
      <c r="C2546" s="0" t="str">
        <f aca="false">IF(Data!D2546="","HOLD",IF(AND(G2545&lt;&gt;"IN",Data!E2546&lt;-5),"BUY",IF(AND(G2545="IN",Data!E2546&gt;0),"SELL","HOLD")))</f>
        <v>HOLD</v>
      </c>
      <c r="D2546" s="14" t="n">
        <f aca="false">IF(C2546="BUY",B2546,IF(G2545="IN",D2545,""))</f>
        <v>71.03</v>
      </c>
      <c r="E2546" s="14" t="str">
        <f aca="false">IF(C2546="SELL",B2546,"")</f>
        <v/>
      </c>
      <c r="F2546" s="14" t="str">
        <f aca="false">IF(E2546="","",(E2546-D2546)/D2546*100)</f>
        <v/>
      </c>
      <c r="G2546" s="0" t="str">
        <f aca="false">IF(C2546="BUY","IN",IF(C2546="SELL","OUT",IF(G2545="IN","IN","OUT")))</f>
        <v>IN</v>
      </c>
      <c r="H2546" s="14" t="n">
        <f aca="false">H2545+IF(F2546="",0,F2546)</f>
        <v>46.9589558049821</v>
      </c>
      <c r="I2546" s="14" t="n">
        <f aca="false">MAX(I2545,H2546)</f>
        <v>46.9589558049821</v>
      </c>
      <c r="J2546" s="14" t="n">
        <f aca="false">I2546-H2546</f>
        <v>0</v>
      </c>
    </row>
    <row r="2547" customFormat="false" ht="15" hidden="false" customHeight="false" outlineLevel="0" collapsed="false">
      <c r="A2547" s="12" t="n">
        <f aca="false">Data!A2547</f>
        <v>45706</v>
      </c>
      <c r="B2547" s="14" t="n">
        <f aca="false">Data!B2547</f>
        <v>71.85</v>
      </c>
      <c r="C2547" s="0" t="str">
        <f aca="false">IF(Data!D2547="","HOLD",IF(AND(G2546&lt;&gt;"IN",Data!E2547&lt;-5),"BUY",IF(AND(G2546="IN",Data!E2547&gt;0),"SELL","HOLD")))</f>
        <v>HOLD</v>
      </c>
      <c r="D2547" s="14" t="n">
        <f aca="false">IF(C2547="BUY",B2547,IF(G2546="IN",D2546,""))</f>
        <v>71.03</v>
      </c>
      <c r="E2547" s="14" t="str">
        <f aca="false">IF(C2547="SELL",B2547,"")</f>
        <v/>
      </c>
      <c r="F2547" s="14" t="str">
        <f aca="false">IF(E2547="","",(E2547-D2547)/D2547*100)</f>
        <v/>
      </c>
      <c r="G2547" s="0" t="str">
        <f aca="false">IF(C2547="BUY","IN",IF(C2547="SELL","OUT",IF(G2546="IN","IN","OUT")))</f>
        <v>IN</v>
      </c>
      <c r="H2547" s="14" t="n">
        <f aca="false">H2546+IF(F2547="",0,F2547)</f>
        <v>46.9589558049821</v>
      </c>
      <c r="I2547" s="14" t="n">
        <f aca="false">MAX(I2546,H2547)</f>
        <v>46.9589558049821</v>
      </c>
      <c r="J2547" s="14" t="n">
        <f aca="false">I2547-H2547</f>
        <v>0</v>
      </c>
    </row>
    <row r="2548" customFormat="false" ht="15" hidden="false" customHeight="false" outlineLevel="0" collapsed="false">
      <c r="A2548" s="12" t="n">
        <f aca="false">Data!A2548</f>
        <v>45707</v>
      </c>
      <c r="B2548" s="14" t="n">
        <f aca="false">Data!B2548</f>
        <v>72.25</v>
      </c>
      <c r="C2548" s="0" t="str">
        <f aca="false">IF(Data!D2548="","HOLD",IF(AND(G2547&lt;&gt;"IN",Data!E2548&lt;-5),"BUY",IF(AND(G2547="IN",Data!E2548&gt;0),"SELL","HOLD")))</f>
        <v>HOLD</v>
      </c>
      <c r="D2548" s="14" t="n">
        <f aca="false">IF(C2548="BUY",B2548,IF(G2547="IN",D2547,""))</f>
        <v>71.03</v>
      </c>
      <c r="E2548" s="14" t="str">
        <f aca="false">IF(C2548="SELL",B2548,"")</f>
        <v/>
      </c>
      <c r="F2548" s="14" t="str">
        <f aca="false">IF(E2548="","",(E2548-D2548)/D2548*100)</f>
        <v/>
      </c>
      <c r="G2548" s="0" t="str">
        <f aca="false">IF(C2548="BUY","IN",IF(C2548="SELL","OUT",IF(G2547="IN","IN","OUT")))</f>
        <v>IN</v>
      </c>
      <c r="H2548" s="14" t="n">
        <f aca="false">H2547+IF(F2548="",0,F2548)</f>
        <v>46.9589558049821</v>
      </c>
      <c r="I2548" s="14" t="n">
        <f aca="false">MAX(I2547,H2548)</f>
        <v>46.9589558049821</v>
      </c>
      <c r="J2548" s="14" t="n">
        <f aca="false">I2548-H2548</f>
        <v>0</v>
      </c>
    </row>
    <row r="2549" customFormat="false" ht="15" hidden="false" customHeight="false" outlineLevel="0" collapsed="false">
      <c r="A2549" s="12" t="n">
        <f aca="false">Data!A2549</f>
        <v>45708</v>
      </c>
      <c r="B2549" s="14" t="n">
        <f aca="false">Data!B2549</f>
        <v>72.57</v>
      </c>
      <c r="C2549" s="0" t="str">
        <f aca="false">IF(Data!D2549="","HOLD",IF(AND(G2548&lt;&gt;"IN",Data!E2549&lt;-5),"BUY",IF(AND(G2548="IN",Data!E2549&gt;0),"SELL","HOLD")))</f>
        <v>SELL</v>
      </c>
      <c r="D2549" s="14" t="n">
        <f aca="false">IF(C2549="BUY",B2549,IF(G2548="IN",D2548,""))</f>
        <v>71.03</v>
      </c>
      <c r="E2549" s="14" t="n">
        <f aca="false">IF(C2549="SELL",B2549,"")</f>
        <v>72.57</v>
      </c>
      <c r="F2549" s="14" t="n">
        <f aca="false">IF(E2549="","",(E2549-D2549)/D2549*100)</f>
        <v>2.16809798676614</v>
      </c>
      <c r="G2549" s="0" t="str">
        <f aca="false">IF(C2549="BUY","IN",IF(C2549="SELL","OUT",IF(G2548="IN","IN","OUT")))</f>
        <v>OUT</v>
      </c>
      <c r="H2549" s="14" t="n">
        <f aca="false">H2548+IF(F2549="",0,F2549)</f>
        <v>49.1270537917483</v>
      </c>
      <c r="I2549" s="14" t="n">
        <f aca="false">MAX(I2548,H2549)</f>
        <v>49.1270537917483</v>
      </c>
      <c r="J2549" s="14" t="n">
        <f aca="false">I2549-H2549</f>
        <v>0</v>
      </c>
    </row>
    <row r="2550" customFormat="false" ht="15" hidden="false" customHeight="false" outlineLevel="0" collapsed="false">
      <c r="A2550" s="12" t="n">
        <f aca="false">Data!A2550</f>
        <v>45709</v>
      </c>
      <c r="B2550" s="14" t="n">
        <f aca="false">Data!B2550</f>
        <v>70.4</v>
      </c>
      <c r="C2550" s="0" t="str">
        <f aca="false">IF(Data!D2550="","HOLD",IF(AND(G2549&lt;&gt;"IN",Data!E2550&lt;-5),"BUY",IF(AND(G2549="IN",Data!E2550&gt;0),"SELL","HOLD")))</f>
        <v>HOLD</v>
      </c>
      <c r="D2550" s="14" t="str">
        <f aca="false">IF(C2550="BUY",B2550,IF(G2549="IN",D2549,""))</f>
        <v/>
      </c>
      <c r="E2550" s="14" t="str">
        <f aca="false">IF(C2550="SELL",B2550,"")</f>
        <v/>
      </c>
      <c r="F2550" s="14" t="str">
        <f aca="false">IF(E2550="","",(E2550-D2550)/D2550*100)</f>
        <v/>
      </c>
      <c r="G2550" s="0" t="str">
        <f aca="false">IF(C2550="BUY","IN",IF(C2550="SELL","OUT",IF(G2549="IN","IN","OUT")))</f>
        <v>OUT</v>
      </c>
      <c r="H2550" s="14" t="n">
        <f aca="false">H2549+IF(F2550="",0,F2550)</f>
        <v>49.1270537917483</v>
      </c>
      <c r="I2550" s="14" t="n">
        <f aca="false">MAX(I2549,H2550)</f>
        <v>49.1270537917483</v>
      </c>
      <c r="J2550" s="14" t="n">
        <f aca="false">I2550-H2550</f>
        <v>0</v>
      </c>
    </row>
    <row r="2551" customFormat="false" ht="15" hidden="false" customHeight="false" outlineLevel="0" collapsed="false">
      <c r="A2551" s="12" t="n">
        <f aca="false">Data!A2551</f>
        <v>45712</v>
      </c>
      <c r="B2551" s="14" t="n">
        <f aca="false">Data!B2551</f>
        <v>70.7</v>
      </c>
      <c r="C2551" s="0" t="str">
        <f aca="false">IF(Data!D2551="","HOLD",IF(AND(G2550&lt;&gt;"IN",Data!E2551&lt;-5),"BUY",IF(AND(G2550="IN",Data!E2551&gt;0),"SELL","HOLD")))</f>
        <v>HOLD</v>
      </c>
      <c r="D2551" s="14" t="str">
        <f aca="false">IF(C2551="BUY",B2551,IF(G2550="IN",D2550,""))</f>
        <v/>
      </c>
      <c r="E2551" s="14" t="str">
        <f aca="false">IF(C2551="SELL",B2551,"")</f>
        <v/>
      </c>
      <c r="F2551" s="14" t="str">
        <f aca="false">IF(E2551="","",(E2551-D2551)/D2551*100)</f>
        <v/>
      </c>
      <c r="G2551" s="0" t="str">
        <f aca="false">IF(C2551="BUY","IN",IF(C2551="SELL","OUT",IF(G2550="IN","IN","OUT")))</f>
        <v>OUT</v>
      </c>
      <c r="H2551" s="14" t="n">
        <f aca="false">H2550+IF(F2551="",0,F2551)</f>
        <v>49.1270537917483</v>
      </c>
      <c r="I2551" s="14" t="n">
        <f aca="false">MAX(I2550,H2551)</f>
        <v>49.1270537917483</v>
      </c>
      <c r="J2551" s="14" t="n">
        <f aca="false">I2551-H2551</f>
        <v>0</v>
      </c>
    </row>
    <row r="2552" customFormat="false" ht="15" hidden="false" customHeight="false" outlineLevel="0" collapsed="false">
      <c r="A2552" s="12" t="n">
        <f aca="false">Data!A2552</f>
        <v>45713</v>
      </c>
      <c r="B2552" s="14" t="n">
        <f aca="false">Data!B2552</f>
        <v>68.93</v>
      </c>
      <c r="C2552" s="0" t="str">
        <f aca="false">IF(Data!D2552="","HOLD",IF(AND(G2551&lt;&gt;"IN",Data!E2552&lt;-5),"BUY",IF(AND(G2551="IN",Data!E2552&gt;0),"SELL","HOLD")))</f>
        <v>HOLD</v>
      </c>
      <c r="D2552" s="14" t="str">
        <f aca="false">IF(C2552="BUY",B2552,IF(G2551="IN",D2551,""))</f>
        <v/>
      </c>
      <c r="E2552" s="14" t="str">
        <f aca="false">IF(C2552="SELL",B2552,"")</f>
        <v/>
      </c>
      <c r="F2552" s="14" t="str">
        <f aca="false">IF(E2552="","",(E2552-D2552)/D2552*100)</f>
        <v/>
      </c>
      <c r="G2552" s="0" t="str">
        <f aca="false">IF(C2552="BUY","IN",IF(C2552="SELL","OUT",IF(G2551="IN","IN","OUT")))</f>
        <v>OUT</v>
      </c>
      <c r="H2552" s="14" t="n">
        <f aca="false">H2551+IF(F2552="",0,F2552)</f>
        <v>49.1270537917483</v>
      </c>
      <c r="I2552" s="14" t="n">
        <f aca="false">MAX(I2551,H2552)</f>
        <v>49.1270537917483</v>
      </c>
      <c r="J2552" s="14" t="n">
        <f aca="false">I2552-H2552</f>
        <v>0</v>
      </c>
    </row>
    <row r="2553" customFormat="false" ht="15" hidden="false" customHeight="false" outlineLevel="0" collapsed="false">
      <c r="A2553" s="12" t="n">
        <f aca="false">Data!A2553</f>
        <v>45714</v>
      </c>
      <c r="B2553" s="14" t="n">
        <f aca="false">Data!B2553</f>
        <v>68.62</v>
      </c>
      <c r="C2553" s="0" t="str">
        <f aca="false">IF(Data!D2553="","HOLD",IF(AND(G2552&lt;&gt;"IN",Data!E2553&lt;-5),"BUY",IF(AND(G2552="IN",Data!E2553&gt;0),"SELL","HOLD")))</f>
        <v>HOLD</v>
      </c>
      <c r="D2553" s="14" t="str">
        <f aca="false">IF(C2553="BUY",B2553,IF(G2552="IN",D2552,""))</f>
        <v/>
      </c>
      <c r="E2553" s="14" t="str">
        <f aca="false">IF(C2553="SELL",B2553,"")</f>
        <v/>
      </c>
      <c r="F2553" s="14" t="str">
        <f aca="false">IF(E2553="","",(E2553-D2553)/D2553*100)</f>
        <v/>
      </c>
      <c r="G2553" s="0" t="str">
        <f aca="false">IF(C2553="BUY","IN",IF(C2553="SELL","OUT",IF(G2552="IN","IN","OUT")))</f>
        <v>OUT</v>
      </c>
      <c r="H2553" s="14" t="n">
        <f aca="false">H2552+IF(F2553="",0,F2553)</f>
        <v>49.1270537917483</v>
      </c>
      <c r="I2553" s="14" t="n">
        <f aca="false">MAX(I2552,H2553)</f>
        <v>49.1270537917483</v>
      </c>
      <c r="J2553" s="14" t="n">
        <f aca="false">I2553-H2553</f>
        <v>0</v>
      </c>
    </row>
    <row r="2554" customFormat="false" ht="15" hidden="false" customHeight="false" outlineLevel="0" collapsed="false">
      <c r="A2554" s="12" t="n">
        <f aca="false">Data!A2554</f>
        <v>45715</v>
      </c>
      <c r="B2554" s="14" t="n">
        <f aca="false">Data!B2554</f>
        <v>70.35</v>
      </c>
      <c r="C2554" s="0" t="str">
        <f aca="false">IF(Data!D2554="","HOLD",IF(AND(G2553&lt;&gt;"IN",Data!E2554&lt;-5),"BUY",IF(AND(G2553="IN",Data!E2554&gt;0),"SELL","HOLD")))</f>
        <v>HOLD</v>
      </c>
      <c r="D2554" s="14" t="str">
        <f aca="false">IF(C2554="BUY",B2554,IF(G2553="IN",D2553,""))</f>
        <v/>
      </c>
      <c r="E2554" s="14" t="str">
        <f aca="false">IF(C2554="SELL",B2554,"")</f>
        <v/>
      </c>
      <c r="F2554" s="14" t="str">
        <f aca="false">IF(E2554="","",(E2554-D2554)/D2554*100)</f>
        <v/>
      </c>
      <c r="G2554" s="0" t="str">
        <f aca="false">IF(C2554="BUY","IN",IF(C2554="SELL","OUT",IF(G2553="IN","IN","OUT")))</f>
        <v>OUT</v>
      </c>
      <c r="H2554" s="14" t="n">
        <f aca="false">H2553+IF(F2554="",0,F2554)</f>
        <v>49.1270537917483</v>
      </c>
      <c r="I2554" s="14" t="n">
        <f aca="false">MAX(I2553,H2554)</f>
        <v>49.1270537917483</v>
      </c>
      <c r="J2554" s="14" t="n">
        <f aca="false">I2554-H2554</f>
        <v>0</v>
      </c>
    </row>
    <row r="2555" customFormat="false" ht="15" hidden="false" customHeight="false" outlineLevel="0" collapsed="false">
      <c r="A2555" s="12" t="n">
        <f aca="false">Data!A2555</f>
        <v>45716</v>
      </c>
      <c r="B2555" s="14" t="n">
        <f aca="false">Data!B2555</f>
        <v>69.76</v>
      </c>
      <c r="C2555" s="0" t="str">
        <f aca="false">IF(Data!D2555="","HOLD",IF(AND(G2554&lt;&gt;"IN",Data!E2555&lt;-5),"BUY",IF(AND(G2554="IN",Data!E2555&gt;0),"SELL","HOLD")))</f>
        <v>HOLD</v>
      </c>
      <c r="D2555" s="14" t="str">
        <f aca="false">IF(C2555="BUY",B2555,IF(G2554="IN",D2554,""))</f>
        <v/>
      </c>
      <c r="E2555" s="14" t="str">
        <f aca="false">IF(C2555="SELL",B2555,"")</f>
        <v/>
      </c>
      <c r="F2555" s="14" t="str">
        <f aca="false">IF(E2555="","",(E2555-D2555)/D2555*100)</f>
        <v/>
      </c>
      <c r="G2555" s="0" t="str">
        <f aca="false">IF(C2555="BUY","IN",IF(C2555="SELL","OUT",IF(G2554="IN","IN","OUT")))</f>
        <v>OUT</v>
      </c>
      <c r="H2555" s="14" t="n">
        <f aca="false">H2554+IF(F2555="",0,F2555)</f>
        <v>49.1270537917483</v>
      </c>
      <c r="I2555" s="14" t="n">
        <f aca="false">MAX(I2554,H2555)</f>
        <v>49.1270537917483</v>
      </c>
      <c r="J2555" s="14" t="n">
        <f aca="false">I2555-H2555</f>
        <v>0</v>
      </c>
    </row>
    <row r="2556" customFormat="false" ht="15" hidden="false" customHeight="false" outlineLevel="0" collapsed="false">
      <c r="A2556" s="12" t="n">
        <f aca="false">Data!A2556</f>
        <v>45719</v>
      </c>
      <c r="B2556" s="14" t="n">
        <f aca="false">Data!B2556</f>
        <v>68.37</v>
      </c>
      <c r="C2556" s="0" t="str">
        <f aca="false">IF(Data!D2556="","HOLD",IF(AND(G2555&lt;&gt;"IN",Data!E2556&lt;-5),"BUY",IF(AND(G2555="IN",Data!E2556&gt;0),"SELL","HOLD")))</f>
        <v>HOLD</v>
      </c>
      <c r="D2556" s="14" t="str">
        <f aca="false">IF(C2556="BUY",B2556,IF(G2555="IN",D2555,""))</f>
        <v/>
      </c>
      <c r="E2556" s="14" t="str">
        <f aca="false">IF(C2556="SELL",B2556,"")</f>
        <v/>
      </c>
      <c r="F2556" s="14" t="str">
        <f aca="false">IF(E2556="","",(E2556-D2556)/D2556*100)</f>
        <v/>
      </c>
      <c r="G2556" s="0" t="str">
        <f aca="false">IF(C2556="BUY","IN",IF(C2556="SELL","OUT",IF(G2555="IN","IN","OUT")))</f>
        <v>OUT</v>
      </c>
      <c r="H2556" s="14" t="n">
        <f aca="false">H2555+IF(F2556="",0,F2556)</f>
        <v>49.1270537917483</v>
      </c>
      <c r="I2556" s="14" t="n">
        <f aca="false">MAX(I2555,H2556)</f>
        <v>49.1270537917483</v>
      </c>
      <c r="J2556" s="14" t="n">
        <f aca="false">I2556-H2556</f>
        <v>0</v>
      </c>
    </row>
    <row r="2557" customFormat="false" ht="15" hidden="false" customHeight="false" outlineLevel="0" collapsed="false">
      <c r="A2557" s="12" t="n">
        <f aca="false">Data!A2557</f>
        <v>45720</v>
      </c>
      <c r="B2557" s="14" t="n">
        <f aca="false">Data!B2557</f>
        <v>68.26</v>
      </c>
      <c r="C2557" s="0" t="str">
        <f aca="false">IF(Data!D2557="","HOLD",IF(AND(G2556&lt;&gt;"IN",Data!E2557&lt;-5),"BUY",IF(AND(G2556="IN",Data!E2557&gt;0),"SELL","HOLD")))</f>
        <v>HOLD</v>
      </c>
      <c r="D2557" s="14" t="str">
        <f aca="false">IF(C2557="BUY",B2557,IF(G2556="IN",D2556,""))</f>
        <v/>
      </c>
      <c r="E2557" s="14" t="str">
        <f aca="false">IF(C2557="SELL",B2557,"")</f>
        <v/>
      </c>
      <c r="F2557" s="14" t="str">
        <f aca="false">IF(E2557="","",(E2557-D2557)/D2557*100)</f>
        <v/>
      </c>
      <c r="G2557" s="0" t="str">
        <f aca="false">IF(C2557="BUY","IN",IF(C2557="SELL","OUT",IF(G2556="IN","IN","OUT")))</f>
        <v>OUT</v>
      </c>
      <c r="H2557" s="14" t="n">
        <f aca="false">H2556+IF(F2557="",0,F2557)</f>
        <v>49.1270537917483</v>
      </c>
      <c r="I2557" s="14" t="n">
        <f aca="false">MAX(I2556,H2557)</f>
        <v>49.1270537917483</v>
      </c>
      <c r="J2557" s="14" t="n">
        <f aca="false">I2557-H2557</f>
        <v>0</v>
      </c>
    </row>
    <row r="2558" customFormat="false" ht="15" hidden="false" customHeight="false" outlineLevel="0" collapsed="false">
      <c r="A2558" s="12" t="n">
        <f aca="false">Data!A2558</f>
        <v>45721</v>
      </c>
      <c r="B2558" s="14" t="n">
        <f aca="false">Data!B2558</f>
        <v>66.31</v>
      </c>
      <c r="C2558" s="0" t="str">
        <f aca="false">IF(Data!D2558="","HOLD",IF(AND(G2557&lt;&gt;"IN",Data!E2558&lt;-5),"BUY",IF(AND(G2557="IN",Data!E2558&gt;0),"SELL","HOLD")))</f>
        <v>BUY</v>
      </c>
      <c r="D2558" s="14" t="n">
        <f aca="false">IF(C2558="BUY",B2558,IF(G2557="IN",D2557,""))</f>
        <v>66.31</v>
      </c>
      <c r="E2558" s="14" t="str">
        <f aca="false">IF(C2558="SELL",B2558,"")</f>
        <v/>
      </c>
      <c r="F2558" s="14" t="str">
        <f aca="false">IF(E2558="","",(E2558-D2558)/D2558*100)</f>
        <v/>
      </c>
      <c r="G2558" s="0" t="str">
        <f aca="false">IF(C2558="BUY","IN",IF(C2558="SELL","OUT",IF(G2557="IN","IN","OUT")))</f>
        <v>IN</v>
      </c>
      <c r="H2558" s="14" t="n">
        <f aca="false">H2557+IF(F2558="",0,F2558)</f>
        <v>49.1270537917483</v>
      </c>
      <c r="I2558" s="14" t="n">
        <f aca="false">MAX(I2557,H2558)</f>
        <v>49.1270537917483</v>
      </c>
      <c r="J2558" s="14" t="n">
        <f aca="false">I2558-H2558</f>
        <v>0</v>
      </c>
    </row>
    <row r="2559" customFormat="false" ht="15" hidden="false" customHeight="false" outlineLevel="0" collapsed="false">
      <c r="A2559" s="12" t="n">
        <f aca="false">Data!A2559</f>
        <v>45722</v>
      </c>
      <c r="B2559" s="14" t="n">
        <f aca="false">Data!B2559</f>
        <v>66.36</v>
      </c>
      <c r="C2559" s="0" t="str">
        <f aca="false">IF(Data!D2559="","HOLD",IF(AND(G2558&lt;&gt;"IN",Data!E2559&lt;-5),"BUY",IF(AND(G2558="IN",Data!E2559&gt;0),"SELL","HOLD")))</f>
        <v>HOLD</v>
      </c>
      <c r="D2559" s="14" t="n">
        <f aca="false">IF(C2559="BUY",B2559,IF(G2558="IN",D2558,""))</f>
        <v>66.31</v>
      </c>
      <c r="E2559" s="14" t="str">
        <f aca="false">IF(C2559="SELL",B2559,"")</f>
        <v/>
      </c>
      <c r="F2559" s="14" t="str">
        <f aca="false">IF(E2559="","",(E2559-D2559)/D2559*100)</f>
        <v/>
      </c>
      <c r="G2559" s="0" t="str">
        <f aca="false">IF(C2559="BUY","IN",IF(C2559="SELL","OUT",IF(G2558="IN","IN","OUT")))</f>
        <v>IN</v>
      </c>
      <c r="H2559" s="14" t="n">
        <f aca="false">H2558+IF(F2559="",0,F2559)</f>
        <v>49.1270537917483</v>
      </c>
      <c r="I2559" s="14" t="n">
        <f aca="false">MAX(I2558,H2559)</f>
        <v>49.1270537917483</v>
      </c>
      <c r="J2559" s="14" t="n">
        <f aca="false">I2559-H2559</f>
        <v>0</v>
      </c>
    </row>
    <row r="2560" customFormat="false" ht="15" hidden="false" customHeight="false" outlineLevel="0" collapsed="false">
      <c r="A2560" s="12" t="n">
        <f aca="false">Data!A2560</f>
        <v>45723</v>
      </c>
      <c r="B2560" s="14" t="n">
        <f aca="false">Data!B2560</f>
        <v>67.04</v>
      </c>
      <c r="C2560" s="0" t="str">
        <f aca="false">IF(Data!D2560="","HOLD",IF(AND(G2559&lt;&gt;"IN",Data!E2560&lt;-5),"BUY",IF(AND(G2559="IN",Data!E2560&gt;0),"SELL","HOLD")))</f>
        <v>HOLD</v>
      </c>
      <c r="D2560" s="14" t="n">
        <f aca="false">IF(C2560="BUY",B2560,IF(G2559="IN",D2559,""))</f>
        <v>66.31</v>
      </c>
      <c r="E2560" s="14" t="str">
        <f aca="false">IF(C2560="SELL",B2560,"")</f>
        <v/>
      </c>
      <c r="F2560" s="14" t="str">
        <f aca="false">IF(E2560="","",(E2560-D2560)/D2560*100)</f>
        <v/>
      </c>
      <c r="G2560" s="0" t="str">
        <f aca="false">IF(C2560="BUY","IN",IF(C2560="SELL","OUT",IF(G2559="IN","IN","OUT")))</f>
        <v>IN</v>
      </c>
      <c r="H2560" s="14" t="n">
        <f aca="false">H2559+IF(F2560="",0,F2560)</f>
        <v>49.1270537917483</v>
      </c>
      <c r="I2560" s="14" t="n">
        <f aca="false">MAX(I2559,H2560)</f>
        <v>49.1270537917483</v>
      </c>
      <c r="J2560" s="14" t="n">
        <f aca="false">I2560-H2560</f>
        <v>0</v>
      </c>
    </row>
    <row r="2561" customFormat="false" ht="15" hidden="false" customHeight="false" outlineLevel="0" collapsed="false">
      <c r="A2561" s="12" t="n">
        <f aca="false">Data!A2561</f>
        <v>45726</v>
      </c>
      <c r="B2561" s="14" t="n">
        <f aca="false">Data!B2561</f>
        <v>66.03</v>
      </c>
      <c r="C2561" s="0" t="str">
        <f aca="false">IF(Data!D2561="","HOLD",IF(AND(G2560&lt;&gt;"IN",Data!E2561&lt;-5),"BUY",IF(AND(G2560="IN",Data!E2561&gt;0),"SELL","HOLD")))</f>
        <v>HOLD</v>
      </c>
      <c r="D2561" s="14" t="n">
        <f aca="false">IF(C2561="BUY",B2561,IF(G2560="IN",D2560,""))</f>
        <v>66.31</v>
      </c>
      <c r="E2561" s="14" t="str">
        <f aca="false">IF(C2561="SELL",B2561,"")</f>
        <v/>
      </c>
      <c r="F2561" s="14" t="str">
        <f aca="false">IF(E2561="","",(E2561-D2561)/D2561*100)</f>
        <v/>
      </c>
      <c r="G2561" s="0" t="str">
        <f aca="false">IF(C2561="BUY","IN",IF(C2561="SELL","OUT",IF(G2560="IN","IN","OUT")))</f>
        <v>IN</v>
      </c>
      <c r="H2561" s="14" t="n">
        <f aca="false">H2560+IF(F2561="",0,F2561)</f>
        <v>49.1270537917483</v>
      </c>
      <c r="I2561" s="14" t="n">
        <f aca="false">MAX(I2560,H2561)</f>
        <v>49.1270537917483</v>
      </c>
      <c r="J2561" s="14" t="n">
        <f aca="false">I2561-H2561</f>
        <v>0</v>
      </c>
    </row>
    <row r="2562" customFormat="false" ht="15" hidden="false" customHeight="false" outlineLevel="0" collapsed="false">
      <c r="A2562" s="12" t="n">
        <f aca="false">Data!A2562</f>
        <v>45727</v>
      </c>
      <c r="B2562" s="14" t="n">
        <f aca="false">Data!B2562</f>
        <v>66.25</v>
      </c>
      <c r="C2562" s="0" t="str">
        <f aca="false">IF(Data!D2562="","HOLD",IF(AND(G2561&lt;&gt;"IN",Data!E2562&lt;-5),"BUY",IF(AND(G2561="IN",Data!E2562&gt;0),"SELL","HOLD")))</f>
        <v>HOLD</v>
      </c>
      <c r="D2562" s="14" t="n">
        <f aca="false">IF(C2562="BUY",B2562,IF(G2561="IN",D2561,""))</f>
        <v>66.31</v>
      </c>
      <c r="E2562" s="14" t="str">
        <f aca="false">IF(C2562="SELL",B2562,"")</f>
        <v/>
      </c>
      <c r="F2562" s="14" t="str">
        <f aca="false">IF(E2562="","",(E2562-D2562)/D2562*100)</f>
        <v/>
      </c>
      <c r="G2562" s="0" t="str">
        <f aca="false">IF(C2562="BUY","IN",IF(C2562="SELL","OUT",IF(G2561="IN","IN","OUT")))</f>
        <v>IN</v>
      </c>
      <c r="H2562" s="14" t="n">
        <f aca="false">H2561+IF(F2562="",0,F2562)</f>
        <v>49.1270537917483</v>
      </c>
      <c r="I2562" s="14" t="n">
        <f aca="false">MAX(I2561,H2562)</f>
        <v>49.1270537917483</v>
      </c>
      <c r="J2562" s="14" t="n">
        <f aca="false">I2562-H2562</f>
        <v>0</v>
      </c>
    </row>
    <row r="2563" customFormat="false" ht="15" hidden="false" customHeight="false" outlineLevel="0" collapsed="false">
      <c r="A2563" s="12" t="n">
        <f aca="false">Data!A2563</f>
        <v>45728</v>
      </c>
      <c r="B2563" s="14" t="n">
        <f aca="false">Data!B2563</f>
        <v>67.68</v>
      </c>
      <c r="C2563" s="0" t="str">
        <f aca="false">IF(Data!D2563="","HOLD",IF(AND(G2562&lt;&gt;"IN",Data!E2563&lt;-5),"BUY",IF(AND(G2562="IN",Data!E2563&gt;0),"SELL","HOLD")))</f>
        <v>HOLD</v>
      </c>
      <c r="D2563" s="14" t="n">
        <f aca="false">IF(C2563="BUY",B2563,IF(G2562="IN",D2562,""))</f>
        <v>66.31</v>
      </c>
      <c r="E2563" s="14" t="str">
        <f aca="false">IF(C2563="SELL",B2563,"")</f>
        <v/>
      </c>
      <c r="F2563" s="14" t="str">
        <f aca="false">IF(E2563="","",(E2563-D2563)/D2563*100)</f>
        <v/>
      </c>
      <c r="G2563" s="0" t="str">
        <f aca="false">IF(C2563="BUY","IN",IF(C2563="SELL","OUT",IF(G2562="IN","IN","OUT")))</f>
        <v>IN</v>
      </c>
      <c r="H2563" s="14" t="n">
        <f aca="false">H2562+IF(F2563="",0,F2563)</f>
        <v>49.1270537917483</v>
      </c>
      <c r="I2563" s="14" t="n">
        <f aca="false">MAX(I2562,H2563)</f>
        <v>49.1270537917483</v>
      </c>
      <c r="J2563" s="14" t="n">
        <f aca="false">I2563-H2563</f>
        <v>0</v>
      </c>
    </row>
    <row r="2564" customFormat="false" ht="15" hidden="false" customHeight="false" outlineLevel="0" collapsed="false">
      <c r="A2564" s="12" t="n">
        <f aca="false">Data!A2564</f>
        <v>45729</v>
      </c>
      <c r="B2564" s="14" t="n">
        <f aca="false">Data!B2564</f>
        <v>66.55</v>
      </c>
      <c r="C2564" s="0" t="str">
        <f aca="false">IF(Data!D2564="","HOLD",IF(AND(G2563&lt;&gt;"IN",Data!E2564&lt;-5),"BUY",IF(AND(G2563="IN",Data!E2564&gt;0),"SELL","HOLD")))</f>
        <v>HOLD</v>
      </c>
      <c r="D2564" s="14" t="n">
        <f aca="false">IF(C2564="BUY",B2564,IF(G2563="IN",D2563,""))</f>
        <v>66.31</v>
      </c>
      <c r="E2564" s="14" t="str">
        <f aca="false">IF(C2564="SELL",B2564,"")</f>
        <v/>
      </c>
      <c r="F2564" s="14" t="str">
        <f aca="false">IF(E2564="","",(E2564-D2564)/D2564*100)</f>
        <v/>
      </c>
      <c r="G2564" s="0" t="str">
        <f aca="false">IF(C2564="BUY","IN",IF(C2564="SELL","OUT",IF(G2563="IN","IN","OUT")))</f>
        <v>IN</v>
      </c>
      <c r="H2564" s="14" t="n">
        <f aca="false">H2563+IF(F2564="",0,F2564)</f>
        <v>49.1270537917483</v>
      </c>
      <c r="I2564" s="14" t="n">
        <f aca="false">MAX(I2563,H2564)</f>
        <v>49.1270537917483</v>
      </c>
      <c r="J2564" s="14" t="n">
        <f aca="false">I2564-H2564</f>
        <v>0</v>
      </c>
    </row>
    <row r="2565" customFormat="false" ht="15" hidden="false" customHeight="false" outlineLevel="0" collapsed="false">
      <c r="A2565" s="12" t="n">
        <f aca="false">Data!A2565</f>
        <v>45730</v>
      </c>
      <c r="B2565" s="14" t="n">
        <f aca="false">Data!B2565</f>
        <v>67.18</v>
      </c>
      <c r="C2565" s="0" t="str">
        <f aca="false">IF(Data!D2565="","HOLD",IF(AND(G2564&lt;&gt;"IN",Data!E2565&lt;-5),"BUY",IF(AND(G2564="IN",Data!E2565&gt;0),"SELL","HOLD")))</f>
        <v>HOLD</v>
      </c>
      <c r="D2565" s="14" t="n">
        <f aca="false">IF(C2565="BUY",B2565,IF(G2564="IN",D2564,""))</f>
        <v>66.31</v>
      </c>
      <c r="E2565" s="14" t="str">
        <f aca="false">IF(C2565="SELL",B2565,"")</f>
        <v/>
      </c>
      <c r="F2565" s="14" t="str">
        <f aca="false">IF(E2565="","",(E2565-D2565)/D2565*100)</f>
        <v/>
      </c>
      <c r="G2565" s="0" t="str">
        <f aca="false">IF(C2565="BUY","IN",IF(C2565="SELL","OUT",IF(G2564="IN","IN","OUT")))</f>
        <v>IN</v>
      </c>
      <c r="H2565" s="14" t="n">
        <f aca="false">H2564+IF(F2565="",0,F2565)</f>
        <v>49.1270537917483</v>
      </c>
      <c r="I2565" s="14" t="n">
        <f aca="false">MAX(I2564,H2565)</f>
        <v>49.1270537917483</v>
      </c>
      <c r="J2565" s="14" t="n">
        <f aca="false">I2565-H2565</f>
        <v>0</v>
      </c>
    </row>
    <row r="2566" customFormat="false" ht="15" hidden="false" customHeight="false" outlineLevel="0" collapsed="false">
      <c r="A2566" s="12" t="n">
        <f aca="false">Data!A2566</f>
        <v>45733</v>
      </c>
      <c r="B2566" s="14" t="n">
        <f aca="false">Data!B2566</f>
        <v>67.58</v>
      </c>
      <c r="C2566" s="0" t="str">
        <f aca="false">IF(Data!D2566="","HOLD",IF(AND(G2565&lt;&gt;"IN",Data!E2566&lt;-5),"BUY",IF(AND(G2565="IN",Data!E2566&gt;0),"SELL","HOLD")))</f>
        <v>HOLD</v>
      </c>
      <c r="D2566" s="14" t="n">
        <f aca="false">IF(C2566="BUY",B2566,IF(G2565="IN",D2565,""))</f>
        <v>66.31</v>
      </c>
      <c r="E2566" s="14" t="str">
        <f aca="false">IF(C2566="SELL",B2566,"")</f>
        <v/>
      </c>
      <c r="F2566" s="14" t="str">
        <f aca="false">IF(E2566="","",(E2566-D2566)/D2566*100)</f>
        <v/>
      </c>
      <c r="G2566" s="0" t="str">
        <f aca="false">IF(C2566="BUY","IN",IF(C2566="SELL","OUT",IF(G2565="IN","IN","OUT")))</f>
        <v>IN</v>
      </c>
      <c r="H2566" s="14" t="n">
        <f aca="false">H2565+IF(F2566="",0,F2566)</f>
        <v>49.1270537917483</v>
      </c>
      <c r="I2566" s="14" t="n">
        <f aca="false">MAX(I2565,H2566)</f>
        <v>49.1270537917483</v>
      </c>
      <c r="J2566" s="14" t="n">
        <f aca="false">I2566-H2566</f>
        <v>0</v>
      </c>
    </row>
    <row r="2567" customFormat="false" ht="15" hidden="false" customHeight="false" outlineLevel="0" collapsed="false">
      <c r="A2567" s="12" t="n">
        <f aca="false">Data!A2567</f>
        <v>45734</v>
      </c>
      <c r="B2567" s="14" t="n">
        <f aca="false">Data!B2567</f>
        <v>66.9</v>
      </c>
      <c r="C2567" s="0" t="str">
        <f aca="false">IF(Data!D2567="","HOLD",IF(AND(G2566&lt;&gt;"IN",Data!E2567&lt;-5),"BUY",IF(AND(G2566="IN",Data!E2567&gt;0),"SELL","HOLD")))</f>
        <v>HOLD</v>
      </c>
      <c r="D2567" s="14" t="n">
        <f aca="false">IF(C2567="BUY",B2567,IF(G2566="IN",D2566,""))</f>
        <v>66.31</v>
      </c>
      <c r="E2567" s="14" t="str">
        <f aca="false">IF(C2567="SELL",B2567,"")</f>
        <v/>
      </c>
      <c r="F2567" s="14" t="str">
        <f aca="false">IF(E2567="","",(E2567-D2567)/D2567*100)</f>
        <v/>
      </c>
      <c r="G2567" s="0" t="str">
        <f aca="false">IF(C2567="BUY","IN",IF(C2567="SELL","OUT",IF(G2566="IN","IN","OUT")))</f>
        <v>IN</v>
      </c>
      <c r="H2567" s="14" t="n">
        <f aca="false">H2566+IF(F2567="",0,F2567)</f>
        <v>49.1270537917483</v>
      </c>
      <c r="I2567" s="14" t="n">
        <f aca="false">MAX(I2566,H2567)</f>
        <v>49.1270537917483</v>
      </c>
      <c r="J2567" s="14" t="n">
        <f aca="false">I2567-H2567</f>
        <v>0</v>
      </c>
    </row>
    <row r="2568" customFormat="false" ht="15" hidden="false" customHeight="false" outlineLevel="0" collapsed="false">
      <c r="A2568" s="12" t="n">
        <f aca="false">Data!A2568</f>
        <v>45735</v>
      </c>
      <c r="B2568" s="14" t="n">
        <f aca="false">Data!B2568</f>
        <v>67.16</v>
      </c>
      <c r="C2568" s="0" t="str">
        <f aca="false">IF(Data!D2568="","HOLD",IF(AND(G2567&lt;&gt;"IN",Data!E2568&lt;-5),"BUY",IF(AND(G2567="IN",Data!E2568&gt;0),"SELL","HOLD")))</f>
        <v>HOLD</v>
      </c>
      <c r="D2568" s="14" t="n">
        <f aca="false">IF(C2568="BUY",B2568,IF(G2567="IN",D2567,""))</f>
        <v>66.31</v>
      </c>
      <c r="E2568" s="14" t="str">
        <f aca="false">IF(C2568="SELL",B2568,"")</f>
        <v/>
      </c>
      <c r="F2568" s="14" t="str">
        <f aca="false">IF(E2568="","",(E2568-D2568)/D2568*100)</f>
        <v/>
      </c>
      <c r="G2568" s="0" t="str">
        <f aca="false">IF(C2568="BUY","IN",IF(C2568="SELL","OUT",IF(G2567="IN","IN","OUT")))</f>
        <v>IN</v>
      </c>
      <c r="H2568" s="14" t="n">
        <f aca="false">H2567+IF(F2568="",0,F2568)</f>
        <v>49.1270537917483</v>
      </c>
      <c r="I2568" s="14" t="n">
        <f aca="false">MAX(I2567,H2568)</f>
        <v>49.1270537917483</v>
      </c>
      <c r="J2568" s="14" t="n">
        <f aca="false">I2568-H2568</f>
        <v>0</v>
      </c>
    </row>
    <row r="2569" customFormat="false" ht="15" hidden="false" customHeight="false" outlineLevel="0" collapsed="false">
      <c r="A2569" s="12" t="n">
        <f aca="false">Data!A2569</f>
        <v>45736</v>
      </c>
      <c r="B2569" s="14" t="n">
        <f aca="false">Data!B2569</f>
        <v>68.26</v>
      </c>
      <c r="C2569" s="0" t="str">
        <f aca="false">IF(Data!D2569="","HOLD",IF(AND(G2568&lt;&gt;"IN",Data!E2569&lt;-5),"BUY",IF(AND(G2568="IN",Data!E2569&gt;0),"SELL","HOLD")))</f>
        <v>SELL</v>
      </c>
      <c r="D2569" s="14" t="n">
        <f aca="false">IF(C2569="BUY",B2569,IF(G2568="IN",D2568,""))</f>
        <v>66.31</v>
      </c>
      <c r="E2569" s="14" t="n">
        <f aca="false">IF(C2569="SELL",B2569,"")</f>
        <v>68.26</v>
      </c>
      <c r="F2569" s="14" t="n">
        <f aca="false">IF(E2569="","",(E2569-D2569)/D2569*100)</f>
        <v>2.94073292112804</v>
      </c>
      <c r="G2569" s="0" t="str">
        <f aca="false">IF(C2569="BUY","IN",IF(C2569="SELL","OUT",IF(G2568="IN","IN","OUT")))</f>
        <v>OUT</v>
      </c>
      <c r="H2569" s="14" t="n">
        <f aca="false">H2568+IF(F2569="",0,F2569)</f>
        <v>52.0677867128763</v>
      </c>
      <c r="I2569" s="14" t="n">
        <f aca="false">MAX(I2568,H2569)</f>
        <v>52.0677867128763</v>
      </c>
      <c r="J2569" s="14" t="n">
        <f aca="false">I2569-H2569</f>
        <v>0</v>
      </c>
    </row>
    <row r="2570" customFormat="false" ht="15" hidden="false" customHeight="false" outlineLevel="0" collapsed="false">
      <c r="A2570" s="12" t="n">
        <f aca="false">Data!A2570</f>
        <v>45737</v>
      </c>
      <c r="B2570" s="14" t="n">
        <f aca="false">Data!B2570</f>
        <v>68.28</v>
      </c>
      <c r="C2570" s="0" t="str">
        <f aca="false">IF(Data!D2570="","HOLD",IF(AND(G2569&lt;&gt;"IN",Data!E2570&lt;-5),"BUY",IF(AND(G2569="IN",Data!E2570&gt;0),"SELL","HOLD")))</f>
        <v>HOLD</v>
      </c>
      <c r="D2570" s="14" t="str">
        <f aca="false">IF(C2570="BUY",B2570,IF(G2569="IN",D2569,""))</f>
        <v/>
      </c>
      <c r="E2570" s="14" t="str">
        <f aca="false">IF(C2570="SELL",B2570,"")</f>
        <v/>
      </c>
      <c r="F2570" s="14" t="str">
        <f aca="false">IF(E2570="","",(E2570-D2570)/D2570*100)</f>
        <v/>
      </c>
      <c r="G2570" s="0" t="str">
        <f aca="false">IF(C2570="BUY","IN",IF(C2570="SELL","OUT",IF(G2569="IN","IN","OUT")))</f>
        <v>OUT</v>
      </c>
      <c r="H2570" s="14" t="n">
        <f aca="false">H2569+IF(F2570="",0,F2570)</f>
        <v>52.0677867128763</v>
      </c>
      <c r="I2570" s="14" t="n">
        <f aca="false">MAX(I2569,H2570)</f>
        <v>52.0677867128763</v>
      </c>
      <c r="J2570" s="14" t="n">
        <f aca="false">I2570-H2570</f>
        <v>0</v>
      </c>
    </row>
    <row r="2571" customFormat="false" ht="15" hidden="false" customHeight="false" outlineLevel="0" collapsed="false">
      <c r="A2571" s="12" t="n">
        <f aca="false">Data!A2571</f>
        <v>45740</v>
      </c>
      <c r="B2571" s="14" t="n">
        <f aca="false">Data!B2571</f>
        <v>69.11</v>
      </c>
      <c r="C2571" s="0" t="str">
        <f aca="false">IF(Data!D2571="","HOLD",IF(AND(G2570&lt;&gt;"IN",Data!E2571&lt;-5),"BUY",IF(AND(G2570="IN",Data!E2571&gt;0),"SELL","HOLD")))</f>
        <v>HOLD</v>
      </c>
      <c r="D2571" s="14" t="str">
        <f aca="false">IF(C2571="BUY",B2571,IF(G2570="IN",D2570,""))</f>
        <v/>
      </c>
      <c r="E2571" s="14" t="str">
        <f aca="false">IF(C2571="SELL",B2571,"")</f>
        <v/>
      </c>
      <c r="F2571" s="14" t="str">
        <f aca="false">IF(E2571="","",(E2571-D2571)/D2571*100)</f>
        <v/>
      </c>
      <c r="G2571" s="0" t="str">
        <f aca="false">IF(C2571="BUY","IN",IF(C2571="SELL","OUT",IF(G2570="IN","IN","OUT")))</f>
        <v>OUT</v>
      </c>
      <c r="H2571" s="14" t="n">
        <f aca="false">H2570+IF(F2571="",0,F2571)</f>
        <v>52.0677867128763</v>
      </c>
      <c r="I2571" s="14" t="n">
        <f aca="false">MAX(I2570,H2571)</f>
        <v>52.0677867128763</v>
      </c>
      <c r="J2571" s="14" t="n">
        <f aca="false">I2571-H2571</f>
        <v>0</v>
      </c>
    </row>
    <row r="2572" customFormat="false" ht="15" hidden="false" customHeight="false" outlineLevel="0" collapsed="false">
      <c r="A2572" s="12" t="n">
        <f aca="false">Data!A2572</f>
        <v>45741</v>
      </c>
      <c r="B2572" s="14" t="n">
        <f aca="false">Data!B2572</f>
        <v>69</v>
      </c>
      <c r="C2572" s="0" t="str">
        <f aca="false">IF(Data!D2572="","HOLD",IF(AND(G2571&lt;&gt;"IN",Data!E2572&lt;-5),"BUY",IF(AND(G2571="IN",Data!E2572&gt;0),"SELL","HOLD")))</f>
        <v>HOLD</v>
      </c>
      <c r="D2572" s="14" t="str">
        <f aca="false">IF(C2572="BUY",B2572,IF(G2571="IN",D2571,""))</f>
        <v/>
      </c>
      <c r="E2572" s="14" t="str">
        <f aca="false">IF(C2572="SELL",B2572,"")</f>
        <v/>
      </c>
      <c r="F2572" s="14" t="str">
        <f aca="false">IF(E2572="","",(E2572-D2572)/D2572*100)</f>
        <v/>
      </c>
      <c r="G2572" s="0" t="str">
        <f aca="false">IF(C2572="BUY","IN",IF(C2572="SELL","OUT",IF(G2571="IN","IN","OUT")))</f>
        <v>OUT</v>
      </c>
      <c r="H2572" s="14" t="n">
        <f aca="false">H2571+IF(F2572="",0,F2572)</f>
        <v>52.0677867128763</v>
      </c>
      <c r="I2572" s="14" t="n">
        <f aca="false">MAX(I2571,H2572)</f>
        <v>52.0677867128763</v>
      </c>
      <c r="J2572" s="14" t="n">
        <f aca="false">I2572-H2572</f>
        <v>0</v>
      </c>
    </row>
    <row r="2573" customFormat="false" ht="15" hidden="false" customHeight="false" outlineLevel="0" collapsed="false">
      <c r="A2573" s="12" t="n">
        <f aca="false">Data!A2573</f>
        <v>45742</v>
      </c>
      <c r="B2573" s="14" t="n">
        <f aca="false">Data!B2573</f>
        <v>69.65</v>
      </c>
      <c r="C2573" s="0" t="str">
        <f aca="false">IF(Data!D2573="","HOLD",IF(AND(G2572&lt;&gt;"IN",Data!E2573&lt;-5),"BUY",IF(AND(G2572="IN",Data!E2573&gt;0),"SELL","HOLD")))</f>
        <v>HOLD</v>
      </c>
      <c r="D2573" s="14" t="str">
        <f aca="false">IF(C2573="BUY",B2573,IF(G2572="IN",D2572,""))</f>
        <v/>
      </c>
      <c r="E2573" s="14" t="str">
        <f aca="false">IF(C2573="SELL",B2573,"")</f>
        <v/>
      </c>
      <c r="F2573" s="14" t="str">
        <f aca="false">IF(E2573="","",(E2573-D2573)/D2573*100)</f>
        <v/>
      </c>
      <c r="G2573" s="0" t="str">
        <f aca="false">IF(C2573="BUY","IN",IF(C2573="SELL","OUT",IF(G2572="IN","IN","OUT")))</f>
        <v>OUT</v>
      </c>
      <c r="H2573" s="14" t="n">
        <f aca="false">H2572+IF(F2573="",0,F2573)</f>
        <v>52.0677867128763</v>
      </c>
      <c r="I2573" s="14" t="n">
        <f aca="false">MAX(I2572,H2573)</f>
        <v>52.0677867128763</v>
      </c>
      <c r="J2573" s="14" t="n">
        <f aca="false">I2573-H2573</f>
        <v>0</v>
      </c>
    </row>
    <row r="2574" customFormat="false" ht="15" hidden="false" customHeight="false" outlineLevel="0" collapsed="false">
      <c r="A2574" s="12" t="n">
        <f aca="false">Data!A2574</f>
        <v>45743</v>
      </c>
      <c r="B2574" s="14" t="n">
        <f aca="false">Data!B2574</f>
        <v>69.92</v>
      </c>
      <c r="C2574" s="0" t="str">
        <f aca="false">IF(Data!D2574="","HOLD",IF(AND(G2573&lt;&gt;"IN",Data!E2574&lt;-5),"BUY",IF(AND(G2573="IN",Data!E2574&gt;0),"SELL","HOLD")))</f>
        <v>HOLD</v>
      </c>
      <c r="D2574" s="14" t="str">
        <f aca="false">IF(C2574="BUY",B2574,IF(G2573="IN",D2573,""))</f>
        <v/>
      </c>
      <c r="E2574" s="14" t="str">
        <f aca="false">IF(C2574="SELL",B2574,"")</f>
        <v/>
      </c>
      <c r="F2574" s="14" t="str">
        <f aca="false">IF(E2574="","",(E2574-D2574)/D2574*100)</f>
        <v/>
      </c>
      <c r="G2574" s="0" t="str">
        <f aca="false">IF(C2574="BUY","IN",IF(C2574="SELL","OUT",IF(G2573="IN","IN","OUT")))</f>
        <v>OUT</v>
      </c>
      <c r="H2574" s="14" t="n">
        <f aca="false">H2573+IF(F2574="",0,F2574)</f>
        <v>52.0677867128763</v>
      </c>
      <c r="I2574" s="14" t="n">
        <f aca="false">MAX(I2573,H2574)</f>
        <v>52.0677867128763</v>
      </c>
      <c r="J2574" s="14" t="n">
        <f aca="false">I2574-H2574</f>
        <v>0</v>
      </c>
    </row>
    <row r="2575" customFormat="false" ht="15" hidden="false" customHeight="false" outlineLevel="0" collapsed="false">
      <c r="A2575" s="12" t="n">
        <f aca="false">Data!A2575</f>
        <v>45744</v>
      </c>
      <c r="B2575" s="14" t="n">
        <f aca="false">Data!B2575</f>
        <v>69.36</v>
      </c>
      <c r="C2575" s="0" t="str">
        <f aca="false">IF(Data!D2575="","HOLD",IF(AND(G2574&lt;&gt;"IN",Data!E2575&lt;-5),"BUY",IF(AND(G2574="IN",Data!E2575&gt;0),"SELL","HOLD")))</f>
        <v>HOLD</v>
      </c>
      <c r="D2575" s="14" t="str">
        <f aca="false">IF(C2575="BUY",B2575,IF(G2574="IN",D2574,""))</f>
        <v/>
      </c>
      <c r="E2575" s="14" t="str">
        <f aca="false">IF(C2575="SELL",B2575,"")</f>
        <v/>
      </c>
      <c r="F2575" s="14" t="str">
        <f aca="false">IF(E2575="","",(E2575-D2575)/D2575*100)</f>
        <v/>
      </c>
      <c r="G2575" s="0" t="str">
        <f aca="false">IF(C2575="BUY","IN",IF(C2575="SELL","OUT",IF(G2574="IN","IN","OUT")))</f>
        <v>OUT</v>
      </c>
      <c r="H2575" s="14" t="n">
        <f aca="false">H2574+IF(F2575="",0,F2575)</f>
        <v>52.0677867128763</v>
      </c>
      <c r="I2575" s="14" t="n">
        <f aca="false">MAX(I2574,H2575)</f>
        <v>52.0677867128763</v>
      </c>
      <c r="J2575" s="14" t="n">
        <f aca="false">I2575-H2575</f>
        <v>0</v>
      </c>
    </row>
    <row r="2576" customFormat="false" ht="15" hidden="false" customHeight="false" outlineLevel="0" collapsed="false">
      <c r="A2576" s="12" t="n">
        <f aca="false">Data!A2576</f>
        <v>45747</v>
      </c>
      <c r="B2576" s="14" t="n">
        <f aca="false">Data!B2576</f>
        <v>71.48</v>
      </c>
      <c r="C2576" s="0" t="str">
        <f aca="false">IF(Data!D2576="","HOLD",IF(AND(G2575&lt;&gt;"IN",Data!E2576&lt;-5),"BUY",IF(AND(G2575="IN",Data!E2576&gt;0),"SELL","HOLD")))</f>
        <v>HOLD</v>
      </c>
      <c r="D2576" s="14" t="str">
        <f aca="false">IF(C2576="BUY",B2576,IF(G2575="IN",D2575,""))</f>
        <v/>
      </c>
      <c r="E2576" s="14" t="str">
        <f aca="false">IF(C2576="SELL",B2576,"")</f>
        <v/>
      </c>
      <c r="F2576" s="14" t="str">
        <f aca="false">IF(E2576="","",(E2576-D2576)/D2576*100)</f>
        <v/>
      </c>
      <c r="G2576" s="0" t="str">
        <f aca="false">IF(C2576="BUY","IN",IF(C2576="SELL","OUT",IF(G2575="IN","IN","OUT")))</f>
        <v>OUT</v>
      </c>
      <c r="H2576" s="14" t="n">
        <f aca="false">H2575+IF(F2576="",0,F2576)</f>
        <v>52.0677867128763</v>
      </c>
      <c r="I2576" s="14" t="n">
        <f aca="false">MAX(I2575,H2576)</f>
        <v>52.0677867128763</v>
      </c>
      <c r="J2576" s="14" t="n">
        <f aca="false">I2576-H2576</f>
        <v>0</v>
      </c>
    </row>
    <row r="2577" customFormat="false" ht="15" hidden="false" customHeight="false" outlineLevel="0" collapsed="false">
      <c r="A2577" s="12" t="n">
        <f aca="false">Data!A2577</f>
        <v>45748</v>
      </c>
      <c r="B2577" s="14" t="n">
        <f aca="false">Data!B2577</f>
        <v>71.2</v>
      </c>
      <c r="C2577" s="0" t="str">
        <f aca="false">IF(Data!D2577="","HOLD",IF(AND(G2576&lt;&gt;"IN",Data!E2577&lt;-5),"BUY",IF(AND(G2576="IN",Data!E2577&gt;0),"SELL","HOLD")))</f>
        <v>HOLD</v>
      </c>
      <c r="D2577" s="14" t="str">
        <f aca="false">IF(C2577="BUY",B2577,IF(G2576="IN",D2576,""))</f>
        <v/>
      </c>
      <c r="E2577" s="14" t="str">
        <f aca="false">IF(C2577="SELL",B2577,"")</f>
        <v/>
      </c>
      <c r="F2577" s="14" t="str">
        <f aca="false">IF(E2577="","",(E2577-D2577)/D2577*100)</f>
        <v/>
      </c>
      <c r="G2577" s="0" t="str">
        <f aca="false">IF(C2577="BUY","IN",IF(C2577="SELL","OUT",IF(G2576="IN","IN","OUT")))</f>
        <v>OUT</v>
      </c>
      <c r="H2577" s="14" t="n">
        <f aca="false">H2576+IF(F2577="",0,F2577)</f>
        <v>52.0677867128763</v>
      </c>
      <c r="I2577" s="14" t="n">
        <f aca="false">MAX(I2576,H2577)</f>
        <v>52.0677867128763</v>
      </c>
      <c r="J2577" s="14" t="n">
        <f aca="false">I2577-H2577</f>
        <v>0</v>
      </c>
    </row>
    <row r="2578" customFormat="false" ht="15" hidden="false" customHeight="false" outlineLevel="0" collapsed="false">
      <c r="A2578" s="12" t="n">
        <f aca="false">Data!A2578</f>
        <v>45749</v>
      </c>
      <c r="B2578" s="14" t="n">
        <f aca="false">Data!B2578</f>
        <v>71.71</v>
      </c>
      <c r="C2578" s="0" t="str">
        <f aca="false">IF(Data!D2578="","HOLD",IF(AND(G2577&lt;&gt;"IN",Data!E2578&lt;-5),"BUY",IF(AND(G2577="IN",Data!E2578&gt;0),"SELL","HOLD")))</f>
        <v>HOLD</v>
      </c>
      <c r="D2578" s="14" t="str">
        <f aca="false">IF(C2578="BUY",B2578,IF(G2577="IN",D2577,""))</f>
        <v/>
      </c>
      <c r="E2578" s="14" t="str">
        <f aca="false">IF(C2578="SELL",B2578,"")</f>
        <v/>
      </c>
      <c r="F2578" s="14" t="str">
        <f aca="false">IF(E2578="","",(E2578-D2578)/D2578*100)</f>
        <v/>
      </c>
      <c r="G2578" s="0" t="str">
        <f aca="false">IF(C2578="BUY","IN",IF(C2578="SELL","OUT",IF(G2577="IN","IN","OUT")))</f>
        <v>OUT</v>
      </c>
      <c r="H2578" s="14" t="n">
        <f aca="false">H2577+IF(F2578="",0,F2578)</f>
        <v>52.0677867128763</v>
      </c>
      <c r="I2578" s="14" t="n">
        <f aca="false">MAX(I2577,H2578)</f>
        <v>52.0677867128763</v>
      </c>
      <c r="J2578" s="14" t="n">
        <f aca="false">I2578-H2578</f>
        <v>0</v>
      </c>
    </row>
    <row r="2579" customFormat="false" ht="15" hidden="false" customHeight="false" outlineLevel="0" collapsed="false">
      <c r="A2579" s="12" t="n">
        <f aca="false">Data!A2579</f>
        <v>45750</v>
      </c>
      <c r="B2579" s="14" t="n">
        <f aca="false">Data!B2579</f>
        <v>66.95</v>
      </c>
      <c r="C2579" s="0" t="str">
        <f aca="false">IF(Data!D2579="","HOLD",IF(AND(G2578&lt;&gt;"IN",Data!E2579&lt;-5),"BUY",IF(AND(G2578="IN",Data!E2579&gt;0),"SELL","HOLD")))</f>
        <v>HOLD</v>
      </c>
      <c r="D2579" s="14" t="str">
        <f aca="false">IF(C2579="BUY",B2579,IF(G2578="IN",D2578,""))</f>
        <v/>
      </c>
      <c r="E2579" s="14" t="str">
        <f aca="false">IF(C2579="SELL",B2579,"")</f>
        <v/>
      </c>
      <c r="F2579" s="14" t="str">
        <f aca="false">IF(E2579="","",(E2579-D2579)/D2579*100)</f>
        <v/>
      </c>
      <c r="G2579" s="0" t="str">
        <f aca="false">IF(C2579="BUY","IN",IF(C2579="SELL","OUT",IF(G2578="IN","IN","OUT")))</f>
        <v>OUT</v>
      </c>
      <c r="H2579" s="14" t="n">
        <f aca="false">H2578+IF(F2579="",0,F2579)</f>
        <v>52.0677867128763</v>
      </c>
      <c r="I2579" s="14" t="n">
        <f aca="false">MAX(I2578,H2579)</f>
        <v>52.0677867128763</v>
      </c>
      <c r="J2579" s="14" t="n">
        <f aca="false">I2579-H2579</f>
        <v>0</v>
      </c>
    </row>
    <row r="2580" customFormat="false" ht="15" hidden="false" customHeight="false" outlineLevel="0" collapsed="false">
      <c r="A2580" s="12" t="n">
        <f aca="false">Data!A2580</f>
        <v>45751</v>
      </c>
      <c r="B2580" s="14" t="n">
        <f aca="false">Data!B2580</f>
        <v>61.99</v>
      </c>
      <c r="C2580" s="0" t="str">
        <f aca="false">IF(Data!D2580="","HOLD",IF(AND(G2579&lt;&gt;"IN",Data!E2580&lt;-5),"BUY",IF(AND(G2579="IN",Data!E2580&gt;0),"SELL","HOLD")))</f>
        <v>BUY</v>
      </c>
      <c r="D2580" s="14" t="n">
        <f aca="false">IF(C2580="BUY",B2580,IF(G2579="IN",D2579,""))</f>
        <v>61.99</v>
      </c>
      <c r="E2580" s="14" t="str">
        <f aca="false">IF(C2580="SELL",B2580,"")</f>
        <v/>
      </c>
      <c r="F2580" s="14" t="str">
        <f aca="false">IF(E2580="","",(E2580-D2580)/D2580*100)</f>
        <v/>
      </c>
      <c r="G2580" s="0" t="str">
        <f aca="false">IF(C2580="BUY","IN",IF(C2580="SELL","OUT",IF(G2579="IN","IN","OUT")))</f>
        <v>IN</v>
      </c>
      <c r="H2580" s="14" t="n">
        <f aca="false">H2579+IF(F2580="",0,F2580)</f>
        <v>52.0677867128763</v>
      </c>
      <c r="I2580" s="14" t="n">
        <f aca="false">MAX(I2579,H2580)</f>
        <v>52.0677867128763</v>
      </c>
      <c r="J2580" s="14" t="n">
        <f aca="false">I2580-H2580</f>
        <v>0</v>
      </c>
    </row>
    <row r="2581" customFormat="false" ht="15" hidden="false" customHeight="false" outlineLevel="0" collapsed="false">
      <c r="A2581" s="12" t="n">
        <f aca="false">Data!A2581</f>
        <v>45754</v>
      </c>
      <c r="B2581" s="14" t="n">
        <f aca="false">Data!B2581</f>
        <v>60.7</v>
      </c>
      <c r="C2581" s="0" t="str">
        <f aca="false">IF(Data!D2581="","HOLD",IF(AND(G2580&lt;&gt;"IN",Data!E2581&lt;-5),"BUY",IF(AND(G2580="IN",Data!E2581&gt;0),"SELL","HOLD")))</f>
        <v>HOLD</v>
      </c>
      <c r="D2581" s="14" t="n">
        <f aca="false">IF(C2581="BUY",B2581,IF(G2580="IN",D2580,""))</f>
        <v>61.99</v>
      </c>
      <c r="E2581" s="14" t="str">
        <f aca="false">IF(C2581="SELL",B2581,"")</f>
        <v/>
      </c>
      <c r="F2581" s="14" t="str">
        <f aca="false">IF(E2581="","",(E2581-D2581)/D2581*100)</f>
        <v/>
      </c>
      <c r="G2581" s="0" t="str">
        <f aca="false">IF(C2581="BUY","IN",IF(C2581="SELL","OUT",IF(G2580="IN","IN","OUT")))</f>
        <v>IN</v>
      </c>
      <c r="H2581" s="14" t="n">
        <f aca="false">H2580+IF(F2581="",0,F2581)</f>
        <v>52.0677867128763</v>
      </c>
      <c r="I2581" s="14" t="n">
        <f aca="false">MAX(I2580,H2581)</f>
        <v>52.0677867128763</v>
      </c>
      <c r="J2581" s="14" t="n">
        <f aca="false">I2581-H2581</f>
        <v>0</v>
      </c>
    </row>
    <row r="2582" customFormat="false" ht="15" hidden="false" customHeight="false" outlineLevel="0" collapsed="false">
      <c r="A2582" s="12" t="n">
        <f aca="false">Data!A2582</f>
        <v>45755</v>
      </c>
      <c r="B2582" s="14" t="n">
        <f aca="false">Data!B2582</f>
        <v>59.58</v>
      </c>
      <c r="C2582" s="0" t="str">
        <f aca="false">IF(Data!D2582="","HOLD",IF(AND(G2581&lt;&gt;"IN",Data!E2582&lt;-5),"BUY",IF(AND(G2581="IN",Data!E2582&gt;0),"SELL","HOLD")))</f>
        <v>HOLD</v>
      </c>
      <c r="D2582" s="14" t="n">
        <f aca="false">IF(C2582="BUY",B2582,IF(G2581="IN",D2581,""))</f>
        <v>61.99</v>
      </c>
      <c r="E2582" s="14" t="str">
        <f aca="false">IF(C2582="SELL",B2582,"")</f>
        <v/>
      </c>
      <c r="F2582" s="14" t="str">
        <f aca="false">IF(E2582="","",(E2582-D2582)/D2582*100)</f>
        <v/>
      </c>
      <c r="G2582" s="0" t="str">
        <f aca="false">IF(C2582="BUY","IN",IF(C2582="SELL","OUT",IF(G2581="IN","IN","OUT")))</f>
        <v>IN</v>
      </c>
      <c r="H2582" s="14" t="n">
        <f aca="false">H2581+IF(F2582="",0,F2582)</f>
        <v>52.0677867128763</v>
      </c>
      <c r="I2582" s="14" t="n">
        <f aca="false">MAX(I2581,H2582)</f>
        <v>52.0677867128763</v>
      </c>
      <c r="J2582" s="14" t="n">
        <f aca="false">I2582-H2582</f>
        <v>0</v>
      </c>
    </row>
    <row r="2583" customFormat="false" ht="15" hidden="false" customHeight="false" outlineLevel="0" collapsed="false">
      <c r="A2583" s="12" t="n">
        <f aca="false">Data!A2583</f>
        <v>45756</v>
      </c>
      <c r="B2583" s="14" t="n">
        <f aca="false">Data!B2583</f>
        <v>62.35</v>
      </c>
      <c r="C2583" s="0" t="str">
        <f aca="false">IF(Data!D2583="","HOLD",IF(AND(G2582&lt;&gt;"IN",Data!E2583&lt;-5),"BUY",IF(AND(G2582="IN",Data!E2583&gt;0),"SELL","HOLD")))</f>
        <v>HOLD</v>
      </c>
      <c r="D2583" s="14" t="n">
        <f aca="false">IF(C2583="BUY",B2583,IF(G2582="IN",D2582,""))</f>
        <v>61.99</v>
      </c>
      <c r="E2583" s="14" t="str">
        <f aca="false">IF(C2583="SELL",B2583,"")</f>
        <v/>
      </c>
      <c r="F2583" s="14" t="str">
        <f aca="false">IF(E2583="","",(E2583-D2583)/D2583*100)</f>
        <v/>
      </c>
      <c r="G2583" s="0" t="str">
        <f aca="false">IF(C2583="BUY","IN",IF(C2583="SELL","OUT",IF(G2582="IN","IN","OUT")))</f>
        <v>IN</v>
      </c>
      <c r="H2583" s="14" t="n">
        <f aca="false">H2582+IF(F2583="",0,F2583)</f>
        <v>52.0677867128763</v>
      </c>
      <c r="I2583" s="14" t="n">
        <f aca="false">MAX(I2582,H2583)</f>
        <v>52.0677867128763</v>
      </c>
      <c r="J2583" s="14" t="n">
        <f aca="false">I2583-H2583</f>
        <v>0</v>
      </c>
    </row>
    <row r="2584" customFormat="false" ht="15" hidden="false" customHeight="false" outlineLevel="0" collapsed="false">
      <c r="A2584" s="12" t="n">
        <f aca="false">Data!A2584</f>
        <v>45757</v>
      </c>
      <c r="B2584" s="14" t="n">
        <f aca="false">Data!B2584</f>
        <v>60.07</v>
      </c>
      <c r="C2584" s="0" t="str">
        <f aca="false">IF(Data!D2584="","HOLD",IF(AND(G2583&lt;&gt;"IN",Data!E2584&lt;-5),"BUY",IF(AND(G2583="IN",Data!E2584&gt;0),"SELL","HOLD")))</f>
        <v>HOLD</v>
      </c>
      <c r="D2584" s="14" t="n">
        <f aca="false">IF(C2584="BUY",B2584,IF(G2583="IN",D2583,""))</f>
        <v>61.99</v>
      </c>
      <c r="E2584" s="14" t="str">
        <f aca="false">IF(C2584="SELL",B2584,"")</f>
        <v/>
      </c>
      <c r="F2584" s="14" t="str">
        <f aca="false">IF(E2584="","",(E2584-D2584)/D2584*100)</f>
        <v/>
      </c>
      <c r="G2584" s="0" t="str">
        <f aca="false">IF(C2584="BUY","IN",IF(C2584="SELL","OUT",IF(G2583="IN","IN","OUT")))</f>
        <v>IN</v>
      </c>
      <c r="H2584" s="14" t="n">
        <f aca="false">H2583+IF(F2584="",0,F2584)</f>
        <v>52.0677867128763</v>
      </c>
      <c r="I2584" s="14" t="n">
        <f aca="false">MAX(I2583,H2584)</f>
        <v>52.0677867128763</v>
      </c>
      <c r="J2584" s="14" t="n">
        <f aca="false">I2584-H2584</f>
        <v>0</v>
      </c>
    </row>
    <row r="2585" customFormat="false" ht="15" hidden="false" customHeight="false" outlineLevel="0" collapsed="false">
      <c r="A2585" s="12" t="n">
        <f aca="false">Data!A2585</f>
        <v>45758</v>
      </c>
      <c r="B2585" s="14" t="n">
        <f aca="false">Data!B2585</f>
        <v>61.5</v>
      </c>
      <c r="C2585" s="0" t="str">
        <f aca="false">IF(Data!D2585="","HOLD",IF(AND(G2584&lt;&gt;"IN",Data!E2585&lt;-5),"BUY",IF(AND(G2584="IN",Data!E2585&gt;0),"SELL","HOLD")))</f>
        <v>HOLD</v>
      </c>
      <c r="D2585" s="14" t="n">
        <f aca="false">IF(C2585="BUY",B2585,IF(G2584="IN",D2584,""))</f>
        <v>61.99</v>
      </c>
      <c r="E2585" s="14" t="str">
        <f aca="false">IF(C2585="SELL",B2585,"")</f>
        <v/>
      </c>
      <c r="F2585" s="14" t="str">
        <f aca="false">IF(E2585="","",(E2585-D2585)/D2585*100)</f>
        <v/>
      </c>
      <c r="G2585" s="0" t="str">
        <f aca="false">IF(C2585="BUY","IN",IF(C2585="SELL","OUT",IF(G2584="IN","IN","OUT")))</f>
        <v>IN</v>
      </c>
      <c r="H2585" s="14" t="n">
        <f aca="false">H2584+IF(F2585="",0,F2585)</f>
        <v>52.0677867128763</v>
      </c>
      <c r="I2585" s="14" t="n">
        <f aca="false">MAX(I2584,H2585)</f>
        <v>52.0677867128763</v>
      </c>
      <c r="J2585" s="14" t="n">
        <f aca="false">I2585-H2585</f>
        <v>0</v>
      </c>
    </row>
    <row r="2586" customFormat="false" ht="15" hidden="false" customHeight="false" outlineLevel="0" collapsed="false">
      <c r="A2586" s="12" t="n">
        <f aca="false">Data!A2586</f>
        <v>45761</v>
      </c>
      <c r="B2586" s="14" t="n">
        <f aca="false">Data!B2586</f>
        <v>61.53</v>
      </c>
      <c r="C2586" s="0" t="str">
        <f aca="false">IF(Data!D2586="","HOLD",IF(AND(G2585&lt;&gt;"IN",Data!E2586&lt;-5),"BUY",IF(AND(G2585="IN",Data!E2586&gt;0),"SELL","HOLD")))</f>
        <v>HOLD</v>
      </c>
      <c r="D2586" s="14" t="n">
        <f aca="false">IF(C2586="BUY",B2586,IF(G2585="IN",D2585,""))</f>
        <v>61.99</v>
      </c>
      <c r="E2586" s="14" t="str">
        <f aca="false">IF(C2586="SELL",B2586,"")</f>
        <v/>
      </c>
      <c r="F2586" s="14" t="str">
        <f aca="false">IF(E2586="","",(E2586-D2586)/D2586*100)</f>
        <v/>
      </c>
      <c r="G2586" s="0" t="str">
        <f aca="false">IF(C2586="BUY","IN",IF(C2586="SELL","OUT",IF(G2585="IN","IN","OUT")))</f>
        <v>IN</v>
      </c>
      <c r="H2586" s="14" t="n">
        <f aca="false">H2585+IF(F2586="",0,F2586)</f>
        <v>52.0677867128763</v>
      </c>
      <c r="I2586" s="14" t="n">
        <f aca="false">MAX(I2585,H2586)</f>
        <v>52.0677867128763</v>
      </c>
      <c r="J2586" s="14" t="n">
        <f aca="false">I2586-H2586</f>
        <v>0</v>
      </c>
    </row>
    <row r="2587" customFormat="false" ht="15" hidden="false" customHeight="false" outlineLevel="0" collapsed="false">
      <c r="A2587" s="12" t="n">
        <f aca="false">Data!A2587</f>
        <v>45762</v>
      </c>
      <c r="B2587" s="14" t="n">
        <f aca="false">Data!B2587</f>
        <v>61.33</v>
      </c>
      <c r="C2587" s="0" t="str">
        <f aca="false">IF(Data!D2587="","HOLD",IF(AND(G2586&lt;&gt;"IN",Data!E2587&lt;-5),"BUY",IF(AND(G2586="IN",Data!E2587&gt;0),"SELL","HOLD")))</f>
        <v>HOLD</v>
      </c>
      <c r="D2587" s="14" t="n">
        <f aca="false">IF(C2587="BUY",B2587,IF(G2586="IN",D2586,""))</f>
        <v>61.99</v>
      </c>
      <c r="E2587" s="14" t="str">
        <f aca="false">IF(C2587="SELL",B2587,"")</f>
        <v/>
      </c>
      <c r="F2587" s="14" t="str">
        <f aca="false">IF(E2587="","",(E2587-D2587)/D2587*100)</f>
        <v/>
      </c>
      <c r="G2587" s="0" t="str">
        <f aca="false">IF(C2587="BUY","IN",IF(C2587="SELL","OUT",IF(G2586="IN","IN","OUT")))</f>
        <v>IN</v>
      </c>
      <c r="H2587" s="14" t="n">
        <f aca="false">H2586+IF(F2587="",0,F2587)</f>
        <v>52.0677867128763</v>
      </c>
      <c r="I2587" s="14" t="n">
        <f aca="false">MAX(I2586,H2587)</f>
        <v>52.0677867128763</v>
      </c>
      <c r="J2587" s="14" t="n">
        <f aca="false">I2587-H2587</f>
        <v>0</v>
      </c>
    </row>
    <row r="2588" customFormat="false" ht="15" hidden="false" customHeight="false" outlineLevel="0" collapsed="false">
      <c r="A2588" s="12" t="n">
        <f aca="false">Data!A2588</f>
        <v>45763</v>
      </c>
      <c r="B2588" s="14" t="n">
        <f aca="false">Data!B2588</f>
        <v>62.47</v>
      </c>
      <c r="C2588" s="0" t="str">
        <f aca="false">IF(Data!D2588="","HOLD",IF(AND(G2587&lt;&gt;"IN",Data!E2588&lt;-5),"BUY",IF(AND(G2587="IN",Data!E2588&gt;0),"SELL","HOLD")))</f>
        <v>HOLD</v>
      </c>
      <c r="D2588" s="14" t="n">
        <f aca="false">IF(C2588="BUY",B2588,IF(G2587="IN",D2587,""))</f>
        <v>61.99</v>
      </c>
      <c r="E2588" s="14" t="str">
        <f aca="false">IF(C2588="SELL",B2588,"")</f>
        <v/>
      </c>
      <c r="F2588" s="14" t="str">
        <f aca="false">IF(E2588="","",(E2588-D2588)/D2588*100)</f>
        <v/>
      </c>
      <c r="G2588" s="0" t="str">
        <f aca="false">IF(C2588="BUY","IN",IF(C2588="SELL","OUT",IF(G2587="IN","IN","OUT")))</f>
        <v>IN</v>
      </c>
      <c r="H2588" s="14" t="n">
        <f aca="false">H2587+IF(F2588="",0,F2588)</f>
        <v>52.0677867128763</v>
      </c>
      <c r="I2588" s="14" t="n">
        <f aca="false">MAX(I2587,H2588)</f>
        <v>52.0677867128763</v>
      </c>
      <c r="J2588" s="14" t="n">
        <f aca="false">I2588-H2588</f>
        <v>0</v>
      </c>
    </row>
    <row r="2589" customFormat="false" ht="15" hidden="false" customHeight="false" outlineLevel="0" collapsed="false">
      <c r="A2589" s="12" t="n">
        <f aca="false">Data!A2589</f>
        <v>45764</v>
      </c>
      <c r="B2589" s="14" t="n">
        <f aca="false">Data!B2589</f>
        <v>64.68</v>
      </c>
      <c r="C2589" s="0" t="str">
        <f aca="false">IF(Data!D2589="","HOLD",IF(AND(G2588&lt;&gt;"IN",Data!E2589&lt;-5),"BUY",IF(AND(G2588="IN",Data!E2589&gt;0),"SELL","HOLD")))</f>
        <v>HOLD</v>
      </c>
      <c r="D2589" s="14" t="n">
        <f aca="false">IF(C2589="BUY",B2589,IF(G2588="IN",D2588,""))</f>
        <v>61.99</v>
      </c>
      <c r="E2589" s="14" t="str">
        <f aca="false">IF(C2589="SELL",B2589,"")</f>
        <v/>
      </c>
      <c r="F2589" s="14" t="str">
        <f aca="false">IF(E2589="","",(E2589-D2589)/D2589*100)</f>
        <v/>
      </c>
      <c r="G2589" s="0" t="str">
        <f aca="false">IF(C2589="BUY","IN",IF(C2589="SELL","OUT",IF(G2588="IN","IN","OUT")))</f>
        <v>IN</v>
      </c>
      <c r="H2589" s="14" t="n">
        <f aca="false">H2588+IF(F2589="",0,F2589)</f>
        <v>52.0677867128763</v>
      </c>
      <c r="I2589" s="14" t="n">
        <f aca="false">MAX(I2588,H2589)</f>
        <v>52.0677867128763</v>
      </c>
      <c r="J2589" s="14" t="n">
        <f aca="false">I2589-H2589</f>
        <v>0</v>
      </c>
    </row>
    <row r="2590" customFormat="false" ht="15" hidden="false" customHeight="false" outlineLevel="0" collapsed="false">
      <c r="A2590" s="12" t="n">
        <f aca="false">Data!A2590</f>
        <v>45768</v>
      </c>
      <c r="B2590" s="14" t="n">
        <f aca="false">Data!B2590</f>
        <v>63.08</v>
      </c>
      <c r="C2590" s="0" t="str">
        <f aca="false">IF(Data!D2590="","HOLD",IF(AND(G2589&lt;&gt;"IN",Data!E2590&lt;-5),"BUY",IF(AND(G2589="IN",Data!E2590&gt;0),"SELL","HOLD")))</f>
        <v>HOLD</v>
      </c>
      <c r="D2590" s="14" t="n">
        <f aca="false">IF(C2590="BUY",B2590,IF(G2589="IN",D2589,""))</f>
        <v>61.99</v>
      </c>
      <c r="E2590" s="14" t="str">
        <f aca="false">IF(C2590="SELL",B2590,"")</f>
        <v/>
      </c>
      <c r="F2590" s="14" t="str">
        <f aca="false">IF(E2590="","",(E2590-D2590)/D2590*100)</f>
        <v/>
      </c>
      <c r="G2590" s="0" t="str">
        <f aca="false">IF(C2590="BUY","IN",IF(C2590="SELL","OUT",IF(G2589="IN","IN","OUT")))</f>
        <v>IN</v>
      </c>
      <c r="H2590" s="14" t="n">
        <f aca="false">H2589+IF(F2590="",0,F2590)</f>
        <v>52.0677867128763</v>
      </c>
      <c r="I2590" s="14" t="n">
        <f aca="false">MAX(I2589,H2590)</f>
        <v>52.0677867128763</v>
      </c>
      <c r="J2590" s="14" t="n">
        <f aca="false">I2590-H2590</f>
        <v>0</v>
      </c>
    </row>
    <row r="2591" customFormat="false" ht="15" hidden="false" customHeight="false" outlineLevel="0" collapsed="false">
      <c r="A2591" s="12" t="n">
        <f aca="false">Data!A2591</f>
        <v>45769</v>
      </c>
      <c r="B2591" s="14" t="n">
        <f aca="false">Data!B2591</f>
        <v>64.31</v>
      </c>
      <c r="C2591" s="0" t="str">
        <f aca="false">IF(Data!D2591="","HOLD",IF(AND(G2590&lt;&gt;"IN",Data!E2591&lt;-5),"BUY",IF(AND(G2590="IN",Data!E2591&gt;0),"SELL","HOLD")))</f>
        <v>HOLD</v>
      </c>
      <c r="D2591" s="14" t="n">
        <f aca="false">IF(C2591="BUY",B2591,IF(G2590="IN",D2590,""))</f>
        <v>61.99</v>
      </c>
      <c r="E2591" s="14" t="str">
        <f aca="false">IF(C2591="SELL",B2591,"")</f>
        <v/>
      </c>
      <c r="F2591" s="14" t="str">
        <f aca="false">IF(E2591="","",(E2591-D2591)/D2591*100)</f>
        <v/>
      </c>
      <c r="G2591" s="0" t="str">
        <f aca="false">IF(C2591="BUY","IN",IF(C2591="SELL","OUT",IF(G2590="IN","IN","OUT")))</f>
        <v>IN</v>
      </c>
      <c r="H2591" s="14" t="n">
        <f aca="false">H2590+IF(F2591="",0,F2591)</f>
        <v>52.0677867128763</v>
      </c>
      <c r="I2591" s="14" t="n">
        <f aca="false">MAX(I2590,H2591)</f>
        <v>52.0677867128763</v>
      </c>
      <c r="J2591" s="14" t="n">
        <f aca="false">I2591-H2591</f>
        <v>0</v>
      </c>
    </row>
    <row r="2592" customFormat="false" ht="15" hidden="false" customHeight="false" outlineLevel="0" collapsed="false">
      <c r="A2592" s="12" t="n">
        <f aca="false">Data!A2592</f>
        <v>45770</v>
      </c>
      <c r="B2592" s="14" t="n">
        <f aca="false">Data!B2592</f>
        <v>62.27</v>
      </c>
      <c r="C2592" s="0" t="str">
        <f aca="false">IF(Data!D2592="","HOLD",IF(AND(G2591&lt;&gt;"IN",Data!E2592&lt;-5),"BUY",IF(AND(G2591="IN",Data!E2592&gt;0),"SELL","HOLD")))</f>
        <v>HOLD</v>
      </c>
      <c r="D2592" s="14" t="n">
        <f aca="false">IF(C2592="BUY",B2592,IF(G2591="IN",D2591,""))</f>
        <v>61.99</v>
      </c>
      <c r="E2592" s="14" t="str">
        <f aca="false">IF(C2592="SELL",B2592,"")</f>
        <v/>
      </c>
      <c r="F2592" s="14" t="str">
        <f aca="false">IF(E2592="","",(E2592-D2592)/D2592*100)</f>
        <v/>
      </c>
      <c r="G2592" s="0" t="str">
        <f aca="false">IF(C2592="BUY","IN",IF(C2592="SELL","OUT",IF(G2591="IN","IN","OUT")))</f>
        <v>IN</v>
      </c>
      <c r="H2592" s="14" t="n">
        <f aca="false">H2591+IF(F2592="",0,F2592)</f>
        <v>52.0677867128763</v>
      </c>
      <c r="I2592" s="14" t="n">
        <f aca="false">MAX(I2591,H2592)</f>
        <v>52.0677867128763</v>
      </c>
      <c r="J2592" s="14" t="n">
        <f aca="false">I2592-H2592</f>
        <v>0</v>
      </c>
    </row>
    <row r="2593" customFormat="false" ht="15" hidden="false" customHeight="false" outlineLevel="0" collapsed="false">
      <c r="A2593" s="12" t="n">
        <f aca="false">Data!A2593</f>
        <v>45771</v>
      </c>
      <c r="B2593" s="14" t="n">
        <f aca="false">Data!B2593</f>
        <v>62.79</v>
      </c>
      <c r="C2593" s="0" t="str">
        <f aca="false">IF(Data!D2593="","HOLD",IF(AND(G2592&lt;&gt;"IN",Data!E2593&lt;-5),"BUY",IF(AND(G2592="IN",Data!E2593&gt;0),"SELL","HOLD")))</f>
        <v>HOLD</v>
      </c>
      <c r="D2593" s="14" t="n">
        <f aca="false">IF(C2593="BUY",B2593,IF(G2592="IN",D2592,""))</f>
        <v>61.99</v>
      </c>
      <c r="E2593" s="14" t="str">
        <f aca="false">IF(C2593="SELL",B2593,"")</f>
        <v/>
      </c>
      <c r="F2593" s="14" t="str">
        <f aca="false">IF(E2593="","",(E2593-D2593)/D2593*100)</f>
        <v/>
      </c>
      <c r="G2593" s="0" t="str">
        <f aca="false">IF(C2593="BUY","IN",IF(C2593="SELL","OUT",IF(G2592="IN","IN","OUT")))</f>
        <v>IN</v>
      </c>
      <c r="H2593" s="14" t="n">
        <f aca="false">H2592+IF(F2593="",0,F2593)</f>
        <v>52.0677867128763</v>
      </c>
      <c r="I2593" s="14" t="n">
        <f aca="false">MAX(I2592,H2593)</f>
        <v>52.0677867128763</v>
      </c>
      <c r="J2593" s="14" t="n">
        <f aca="false">I2593-H2593</f>
        <v>0</v>
      </c>
    </row>
    <row r="2594" customFormat="false" ht="15" hidden="false" customHeight="false" outlineLevel="0" collapsed="false">
      <c r="A2594" s="12" t="n">
        <f aca="false">Data!A2594</f>
        <v>45772</v>
      </c>
      <c r="B2594" s="14" t="n">
        <f aca="false">Data!B2594</f>
        <v>63.02</v>
      </c>
      <c r="C2594" s="0" t="str">
        <f aca="false">IF(Data!D2594="","HOLD",IF(AND(G2593&lt;&gt;"IN",Data!E2594&lt;-5),"BUY",IF(AND(G2593="IN",Data!E2594&gt;0),"SELL","HOLD")))</f>
        <v>HOLD</v>
      </c>
      <c r="D2594" s="14" t="n">
        <f aca="false">IF(C2594="BUY",B2594,IF(G2593="IN",D2593,""))</f>
        <v>61.99</v>
      </c>
      <c r="E2594" s="14" t="str">
        <f aca="false">IF(C2594="SELL",B2594,"")</f>
        <v/>
      </c>
      <c r="F2594" s="14" t="str">
        <f aca="false">IF(E2594="","",(E2594-D2594)/D2594*100)</f>
        <v/>
      </c>
      <c r="G2594" s="0" t="str">
        <f aca="false">IF(C2594="BUY","IN",IF(C2594="SELL","OUT",IF(G2593="IN","IN","OUT")))</f>
        <v>IN</v>
      </c>
      <c r="H2594" s="14" t="n">
        <f aca="false">H2593+IF(F2594="",0,F2594)</f>
        <v>52.0677867128763</v>
      </c>
      <c r="I2594" s="14" t="n">
        <f aca="false">MAX(I2593,H2594)</f>
        <v>52.0677867128763</v>
      </c>
      <c r="J2594" s="14" t="n">
        <f aca="false">I2594-H2594</f>
        <v>0</v>
      </c>
    </row>
    <row r="2595" customFormat="false" ht="15" hidden="false" customHeight="false" outlineLevel="0" collapsed="false">
      <c r="A2595" s="12" t="n">
        <f aca="false">Data!A2595</f>
        <v>45775</v>
      </c>
      <c r="B2595" s="14" t="n">
        <f aca="false">Data!B2595</f>
        <v>62.05</v>
      </c>
      <c r="C2595" s="0" t="str">
        <f aca="false">IF(Data!D2595="","HOLD",IF(AND(G2594&lt;&gt;"IN",Data!E2595&lt;-5),"BUY",IF(AND(G2594="IN",Data!E2595&gt;0),"SELL","HOLD")))</f>
        <v>HOLD</v>
      </c>
      <c r="D2595" s="14" t="n">
        <f aca="false">IF(C2595="BUY",B2595,IF(G2594="IN",D2594,""))</f>
        <v>61.99</v>
      </c>
      <c r="E2595" s="14" t="str">
        <f aca="false">IF(C2595="SELL",B2595,"")</f>
        <v/>
      </c>
      <c r="F2595" s="14" t="str">
        <f aca="false">IF(E2595="","",(E2595-D2595)/D2595*100)</f>
        <v/>
      </c>
      <c r="G2595" s="0" t="str">
        <f aca="false">IF(C2595="BUY","IN",IF(C2595="SELL","OUT",IF(G2594="IN","IN","OUT")))</f>
        <v>IN</v>
      </c>
      <c r="H2595" s="14" t="n">
        <f aca="false">H2594+IF(F2595="",0,F2595)</f>
        <v>52.0677867128763</v>
      </c>
      <c r="I2595" s="14" t="n">
        <f aca="false">MAX(I2594,H2595)</f>
        <v>52.0677867128763</v>
      </c>
      <c r="J2595" s="14" t="n">
        <f aca="false">I2595-H2595</f>
        <v>0</v>
      </c>
    </row>
    <row r="2596" customFormat="false" ht="15" hidden="false" customHeight="false" outlineLevel="0" collapsed="false">
      <c r="A2596" s="12" t="n">
        <f aca="false">Data!A2596</f>
        <v>45776</v>
      </c>
      <c r="B2596" s="14" t="n">
        <f aca="false">Data!B2596</f>
        <v>60.42</v>
      </c>
      <c r="C2596" s="0" t="str">
        <f aca="false">IF(Data!D2596="","HOLD",IF(AND(G2595&lt;&gt;"IN",Data!E2596&lt;-5),"BUY",IF(AND(G2595="IN",Data!E2596&gt;0),"SELL","HOLD")))</f>
        <v>HOLD</v>
      </c>
      <c r="D2596" s="14" t="n">
        <f aca="false">IF(C2596="BUY",B2596,IF(G2595="IN",D2595,""))</f>
        <v>61.99</v>
      </c>
      <c r="E2596" s="14" t="str">
        <f aca="false">IF(C2596="SELL",B2596,"")</f>
        <v/>
      </c>
      <c r="F2596" s="14" t="str">
        <f aca="false">IF(E2596="","",(E2596-D2596)/D2596*100)</f>
        <v/>
      </c>
      <c r="G2596" s="0" t="str">
        <f aca="false">IF(C2596="BUY","IN",IF(C2596="SELL","OUT",IF(G2595="IN","IN","OUT")))</f>
        <v>IN</v>
      </c>
      <c r="H2596" s="14" t="n">
        <f aca="false">H2595+IF(F2596="",0,F2596)</f>
        <v>52.0677867128763</v>
      </c>
      <c r="I2596" s="14" t="n">
        <f aca="false">MAX(I2595,H2596)</f>
        <v>52.0677867128763</v>
      </c>
      <c r="J2596" s="14" t="n">
        <f aca="false">I2596-H2596</f>
        <v>0</v>
      </c>
    </row>
    <row r="2597" customFormat="false" ht="15" hidden="false" customHeight="false" outlineLevel="0" collapsed="false">
      <c r="A2597" s="12" t="n">
        <f aca="false">Data!A2597</f>
        <v>45777</v>
      </c>
      <c r="B2597" s="14" t="n">
        <f aca="false">Data!B2597</f>
        <v>58.21</v>
      </c>
      <c r="C2597" s="0" t="str">
        <f aca="false">IF(Data!D2597="","HOLD",IF(AND(G2596&lt;&gt;"IN",Data!E2597&lt;-5),"BUY",IF(AND(G2596="IN",Data!E2597&gt;0),"SELL","HOLD")))</f>
        <v>HOLD</v>
      </c>
      <c r="D2597" s="14" t="n">
        <f aca="false">IF(C2597="BUY",B2597,IF(G2596="IN",D2596,""))</f>
        <v>61.99</v>
      </c>
      <c r="E2597" s="14" t="str">
        <f aca="false">IF(C2597="SELL",B2597,"")</f>
        <v/>
      </c>
      <c r="F2597" s="14" t="str">
        <f aca="false">IF(E2597="","",(E2597-D2597)/D2597*100)</f>
        <v/>
      </c>
      <c r="G2597" s="0" t="str">
        <f aca="false">IF(C2597="BUY","IN",IF(C2597="SELL","OUT",IF(G2596="IN","IN","OUT")))</f>
        <v>IN</v>
      </c>
      <c r="H2597" s="14" t="n">
        <f aca="false">H2596+IF(F2597="",0,F2597)</f>
        <v>52.0677867128763</v>
      </c>
      <c r="I2597" s="14" t="n">
        <f aca="false">MAX(I2596,H2597)</f>
        <v>52.0677867128763</v>
      </c>
      <c r="J2597" s="14" t="n">
        <f aca="false">I2597-H2597</f>
        <v>0</v>
      </c>
    </row>
    <row r="2598" customFormat="false" ht="15" hidden="false" customHeight="false" outlineLevel="0" collapsed="false">
      <c r="A2598" s="12" t="n">
        <f aca="false">Data!A2598</f>
        <v>45778</v>
      </c>
      <c r="B2598" s="14" t="n">
        <f aca="false">Data!B2598</f>
        <v>59.24</v>
      </c>
      <c r="C2598" s="0" t="str">
        <f aca="false">IF(Data!D2598="","HOLD",IF(AND(G2597&lt;&gt;"IN",Data!E2598&lt;-5),"BUY",IF(AND(G2597="IN",Data!E2598&gt;0),"SELL","HOLD")))</f>
        <v>HOLD</v>
      </c>
      <c r="D2598" s="14" t="n">
        <f aca="false">IF(C2598="BUY",B2598,IF(G2597="IN",D2597,""))</f>
        <v>61.99</v>
      </c>
      <c r="E2598" s="14" t="str">
        <f aca="false">IF(C2598="SELL",B2598,"")</f>
        <v/>
      </c>
      <c r="F2598" s="14" t="str">
        <f aca="false">IF(E2598="","",(E2598-D2598)/D2598*100)</f>
        <v/>
      </c>
      <c r="G2598" s="0" t="str">
        <f aca="false">IF(C2598="BUY","IN",IF(C2598="SELL","OUT",IF(G2597="IN","IN","OUT")))</f>
        <v>IN</v>
      </c>
      <c r="H2598" s="14" t="n">
        <f aca="false">H2597+IF(F2598="",0,F2598)</f>
        <v>52.0677867128763</v>
      </c>
      <c r="I2598" s="14" t="n">
        <f aca="false">MAX(I2597,H2598)</f>
        <v>52.0677867128763</v>
      </c>
      <c r="J2598" s="14" t="n">
        <f aca="false">I2598-H2598</f>
        <v>0</v>
      </c>
    </row>
    <row r="2599" customFormat="false" ht="15" hidden="false" customHeight="false" outlineLevel="0" collapsed="false">
      <c r="A2599" s="12" t="n">
        <f aca="false">Data!A2599</f>
        <v>45779</v>
      </c>
      <c r="B2599" s="14" t="n">
        <f aca="false">Data!B2599</f>
        <v>58.29</v>
      </c>
      <c r="C2599" s="0" t="str">
        <f aca="false">IF(Data!D2599="","HOLD",IF(AND(G2598&lt;&gt;"IN",Data!E2599&lt;-5),"BUY",IF(AND(G2598="IN",Data!E2599&gt;0),"SELL","HOLD")))</f>
        <v>HOLD</v>
      </c>
      <c r="D2599" s="14" t="n">
        <f aca="false">IF(C2599="BUY",B2599,IF(G2598="IN",D2598,""))</f>
        <v>61.99</v>
      </c>
      <c r="E2599" s="14" t="str">
        <f aca="false">IF(C2599="SELL",B2599,"")</f>
        <v/>
      </c>
      <c r="F2599" s="14" t="str">
        <f aca="false">IF(E2599="","",(E2599-D2599)/D2599*100)</f>
        <v/>
      </c>
      <c r="G2599" s="0" t="str">
        <f aca="false">IF(C2599="BUY","IN",IF(C2599="SELL","OUT",IF(G2598="IN","IN","OUT")))</f>
        <v>IN</v>
      </c>
      <c r="H2599" s="14" t="n">
        <f aca="false">H2598+IF(F2599="",0,F2599)</f>
        <v>52.0677867128763</v>
      </c>
      <c r="I2599" s="14" t="n">
        <f aca="false">MAX(I2598,H2599)</f>
        <v>52.0677867128763</v>
      </c>
      <c r="J2599" s="14" t="n">
        <f aca="false">I2599-H2599</f>
        <v>0</v>
      </c>
    </row>
    <row r="2600" customFormat="false" ht="15" hidden="false" customHeight="false" outlineLevel="0" collapsed="false">
      <c r="A2600" s="12" t="n">
        <f aca="false">Data!A2600</f>
        <v>45782</v>
      </c>
      <c r="B2600" s="14" t="n">
        <f aca="false">Data!B2600</f>
        <v>57.13</v>
      </c>
      <c r="C2600" s="0" t="str">
        <f aca="false">IF(Data!D2600="","HOLD",IF(AND(G2599&lt;&gt;"IN",Data!E2600&lt;-5),"BUY",IF(AND(G2599="IN",Data!E2600&gt;0),"SELL","HOLD")))</f>
        <v>HOLD</v>
      </c>
      <c r="D2600" s="14" t="n">
        <f aca="false">IF(C2600="BUY",B2600,IF(G2599="IN",D2599,""))</f>
        <v>61.99</v>
      </c>
      <c r="E2600" s="14" t="str">
        <f aca="false">IF(C2600="SELL",B2600,"")</f>
        <v/>
      </c>
      <c r="F2600" s="14" t="str">
        <f aca="false">IF(E2600="","",(E2600-D2600)/D2600*100)</f>
        <v/>
      </c>
      <c r="G2600" s="0" t="str">
        <f aca="false">IF(C2600="BUY","IN",IF(C2600="SELL","OUT",IF(G2599="IN","IN","OUT")))</f>
        <v>IN</v>
      </c>
      <c r="H2600" s="14" t="n">
        <f aca="false">H2599+IF(F2600="",0,F2600)</f>
        <v>52.0677867128763</v>
      </c>
      <c r="I2600" s="14" t="n">
        <f aca="false">MAX(I2599,H2600)</f>
        <v>52.0677867128763</v>
      </c>
      <c r="J2600" s="14" t="n">
        <f aca="false">I2600-H2600</f>
        <v>0</v>
      </c>
    </row>
    <row r="2601" customFormat="false" ht="15" hidden="false" customHeight="false" outlineLevel="0" collapsed="false">
      <c r="A2601" s="12" t="n">
        <f aca="false">Data!A2601</f>
        <v>45783</v>
      </c>
      <c r="B2601" s="14" t="n">
        <f aca="false">Data!B2601</f>
        <v>59.09</v>
      </c>
      <c r="C2601" s="0" t="str">
        <f aca="false">IF(Data!D2601="","HOLD",IF(AND(G2600&lt;&gt;"IN",Data!E2601&lt;-5),"BUY",IF(AND(G2600="IN",Data!E2601&gt;0),"SELL","HOLD")))</f>
        <v>HOLD</v>
      </c>
      <c r="D2601" s="14" t="n">
        <f aca="false">IF(C2601="BUY",B2601,IF(G2600="IN",D2600,""))</f>
        <v>61.99</v>
      </c>
      <c r="E2601" s="14" t="str">
        <f aca="false">IF(C2601="SELL",B2601,"")</f>
        <v/>
      </c>
      <c r="F2601" s="14" t="str">
        <f aca="false">IF(E2601="","",(E2601-D2601)/D2601*100)</f>
        <v/>
      </c>
      <c r="G2601" s="0" t="str">
        <f aca="false">IF(C2601="BUY","IN",IF(C2601="SELL","OUT",IF(G2600="IN","IN","OUT")))</f>
        <v>IN</v>
      </c>
      <c r="H2601" s="14" t="n">
        <f aca="false">H2600+IF(F2601="",0,F2601)</f>
        <v>52.0677867128763</v>
      </c>
      <c r="I2601" s="14" t="n">
        <f aca="false">MAX(I2600,H2601)</f>
        <v>52.0677867128763</v>
      </c>
      <c r="J2601" s="14" t="n">
        <f aca="false">I2601-H2601</f>
        <v>0</v>
      </c>
    </row>
    <row r="2602" customFormat="false" ht="15" hidden="false" customHeight="false" outlineLevel="0" collapsed="false">
      <c r="A2602" s="12" t="n">
        <f aca="false">Data!A2602</f>
        <v>45784</v>
      </c>
      <c r="B2602" s="14" t="n">
        <f aca="false">Data!B2602</f>
        <v>58.07</v>
      </c>
      <c r="C2602" s="0" t="str">
        <f aca="false">IF(Data!D2602="","HOLD",IF(AND(G2601&lt;&gt;"IN",Data!E2602&lt;-5),"BUY",IF(AND(G2601="IN",Data!E2602&gt;0),"SELL","HOLD")))</f>
        <v>HOLD</v>
      </c>
      <c r="D2602" s="14" t="n">
        <f aca="false">IF(C2602="BUY",B2602,IF(G2601="IN",D2601,""))</f>
        <v>61.99</v>
      </c>
      <c r="E2602" s="14" t="str">
        <f aca="false">IF(C2602="SELL",B2602,"")</f>
        <v/>
      </c>
      <c r="F2602" s="14" t="str">
        <f aca="false">IF(E2602="","",(E2602-D2602)/D2602*100)</f>
        <v/>
      </c>
      <c r="G2602" s="0" t="str">
        <f aca="false">IF(C2602="BUY","IN",IF(C2602="SELL","OUT",IF(G2601="IN","IN","OUT")))</f>
        <v>IN</v>
      </c>
      <c r="H2602" s="14" t="n">
        <f aca="false">H2601+IF(F2602="",0,F2602)</f>
        <v>52.0677867128763</v>
      </c>
      <c r="I2602" s="14" t="n">
        <f aca="false">MAX(I2601,H2602)</f>
        <v>52.0677867128763</v>
      </c>
      <c r="J2602" s="14" t="n">
        <f aca="false">I2602-H2602</f>
        <v>0</v>
      </c>
    </row>
    <row r="2603" customFormat="false" ht="15" hidden="false" customHeight="false" outlineLevel="0" collapsed="false">
      <c r="A2603" s="12" t="n">
        <f aca="false">Data!A2603</f>
        <v>45785</v>
      </c>
      <c r="B2603" s="14" t="n">
        <f aca="false">Data!B2603</f>
        <v>59.91</v>
      </c>
      <c r="C2603" s="0" t="str">
        <f aca="false">IF(Data!D2603="","HOLD",IF(AND(G2602&lt;&gt;"IN",Data!E2603&lt;-5),"BUY",IF(AND(G2602="IN",Data!E2603&gt;0),"SELL","HOLD")))</f>
        <v>HOLD</v>
      </c>
      <c r="D2603" s="14" t="n">
        <f aca="false">IF(C2603="BUY",B2603,IF(G2602="IN",D2602,""))</f>
        <v>61.99</v>
      </c>
      <c r="E2603" s="14" t="str">
        <f aca="false">IF(C2603="SELL",B2603,"")</f>
        <v/>
      </c>
      <c r="F2603" s="14" t="str">
        <f aca="false">IF(E2603="","",(E2603-D2603)/D2603*100)</f>
        <v/>
      </c>
      <c r="G2603" s="0" t="str">
        <f aca="false">IF(C2603="BUY","IN",IF(C2603="SELL","OUT",IF(G2602="IN","IN","OUT")))</f>
        <v>IN</v>
      </c>
      <c r="H2603" s="14" t="n">
        <f aca="false">H2602+IF(F2603="",0,F2603)</f>
        <v>52.0677867128763</v>
      </c>
      <c r="I2603" s="14" t="n">
        <f aca="false">MAX(I2602,H2603)</f>
        <v>52.0677867128763</v>
      </c>
      <c r="J2603" s="14" t="n">
        <f aca="false">I2603-H2603</f>
        <v>0</v>
      </c>
    </row>
    <row r="2604" customFormat="false" ht="15" hidden="false" customHeight="false" outlineLevel="0" collapsed="false">
      <c r="A2604" s="12" t="n">
        <f aca="false">Data!A2604</f>
        <v>45786</v>
      </c>
      <c r="B2604" s="14" t="n">
        <f aca="false">Data!B2604</f>
        <v>61.02</v>
      </c>
      <c r="C2604" s="0" t="str">
        <f aca="false">IF(Data!D2604="","HOLD",IF(AND(G2603&lt;&gt;"IN",Data!E2604&lt;-5),"BUY",IF(AND(G2603="IN",Data!E2604&gt;0),"SELL","HOLD")))</f>
        <v>HOLD</v>
      </c>
      <c r="D2604" s="14" t="n">
        <f aca="false">IF(C2604="BUY",B2604,IF(G2603="IN",D2603,""))</f>
        <v>61.99</v>
      </c>
      <c r="E2604" s="14" t="str">
        <f aca="false">IF(C2604="SELL",B2604,"")</f>
        <v/>
      </c>
      <c r="F2604" s="14" t="str">
        <f aca="false">IF(E2604="","",(E2604-D2604)/D2604*100)</f>
        <v/>
      </c>
      <c r="G2604" s="0" t="str">
        <f aca="false">IF(C2604="BUY","IN",IF(C2604="SELL","OUT",IF(G2603="IN","IN","OUT")))</f>
        <v>IN</v>
      </c>
      <c r="H2604" s="14" t="n">
        <f aca="false">H2603+IF(F2604="",0,F2604)</f>
        <v>52.0677867128763</v>
      </c>
      <c r="I2604" s="14" t="n">
        <f aca="false">MAX(I2603,H2604)</f>
        <v>52.0677867128763</v>
      </c>
      <c r="J2604" s="14" t="n">
        <f aca="false">I2604-H2604</f>
        <v>0</v>
      </c>
    </row>
    <row r="2605" customFormat="false" ht="15" hidden="false" customHeight="false" outlineLevel="0" collapsed="false">
      <c r="A2605" s="12" t="n">
        <f aca="false">Data!A2605</f>
        <v>45789</v>
      </c>
      <c r="B2605" s="14" t="n">
        <f aca="false">Data!B2605</f>
        <v>61.95</v>
      </c>
      <c r="C2605" s="0" t="str">
        <f aca="false">IF(Data!D2605="","HOLD",IF(AND(G2604&lt;&gt;"IN",Data!E2605&lt;-5),"BUY",IF(AND(G2604="IN",Data!E2605&gt;0),"SELL","HOLD")))</f>
        <v>SELL</v>
      </c>
      <c r="D2605" s="14" t="n">
        <f aca="false">IF(C2605="BUY",B2605,IF(G2604="IN",D2604,""))</f>
        <v>61.99</v>
      </c>
      <c r="E2605" s="14" t="n">
        <f aca="false">IF(C2605="SELL",B2605,"")</f>
        <v>61.95</v>
      </c>
      <c r="F2605" s="14" t="n">
        <f aca="false">IF(E2605="","",(E2605-D2605)/D2605*100)</f>
        <v>-0.0645265365381499</v>
      </c>
      <c r="G2605" s="0" t="str">
        <f aca="false">IF(C2605="BUY","IN",IF(C2605="SELL","OUT",IF(G2604="IN","IN","OUT")))</f>
        <v>OUT</v>
      </c>
      <c r="H2605" s="14" t="n">
        <f aca="false">H2604+IF(F2605="",0,F2605)</f>
        <v>52.0032601763382</v>
      </c>
      <c r="I2605" s="14" t="n">
        <f aca="false">MAX(I2604,H2605)</f>
        <v>52.0677867128763</v>
      </c>
      <c r="J2605" s="14" t="n">
        <f aca="false">I2605-H2605</f>
        <v>0.0645265365381533</v>
      </c>
    </row>
    <row r="2606" customFormat="false" ht="15" hidden="false" customHeight="false" outlineLevel="0" collapsed="false">
      <c r="A2606" s="12" t="n">
        <f aca="false">Data!A2606</f>
        <v>45790</v>
      </c>
      <c r="B2606" s="14" t="n">
        <f aca="false">Data!B2606</f>
        <v>63.67</v>
      </c>
      <c r="C2606" s="0" t="str">
        <f aca="false">IF(Data!D2606="","HOLD",IF(AND(G2605&lt;&gt;"IN",Data!E2606&lt;-5),"BUY",IF(AND(G2605="IN",Data!E2606&gt;0),"SELL","HOLD")))</f>
        <v>HOLD</v>
      </c>
      <c r="D2606" s="14" t="str">
        <f aca="false">IF(C2606="BUY",B2606,IF(G2605="IN",D2605,""))</f>
        <v/>
      </c>
      <c r="E2606" s="14" t="str">
        <f aca="false">IF(C2606="SELL",B2606,"")</f>
        <v/>
      </c>
      <c r="F2606" s="14" t="str">
        <f aca="false">IF(E2606="","",(E2606-D2606)/D2606*100)</f>
        <v/>
      </c>
      <c r="G2606" s="0" t="str">
        <f aca="false">IF(C2606="BUY","IN",IF(C2606="SELL","OUT",IF(G2605="IN","IN","OUT")))</f>
        <v>OUT</v>
      </c>
      <c r="H2606" s="14" t="n">
        <f aca="false">H2605+IF(F2606="",0,F2606)</f>
        <v>52.0032601763382</v>
      </c>
      <c r="I2606" s="14" t="n">
        <f aca="false">MAX(I2605,H2606)</f>
        <v>52.0677867128763</v>
      </c>
      <c r="J2606" s="14" t="n">
        <f aca="false">I2606-H2606</f>
        <v>0.0645265365381533</v>
      </c>
    </row>
    <row r="2607" customFormat="false" ht="15" hidden="false" customHeight="false" outlineLevel="0" collapsed="false">
      <c r="A2607" s="12" t="n">
        <f aca="false">Data!A2607</f>
        <v>45791</v>
      </c>
      <c r="B2607" s="14" t="n">
        <f aca="false">Data!B2607</f>
        <v>63.15</v>
      </c>
      <c r="C2607" s="0" t="str">
        <f aca="false">IF(Data!D2607="","HOLD",IF(AND(G2606&lt;&gt;"IN",Data!E2607&lt;-5),"BUY",IF(AND(G2606="IN",Data!E2607&gt;0),"SELL","HOLD")))</f>
        <v>HOLD</v>
      </c>
      <c r="D2607" s="14" t="str">
        <f aca="false">IF(C2607="BUY",B2607,IF(G2606="IN",D2606,""))</f>
        <v/>
      </c>
      <c r="E2607" s="14" t="str">
        <f aca="false">IF(C2607="SELL",B2607,"")</f>
        <v/>
      </c>
      <c r="F2607" s="14" t="str">
        <f aca="false">IF(E2607="","",(E2607-D2607)/D2607*100)</f>
        <v/>
      </c>
      <c r="G2607" s="0" t="str">
        <f aca="false">IF(C2607="BUY","IN",IF(C2607="SELL","OUT",IF(G2606="IN","IN","OUT")))</f>
        <v>OUT</v>
      </c>
      <c r="H2607" s="14" t="n">
        <f aca="false">H2606+IF(F2607="",0,F2607)</f>
        <v>52.0032601763382</v>
      </c>
      <c r="I2607" s="14" t="n">
        <f aca="false">MAX(I2606,H2607)</f>
        <v>52.0677867128763</v>
      </c>
      <c r="J2607" s="14" t="n">
        <f aca="false">I2607-H2607</f>
        <v>0.0645265365381533</v>
      </c>
    </row>
    <row r="2608" customFormat="false" ht="15" hidden="false" customHeight="false" outlineLevel="0" collapsed="false">
      <c r="A2608" s="12" t="n">
        <f aca="false">Data!A2608</f>
        <v>45792</v>
      </c>
      <c r="B2608" s="14" t="n">
        <f aca="false">Data!B2608</f>
        <v>61.62</v>
      </c>
      <c r="C2608" s="0" t="str">
        <f aca="false">IF(Data!D2608="","HOLD",IF(AND(G2607&lt;&gt;"IN",Data!E2608&lt;-5),"BUY",IF(AND(G2607="IN",Data!E2608&gt;0),"SELL","HOLD")))</f>
        <v>HOLD</v>
      </c>
      <c r="D2608" s="14" t="str">
        <f aca="false">IF(C2608="BUY",B2608,IF(G2607="IN",D2607,""))</f>
        <v/>
      </c>
      <c r="E2608" s="14" t="str">
        <f aca="false">IF(C2608="SELL",B2608,"")</f>
        <v/>
      </c>
      <c r="F2608" s="14" t="str">
        <f aca="false">IF(E2608="","",(E2608-D2608)/D2608*100)</f>
        <v/>
      </c>
      <c r="G2608" s="0" t="str">
        <f aca="false">IF(C2608="BUY","IN",IF(C2608="SELL","OUT",IF(G2607="IN","IN","OUT")))</f>
        <v>OUT</v>
      </c>
      <c r="H2608" s="14" t="n">
        <f aca="false">H2607+IF(F2608="",0,F2608)</f>
        <v>52.0032601763382</v>
      </c>
      <c r="I2608" s="14" t="n">
        <f aca="false">MAX(I2607,H2608)</f>
        <v>52.0677867128763</v>
      </c>
      <c r="J2608" s="14" t="n">
        <f aca="false">I2608-H2608</f>
        <v>0.0645265365381533</v>
      </c>
    </row>
    <row r="2609" customFormat="false" ht="15" hidden="false" customHeight="false" outlineLevel="0" collapsed="false">
      <c r="A2609" s="12" t="n">
        <f aca="false">Data!A2609</f>
        <v>45793</v>
      </c>
      <c r="B2609" s="14" t="n">
        <f aca="false">Data!B2609</f>
        <v>62.49</v>
      </c>
      <c r="C2609" s="0" t="str">
        <f aca="false">IF(Data!D2609="","HOLD",IF(AND(G2608&lt;&gt;"IN",Data!E2609&lt;-5),"BUY",IF(AND(G2608="IN",Data!E2609&gt;0),"SELL","HOLD")))</f>
        <v>HOLD</v>
      </c>
      <c r="D2609" s="14" t="str">
        <f aca="false">IF(C2609="BUY",B2609,IF(G2608="IN",D2608,""))</f>
        <v/>
      </c>
      <c r="E2609" s="14" t="str">
        <f aca="false">IF(C2609="SELL",B2609,"")</f>
        <v/>
      </c>
      <c r="F2609" s="14" t="str">
        <f aca="false">IF(E2609="","",(E2609-D2609)/D2609*100)</f>
        <v/>
      </c>
      <c r="G2609" s="0" t="str">
        <f aca="false">IF(C2609="BUY","IN",IF(C2609="SELL","OUT",IF(G2608="IN","IN","OUT")))</f>
        <v>OUT</v>
      </c>
      <c r="H2609" s="14" t="n">
        <f aca="false">H2608+IF(F2609="",0,F2609)</f>
        <v>52.0032601763382</v>
      </c>
      <c r="I2609" s="14" t="n">
        <f aca="false">MAX(I2608,H2609)</f>
        <v>52.0677867128763</v>
      </c>
      <c r="J2609" s="14" t="n">
        <f aca="false">I2609-H2609</f>
        <v>0.0645265365381533</v>
      </c>
    </row>
    <row r="2610" customFormat="false" ht="15" hidden="false" customHeight="false" outlineLevel="0" collapsed="false">
      <c r="A2610" s="12" t="n">
        <f aca="false">Data!A2610</f>
        <v>45796</v>
      </c>
      <c r="B2610" s="14" t="n">
        <f aca="false">Data!B2610</f>
        <v>62.69</v>
      </c>
      <c r="C2610" s="0" t="str">
        <f aca="false">IF(Data!D2610="","HOLD",IF(AND(G2609&lt;&gt;"IN",Data!E2610&lt;-5),"BUY",IF(AND(G2609="IN",Data!E2610&gt;0),"SELL","HOLD")))</f>
        <v>HOLD</v>
      </c>
      <c r="D2610" s="14" t="str">
        <f aca="false">IF(C2610="BUY",B2610,IF(G2609="IN",D2609,""))</f>
        <v/>
      </c>
      <c r="E2610" s="14" t="str">
        <f aca="false">IF(C2610="SELL",B2610,"")</f>
        <v/>
      </c>
      <c r="F2610" s="14" t="str">
        <f aca="false">IF(E2610="","",(E2610-D2610)/D2610*100)</f>
        <v/>
      </c>
      <c r="G2610" s="0" t="str">
        <f aca="false">IF(C2610="BUY","IN",IF(C2610="SELL","OUT",IF(G2609="IN","IN","OUT")))</f>
        <v>OUT</v>
      </c>
      <c r="H2610" s="14" t="n">
        <f aca="false">H2609+IF(F2610="",0,F2610)</f>
        <v>52.0032601763382</v>
      </c>
      <c r="I2610" s="14" t="n">
        <f aca="false">MAX(I2609,H2610)</f>
        <v>52.0677867128763</v>
      </c>
      <c r="J2610" s="14" t="n">
        <f aca="false">I2610-H2610</f>
        <v>0.0645265365381533</v>
      </c>
    </row>
    <row r="2611" customFormat="false" ht="15" hidden="false" customHeight="false" outlineLevel="0" collapsed="false">
      <c r="A2611" s="12" t="n">
        <f aca="false">Data!A2611</f>
        <v>45797</v>
      </c>
      <c r="B2611" s="14" t="n">
        <f aca="false">Data!B2611</f>
        <v>62.56</v>
      </c>
      <c r="C2611" s="0" t="str">
        <f aca="false">IF(Data!D2611="","HOLD",IF(AND(G2610&lt;&gt;"IN",Data!E2611&lt;-5),"BUY",IF(AND(G2610="IN",Data!E2611&gt;0),"SELL","HOLD")))</f>
        <v>HOLD</v>
      </c>
      <c r="D2611" s="14" t="str">
        <f aca="false">IF(C2611="BUY",B2611,IF(G2610="IN",D2610,""))</f>
        <v/>
      </c>
      <c r="E2611" s="14" t="str">
        <f aca="false">IF(C2611="SELL",B2611,"")</f>
        <v/>
      </c>
      <c r="F2611" s="14" t="str">
        <f aca="false">IF(E2611="","",(E2611-D2611)/D2611*100)</f>
        <v/>
      </c>
      <c r="G2611" s="0" t="str">
        <f aca="false">IF(C2611="BUY","IN",IF(C2611="SELL","OUT",IF(G2610="IN","IN","OUT")))</f>
        <v>OUT</v>
      </c>
      <c r="H2611" s="14" t="n">
        <f aca="false">H2610+IF(F2611="",0,F2611)</f>
        <v>52.0032601763382</v>
      </c>
      <c r="I2611" s="14" t="n">
        <f aca="false">MAX(I2610,H2611)</f>
        <v>52.0677867128763</v>
      </c>
      <c r="J2611" s="14" t="n">
        <f aca="false">I2611-H2611</f>
        <v>0.0645265365381533</v>
      </c>
    </row>
    <row r="2612" customFormat="false" ht="15" hidden="false" customHeight="false" outlineLevel="0" collapsed="false">
      <c r="A2612" s="12" t="n">
        <f aca="false">Data!A2612</f>
        <v>45798</v>
      </c>
      <c r="B2612" s="14" t="n">
        <f aca="false">Data!B2612</f>
        <v>61.57</v>
      </c>
      <c r="C2612" s="0" t="str">
        <f aca="false">IF(Data!D2612="","HOLD",IF(AND(G2611&lt;&gt;"IN",Data!E2612&lt;-5),"BUY",IF(AND(G2611="IN",Data!E2612&gt;0),"SELL","HOLD")))</f>
        <v>HOLD</v>
      </c>
      <c r="D2612" s="14" t="str">
        <f aca="false">IF(C2612="BUY",B2612,IF(G2611="IN",D2611,""))</f>
        <v/>
      </c>
      <c r="E2612" s="14" t="str">
        <f aca="false">IF(C2612="SELL",B2612,"")</f>
        <v/>
      </c>
      <c r="F2612" s="14" t="str">
        <f aca="false">IF(E2612="","",(E2612-D2612)/D2612*100)</f>
        <v/>
      </c>
      <c r="G2612" s="0" t="str">
        <f aca="false">IF(C2612="BUY","IN",IF(C2612="SELL","OUT",IF(G2611="IN","IN","OUT")))</f>
        <v>OUT</v>
      </c>
      <c r="H2612" s="14" t="n">
        <f aca="false">H2611+IF(F2612="",0,F2612)</f>
        <v>52.0032601763382</v>
      </c>
      <c r="I2612" s="14" t="n">
        <f aca="false">MAX(I2611,H2612)</f>
        <v>52.0677867128763</v>
      </c>
      <c r="J2612" s="14" t="n">
        <f aca="false">I2612-H2612</f>
        <v>0.0645265365381533</v>
      </c>
    </row>
    <row r="2613" customFormat="false" ht="15" hidden="false" customHeight="false" outlineLevel="0" collapsed="false">
      <c r="A2613" s="12" t="n">
        <f aca="false">Data!A2613</f>
        <v>45799</v>
      </c>
      <c r="B2613" s="14" t="n">
        <f aca="false">Data!B2613</f>
        <v>61.2</v>
      </c>
      <c r="C2613" s="0" t="str">
        <f aca="false">IF(Data!D2613="","HOLD",IF(AND(G2612&lt;&gt;"IN",Data!E2613&lt;-5),"BUY",IF(AND(G2612="IN",Data!E2613&gt;0),"SELL","HOLD")))</f>
        <v>HOLD</v>
      </c>
      <c r="D2613" s="14" t="str">
        <f aca="false">IF(C2613="BUY",B2613,IF(G2612="IN",D2612,""))</f>
        <v/>
      </c>
      <c r="E2613" s="14" t="str">
        <f aca="false">IF(C2613="SELL",B2613,"")</f>
        <v/>
      </c>
      <c r="F2613" s="14" t="str">
        <f aca="false">IF(E2613="","",(E2613-D2613)/D2613*100)</f>
        <v/>
      </c>
      <c r="G2613" s="0" t="str">
        <f aca="false">IF(C2613="BUY","IN",IF(C2613="SELL","OUT",IF(G2612="IN","IN","OUT")))</f>
        <v>OUT</v>
      </c>
      <c r="H2613" s="14" t="n">
        <f aca="false">H2612+IF(F2613="",0,F2613)</f>
        <v>52.0032601763382</v>
      </c>
      <c r="I2613" s="14" t="n">
        <f aca="false">MAX(I2612,H2613)</f>
        <v>52.0677867128763</v>
      </c>
      <c r="J2613" s="14" t="n">
        <f aca="false">I2613-H2613</f>
        <v>0.0645265365381533</v>
      </c>
    </row>
    <row r="2614" customFormat="false" ht="15" hidden="false" customHeight="false" outlineLevel="0" collapsed="false">
      <c r="A2614" s="12" t="n">
        <f aca="false">Data!A2614</f>
        <v>45800</v>
      </c>
      <c r="B2614" s="14" t="n">
        <f aca="false">Data!B2614</f>
        <v>61.53</v>
      </c>
      <c r="C2614" s="0" t="str">
        <f aca="false">IF(Data!D2614="","HOLD",IF(AND(G2613&lt;&gt;"IN",Data!E2614&lt;-5),"BUY",IF(AND(G2613="IN",Data!E2614&gt;0),"SELL","HOLD")))</f>
        <v>HOLD</v>
      </c>
      <c r="D2614" s="14" t="str">
        <f aca="false">IF(C2614="BUY",B2614,IF(G2613="IN",D2613,""))</f>
        <v/>
      </c>
      <c r="E2614" s="14" t="str">
        <f aca="false">IF(C2614="SELL",B2614,"")</f>
        <v/>
      </c>
      <c r="F2614" s="14" t="str">
        <f aca="false">IF(E2614="","",(E2614-D2614)/D2614*100)</f>
        <v/>
      </c>
      <c r="G2614" s="0" t="str">
        <f aca="false">IF(C2614="BUY","IN",IF(C2614="SELL","OUT",IF(G2613="IN","IN","OUT")))</f>
        <v>OUT</v>
      </c>
      <c r="H2614" s="14" t="n">
        <f aca="false">H2613+IF(F2614="",0,F2614)</f>
        <v>52.0032601763382</v>
      </c>
      <c r="I2614" s="14" t="n">
        <f aca="false">MAX(I2613,H2614)</f>
        <v>52.0677867128763</v>
      </c>
      <c r="J2614" s="14" t="n">
        <f aca="false">I2614-H2614</f>
        <v>0.0645265365381533</v>
      </c>
    </row>
    <row r="2615" customFormat="false" ht="15" hidden="false" customHeight="false" outlineLevel="0" collapsed="false">
      <c r="A2615" s="12" t="n">
        <f aca="false">Data!A2615</f>
        <v>45804</v>
      </c>
      <c r="B2615" s="14" t="n">
        <f aca="false">Data!B2615</f>
        <v>60.89</v>
      </c>
      <c r="C2615" s="0" t="str">
        <f aca="false">IF(Data!D2615="","HOLD",IF(AND(G2614&lt;&gt;"IN",Data!E2615&lt;-5),"BUY",IF(AND(G2614="IN",Data!E2615&gt;0),"SELL","HOLD")))</f>
        <v>HOLD</v>
      </c>
      <c r="D2615" s="14" t="str">
        <f aca="false">IF(C2615="BUY",B2615,IF(G2614="IN",D2614,""))</f>
        <v/>
      </c>
      <c r="E2615" s="14" t="str">
        <f aca="false">IF(C2615="SELL",B2615,"")</f>
        <v/>
      </c>
      <c r="F2615" s="14" t="str">
        <f aca="false">IF(E2615="","",(E2615-D2615)/D2615*100)</f>
        <v/>
      </c>
      <c r="G2615" s="0" t="str">
        <f aca="false">IF(C2615="BUY","IN",IF(C2615="SELL","OUT",IF(G2614="IN","IN","OUT")))</f>
        <v>OUT</v>
      </c>
      <c r="H2615" s="14" t="n">
        <f aca="false">H2614+IF(F2615="",0,F2615)</f>
        <v>52.0032601763382</v>
      </c>
      <c r="I2615" s="14" t="n">
        <f aca="false">MAX(I2614,H2615)</f>
        <v>52.0677867128763</v>
      </c>
      <c r="J2615" s="14" t="n">
        <f aca="false">I2615-H2615</f>
        <v>0.0645265365381533</v>
      </c>
    </row>
    <row r="2616" customFormat="false" ht="15" hidden="false" customHeight="false" outlineLevel="0" collapsed="false">
      <c r="A2616" s="12" t="n">
        <f aca="false">Data!A2616</f>
        <v>45805</v>
      </c>
      <c r="B2616" s="14" t="n">
        <f aca="false">Data!B2616</f>
        <v>61.84</v>
      </c>
      <c r="C2616" s="0" t="str">
        <f aca="false">IF(Data!D2616="","HOLD",IF(AND(G2615&lt;&gt;"IN",Data!E2616&lt;-5),"BUY",IF(AND(G2615="IN",Data!E2616&gt;0),"SELL","HOLD")))</f>
        <v>HOLD</v>
      </c>
      <c r="D2616" s="14" t="str">
        <f aca="false">IF(C2616="BUY",B2616,IF(G2615="IN",D2615,""))</f>
        <v/>
      </c>
      <c r="E2616" s="14" t="str">
        <f aca="false">IF(C2616="SELL",B2616,"")</f>
        <v/>
      </c>
      <c r="F2616" s="14" t="str">
        <f aca="false">IF(E2616="","",(E2616-D2616)/D2616*100)</f>
        <v/>
      </c>
      <c r="G2616" s="0" t="str">
        <f aca="false">IF(C2616="BUY","IN",IF(C2616="SELL","OUT",IF(G2615="IN","IN","OUT")))</f>
        <v>OUT</v>
      </c>
      <c r="H2616" s="14" t="n">
        <f aca="false">H2615+IF(F2616="",0,F2616)</f>
        <v>52.0032601763382</v>
      </c>
      <c r="I2616" s="14" t="n">
        <f aca="false">MAX(I2615,H2616)</f>
        <v>52.0677867128763</v>
      </c>
      <c r="J2616" s="14" t="n">
        <f aca="false">I2616-H2616</f>
        <v>0.0645265365381533</v>
      </c>
    </row>
    <row r="2617" customFormat="false" ht="15" hidden="false" customHeight="false" outlineLevel="0" collapsed="false">
      <c r="A2617" s="12" t="n">
        <f aca="false">Data!A2617</f>
        <v>45806</v>
      </c>
      <c r="B2617" s="14" t="n">
        <f aca="false">Data!B2617</f>
        <v>60.94</v>
      </c>
      <c r="C2617" s="0" t="str">
        <f aca="false">IF(Data!D2617="","HOLD",IF(AND(G2616&lt;&gt;"IN",Data!E2617&lt;-5),"BUY",IF(AND(G2616="IN",Data!E2617&gt;0),"SELL","HOLD")))</f>
        <v>HOLD</v>
      </c>
      <c r="D2617" s="14" t="str">
        <f aca="false">IF(C2617="BUY",B2617,IF(G2616="IN",D2616,""))</f>
        <v/>
      </c>
      <c r="E2617" s="14" t="str">
        <f aca="false">IF(C2617="SELL",B2617,"")</f>
        <v/>
      </c>
      <c r="F2617" s="14" t="str">
        <f aca="false">IF(E2617="","",(E2617-D2617)/D2617*100)</f>
        <v/>
      </c>
      <c r="G2617" s="0" t="str">
        <f aca="false">IF(C2617="BUY","IN",IF(C2617="SELL","OUT",IF(G2616="IN","IN","OUT")))</f>
        <v>OUT</v>
      </c>
      <c r="H2617" s="14" t="n">
        <f aca="false">H2616+IF(F2617="",0,F2617)</f>
        <v>52.0032601763382</v>
      </c>
      <c r="I2617" s="14" t="n">
        <f aca="false">MAX(I2616,H2617)</f>
        <v>52.0677867128763</v>
      </c>
      <c r="J2617" s="14" t="n">
        <f aca="false">I2617-H2617</f>
        <v>0.0645265365381533</v>
      </c>
    </row>
    <row r="2618" customFormat="false" ht="15" hidden="false" customHeight="false" outlineLevel="0" collapsed="false">
      <c r="A2618" s="12" t="n">
        <f aca="false">Data!A2618</f>
        <v>45807</v>
      </c>
      <c r="B2618" s="14" t="n">
        <f aca="false">Data!B2618</f>
        <v>60.79</v>
      </c>
      <c r="C2618" s="0" t="str">
        <f aca="false">IF(Data!D2618="","HOLD",IF(AND(G2617&lt;&gt;"IN",Data!E2618&lt;-5),"BUY",IF(AND(G2617="IN",Data!E2618&gt;0),"SELL","HOLD")))</f>
        <v>HOLD</v>
      </c>
      <c r="D2618" s="14" t="str">
        <f aca="false">IF(C2618="BUY",B2618,IF(G2617="IN",D2617,""))</f>
        <v/>
      </c>
      <c r="E2618" s="14" t="str">
        <f aca="false">IF(C2618="SELL",B2618,"")</f>
        <v/>
      </c>
      <c r="F2618" s="14" t="str">
        <f aca="false">IF(E2618="","",(E2618-D2618)/D2618*100)</f>
        <v/>
      </c>
      <c r="G2618" s="0" t="str">
        <f aca="false">IF(C2618="BUY","IN",IF(C2618="SELL","OUT",IF(G2617="IN","IN","OUT")))</f>
        <v>OUT</v>
      </c>
      <c r="H2618" s="14" t="n">
        <f aca="false">H2617+IF(F2618="",0,F2618)</f>
        <v>52.0032601763382</v>
      </c>
      <c r="I2618" s="14" t="n">
        <f aca="false">MAX(I2617,H2618)</f>
        <v>52.0677867128763</v>
      </c>
      <c r="J2618" s="14" t="n">
        <f aca="false">I2618-H2618</f>
        <v>0.0645265365381533</v>
      </c>
    </row>
    <row r="2619" customFormat="false" ht="15" hidden="false" customHeight="false" outlineLevel="0" collapsed="false">
      <c r="A2619" s="12" t="n">
        <f aca="false">Data!A2619</f>
        <v>45810</v>
      </c>
      <c r="B2619" s="14" t="n">
        <f aca="false">Data!B2619</f>
        <v>62.52</v>
      </c>
      <c r="C2619" s="0" t="str">
        <f aca="false">IF(Data!D2619="","HOLD",IF(AND(G2618&lt;&gt;"IN",Data!E2619&lt;-5),"BUY",IF(AND(G2618="IN",Data!E2619&gt;0),"SELL","HOLD")))</f>
        <v>HOLD</v>
      </c>
      <c r="D2619" s="14" t="str">
        <f aca="false">IF(C2619="BUY",B2619,IF(G2618="IN",D2618,""))</f>
        <v/>
      </c>
      <c r="E2619" s="14" t="str">
        <f aca="false">IF(C2619="SELL",B2619,"")</f>
        <v/>
      </c>
      <c r="F2619" s="14" t="str">
        <f aca="false">IF(E2619="","",(E2619-D2619)/D2619*100)</f>
        <v/>
      </c>
      <c r="G2619" s="0" t="str">
        <f aca="false">IF(C2619="BUY","IN",IF(C2619="SELL","OUT",IF(G2618="IN","IN","OUT")))</f>
        <v>OUT</v>
      </c>
      <c r="H2619" s="14" t="n">
        <f aca="false">H2618+IF(F2619="",0,F2619)</f>
        <v>52.0032601763382</v>
      </c>
      <c r="I2619" s="14" t="n">
        <f aca="false">MAX(I2618,H2619)</f>
        <v>52.0677867128763</v>
      </c>
      <c r="J2619" s="14" t="n">
        <f aca="false">I2619-H2619</f>
        <v>0.0645265365381533</v>
      </c>
    </row>
    <row r="2620" customFormat="false" ht="15" hidden="false" customHeight="false" outlineLevel="0" collapsed="false">
      <c r="A2620" s="12" t="n">
        <f aca="false">Data!A2620</f>
        <v>45811</v>
      </c>
      <c r="B2620" s="14" t="n">
        <f aca="false">Data!B2620</f>
        <v>63.41</v>
      </c>
      <c r="C2620" s="0" t="str">
        <f aca="false">IF(Data!D2620="","HOLD",IF(AND(G2619&lt;&gt;"IN",Data!E2620&lt;-5),"BUY",IF(AND(G2619="IN",Data!E2620&gt;0),"SELL","HOLD")))</f>
        <v>HOLD</v>
      </c>
      <c r="D2620" s="14" t="str">
        <f aca="false">IF(C2620="BUY",B2620,IF(G2619="IN",D2619,""))</f>
        <v/>
      </c>
      <c r="E2620" s="14" t="str">
        <f aca="false">IF(C2620="SELL",B2620,"")</f>
        <v/>
      </c>
      <c r="F2620" s="14" t="str">
        <f aca="false">IF(E2620="","",(E2620-D2620)/D2620*100)</f>
        <v/>
      </c>
      <c r="G2620" s="0" t="str">
        <f aca="false">IF(C2620="BUY","IN",IF(C2620="SELL","OUT",IF(G2619="IN","IN","OUT")))</f>
        <v>OUT</v>
      </c>
      <c r="H2620" s="14" t="n">
        <f aca="false">H2619+IF(F2620="",0,F2620)</f>
        <v>52.0032601763382</v>
      </c>
      <c r="I2620" s="14" t="n">
        <f aca="false">MAX(I2619,H2620)</f>
        <v>52.0677867128763</v>
      </c>
      <c r="J2620" s="14" t="n">
        <f aca="false">I2620-H2620</f>
        <v>0.0645265365381533</v>
      </c>
    </row>
    <row r="2621" customFormat="false" ht="15" hidden="false" customHeight="false" outlineLevel="0" collapsed="false">
      <c r="A2621" s="12" t="n">
        <f aca="false">Data!A2621</f>
        <v>45812</v>
      </c>
      <c r="B2621" s="14" t="n">
        <f aca="false">Data!B2621</f>
        <v>62.85</v>
      </c>
      <c r="C2621" s="0" t="str">
        <f aca="false">IF(Data!D2621="","HOLD",IF(AND(G2620&lt;&gt;"IN",Data!E2621&lt;-5),"BUY",IF(AND(G2620="IN",Data!E2621&gt;0),"SELL","HOLD")))</f>
        <v>HOLD</v>
      </c>
      <c r="D2621" s="14" t="str">
        <f aca="false">IF(C2621="BUY",B2621,IF(G2620="IN",D2620,""))</f>
        <v/>
      </c>
      <c r="E2621" s="14" t="str">
        <f aca="false">IF(C2621="SELL",B2621,"")</f>
        <v/>
      </c>
      <c r="F2621" s="14" t="str">
        <f aca="false">IF(E2621="","",(E2621-D2621)/D2621*100)</f>
        <v/>
      </c>
      <c r="G2621" s="0" t="str">
        <f aca="false">IF(C2621="BUY","IN",IF(C2621="SELL","OUT",IF(G2620="IN","IN","OUT")))</f>
        <v>OUT</v>
      </c>
      <c r="H2621" s="14" t="n">
        <f aca="false">H2620+IF(F2621="",0,F2621)</f>
        <v>52.0032601763382</v>
      </c>
      <c r="I2621" s="14" t="n">
        <f aca="false">MAX(I2620,H2621)</f>
        <v>52.0677867128763</v>
      </c>
      <c r="J2621" s="14" t="n">
        <f aca="false">I2621-H2621</f>
        <v>0.0645265365381533</v>
      </c>
    </row>
    <row r="2622" customFormat="false" ht="15" hidden="false" customHeight="false" outlineLevel="0" collapsed="false">
      <c r="A2622" s="12" t="n">
        <f aca="false">Data!A2622</f>
        <v>45813</v>
      </c>
      <c r="B2622" s="14" t="n">
        <f aca="false">Data!B2622</f>
        <v>63.37</v>
      </c>
      <c r="C2622" s="0" t="str">
        <f aca="false">IF(Data!D2622="","HOLD",IF(AND(G2621&lt;&gt;"IN",Data!E2622&lt;-5),"BUY",IF(AND(G2621="IN",Data!E2622&gt;0),"SELL","HOLD")))</f>
        <v>HOLD</v>
      </c>
      <c r="D2622" s="14" t="str">
        <f aca="false">IF(C2622="BUY",B2622,IF(G2621="IN",D2621,""))</f>
        <v/>
      </c>
      <c r="E2622" s="14" t="str">
        <f aca="false">IF(C2622="SELL",B2622,"")</f>
        <v/>
      </c>
      <c r="F2622" s="14" t="str">
        <f aca="false">IF(E2622="","",(E2622-D2622)/D2622*100)</f>
        <v/>
      </c>
      <c r="G2622" s="0" t="str">
        <f aca="false">IF(C2622="BUY","IN",IF(C2622="SELL","OUT",IF(G2621="IN","IN","OUT")))</f>
        <v>OUT</v>
      </c>
      <c r="H2622" s="14" t="n">
        <f aca="false">H2621+IF(F2622="",0,F2622)</f>
        <v>52.0032601763382</v>
      </c>
      <c r="I2622" s="14" t="n">
        <f aca="false">MAX(I2621,H2622)</f>
        <v>52.0677867128763</v>
      </c>
      <c r="J2622" s="14" t="n">
        <f aca="false">I2622-H2622</f>
        <v>0.0645265365381533</v>
      </c>
    </row>
    <row r="2623" customFormat="false" ht="15" hidden="false" customHeight="false" outlineLevel="0" collapsed="false">
      <c r="A2623" s="12" t="n">
        <f aca="false">Data!A2623</f>
        <v>45814</v>
      </c>
      <c r="B2623" s="14" t="n">
        <f aca="false">Data!B2623</f>
        <v>64.58</v>
      </c>
      <c r="C2623" s="0" t="str">
        <f aca="false">IF(Data!D2623="","HOLD",IF(AND(G2622&lt;&gt;"IN",Data!E2623&lt;-5),"BUY",IF(AND(G2622="IN",Data!E2623&gt;0),"SELL","HOLD")))</f>
        <v>HOLD</v>
      </c>
      <c r="D2623" s="14" t="str">
        <f aca="false">IF(C2623="BUY",B2623,IF(G2622="IN",D2622,""))</f>
        <v/>
      </c>
      <c r="E2623" s="14" t="str">
        <f aca="false">IF(C2623="SELL",B2623,"")</f>
        <v/>
      </c>
      <c r="F2623" s="14" t="str">
        <f aca="false">IF(E2623="","",(E2623-D2623)/D2623*100)</f>
        <v/>
      </c>
      <c r="G2623" s="0" t="str">
        <f aca="false">IF(C2623="BUY","IN",IF(C2623="SELL","OUT",IF(G2622="IN","IN","OUT")))</f>
        <v>OUT</v>
      </c>
      <c r="H2623" s="14" t="n">
        <f aca="false">H2622+IF(F2623="",0,F2623)</f>
        <v>52.0032601763382</v>
      </c>
      <c r="I2623" s="14" t="n">
        <f aca="false">MAX(I2622,H2623)</f>
        <v>52.0677867128763</v>
      </c>
      <c r="J2623" s="14" t="n">
        <f aca="false">I2623-H2623</f>
        <v>0.0645265365381533</v>
      </c>
    </row>
    <row r="2624" customFormat="false" ht="15" hidden="false" customHeight="false" outlineLevel="0" collapsed="false">
      <c r="A2624" s="12" t="n">
        <f aca="false">Data!A2624</f>
        <v>45817</v>
      </c>
      <c r="B2624" s="14" t="n">
        <f aca="false">Data!B2624</f>
        <v>65.29</v>
      </c>
      <c r="C2624" s="0" t="str">
        <f aca="false">IF(Data!D2624="","HOLD",IF(AND(G2623&lt;&gt;"IN",Data!E2624&lt;-5),"BUY",IF(AND(G2623="IN",Data!E2624&gt;0),"SELL","HOLD")))</f>
        <v>HOLD</v>
      </c>
      <c r="D2624" s="14" t="str">
        <f aca="false">IF(C2624="BUY",B2624,IF(G2623="IN",D2623,""))</f>
        <v/>
      </c>
      <c r="E2624" s="14" t="str">
        <f aca="false">IF(C2624="SELL",B2624,"")</f>
        <v/>
      </c>
      <c r="F2624" s="14" t="str">
        <f aca="false">IF(E2624="","",(E2624-D2624)/D2624*100)</f>
        <v/>
      </c>
      <c r="G2624" s="0" t="str">
        <f aca="false">IF(C2624="BUY","IN",IF(C2624="SELL","OUT",IF(G2623="IN","IN","OUT")))</f>
        <v>OUT</v>
      </c>
      <c r="H2624" s="14" t="n">
        <f aca="false">H2623+IF(F2624="",0,F2624)</f>
        <v>52.0032601763382</v>
      </c>
      <c r="I2624" s="14" t="n">
        <f aca="false">MAX(I2623,H2624)</f>
        <v>52.0677867128763</v>
      </c>
      <c r="J2624" s="14" t="n">
        <f aca="false">I2624-H2624</f>
        <v>0.0645265365381533</v>
      </c>
    </row>
    <row r="2625" customFormat="false" ht="15" hidden="false" customHeight="false" outlineLevel="0" collapsed="false">
      <c r="A2625" s="12" t="n">
        <f aca="false">Data!A2625</f>
        <v>45818</v>
      </c>
      <c r="B2625" s="14" t="n">
        <f aca="false">Data!B2625</f>
        <v>64.98</v>
      </c>
      <c r="C2625" s="0" t="str">
        <f aca="false">IF(Data!D2625="","HOLD",IF(AND(G2624&lt;&gt;"IN",Data!E2625&lt;-5),"BUY",IF(AND(G2624="IN",Data!E2625&gt;0),"SELL","HOLD")))</f>
        <v>HOLD</v>
      </c>
      <c r="D2625" s="14" t="str">
        <f aca="false">IF(C2625="BUY",B2625,IF(G2624="IN",D2624,""))</f>
        <v/>
      </c>
      <c r="E2625" s="14" t="str">
        <f aca="false">IF(C2625="SELL",B2625,"")</f>
        <v/>
      </c>
      <c r="F2625" s="14" t="str">
        <f aca="false">IF(E2625="","",(E2625-D2625)/D2625*100)</f>
        <v/>
      </c>
      <c r="G2625" s="0" t="str">
        <f aca="false">IF(C2625="BUY","IN",IF(C2625="SELL","OUT",IF(G2624="IN","IN","OUT")))</f>
        <v>OUT</v>
      </c>
      <c r="H2625" s="14" t="n">
        <f aca="false">H2624+IF(F2625="",0,F2625)</f>
        <v>52.0032601763382</v>
      </c>
      <c r="I2625" s="14" t="n">
        <f aca="false">MAX(I2624,H2625)</f>
        <v>52.0677867128763</v>
      </c>
      <c r="J2625" s="14" t="n">
        <f aca="false">I2625-H2625</f>
        <v>0.0645265365381533</v>
      </c>
    </row>
    <row r="2626" customFormat="false" ht="15" hidden="false" customHeight="false" outlineLevel="0" collapsed="false">
      <c r="A2626" s="12" t="n">
        <f aca="false">Data!A2626</f>
        <v>45819</v>
      </c>
      <c r="B2626" s="14" t="n">
        <f aca="false">Data!B2626</f>
        <v>68.15</v>
      </c>
      <c r="C2626" s="0" t="str">
        <f aca="false">IF(Data!D2626="","HOLD",IF(AND(G2625&lt;&gt;"IN",Data!E2626&lt;-5),"BUY",IF(AND(G2625="IN",Data!E2626&gt;0),"SELL","HOLD")))</f>
        <v>HOLD</v>
      </c>
      <c r="D2626" s="14" t="str">
        <f aca="false">IF(C2626="BUY",B2626,IF(G2625="IN",D2625,""))</f>
        <v/>
      </c>
      <c r="E2626" s="14" t="str">
        <f aca="false">IF(C2626="SELL",B2626,"")</f>
        <v/>
      </c>
      <c r="F2626" s="14" t="str">
        <f aca="false">IF(E2626="","",(E2626-D2626)/D2626*100)</f>
        <v/>
      </c>
      <c r="G2626" s="0" t="str">
        <f aca="false">IF(C2626="BUY","IN",IF(C2626="SELL","OUT",IF(G2625="IN","IN","OUT")))</f>
        <v>OUT</v>
      </c>
      <c r="H2626" s="14" t="n">
        <f aca="false">H2625+IF(F2626="",0,F2626)</f>
        <v>52.0032601763382</v>
      </c>
      <c r="I2626" s="14" t="n">
        <f aca="false">MAX(I2625,H2626)</f>
        <v>52.0677867128763</v>
      </c>
      <c r="J2626" s="14" t="n">
        <f aca="false">I2626-H2626</f>
        <v>0.0645265365381533</v>
      </c>
    </row>
    <row r="2627" customFormat="false" ht="15" hidden="false" customHeight="false" outlineLevel="0" collapsed="false">
      <c r="A2627" s="12" t="n">
        <f aca="false">Data!A2627</f>
        <v>45820</v>
      </c>
      <c r="B2627" s="14" t="n">
        <f aca="false">Data!B2627</f>
        <v>68.04</v>
      </c>
      <c r="C2627" s="0" t="str">
        <f aca="false">IF(Data!D2627="","HOLD",IF(AND(G2626&lt;&gt;"IN",Data!E2627&lt;-5),"BUY",IF(AND(G2626="IN",Data!E2627&gt;0),"SELL","HOLD")))</f>
        <v>HOLD</v>
      </c>
      <c r="D2627" s="14" t="str">
        <f aca="false">IF(C2627="BUY",B2627,IF(G2626="IN",D2626,""))</f>
        <v/>
      </c>
      <c r="E2627" s="14" t="str">
        <f aca="false">IF(C2627="SELL",B2627,"")</f>
        <v/>
      </c>
      <c r="F2627" s="14" t="str">
        <f aca="false">IF(E2627="","",(E2627-D2627)/D2627*100)</f>
        <v/>
      </c>
      <c r="G2627" s="0" t="str">
        <f aca="false">IF(C2627="BUY","IN",IF(C2627="SELL","OUT",IF(G2626="IN","IN","OUT")))</f>
        <v>OUT</v>
      </c>
      <c r="H2627" s="14" t="n">
        <f aca="false">H2626+IF(F2627="",0,F2627)</f>
        <v>52.0032601763382</v>
      </c>
      <c r="I2627" s="14" t="n">
        <f aca="false">MAX(I2626,H2627)</f>
        <v>52.0677867128763</v>
      </c>
      <c r="J2627" s="14" t="n">
        <f aca="false">I2627-H2627</f>
        <v>0.0645265365381533</v>
      </c>
    </row>
    <row r="2628" customFormat="false" ht="15" hidden="false" customHeight="false" outlineLevel="0" collapsed="false">
      <c r="A2628" s="12" t="n">
        <f aca="false">Data!A2628</f>
        <v>45821</v>
      </c>
      <c r="B2628" s="14" t="n">
        <f aca="false">Data!B2628</f>
        <v>72.98</v>
      </c>
      <c r="C2628" s="0" t="str">
        <f aca="false">IF(Data!D2628="","HOLD",IF(AND(G2627&lt;&gt;"IN",Data!E2628&lt;-5),"BUY",IF(AND(G2627="IN",Data!E2628&gt;0),"SELL","HOLD")))</f>
        <v>HOLD</v>
      </c>
      <c r="D2628" s="14" t="str">
        <f aca="false">IF(C2628="BUY",B2628,IF(G2627="IN",D2627,""))</f>
        <v/>
      </c>
      <c r="E2628" s="14" t="str">
        <f aca="false">IF(C2628="SELL",B2628,"")</f>
        <v/>
      </c>
      <c r="F2628" s="14" t="str">
        <f aca="false">IF(E2628="","",(E2628-D2628)/D2628*100)</f>
        <v/>
      </c>
      <c r="G2628" s="0" t="str">
        <f aca="false">IF(C2628="BUY","IN",IF(C2628="SELL","OUT",IF(G2627="IN","IN","OUT")))</f>
        <v>OUT</v>
      </c>
      <c r="H2628" s="14" t="n">
        <f aca="false">H2627+IF(F2628="",0,F2628)</f>
        <v>52.0032601763382</v>
      </c>
      <c r="I2628" s="14" t="n">
        <f aca="false">MAX(I2627,H2628)</f>
        <v>52.0677867128763</v>
      </c>
      <c r="J2628" s="14" t="n">
        <f aca="false">I2628-H2628</f>
        <v>0.0645265365381533</v>
      </c>
    </row>
    <row r="2629" customFormat="false" ht="15" hidden="false" customHeight="false" outlineLevel="0" collapsed="false">
      <c r="A2629" s="12" t="n">
        <f aca="false">Data!A2629</f>
        <v>45824</v>
      </c>
      <c r="B2629" s="14" t="n">
        <f aca="false">Data!B2629</f>
        <v>71.77</v>
      </c>
      <c r="C2629" s="0" t="str">
        <f aca="false">IF(Data!D2629="","HOLD",IF(AND(G2628&lt;&gt;"IN",Data!E2629&lt;-5),"BUY",IF(AND(G2628="IN",Data!E2629&gt;0),"SELL","HOLD")))</f>
        <v>HOLD</v>
      </c>
      <c r="D2629" s="14" t="str">
        <f aca="false">IF(C2629="BUY",B2629,IF(G2628="IN",D2628,""))</f>
        <v/>
      </c>
      <c r="E2629" s="14" t="str">
        <f aca="false">IF(C2629="SELL",B2629,"")</f>
        <v/>
      </c>
      <c r="F2629" s="14" t="str">
        <f aca="false">IF(E2629="","",(E2629-D2629)/D2629*100)</f>
        <v/>
      </c>
      <c r="G2629" s="0" t="str">
        <f aca="false">IF(C2629="BUY","IN",IF(C2629="SELL","OUT",IF(G2628="IN","IN","OUT")))</f>
        <v>OUT</v>
      </c>
      <c r="H2629" s="14" t="n">
        <f aca="false">H2628+IF(F2629="",0,F2629)</f>
        <v>52.0032601763382</v>
      </c>
      <c r="I2629" s="14" t="n">
        <f aca="false">MAX(I2628,H2629)</f>
        <v>52.0677867128763</v>
      </c>
      <c r="J2629" s="14" t="n">
        <f aca="false">I2629-H2629</f>
        <v>0.0645265365381533</v>
      </c>
    </row>
    <row r="2630" customFormat="false" ht="15" hidden="false" customHeight="false" outlineLevel="0" collapsed="false">
      <c r="A2630" s="12" t="n">
        <f aca="false">Data!A2630</f>
        <v>45825</v>
      </c>
      <c r="B2630" s="14" t="n">
        <f aca="false">Data!B2630</f>
        <v>74.84</v>
      </c>
      <c r="C2630" s="0" t="str">
        <f aca="false">IF(Data!D2630="","HOLD",IF(AND(G2629&lt;&gt;"IN",Data!E2630&lt;-5),"BUY",IF(AND(G2629="IN",Data!E2630&gt;0),"SELL","HOLD")))</f>
        <v>HOLD</v>
      </c>
      <c r="D2630" s="14" t="str">
        <f aca="false">IF(C2630="BUY",B2630,IF(G2629="IN",D2629,""))</f>
        <v/>
      </c>
      <c r="E2630" s="14" t="str">
        <f aca="false">IF(C2630="SELL",B2630,"")</f>
        <v/>
      </c>
      <c r="F2630" s="14" t="str">
        <f aca="false">IF(E2630="","",(E2630-D2630)/D2630*100)</f>
        <v/>
      </c>
      <c r="G2630" s="0" t="str">
        <f aca="false">IF(C2630="BUY","IN",IF(C2630="SELL","OUT",IF(G2629="IN","IN","OUT")))</f>
        <v>OUT</v>
      </c>
      <c r="H2630" s="14" t="n">
        <f aca="false">H2629+IF(F2630="",0,F2630)</f>
        <v>52.0032601763382</v>
      </c>
      <c r="I2630" s="14" t="n">
        <f aca="false">MAX(I2629,H2630)</f>
        <v>52.0677867128763</v>
      </c>
      <c r="J2630" s="14" t="n">
        <f aca="false">I2630-H2630</f>
        <v>0.0645265365381533</v>
      </c>
    </row>
    <row r="2631" customFormat="false" ht="15" hidden="false" customHeight="false" outlineLevel="0" collapsed="false">
      <c r="A2631" s="12" t="n">
        <f aca="false">Data!A2631</f>
        <v>45826</v>
      </c>
      <c r="B2631" s="14" t="n">
        <f aca="false">Data!B2631</f>
        <v>75.14</v>
      </c>
      <c r="C2631" s="0" t="str">
        <f aca="false">IF(Data!D2631="","HOLD",IF(AND(G2630&lt;&gt;"IN",Data!E2631&lt;-5),"BUY",IF(AND(G2630="IN",Data!E2631&gt;0),"SELL","HOLD")))</f>
        <v>HOLD</v>
      </c>
      <c r="D2631" s="14" t="str">
        <f aca="false">IF(C2631="BUY",B2631,IF(G2630="IN",D2630,""))</f>
        <v/>
      </c>
      <c r="E2631" s="14" t="str">
        <f aca="false">IF(C2631="SELL",B2631,"")</f>
        <v/>
      </c>
      <c r="F2631" s="14" t="str">
        <f aca="false">IF(E2631="","",(E2631-D2631)/D2631*100)</f>
        <v/>
      </c>
      <c r="G2631" s="0" t="str">
        <f aca="false">IF(C2631="BUY","IN",IF(C2631="SELL","OUT",IF(G2630="IN","IN","OUT")))</f>
        <v>OUT</v>
      </c>
      <c r="H2631" s="14" t="n">
        <f aca="false">H2630+IF(F2631="",0,F2631)</f>
        <v>52.0032601763382</v>
      </c>
      <c r="I2631" s="14" t="n">
        <f aca="false">MAX(I2630,H2631)</f>
        <v>52.0677867128763</v>
      </c>
      <c r="J2631" s="14" t="n">
        <f aca="false">I2631-H2631</f>
        <v>0.0645265365381533</v>
      </c>
    </row>
    <row r="2632" customFormat="false" ht="15" hidden="false" customHeight="false" outlineLevel="0" collapsed="false">
      <c r="A2632" s="12" t="n">
        <f aca="false">Data!A2632</f>
        <v>45828</v>
      </c>
      <c r="B2632" s="14" t="n">
        <f aca="false">Data!B2632</f>
        <v>74.93</v>
      </c>
      <c r="C2632" s="0" t="str">
        <f aca="false">IF(Data!D2632="","HOLD",IF(AND(G2631&lt;&gt;"IN",Data!E2632&lt;-5),"BUY",IF(AND(G2631="IN",Data!E2632&gt;0),"SELL","HOLD")))</f>
        <v>HOLD</v>
      </c>
      <c r="D2632" s="14" t="str">
        <f aca="false">IF(C2632="BUY",B2632,IF(G2631="IN",D2631,""))</f>
        <v/>
      </c>
      <c r="E2632" s="14" t="str">
        <f aca="false">IF(C2632="SELL",B2632,"")</f>
        <v/>
      </c>
      <c r="F2632" s="14" t="str">
        <f aca="false">IF(E2632="","",(E2632-D2632)/D2632*100)</f>
        <v/>
      </c>
      <c r="G2632" s="0" t="str">
        <f aca="false">IF(C2632="BUY","IN",IF(C2632="SELL","OUT",IF(G2631="IN","IN","OUT")))</f>
        <v>OUT</v>
      </c>
      <c r="H2632" s="14" t="n">
        <f aca="false">H2631+IF(F2632="",0,F2632)</f>
        <v>52.0032601763382</v>
      </c>
      <c r="I2632" s="14" t="n">
        <f aca="false">MAX(I2631,H2632)</f>
        <v>52.0677867128763</v>
      </c>
      <c r="J2632" s="14" t="n">
        <f aca="false">I2632-H2632</f>
        <v>0.0645265365381533</v>
      </c>
    </row>
    <row r="2633" customFormat="false" ht="15" hidden="false" customHeight="false" outlineLevel="0" collapsed="false">
      <c r="A2633" s="12" t="n">
        <f aca="false">Data!A2633</f>
        <v>45831</v>
      </c>
      <c r="B2633" s="14" t="n">
        <f aca="false">Data!B2633</f>
        <v>68.51</v>
      </c>
      <c r="C2633" s="0" t="str">
        <f aca="false">IF(Data!D2633="","HOLD",IF(AND(G2632&lt;&gt;"IN",Data!E2633&lt;-5),"BUY",IF(AND(G2632="IN",Data!E2633&gt;0),"SELL","HOLD")))</f>
        <v>HOLD</v>
      </c>
      <c r="D2633" s="14" t="str">
        <f aca="false">IF(C2633="BUY",B2633,IF(G2632="IN",D2632,""))</f>
        <v/>
      </c>
      <c r="E2633" s="14" t="str">
        <f aca="false">IF(C2633="SELL",B2633,"")</f>
        <v/>
      </c>
      <c r="F2633" s="14" t="str">
        <f aca="false">IF(E2633="","",(E2633-D2633)/D2633*100)</f>
        <v/>
      </c>
      <c r="G2633" s="0" t="str">
        <f aca="false">IF(C2633="BUY","IN",IF(C2633="SELL","OUT",IF(G2632="IN","IN","OUT")))</f>
        <v>OUT</v>
      </c>
      <c r="H2633" s="14" t="n">
        <f aca="false">H2632+IF(F2633="",0,F2633)</f>
        <v>52.0032601763382</v>
      </c>
      <c r="I2633" s="14" t="n">
        <f aca="false">MAX(I2632,H2633)</f>
        <v>52.0677867128763</v>
      </c>
      <c r="J2633" s="14" t="n">
        <f aca="false">I2633-H2633</f>
        <v>0.0645265365381533</v>
      </c>
    </row>
    <row r="2634" customFormat="false" ht="15" hidden="false" customHeight="false" outlineLevel="0" collapsed="false">
      <c r="A2634" s="12" t="n">
        <f aca="false">Data!A2634</f>
        <v>45832</v>
      </c>
      <c r="B2634" s="14" t="n">
        <f aca="false">Data!B2634</f>
        <v>64.37</v>
      </c>
      <c r="C2634" s="0" t="str">
        <f aca="false">IF(Data!D2634="","HOLD",IF(AND(G2633&lt;&gt;"IN",Data!E2634&lt;-5),"BUY",IF(AND(G2633="IN",Data!E2634&gt;0),"SELL","HOLD")))</f>
        <v>HOLD</v>
      </c>
      <c r="D2634" s="14" t="str">
        <f aca="false">IF(C2634="BUY",B2634,IF(G2633="IN",D2633,""))</f>
        <v/>
      </c>
      <c r="E2634" s="14" t="str">
        <f aca="false">IF(C2634="SELL",B2634,"")</f>
        <v/>
      </c>
      <c r="F2634" s="14" t="str">
        <f aca="false">IF(E2634="","",(E2634-D2634)/D2634*100)</f>
        <v/>
      </c>
      <c r="G2634" s="0" t="str">
        <f aca="false">IF(C2634="BUY","IN",IF(C2634="SELL","OUT",IF(G2633="IN","IN","OUT")))</f>
        <v>OUT</v>
      </c>
      <c r="H2634" s="14" t="n">
        <f aca="false">H2633+IF(F2634="",0,F2634)</f>
        <v>52.0032601763382</v>
      </c>
      <c r="I2634" s="14" t="n">
        <f aca="false">MAX(I2633,H2634)</f>
        <v>52.0677867128763</v>
      </c>
      <c r="J2634" s="14" t="n">
        <f aca="false">I2634-H2634</f>
        <v>0.0645265365381533</v>
      </c>
    </row>
    <row r="2635" customFormat="false" ht="15" hidden="false" customHeight="false" outlineLevel="0" collapsed="false">
      <c r="A2635" s="12" t="n">
        <f aca="false">Data!A2635</f>
        <v>45833</v>
      </c>
      <c r="B2635" s="14" t="n">
        <f aca="false">Data!B2635</f>
        <v>64.92</v>
      </c>
      <c r="C2635" s="0" t="str">
        <f aca="false">IF(Data!D2635="","HOLD",IF(AND(G2634&lt;&gt;"IN",Data!E2635&lt;-5),"BUY",IF(AND(G2634="IN",Data!E2635&gt;0),"SELL","HOLD")))</f>
        <v>HOLD</v>
      </c>
      <c r="D2635" s="14" t="str">
        <f aca="false">IF(C2635="BUY",B2635,IF(G2634="IN",D2634,""))</f>
        <v/>
      </c>
      <c r="E2635" s="14" t="str">
        <f aca="false">IF(C2635="SELL",B2635,"")</f>
        <v/>
      </c>
      <c r="F2635" s="14" t="str">
        <f aca="false">IF(E2635="","",(E2635-D2635)/D2635*100)</f>
        <v/>
      </c>
      <c r="G2635" s="0" t="str">
        <f aca="false">IF(C2635="BUY","IN",IF(C2635="SELL","OUT",IF(G2634="IN","IN","OUT")))</f>
        <v>OUT</v>
      </c>
      <c r="H2635" s="14" t="n">
        <f aca="false">H2634+IF(F2635="",0,F2635)</f>
        <v>52.0032601763382</v>
      </c>
      <c r="I2635" s="14" t="n">
        <f aca="false">MAX(I2634,H2635)</f>
        <v>52.0677867128763</v>
      </c>
      <c r="J2635" s="14" t="n">
        <f aca="false">I2635-H2635</f>
        <v>0.0645265365381533</v>
      </c>
    </row>
    <row r="2636" customFormat="false" ht="15" hidden="false" customHeight="false" outlineLevel="0" collapsed="false">
      <c r="A2636" s="12" t="n">
        <f aca="false">Data!A2636</f>
        <v>45834</v>
      </c>
      <c r="B2636" s="14" t="n">
        <f aca="false">Data!B2636</f>
        <v>65.24</v>
      </c>
      <c r="C2636" s="0" t="str">
        <f aca="false">IF(Data!D2636="","HOLD",IF(AND(G2635&lt;&gt;"IN",Data!E2636&lt;-5),"BUY",IF(AND(G2635="IN",Data!E2636&gt;0),"SELL","HOLD")))</f>
        <v>HOLD</v>
      </c>
      <c r="D2636" s="14" t="str">
        <f aca="false">IF(C2636="BUY",B2636,IF(G2635="IN",D2635,""))</f>
        <v/>
      </c>
      <c r="E2636" s="14" t="str">
        <f aca="false">IF(C2636="SELL",B2636,"")</f>
        <v/>
      </c>
      <c r="F2636" s="14" t="str">
        <f aca="false">IF(E2636="","",(E2636-D2636)/D2636*100)</f>
        <v/>
      </c>
      <c r="G2636" s="0" t="str">
        <f aca="false">IF(C2636="BUY","IN",IF(C2636="SELL","OUT",IF(G2635="IN","IN","OUT")))</f>
        <v>OUT</v>
      </c>
      <c r="H2636" s="14" t="n">
        <f aca="false">H2635+IF(F2636="",0,F2636)</f>
        <v>52.0032601763382</v>
      </c>
      <c r="I2636" s="14" t="n">
        <f aca="false">MAX(I2635,H2636)</f>
        <v>52.0677867128763</v>
      </c>
      <c r="J2636" s="14" t="n">
        <f aca="false">I2636-H2636</f>
        <v>0.0645265365381533</v>
      </c>
    </row>
    <row r="2637" customFormat="false" ht="15" hidden="false" customHeight="false" outlineLevel="0" collapsed="false">
      <c r="A2637" s="12" t="n">
        <f aca="false">Data!A2637</f>
        <v>45835</v>
      </c>
      <c r="B2637" s="14" t="n">
        <f aca="false">Data!B2637</f>
        <v>65.52</v>
      </c>
      <c r="C2637" s="0" t="str">
        <f aca="false">IF(Data!D2637="","HOLD",IF(AND(G2636&lt;&gt;"IN",Data!E2637&lt;-5),"BUY",IF(AND(G2636="IN",Data!E2637&gt;0),"SELL","HOLD")))</f>
        <v>HOLD</v>
      </c>
      <c r="D2637" s="14" t="str">
        <f aca="false">IF(C2637="BUY",B2637,IF(G2636="IN",D2636,""))</f>
        <v/>
      </c>
      <c r="E2637" s="14" t="str">
        <f aca="false">IF(C2637="SELL",B2637,"")</f>
        <v/>
      </c>
      <c r="F2637" s="14" t="str">
        <f aca="false">IF(E2637="","",(E2637-D2637)/D2637*100)</f>
        <v/>
      </c>
      <c r="G2637" s="0" t="str">
        <f aca="false">IF(C2637="BUY","IN",IF(C2637="SELL","OUT",IF(G2636="IN","IN","OUT")))</f>
        <v>OUT</v>
      </c>
      <c r="H2637" s="14" t="n">
        <f aca="false">H2636+IF(F2637="",0,F2637)</f>
        <v>52.0032601763382</v>
      </c>
      <c r="I2637" s="14" t="n">
        <f aca="false">MAX(I2636,H2637)</f>
        <v>52.0677867128763</v>
      </c>
      <c r="J2637" s="14" t="n">
        <f aca="false">I2637-H2637</f>
        <v>0.0645265365381533</v>
      </c>
    </row>
    <row r="2638" customFormat="false" ht="15" hidden="false" customHeight="false" outlineLevel="0" collapsed="false">
      <c r="A2638" s="12" t="n">
        <f aca="false">Data!A2638</f>
        <v>45838</v>
      </c>
      <c r="B2638" s="14" t="n">
        <f aca="false">Data!B2638</f>
        <v>65.11</v>
      </c>
      <c r="C2638" s="0" t="str">
        <f aca="false">IF(Data!D2638="","HOLD",IF(AND(G2637&lt;&gt;"IN",Data!E2638&lt;-5),"BUY",IF(AND(G2637="IN",Data!E2638&gt;0),"SELL","HOLD")))</f>
        <v>HOLD</v>
      </c>
      <c r="D2638" s="14" t="str">
        <f aca="false">IF(C2638="BUY",B2638,IF(G2637="IN",D2637,""))</f>
        <v/>
      </c>
      <c r="E2638" s="14" t="str">
        <f aca="false">IF(C2638="SELL",B2638,"")</f>
        <v/>
      </c>
      <c r="F2638" s="14" t="str">
        <f aca="false">IF(E2638="","",(E2638-D2638)/D2638*100)</f>
        <v/>
      </c>
      <c r="G2638" s="0" t="str">
        <f aca="false">IF(C2638="BUY","IN",IF(C2638="SELL","OUT",IF(G2637="IN","IN","OUT")))</f>
        <v>OUT</v>
      </c>
      <c r="H2638" s="14" t="n">
        <f aca="false">H2637+IF(F2638="",0,F2638)</f>
        <v>52.0032601763382</v>
      </c>
      <c r="I2638" s="14" t="n">
        <f aca="false">MAX(I2637,H2638)</f>
        <v>52.0677867128763</v>
      </c>
      <c r="J2638" s="14" t="n">
        <f aca="false">I2638-H2638</f>
        <v>0.0645265365381533</v>
      </c>
    </row>
    <row r="2639" customFormat="false" ht="15" hidden="false" customHeight="false" outlineLevel="0" collapsed="false">
      <c r="A2639" s="12" t="n">
        <f aca="false">Data!A2639</f>
        <v>45839</v>
      </c>
      <c r="B2639" s="14" t="n">
        <f aca="false">Data!B2639</f>
        <v>65.45</v>
      </c>
      <c r="C2639" s="0" t="str">
        <f aca="false">IF(Data!D2639="","HOLD",IF(AND(G2638&lt;&gt;"IN",Data!E2639&lt;-5),"BUY",IF(AND(G2638="IN",Data!E2639&gt;0),"SELL","HOLD")))</f>
        <v>HOLD</v>
      </c>
      <c r="D2639" s="14" t="str">
        <f aca="false">IF(C2639="BUY",B2639,IF(G2638="IN",D2638,""))</f>
        <v/>
      </c>
      <c r="E2639" s="14" t="str">
        <f aca="false">IF(C2639="SELL",B2639,"")</f>
        <v/>
      </c>
      <c r="F2639" s="14" t="str">
        <f aca="false">IF(E2639="","",(E2639-D2639)/D2639*100)</f>
        <v/>
      </c>
      <c r="G2639" s="0" t="str">
        <f aca="false">IF(C2639="BUY","IN",IF(C2639="SELL","OUT",IF(G2638="IN","IN","OUT")))</f>
        <v>OUT</v>
      </c>
      <c r="H2639" s="14" t="n">
        <f aca="false">H2638+IF(F2639="",0,F2639)</f>
        <v>52.0032601763382</v>
      </c>
      <c r="I2639" s="14" t="n">
        <f aca="false">MAX(I2638,H2639)</f>
        <v>52.0677867128763</v>
      </c>
      <c r="J2639" s="14" t="n">
        <f aca="false">I2639-H2639</f>
        <v>0.0645265365381533</v>
      </c>
    </row>
    <row r="2640" customFormat="false" ht="15" hidden="false" customHeight="false" outlineLevel="0" collapsed="false">
      <c r="A2640" s="12" t="n">
        <f aca="false">Data!A2640</f>
        <v>45840</v>
      </c>
      <c r="B2640" s="14" t="n">
        <f aca="false">Data!B2640</f>
        <v>67.45</v>
      </c>
      <c r="C2640" s="0" t="str">
        <f aca="false">IF(Data!D2640="","HOLD",IF(AND(G2639&lt;&gt;"IN",Data!E2640&lt;-5),"BUY",IF(AND(G2639="IN",Data!E2640&gt;0),"SELL","HOLD")))</f>
        <v>HOLD</v>
      </c>
      <c r="D2640" s="14" t="str">
        <f aca="false">IF(C2640="BUY",B2640,IF(G2639="IN",D2639,""))</f>
        <v/>
      </c>
      <c r="E2640" s="14" t="str">
        <f aca="false">IF(C2640="SELL",B2640,"")</f>
        <v/>
      </c>
      <c r="F2640" s="14" t="str">
        <f aca="false">IF(E2640="","",(E2640-D2640)/D2640*100)</f>
        <v/>
      </c>
      <c r="G2640" s="0" t="str">
        <f aca="false">IF(C2640="BUY","IN",IF(C2640="SELL","OUT",IF(G2639="IN","IN","OUT")))</f>
        <v>OUT</v>
      </c>
      <c r="H2640" s="14" t="n">
        <f aca="false">H2639+IF(F2640="",0,F2640)</f>
        <v>52.0032601763382</v>
      </c>
      <c r="I2640" s="14" t="n">
        <f aca="false">MAX(I2639,H2640)</f>
        <v>52.0677867128763</v>
      </c>
      <c r="J2640" s="14" t="n">
        <f aca="false">I2640-H2640</f>
        <v>0.0645265365381533</v>
      </c>
    </row>
    <row r="2641" customFormat="false" ht="15" hidden="false" customHeight="false" outlineLevel="0" collapsed="false">
      <c r="A2641" s="12" t="n">
        <f aca="false">Data!A2641</f>
        <v>45841</v>
      </c>
      <c r="B2641" s="14" t="n">
        <f aca="false">Data!B2641</f>
        <v>67</v>
      </c>
      <c r="C2641" s="0" t="str">
        <f aca="false">IF(Data!D2641="","HOLD",IF(AND(G2640&lt;&gt;"IN",Data!E2641&lt;-5),"BUY",IF(AND(G2640="IN",Data!E2641&gt;0),"SELL","HOLD")))</f>
        <v>HOLD</v>
      </c>
      <c r="D2641" s="14" t="str">
        <f aca="false">IF(C2641="BUY",B2641,IF(G2640="IN",D2640,""))</f>
        <v/>
      </c>
      <c r="E2641" s="14" t="str">
        <f aca="false">IF(C2641="SELL",B2641,"")</f>
        <v/>
      </c>
      <c r="F2641" s="14" t="str">
        <f aca="false">IF(E2641="","",(E2641-D2641)/D2641*100)</f>
        <v/>
      </c>
      <c r="G2641" s="0" t="str">
        <f aca="false">IF(C2641="BUY","IN",IF(C2641="SELL","OUT",IF(G2640="IN","IN","OUT")))</f>
        <v>OUT</v>
      </c>
      <c r="H2641" s="14" t="n">
        <f aca="false">H2640+IF(F2641="",0,F2641)</f>
        <v>52.0032601763382</v>
      </c>
      <c r="I2641" s="14" t="n">
        <f aca="false">MAX(I2640,H2641)</f>
        <v>52.0677867128763</v>
      </c>
      <c r="J2641" s="14" t="n">
        <f aca="false">I2641-H2641</f>
        <v>0.0645265365381533</v>
      </c>
    </row>
    <row r="2642" customFormat="false" ht="15" hidden="false" customHeight="false" outlineLevel="0" collapsed="false">
      <c r="A2642" s="12" t="n">
        <f aca="false">Data!A2642</f>
        <v>45842</v>
      </c>
      <c r="B2642" s="14" t="n">
        <f aca="false">Data!B2642</f>
        <v>66.5</v>
      </c>
      <c r="C2642" s="0" t="str">
        <f aca="false">IF(Data!D2642="","HOLD",IF(AND(G2641&lt;&gt;"IN",Data!E2642&lt;-5),"BUY",IF(AND(G2641="IN",Data!E2642&gt;0),"SELL","HOLD")))</f>
        <v>HOLD</v>
      </c>
      <c r="D2642" s="14" t="str">
        <f aca="false">IF(C2642="BUY",B2642,IF(G2641="IN",D2641,""))</f>
        <v/>
      </c>
      <c r="E2642" s="14" t="str">
        <f aca="false">IF(C2642="SELL",B2642,"")</f>
        <v/>
      </c>
      <c r="F2642" s="14" t="str">
        <f aca="false">IF(E2642="","",(E2642-D2642)/D2642*100)</f>
        <v/>
      </c>
      <c r="G2642" s="0" t="str">
        <f aca="false">IF(C2642="BUY","IN",IF(C2642="SELL","OUT",IF(G2641="IN","IN","OUT")))</f>
        <v>OUT</v>
      </c>
      <c r="H2642" s="14" t="n">
        <f aca="false">H2641+IF(F2642="",0,F2642)</f>
        <v>52.0032601763382</v>
      </c>
      <c r="I2642" s="14" t="n">
        <f aca="false">MAX(I2641,H2642)</f>
        <v>52.0677867128763</v>
      </c>
      <c r="J2642" s="14" t="n">
        <f aca="false">I2642-H2642</f>
        <v>0.0645265365381533</v>
      </c>
    </row>
    <row r="2643" customFormat="false" ht="15" hidden="false" customHeight="false" outlineLevel="0" collapsed="false">
      <c r="A2643" s="12" t="n">
        <f aca="false">Data!A2643</f>
        <v>45845</v>
      </c>
      <c r="B2643" s="14" t="n">
        <f aca="false">Data!B2643</f>
        <v>67.93</v>
      </c>
      <c r="C2643" s="0" t="str">
        <f aca="false">IF(Data!D2643="","HOLD",IF(AND(G2642&lt;&gt;"IN",Data!E2643&lt;-5),"BUY",IF(AND(G2642="IN",Data!E2643&gt;0),"SELL","HOLD")))</f>
        <v>HOLD</v>
      </c>
      <c r="D2643" s="14" t="str">
        <f aca="false">IF(C2643="BUY",B2643,IF(G2642="IN",D2642,""))</f>
        <v/>
      </c>
      <c r="E2643" s="14" t="str">
        <f aca="false">IF(C2643="SELL",B2643,"")</f>
        <v/>
      </c>
      <c r="F2643" s="14" t="str">
        <f aca="false">IF(E2643="","",(E2643-D2643)/D2643*100)</f>
        <v/>
      </c>
      <c r="G2643" s="0" t="str">
        <f aca="false">IF(C2643="BUY","IN",IF(C2643="SELL","OUT",IF(G2642="IN","IN","OUT")))</f>
        <v>OUT</v>
      </c>
      <c r="H2643" s="14" t="n">
        <f aca="false">H2642+IF(F2643="",0,F2643)</f>
        <v>52.0032601763382</v>
      </c>
      <c r="I2643" s="14" t="n">
        <f aca="false">MAX(I2642,H2643)</f>
        <v>52.0677867128763</v>
      </c>
      <c r="J2643" s="14" t="n">
        <f aca="false">I2643-H2643</f>
        <v>0.0645265365381533</v>
      </c>
    </row>
    <row r="2644" customFormat="false" ht="15" hidden="false" customHeight="false" outlineLevel="0" collapsed="false">
      <c r="A2644" s="12" t="n">
        <f aca="false">Data!A2644</f>
        <v>45846</v>
      </c>
      <c r="B2644" s="14" t="n">
        <f aca="false">Data!B2644</f>
        <v>68.33</v>
      </c>
      <c r="C2644" s="0" t="str">
        <f aca="false">IF(Data!D2644="","HOLD",IF(AND(G2643&lt;&gt;"IN",Data!E2644&lt;-5),"BUY",IF(AND(G2643="IN",Data!E2644&gt;0),"SELL","HOLD")))</f>
        <v>HOLD</v>
      </c>
      <c r="D2644" s="14" t="str">
        <f aca="false">IF(C2644="BUY",B2644,IF(G2643="IN",D2643,""))</f>
        <v/>
      </c>
      <c r="E2644" s="14" t="str">
        <f aca="false">IF(C2644="SELL",B2644,"")</f>
        <v/>
      </c>
      <c r="F2644" s="14" t="str">
        <f aca="false">IF(E2644="","",(E2644-D2644)/D2644*100)</f>
        <v/>
      </c>
      <c r="G2644" s="0" t="str">
        <f aca="false">IF(C2644="BUY","IN",IF(C2644="SELL","OUT",IF(G2643="IN","IN","OUT")))</f>
        <v>OUT</v>
      </c>
      <c r="H2644" s="14" t="n">
        <f aca="false">H2643+IF(F2644="",0,F2644)</f>
        <v>52.0032601763382</v>
      </c>
      <c r="I2644" s="14" t="n">
        <f aca="false">MAX(I2643,H2644)</f>
        <v>52.0677867128763</v>
      </c>
      <c r="J2644" s="14" t="n">
        <f aca="false">I2644-H2644</f>
        <v>0.0645265365381533</v>
      </c>
    </row>
    <row r="2645" customFormat="false" ht="15" hidden="false" customHeight="false" outlineLevel="0" collapsed="false">
      <c r="A2645" s="12" t="n">
        <f aca="false">Data!A2645</f>
        <v>45847</v>
      </c>
      <c r="B2645" s="14" t="n">
        <f aca="false">Data!B2645</f>
        <v>68.38</v>
      </c>
      <c r="C2645" s="0" t="str">
        <f aca="false">IF(Data!D2645="","HOLD",IF(AND(G2644&lt;&gt;"IN",Data!E2645&lt;-5),"BUY",IF(AND(G2644="IN",Data!E2645&gt;0),"SELL","HOLD")))</f>
        <v>HOLD</v>
      </c>
      <c r="D2645" s="14" t="str">
        <f aca="false">IF(C2645="BUY",B2645,IF(G2644="IN",D2644,""))</f>
        <v/>
      </c>
      <c r="E2645" s="14" t="str">
        <f aca="false">IF(C2645="SELL",B2645,"")</f>
        <v/>
      </c>
      <c r="F2645" s="14" t="str">
        <f aca="false">IF(E2645="","",(E2645-D2645)/D2645*100)</f>
        <v/>
      </c>
      <c r="G2645" s="0" t="str">
        <f aca="false">IF(C2645="BUY","IN",IF(C2645="SELL","OUT",IF(G2644="IN","IN","OUT")))</f>
        <v>OUT</v>
      </c>
      <c r="H2645" s="14" t="n">
        <f aca="false">H2644+IF(F2645="",0,F2645)</f>
        <v>52.0032601763382</v>
      </c>
      <c r="I2645" s="14" t="n">
        <f aca="false">MAX(I2644,H2645)</f>
        <v>52.0677867128763</v>
      </c>
      <c r="J2645" s="14" t="n">
        <f aca="false">I2645-H2645</f>
        <v>0.0645265365381533</v>
      </c>
    </row>
    <row r="2646" customFormat="false" ht="15" hidden="false" customHeight="false" outlineLevel="0" collapsed="false">
      <c r="A2646" s="12" t="n">
        <f aca="false">Data!A2646</f>
        <v>45848</v>
      </c>
      <c r="B2646" s="14" t="n">
        <f aca="false">Data!B2646</f>
        <v>66.57</v>
      </c>
      <c r="C2646" s="0" t="str">
        <f aca="false">IF(Data!D2646="","HOLD",IF(AND(G2645&lt;&gt;"IN",Data!E2646&lt;-5),"BUY",IF(AND(G2645="IN",Data!E2646&gt;0),"SELL","HOLD")))</f>
        <v>HOLD</v>
      </c>
      <c r="D2646" s="14" t="str">
        <f aca="false">IF(C2646="BUY",B2646,IF(G2645="IN",D2645,""))</f>
        <v/>
      </c>
      <c r="E2646" s="14" t="str">
        <f aca="false">IF(C2646="SELL",B2646,"")</f>
        <v/>
      </c>
      <c r="F2646" s="14" t="str">
        <f aca="false">IF(E2646="","",(E2646-D2646)/D2646*100)</f>
        <v/>
      </c>
      <c r="G2646" s="0" t="str">
        <f aca="false">IF(C2646="BUY","IN",IF(C2646="SELL","OUT",IF(G2645="IN","IN","OUT")))</f>
        <v>OUT</v>
      </c>
      <c r="H2646" s="14" t="n">
        <f aca="false">H2645+IF(F2646="",0,F2646)</f>
        <v>52.0032601763382</v>
      </c>
      <c r="I2646" s="14" t="n">
        <f aca="false">MAX(I2645,H2646)</f>
        <v>52.0677867128763</v>
      </c>
      <c r="J2646" s="14" t="n">
        <f aca="false">I2646-H2646</f>
        <v>0.0645265365381533</v>
      </c>
    </row>
    <row r="2647" customFormat="false" ht="15" hidden="false" customHeight="false" outlineLevel="0" collapsed="false">
      <c r="A2647" s="12" t="n">
        <f aca="false">Data!A2647</f>
        <v>45849</v>
      </c>
      <c r="B2647" s="14" t="n">
        <f aca="false">Data!B2647</f>
        <v>68.45</v>
      </c>
      <c r="C2647" s="0" t="str">
        <f aca="false">IF(Data!D2647="","HOLD",IF(AND(G2646&lt;&gt;"IN",Data!E2647&lt;-5),"BUY",IF(AND(G2646="IN",Data!E2647&gt;0),"SELL","HOLD")))</f>
        <v>HOLD</v>
      </c>
      <c r="D2647" s="14" t="str">
        <f aca="false">IF(C2647="BUY",B2647,IF(G2646="IN",D2646,""))</f>
        <v/>
      </c>
      <c r="E2647" s="14" t="str">
        <f aca="false">IF(C2647="SELL",B2647,"")</f>
        <v/>
      </c>
      <c r="F2647" s="14" t="str">
        <f aca="false">IF(E2647="","",(E2647-D2647)/D2647*100)</f>
        <v/>
      </c>
      <c r="G2647" s="0" t="str">
        <f aca="false">IF(C2647="BUY","IN",IF(C2647="SELL","OUT",IF(G2646="IN","IN","OUT")))</f>
        <v>OUT</v>
      </c>
      <c r="H2647" s="14" t="n">
        <f aca="false">H2646+IF(F2647="",0,F2647)</f>
        <v>52.0032601763382</v>
      </c>
      <c r="I2647" s="14" t="n">
        <f aca="false">MAX(I2646,H2647)</f>
        <v>52.0677867128763</v>
      </c>
      <c r="J2647" s="14" t="n">
        <f aca="false">I2647-H2647</f>
        <v>0.0645265365381533</v>
      </c>
    </row>
    <row r="2648" customFormat="false" ht="15" hidden="false" customHeight="false" outlineLevel="0" collapsed="false">
      <c r="A2648" s="12" t="n">
        <f aca="false">Data!A2648</f>
        <v>45852</v>
      </c>
      <c r="B2648" s="14" t="n">
        <f aca="false">Data!B2648</f>
        <v>66.98</v>
      </c>
      <c r="C2648" s="0" t="str">
        <f aca="false">IF(Data!D2648="","HOLD",IF(AND(G2647&lt;&gt;"IN",Data!E2648&lt;-5),"BUY",IF(AND(G2647="IN",Data!E2648&gt;0),"SELL","HOLD")))</f>
        <v>HOLD</v>
      </c>
      <c r="D2648" s="14" t="str">
        <f aca="false">IF(C2648="BUY",B2648,IF(G2647="IN",D2647,""))</f>
        <v/>
      </c>
      <c r="E2648" s="14" t="str">
        <f aca="false">IF(C2648="SELL",B2648,"")</f>
        <v/>
      </c>
      <c r="F2648" s="14" t="str">
        <f aca="false">IF(E2648="","",(E2648-D2648)/D2648*100)</f>
        <v/>
      </c>
      <c r="G2648" s="0" t="str">
        <f aca="false">IF(C2648="BUY","IN",IF(C2648="SELL","OUT",IF(G2647="IN","IN","OUT")))</f>
        <v>OUT</v>
      </c>
      <c r="H2648" s="14" t="n">
        <f aca="false">H2647+IF(F2648="",0,F2648)</f>
        <v>52.0032601763382</v>
      </c>
      <c r="I2648" s="14" t="n">
        <f aca="false">MAX(I2647,H2648)</f>
        <v>52.0677867128763</v>
      </c>
      <c r="J2648" s="14" t="n">
        <f aca="false">I2648-H2648</f>
        <v>0.0645265365381533</v>
      </c>
    </row>
    <row r="2649" customFormat="false" ht="15" hidden="false" customHeight="false" outlineLevel="0" collapsed="false">
      <c r="A2649" s="12" t="n">
        <f aca="false">Data!A2649</f>
        <v>45853</v>
      </c>
      <c r="B2649" s="14" t="n">
        <f aca="false">Data!B2649</f>
        <v>66.52</v>
      </c>
      <c r="C2649" s="0" t="str">
        <f aca="false">IF(Data!D2649="","HOLD",IF(AND(G2648&lt;&gt;"IN",Data!E2649&lt;-5),"BUY",IF(AND(G2648="IN",Data!E2649&gt;0),"SELL","HOLD")))</f>
        <v>HOLD</v>
      </c>
      <c r="D2649" s="14" t="str">
        <f aca="false">IF(C2649="BUY",B2649,IF(G2648="IN",D2648,""))</f>
        <v/>
      </c>
      <c r="E2649" s="14" t="str">
        <f aca="false">IF(C2649="SELL",B2649,"")</f>
        <v/>
      </c>
      <c r="F2649" s="14" t="str">
        <f aca="false">IF(E2649="","",(E2649-D2649)/D2649*100)</f>
        <v/>
      </c>
      <c r="G2649" s="0" t="str">
        <f aca="false">IF(C2649="BUY","IN",IF(C2649="SELL","OUT",IF(G2648="IN","IN","OUT")))</f>
        <v>OUT</v>
      </c>
      <c r="H2649" s="14" t="n">
        <f aca="false">H2648+IF(F2649="",0,F2649)</f>
        <v>52.0032601763382</v>
      </c>
      <c r="I2649" s="14" t="n">
        <f aca="false">MAX(I2648,H2649)</f>
        <v>52.0677867128763</v>
      </c>
      <c r="J2649" s="14" t="n">
        <f aca="false">I2649-H2649</f>
        <v>0.0645265365381533</v>
      </c>
    </row>
    <row r="2650" customFormat="false" ht="15" hidden="false" customHeight="false" outlineLevel="0" collapsed="false">
      <c r="A2650" s="12" t="n">
        <f aca="false">Data!A2650</f>
        <v>45854</v>
      </c>
      <c r="B2650" s="14" t="n">
        <f aca="false">Data!B2650</f>
        <v>66.38</v>
      </c>
      <c r="C2650" s="0" t="str">
        <f aca="false">IF(Data!D2650="","HOLD",IF(AND(G2649&lt;&gt;"IN",Data!E2650&lt;-5),"BUY",IF(AND(G2649="IN",Data!E2650&gt;0),"SELL","HOLD")))</f>
        <v>HOLD</v>
      </c>
      <c r="D2650" s="14" t="str">
        <f aca="false">IF(C2650="BUY",B2650,IF(G2649="IN",D2649,""))</f>
        <v/>
      </c>
      <c r="E2650" s="14" t="str">
        <f aca="false">IF(C2650="SELL",B2650,"")</f>
        <v/>
      </c>
      <c r="F2650" s="14" t="str">
        <f aca="false">IF(E2650="","",(E2650-D2650)/D2650*100)</f>
        <v/>
      </c>
      <c r="G2650" s="0" t="str">
        <f aca="false">IF(C2650="BUY","IN",IF(C2650="SELL","OUT",IF(G2649="IN","IN","OUT")))</f>
        <v>OUT</v>
      </c>
      <c r="H2650" s="14" t="n">
        <f aca="false">H2649+IF(F2650="",0,F2650)</f>
        <v>52.0032601763382</v>
      </c>
      <c r="I2650" s="14" t="n">
        <f aca="false">MAX(I2649,H2650)</f>
        <v>52.0677867128763</v>
      </c>
      <c r="J2650" s="14" t="n">
        <f aca="false">I2650-H2650</f>
        <v>0.0645265365381533</v>
      </c>
    </row>
    <row r="2651" customFormat="false" ht="15" hidden="false" customHeight="false" outlineLevel="0" collapsed="false">
      <c r="A2651" s="12" t="n">
        <f aca="false">Data!A2651</f>
        <v>45855</v>
      </c>
      <c r="B2651" s="14" t="n">
        <f aca="false">Data!B2651</f>
        <v>67.54</v>
      </c>
      <c r="C2651" s="0" t="str">
        <f aca="false">IF(Data!D2651="","HOLD",IF(AND(G2650&lt;&gt;"IN",Data!E2651&lt;-5),"BUY",IF(AND(G2650="IN",Data!E2651&gt;0),"SELL","HOLD")))</f>
        <v>HOLD</v>
      </c>
      <c r="D2651" s="14" t="str">
        <f aca="false">IF(C2651="BUY",B2651,IF(G2650="IN",D2650,""))</f>
        <v/>
      </c>
      <c r="E2651" s="14" t="str">
        <f aca="false">IF(C2651="SELL",B2651,"")</f>
        <v/>
      </c>
      <c r="F2651" s="14" t="str">
        <f aca="false">IF(E2651="","",(E2651-D2651)/D2651*100)</f>
        <v/>
      </c>
      <c r="G2651" s="0" t="str">
        <f aca="false">IF(C2651="BUY","IN",IF(C2651="SELL","OUT",IF(G2650="IN","IN","OUT")))</f>
        <v>OUT</v>
      </c>
      <c r="H2651" s="14" t="n">
        <f aca="false">H2650+IF(F2651="",0,F2651)</f>
        <v>52.0032601763382</v>
      </c>
      <c r="I2651" s="14" t="n">
        <f aca="false">MAX(I2650,H2651)</f>
        <v>52.0677867128763</v>
      </c>
      <c r="J2651" s="14" t="n">
        <f aca="false">I2651-H2651</f>
        <v>0.0645265365381533</v>
      </c>
    </row>
    <row r="2652" customFormat="false" ht="15" hidden="false" customHeight="false" outlineLevel="0" collapsed="false">
      <c r="A2652" s="12" t="n">
        <f aca="false">Data!A2652</f>
        <v>45856</v>
      </c>
      <c r="B2652" s="14" t="n">
        <f aca="false">Data!B2652</f>
        <v>67.34</v>
      </c>
      <c r="C2652" s="0" t="str">
        <f aca="false">IF(Data!D2652="","HOLD",IF(AND(G2651&lt;&gt;"IN",Data!E2652&lt;-5),"BUY",IF(AND(G2651="IN",Data!E2652&gt;0),"SELL","HOLD")))</f>
        <v>HOLD</v>
      </c>
      <c r="D2652" s="14" t="str">
        <f aca="false">IF(C2652="BUY",B2652,IF(G2651="IN",D2651,""))</f>
        <v/>
      </c>
      <c r="E2652" s="14" t="str">
        <f aca="false">IF(C2652="SELL",B2652,"")</f>
        <v/>
      </c>
      <c r="F2652" s="14" t="str">
        <f aca="false">IF(E2652="","",(E2652-D2652)/D2652*100)</f>
        <v/>
      </c>
      <c r="G2652" s="0" t="str">
        <f aca="false">IF(C2652="BUY","IN",IF(C2652="SELL","OUT",IF(G2651="IN","IN","OUT")))</f>
        <v>OUT</v>
      </c>
      <c r="H2652" s="14" t="n">
        <f aca="false">H2651+IF(F2652="",0,F2652)</f>
        <v>52.0032601763382</v>
      </c>
      <c r="I2652" s="14" t="n">
        <f aca="false">MAX(I2651,H2652)</f>
        <v>52.0677867128763</v>
      </c>
      <c r="J2652" s="14" t="n">
        <f aca="false">I2652-H2652</f>
        <v>0.0645265365381533</v>
      </c>
    </row>
    <row r="2653" customFormat="false" ht="15" hidden="false" customHeight="false" outlineLevel="0" collapsed="false">
      <c r="A2653" s="12" t="n">
        <f aca="false">Data!A2653</f>
        <v>45859</v>
      </c>
      <c r="B2653" s="14" t="n">
        <f aca="false">Data!B2653</f>
        <v>67.2</v>
      </c>
      <c r="C2653" s="0" t="str">
        <f aca="false">IF(Data!D2653="","HOLD",IF(AND(G2652&lt;&gt;"IN",Data!E2653&lt;-5),"BUY",IF(AND(G2652="IN",Data!E2653&gt;0),"SELL","HOLD")))</f>
        <v>HOLD</v>
      </c>
      <c r="D2653" s="14" t="str">
        <f aca="false">IF(C2653="BUY",B2653,IF(G2652="IN",D2652,""))</f>
        <v/>
      </c>
      <c r="E2653" s="14" t="str">
        <f aca="false">IF(C2653="SELL",B2653,"")</f>
        <v/>
      </c>
      <c r="F2653" s="14" t="str">
        <f aca="false">IF(E2653="","",(E2653-D2653)/D2653*100)</f>
        <v/>
      </c>
      <c r="G2653" s="0" t="str">
        <f aca="false">IF(C2653="BUY","IN",IF(C2653="SELL","OUT",IF(G2652="IN","IN","OUT")))</f>
        <v>OUT</v>
      </c>
      <c r="H2653" s="14" t="n">
        <f aca="false">H2652+IF(F2653="",0,F2653)</f>
        <v>52.0032601763382</v>
      </c>
      <c r="I2653" s="14" t="n">
        <f aca="false">MAX(I2652,H2653)</f>
        <v>52.0677867128763</v>
      </c>
      <c r="J2653" s="14" t="n">
        <f aca="false">I2653-H2653</f>
        <v>0.0645265365381533</v>
      </c>
    </row>
    <row r="2654" customFormat="false" ht="15" hidden="false" customHeight="false" outlineLevel="0" collapsed="false">
      <c r="A2654" s="12" t="n">
        <f aca="false">Data!A2654</f>
        <v>45860</v>
      </c>
      <c r="B2654" s="14" t="n">
        <f aca="false">Data!B2654</f>
        <v>66.21</v>
      </c>
      <c r="C2654" s="0" t="str">
        <f aca="false">IF(Data!D2654="","HOLD",IF(AND(G2653&lt;&gt;"IN",Data!E2654&lt;-5),"BUY",IF(AND(G2653="IN",Data!E2654&gt;0),"SELL","HOLD")))</f>
        <v>HOLD</v>
      </c>
      <c r="D2654" s="14" t="str">
        <f aca="false">IF(C2654="BUY",B2654,IF(G2653="IN",D2653,""))</f>
        <v/>
      </c>
      <c r="E2654" s="14" t="str">
        <f aca="false">IF(C2654="SELL",B2654,"")</f>
        <v/>
      </c>
      <c r="F2654" s="14" t="str">
        <f aca="false">IF(E2654="","",(E2654-D2654)/D2654*100)</f>
        <v/>
      </c>
      <c r="G2654" s="0" t="str">
        <f aca="false">IF(C2654="BUY","IN",IF(C2654="SELL","OUT",IF(G2653="IN","IN","OUT")))</f>
        <v>OUT</v>
      </c>
      <c r="H2654" s="14" t="n">
        <f aca="false">H2653+IF(F2654="",0,F2654)</f>
        <v>52.0032601763382</v>
      </c>
      <c r="I2654" s="14" t="n">
        <f aca="false">MAX(I2653,H2654)</f>
        <v>52.0677867128763</v>
      </c>
      <c r="J2654" s="14" t="n">
        <f aca="false">I2654-H2654</f>
        <v>0.0645265365381533</v>
      </c>
    </row>
    <row r="2655" customFormat="false" ht="15" hidden="false" customHeight="false" outlineLevel="0" collapsed="false">
      <c r="A2655" s="12" t="n">
        <f aca="false">Data!A2655</f>
        <v>45861</v>
      </c>
      <c r="B2655" s="14" t="n">
        <f aca="false">Data!B2655</f>
        <v>65.25</v>
      </c>
      <c r="C2655" s="0" t="str">
        <f aca="false">IF(Data!D2655="","HOLD",IF(AND(G2654&lt;&gt;"IN",Data!E2655&lt;-5),"BUY",IF(AND(G2654="IN",Data!E2655&gt;0),"SELL","HOLD")))</f>
        <v>HOLD</v>
      </c>
      <c r="D2655" s="14" t="str">
        <f aca="false">IF(C2655="BUY",B2655,IF(G2654="IN",D2654,""))</f>
        <v/>
      </c>
      <c r="E2655" s="14" t="str">
        <f aca="false">IF(C2655="SELL",B2655,"")</f>
        <v/>
      </c>
      <c r="F2655" s="14" t="str">
        <f aca="false">IF(E2655="","",(E2655-D2655)/D2655*100)</f>
        <v/>
      </c>
      <c r="G2655" s="0" t="str">
        <f aca="false">IF(C2655="BUY","IN",IF(C2655="SELL","OUT",IF(G2654="IN","IN","OUT")))</f>
        <v>OUT</v>
      </c>
      <c r="H2655" s="14" t="n">
        <f aca="false">H2654+IF(F2655="",0,F2655)</f>
        <v>52.0032601763382</v>
      </c>
      <c r="I2655" s="14" t="n">
        <f aca="false">MAX(I2654,H2655)</f>
        <v>52.0677867128763</v>
      </c>
      <c r="J2655" s="14" t="n">
        <f aca="false">I2655-H2655</f>
        <v>0.0645265365381533</v>
      </c>
    </row>
    <row r="2656" customFormat="false" ht="15" hidden="false" customHeight="false" outlineLevel="0" collapsed="false">
      <c r="A2656" s="12" t="n">
        <f aca="false">Data!A2656</f>
        <v>45862</v>
      </c>
      <c r="B2656" s="14" t="n">
        <f aca="false">Data!B2656</f>
        <v>66.03</v>
      </c>
      <c r="C2656" s="0" t="str">
        <f aca="false">IF(Data!D2656="","HOLD",IF(AND(G2655&lt;&gt;"IN",Data!E2656&lt;-5),"BUY",IF(AND(G2655="IN",Data!E2656&gt;0),"SELL","HOLD")))</f>
        <v>HOLD</v>
      </c>
      <c r="D2656" s="14" t="str">
        <f aca="false">IF(C2656="BUY",B2656,IF(G2655="IN",D2655,""))</f>
        <v/>
      </c>
      <c r="E2656" s="14" t="str">
        <f aca="false">IF(C2656="SELL",B2656,"")</f>
        <v/>
      </c>
      <c r="F2656" s="14" t="str">
        <f aca="false">IF(E2656="","",(E2656-D2656)/D2656*100)</f>
        <v/>
      </c>
      <c r="G2656" s="0" t="str">
        <f aca="false">IF(C2656="BUY","IN",IF(C2656="SELL","OUT",IF(G2655="IN","IN","OUT")))</f>
        <v>OUT</v>
      </c>
      <c r="H2656" s="14" t="n">
        <f aca="false">H2655+IF(F2656="",0,F2656)</f>
        <v>52.0032601763382</v>
      </c>
      <c r="I2656" s="14" t="n">
        <f aca="false">MAX(I2655,H2656)</f>
        <v>52.0677867128763</v>
      </c>
      <c r="J2656" s="14" t="n">
        <f aca="false">I2656-H2656</f>
        <v>0.0645265365381533</v>
      </c>
    </row>
    <row r="2657" customFormat="false" ht="15" hidden="false" customHeight="false" outlineLevel="0" collapsed="false">
      <c r="A2657" s="12" t="n">
        <f aca="false">Data!A2657</f>
        <v>45863</v>
      </c>
      <c r="B2657" s="14" t="n">
        <f aca="false">Data!B2657</f>
        <v>65.16</v>
      </c>
      <c r="C2657" s="0" t="str">
        <f aca="false">IF(Data!D2657="","HOLD",IF(AND(G2656&lt;&gt;"IN",Data!E2657&lt;-5),"BUY",IF(AND(G2656="IN",Data!E2657&gt;0),"SELL","HOLD")))</f>
        <v>HOLD</v>
      </c>
      <c r="D2657" s="14" t="str">
        <f aca="false">IF(C2657="BUY",B2657,IF(G2656="IN",D2656,""))</f>
        <v/>
      </c>
      <c r="E2657" s="14" t="str">
        <f aca="false">IF(C2657="SELL",B2657,"")</f>
        <v/>
      </c>
      <c r="F2657" s="14" t="str">
        <f aca="false">IF(E2657="","",(E2657-D2657)/D2657*100)</f>
        <v/>
      </c>
      <c r="G2657" s="0" t="str">
        <f aca="false">IF(C2657="BUY","IN",IF(C2657="SELL","OUT",IF(G2656="IN","IN","OUT")))</f>
        <v>OUT</v>
      </c>
      <c r="H2657" s="14" t="n">
        <f aca="false">H2656+IF(F2657="",0,F2657)</f>
        <v>52.0032601763382</v>
      </c>
      <c r="I2657" s="14" t="n">
        <f aca="false">MAX(I2656,H2657)</f>
        <v>52.0677867128763</v>
      </c>
      <c r="J2657" s="14" t="n">
        <f aca="false">I2657-H2657</f>
        <v>0.0645265365381533</v>
      </c>
    </row>
    <row r="2658" customFormat="false" ht="15" hidden="false" customHeight="false" outlineLevel="0" collapsed="false">
      <c r="A2658" s="12" t="n">
        <f aca="false">Data!A2658</f>
        <v>45866</v>
      </c>
      <c r="B2658" s="14" t="n">
        <f aca="false">Data!B2658</f>
        <v>66.71</v>
      </c>
      <c r="C2658" s="0" t="str">
        <f aca="false">IF(Data!D2658="","HOLD",IF(AND(G2657&lt;&gt;"IN",Data!E2658&lt;-5),"BUY",IF(AND(G2657="IN",Data!E2658&gt;0),"SELL","HOLD")))</f>
        <v>HOLD</v>
      </c>
      <c r="D2658" s="14" t="str">
        <f aca="false">IF(C2658="BUY",B2658,IF(G2657="IN",D2657,""))</f>
        <v/>
      </c>
      <c r="E2658" s="14" t="str">
        <f aca="false">IF(C2658="SELL",B2658,"")</f>
        <v/>
      </c>
      <c r="F2658" s="14" t="str">
        <f aca="false">IF(E2658="","",(E2658-D2658)/D2658*100)</f>
        <v/>
      </c>
      <c r="G2658" s="0" t="str">
        <f aca="false">IF(C2658="BUY","IN",IF(C2658="SELL","OUT",IF(G2657="IN","IN","OUT")))</f>
        <v>OUT</v>
      </c>
      <c r="H2658" s="14" t="n">
        <f aca="false">H2657+IF(F2658="",0,F2658)</f>
        <v>52.0032601763382</v>
      </c>
      <c r="I2658" s="14" t="n">
        <f aca="false">MAX(I2657,H2658)</f>
        <v>52.0677867128763</v>
      </c>
      <c r="J2658" s="14" t="n">
        <f aca="false">I2658-H2658</f>
        <v>0.0645265365381533</v>
      </c>
    </row>
    <row r="2659" customFormat="false" ht="15" hidden="false" customHeight="false" outlineLevel="0" collapsed="false">
      <c r="A2659" s="12" t="n">
        <f aca="false">Data!A2659</f>
        <v>45867</v>
      </c>
      <c r="B2659" s="14" t="n">
        <f aca="false">Data!B2659</f>
        <v>69.21</v>
      </c>
      <c r="C2659" s="0" t="str">
        <f aca="false">IF(Data!D2659="","HOLD",IF(AND(G2658&lt;&gt;"IN",Data!E2659&lt;-5),"BUY",IF(AND(G2658="IN",Data!E2659&gt;0),"SELL","HOLD")))</f>
        <v>HOLD</v>
      </c>
      <c r="D2659" s="14" t="str">
        <f aca="false">IF(C2659="BUY",B2659,IF(G2658="IN",D2658,""))</f>
        <v/>
      </c>
      <c r="E2659" s="14" t="str">
        <f aca="false">IF(C2659="SELL",B2659,"")</f>
        <v/>
      </c>
      <c r="F2659" s="14" t="str">
        <f aca="false">IF(E2659="","",(E2659-D2659)/D2659*100)</f>
        <v/>
      </c>
      <c r="G2659" s="0" t="str">
        <f aca="false">IF(C2659="BUY","IN",IF(C2659="SELL","OUT",IF(G2658="IN","IN","OUT")))</f>
        <v>OUT</v>
      </c>
      <c r="H2659" s="14" t="n">
        <f aca="false">H2658+IF(F2659="",0,F2659)</f>
        <v>52.0032601763382</v>
      </c>
      <c r="I2659" s="14" t="n">
        <f aca="false">MAX(I2658,H2659)</f>
        <v>52.0677867128763</v>
      </c>
      <c r="J2659" s="14" t="n">
        <f aca="false">I2659-H2659</f>
        <v>0.0645265365381533</v>
      </c>
    </row>
    <row r="2660" customFormat="false" ht="15" hidden="false" customHeight="false" outlineLevel="0" collapsed="false">
      <c r="A2660" s="12" t="n">
        <f aca="false">Data!A2660</f>
        <v>45868</v>
      </c>
      <c r="B2660" s="14" t="n">
        <f aca="false">Data!B2660</f>
        <v>70</v>
      </c>
      <c r="C2660" s="0" t="str">
        <f aca="false">IF(Data!D2660="","HOLD",IF(AND(G2659&lt;&gt;"IN",Data!E2660&lt;-5),"BUY",IF(AND(G2659="IN",Data!E2660&gt;0),"SELL","HOLD")))</f>
        <v>HOLD</v>
      </c>
      <c r="D2660" s="14" t="str">
        <f aca="false">IF(C2660="BUY",B2660,IF(G2659="IN",D2659,""))</f>
        <v/>
      </c>
      <c r="E2660" s="14" t="str">
        <f aca="false">IF(C2660="SELL",B2660,"")</f>
        <v/>
      </c>
      <c r="F2660" s="14" t="str">
        <f aca="false">IF(E2660="","",(E2660-D2660)/D2660*100)</f>
        <v/>
      </c>
      <c r="G2660" s="0" t="str">
        <f aca="false">IF(C2660="BUY","IN",IF(C2660="SELL","OUT",IF(G2659="IN","IN","OUT")))</f>
        <v>OUT</v>
      </c>
      <c r="H2660" s="14" t="n">
        <f aca="false">H2659+IF(F2660="",0,F2660)</f>
        <v>52.0032601763382</v>
      </c>
      <c r="I2660" s="14" t="n">
        <f aca="false">MAX(I2659,H2660)</f>
        <v>52.0677867128763</v>
      </c>
      <c r="J2660" s="14" t="n">
        <f aca="false">I2660-H2660</f>
        <v>0.0645265365381533</v>
      </c>
    </row>
    <row r="2661" customFormat="false" ht="15" hidden="false" customHeight="false" outlineLevel="0" collapsed="false">
      <c r="A2661" s="12" t="n">
        <f aca="false">Data!A2661</f>
        <v>45869</v>
      </c>
      <c r="B2661" s="14" t="n">
        <f aca="false">Data!B2661</f>
        <v>69.26</v>
      </c>
      <c r="C2661" s="0" t="str">
        <f aca="false">IF(Data!D2661="","HOLD",IF(AND(G2660&lt;&gt;"IN",Data!E2661&lt;-5),"BUY",IF(AND(G2660="IN",Data!E2661&gt;0),"SELL","HOLD")))</f>
        <v>HOLD</v>
      </c>
      <c r="D2661" s="14" t="str">
        <f aca="false">IF(C2661="BUY",B2661,IF(G2660="IN",D2660,""))</f>
        <v/>
      </c>
      <c r="E2661" s="14" t="str">
        <f aca="false">IF(C2661="SELL",B2661,"")</f>
        <v/>
      </c>
      <c r="F2661" s="14" t="str">
        <f aca="false">IF(E2661="","",(E2661-D2661)/D2661*100)</f>
        <v/>
      </c>
      <c r="G2661" s="0" t="str">
        <f aca="false">IF(C2661="BUY","IN",IF(C2661="SELL","OUT",IF(G2660="IN","IN","OUT")))</f>
        <v>OUT</v>
      </c>
      <c r="H2661" s="14" t="n">
        <f aca="false">H2660+IF(F2661="",0,F2661)</f>
        <v>52.0032601763382</v>
      </c>
      <c r="I2661" s="14" t="n">
        <f aca="false">MAX(I2660,H2661)</f>
        <v>52.0677867128763</v>
      </c>
      <c r="J2661" s="14" t="n">
        <f aca="false">I2661-H2661</f>
        <v>0.0645265365381533</v>
      </c>
    </row>
    <row r="2662" customFormat="false" ht="15" hidden="false" customHeight="false" outlineLevel="0" collapsed="false">
      <c r="A2662" s="12" t="n">
        <f aca="false">Data!A2662</f>
        <v>45870</v>
      </c>
      <c r="B2662" s="14" t="n">
        <f aca="false">Data!B2662</f>
        <v>67.33</v>
      </c>
      <c r="C2662" s="0" t="str">
        <f aca="false">IF(Data!D2662="","HOLD",IF(AND(G2661&lt;&gt;"IN",Data!E2662&lt;-5),"BUY",IF(AND(G2661="IN",Data!E2662&gt;0),"SELL","HOLD")))</f>
        <v>HOLD</v>
      </c>
      <c r="D2662" s="14" t="str">
        <f aca="false">IF(C2662="BUY",B2662,IF(G2661="IN",D2661,""))</f>
        <v/>
      </c>
      <c r="E2662" s="14" t="str">
        <f aca="false">IF(C2662="SELL",B2662,"")</f>
        <v/>
      </c>
      <c r="F2662" s="14" t="str">
        <f aca="false">IF(E2662="","",(E2662-D2662)/D2662*100)</f>
        <v/>
      </c>
      <c r="G2662" s="0" t="str">
        <f aca="false">IF(C2662="BUY","IN",IF(C2662="SELL","OUT",IF(G2661="IN","IN","OUT")))</f>
        <v>OUT</v>
      </c>
      <c r="H2662" s="14" t="n">
        <f aca="false">H2661+IF(F2662="",0,F2662)</f>
        <v>52.0032601763382</v>
      </c>
      <c r="I2662" s="14" t="n">
        <f aca="false">MAX(I2661,H2662)</f>
        <v>52.0677867128763</v>
      </c>
      <c r="J2662" s="14" t="n">
        <f aca="false">I2662-H2662</f>
        <v>0.0645265365381533</v>
      </c>
    </row>
    <row r="2663" customFormat="false" ht="15" hidden="false" customHeight="false" outlineLevel="0" collapsed="false">
      <c r="A2663" s="12" t="n">
        <f aca="false">Data!A2663</f>
        <v>45873</v>
      </c>
      <c r="B2663" s="14" t="n">
        <f aca="false">Data!B2663</f>
        <v>66.29</v>
      </c>
      <c r="C2663" s="0" t="str">
        <f aca="false">IF(Data!D2663="","HOLD",IF(AND(G2662&lt;&gt;"IN",Data!E2663&lt;-5),"BUY",IF(AND(G2662="IN",Data!E2663&gt;0),"SELL","HOLD")))</f>
        <v>HOLD</v>
      </c>
      <c r="D2663" s="14" t="str">
        <f aca="false">IF(C2663="BUY",B2663,IF(G2662="IN",D2662,""))</f>
        <v/>
      </c>
      <c r="E2663" s="14" t="str">
        <f aca="false">IF(C2663="SELL",B2663,"")</f>
        <v/>
      </c>
      <c r="F2663" s="14" t="str">
        <f aca="false">IF(E2663="","",(E2663-D2663)/D2663*100)</f>
        <v/>
      </c>
      <c r="G2663" s="0" t="str">
        <f aca="false">IF(C2663="BUY","IN",IF(C2663="SELL","OUT",IF(G2662="IN","IN","OUT")))</f>
        <v>OUT</v>
      </c>
      <c r="H2663" s="14" t="n">
        <f aca="false">H2662+IF(F2663="",0,F2663)</f>
        <v>52.0032601763382</v>
      </c>
      <c r="I2663" s="14" t="n">
        <f aca="false">MAX(I2662,H2663)</f>
        <v>52.0677867128763</v>
      </c>
      <c r="J2663" s="14" t="n">
        <f aca="false">I2663-H2663</f>
        <v>0.0645265365381533</v>
      </c>
    </row>
    <row r="2664" customFormat="false" ht="15" hidden="false" customHeight="false" outlineLevel="0" collapsed="false">
      <c r="A2664" s="12" t="n">
        <f aca="false">Data!A2664</f>
        <v>45874</v>
      </c>
      <c r="B2664" s="14" t="n">
        <f aca="false">Data!B2664</f>
        <v>65.16</v>
      </c>
      <c r="C2664" s="0" t="str">
        <f aca="false">IF(Data!D2664="","HOLD",IF(AND(G2663&lt;&gt;"IN",Data!E2664&lt;-5),"BUY",IF(AND(G2663="IN",Data!E2664&gt;0),"SELL","HOLD")))</f>
        <v>HOLD</v>
      </c>
      <c r="D2664" s="14" t="str">
        <f aca="false">IF(C2664="BUY",B2664,IF(G2663="IN",D2663,""))</f>
        <v/>
      </c>
      <c r="E2664" s="14" t="str">
        <f aca="false">IF(C2664="SELL",B2664,"")</f>
        <v/>
      </c>
      <c r="F2664" s="14" t="str">
        <f aca="false">IF(E2664="","",(E2664-D2664)/D2664*100)</f>
        <v/>
      </c>
      <c r="G2664" s="0" t="str">
        <f aca="false">IF(C2664="BUY","IN",IF(C2664="SELL","OUT",IF(G2663="IN","IN","OUT")))</f>
        <v>OUT</v>
      </c>
      <c r="H2664" s="14" t="n">
        <f aca="false">H2663+IF(F2664="",0,F2664)</f>
        <v>52.0032601763382</v>
      </c>
      <c r="I2664" s="14" t="n">
        <f aca="false">MAX(I2663,H2664)</f>
        <v>52.0677867128763</v>
      </c>
      <c r="J2664" s="14" t="n">
        <f aca="false">I2664-H2664</f>
        <v>0.0645265365381533</v>
      </c>
    </row>
    <row r="2665" customFormat="false" ht="15" hidden="false" customHeight="false" outlineLevel="0" collapsed="false">
      <c r="A2665" s="12" t="n">
        <f aca="false">Data!A2665</f>
        <v>45875</v>
      </c>
      <c r="B2665" s="14" t="n">
        <f aca="false">Data!B2665</f>
        <v>64.35</v>
      </c>
      <c r="C2665" s="0" t="str">
        <f aca="false">IF(Data!D2665="","HOLD",IF(AND(G2664&lt;&gt;"IN",Data!E2665&lt;-5),"BUY",IF(AND(G2664="IN",Data!E2665&gt;0),"SELL","HOLD")))</f>
        <v>HOLD</v>
      </c>
      <c r="D2665" s="14" t="str">
        <f aca="false">IF(C2665="BUY",B2665,IF(G2664="IN",D2664,""))</f>
        <v/>
      </c>
      <c r="E2665" s="14" t="str">
        <f aca="false">IF(C2665="SELL",B2665,"")</f>
        <v/>
      </c>
      <c r="F2665" s="14" t="str">
        <f aca="false">IF(E2665="","",(E2665-D2665)/D2665*100)</f>
        <v/>
      </c>
      <c r="G2665" s="0" t="str">
        <f aca="false">IF(C2665="BUY","IN",IF(C2665="SELL","OUT",IF(G2664="IN","IN","OUT")))</f>
        <v>OUT</v>
      </c>
      <c r="H2665" s="14" t="n">
        <f aca="false">H2664+IF(F2665="",0,F2665)</f>
        <v>52.0032601763382</v>
      </c>
      <c r="I2665" s="14" t="n">
        <f aca="false">MAX(I2664,H2665)</f>
        <v>52.0677867128763</v>
      </c>
      <c r="J2665" s="14" t="n">
        <f aca="false">I2665-H2665</f>
        <v>0.0645265365381533</v>
      </c>
    </row>
    <row r="2666" customFormat="false" ht="15" hidden="false" customHeight="false" outlineLevel="0" collapsed="false">
      <c r="A2666" s="12" t="n">
        <f aca="false">Data!A2666</f>
        <v>45876</v>
      </c>
      <c r="B2666" s="14" t="n">
        <f aca="false">Data!B2666</f>
        <v>63.88</v>
      </c>
      <c r="C2666" s="0" t="str">
        <f aca="false">IF(Data!D2666="","HOLD",IF(AND(G2665&lt;&gt;"IN",Data!E2666&lt;-5),"BUY",IF(AND(G2665="IN",Data!E2666&gt;0),"SELL","HOLD")))</f>
        <v>HOLD</v>
      </c>
      <c r="D2666" s="14" t="str">
        <f aca="false">IF(C2666="BUY",B2666,IF(G2665="IN",D2665,""))</f>
        <v/>
      </c>
      <c r="E2666" s="14" t="str">
        <f aca="false">IF(C2666="SELL",B2666,"")</f>
        <v/>
      </c>
      <c r="F2666" s="14" t="str">
        <f aca="false">IF(E2666="","",(E2666-D2666)/D2666*100)</f>
        <v/>
      </c>
      <c r="G2666" s="0" t="str">
        <f aca="false">IF(C2666="BUY","IN",IF(C2666="SELL","OUT",IF(G2665="IN","IN","OUT")))</f>
        <v>OUT</v>
      </c>
      <c r="H2666" s="14" t="n">
        <f aca="false">H2665+IF(F2666="",0,F2666)</f>
        <v>52.0032601763382</v>
      </c>
      <c r="I2666" s="14" t="n">
        <f aca="false">MAX(I2665,H2666)</f>
        <v>52.0677867128763</v>
      </c>
      <c r="J2666" s="14" t="n">
        <f aca="false">I2666-H2666</f>
        <v>0.0645265365381533</v>
      </c>
    </row>
    <row r="2667" customFormat="false" ht="15" hidden="false" customHeight="false" outlineLevel="0" collapsed="false">
      <c r="A2667" s="12" t="n">
        <f aca="false">Data!A2667</f>
        <v>45877</v>
      </c>
      <c r="B2667" s="14" t="n">
        <f aca="false">Data!B2667</f>
        <v>63.88</v>
      </c>
      <c r="C2667" s="0" t="str">
        <f aca="false">IF(Data!D2667="","HOLD",IF(AND(G2666&lt;&gt;"IN",Data!E2667&lt;-5),"BUY",IF(AND(G2666="IN",Data!E2667&gt;0),"SELL","HOLD")))</f>
        <v>HOLD</v>
      </c>
      <c r="D2667" s="14" t="str">
        <f aca="false">IF(C2667="BUY",B2667,IF(G2666="IN",D2666,""))</f>
        <v/>
      </c>
      <c r="E2667" s="14" t="str">
        <f aca="false">IF(C2667="SELL",B2667,"")</f>
        <v/>
      </c>
      <c r="F2667" s="14" t="str">
        <f aca="false">IF(E2667="","",(E2667-D2667)/D2667*100)</f>
        <v/>
      </c>
      <c r="G2667" s="0" t="str">
        <f aca="false">IF(C2667="BUY","IN",IF(C2667="SELL","OUT",IF(G2666="IN","IN","OUT")))</f>
        <v>OUT</v>
      </c>
      <c r="H2667" s="14" t="n">
        <f aca="false">H2666+IF(F2667="",0,F2667)</f>
        <v>52.0032601763382</v>
      </c>
      <c r="I2667" s="14" t="n">
        <f aca="false">MAX(I2666,H2667)</f>
        <v>52.0677867128763</v>
      </c>
      <c r="J2667" s="14" t="n">
        <f aca="false">I2667-H2667</f>
        <v>0.0645265365381533</v>
      </c>
    </row>
    <row r="2668" customFormat="false" ht="15" hidden="false" customHeight="false" outlineLevel="0" collapsed="false">
      <c r="A2668" s="12" t="n">
        <f aca="false">Data!A2668</f>
        <v>45880</v>
      </c>
      <c r="B2668" s="14" t="n">
        <f aca="false">Data!B2668</f>
        <v>63.96</v>
      </c>
      <c r="C2668" s="0" t="str">
        <f aca="false">IF(Data!D2668="","HOLD",IF(AND(G2667&lt;&gt;"IN",Data!E2668&lt;-5),"BUY",IF(AND(G2667="IN",Data!E2668&gt;0),"SELL","HOLD")))</f>
        <v>HOLD</v>
      </c>
      <c r="D2668" s="14" t="str">
        <f aca="false">IF(C2668="BUY",B2668,IF(G2667="IN",D2667,""))</f>
        <v/>
      </c>
      <c r="E2668" s="14" t="str">
        <f aca="false">IF(C2668="SELL",B2668,"")</f>
        <v/>
      </c>
      <c r="F2668" s="14" t="str">
        <f aca="false">IF(E2668="","",(E2668-D2668)/D2668*100)</f>
        <v/>
      </c>
      <c r="G2668" s="0" t="str">
        <f aca="false">IF(C2668="BUY","IN",IF(C2668="SELL","OUT",IF(G2667="IN","IN","OUT")))</f>
        <v>OUT</v>
      </c>
      <c r="H2668" s="14" t="n">
        <f aca="false">H2667+IF(F2668="",0,F2668)</f>
        <v>52.0032601763382</v>
      </c>
      <c r="I2668" s="14" t="n">
        <f aca="false">MAX(I2667,H2668)</f>
        <v>52.0677867128763</v>
      </c>
      <c r="J2668" s="14" t="n">
        <f aca="false">I2668-H2668</f>
        <v>0.0645265365381533</v>
      </c>
    </row>
    <row r="2669" customFormat="false" ht="15" hidden="false" customHeight="false" outlineLevel="0" collapsed="false">
      <c r="A2669" s="12" t="n">
        <f aca="false">Data!A2669</f>
        <v>45881</v>
      </c>
      <c r="B2669" s="14" t="n">
        <f aca="false">Data!B2669</f>
        <v>63.17</v>
      </c>
      <c r="C2669" s="0" t="str">
        <f aca="false">IF(Data!D2669="","HOLD",IF(AND(G2668&lt;&gt;"IN",Data!E2669&lt;-5),"BUY",IF(AND(G2668="IN",Data!E2669&gt;0),"SELL","HOLD")))</f>
        <v>HOLD</v>
      </c>
      <c r="D2669" s="14" t="str">
        <f aca="false">IF(C2669="BUY",B2669,IF(G2668="IN",D2668,""))</f>
        <v/>
      </c>
      <c r="E2669" s="14" t="str">
        <f aca="false">IF(C2669="SELL",B2669,"")</f>
        <v/>
      </c>
      <c r="F2669" s="14" t="str">
        <f aca="false">IF(E2669="","",(E2669-D2669)/D2669*100)</f>
        <v/>
      </c>
      <c r="G2669" s="0" t="str">
        <f aca="false">IF(C2669="BUY","IN",IF(C2669="SELL","OUT",IF(G2668="IN","IN","OUT")))</f>
        <v>OUT</v>
      </c>
      <c r="H2669" s="14" t="n">
        <f aca="false">H2668+IF(F2669="",0,F2669)</f>
        <v>52.0032601763382</v>
      </c>
      <c r="I2669" s="14" t="n">
        <f aca="false">MAX(I2668,H2669)</f>
        <v>52.0677867128763</v>
      </c>
      <c r="J2669" s="14" t="n">
        <f aca="false">I2669-H2669</f>
        <v>0.0645265365381533</v>
      </c>
    </row>
    <row r="2670" customFormat="false" ht="15" hidden="false" customHeight="false" outlineLevel="0" collapsed="false">
      <c r="A2670" s="12" t="n">
        <f aca="false">Data!A2670</f>
        <v>45882</v>
      </c>
      <c r="B2670" s="14" t="n">
        <f aca="false">Data!B2670</f>
        <v>62.65</v>
      </c>
      <c r="C2670" s="0" t="str">
        <f aca="false">IF(Data!D2670="","HOLD",IF(AND(G2669&lt;&gt;"IN",Data!E2670&lt;-5),"BUY",IF(AND(G2669="IN",Data!E2670&gt;0),"SELL","HOLD")))</f>
        <v>BUY</v>
      </c>
      <c r="D2670" s="14" t="n">
        <f aca="false">IF(C2670="BUY",B2670,IF(G2669="IN",D2669,""))</f>
        <v>62.65</v>
      </c>
      <c r="E2670" s="14" t="str">
        <f aca="false">IF(C2670="SELL",B2670,"")</f>
        <v/>
      </c>
      <c r="F2670" s="14" t="str">
        <f aca="false">IF(E2670="","",(E2670-D2670)/D2670*100)</f>
        <v/>
      </c>
      <c r="G2670" s="0" t="str">
        <f aca="false">IF(C2670="BUY","IN",IF(C2670="SELL","OUT",IF(G2669="IN","IN","OUT")))</f>
        <v>IN</v>
      </c>
      <c r="H2670" s="14" t="n">
        <f aca="false">H2669+IF(F2670="",0,F2670)</f>
        <v>52.0032601763382</v>
      </c>
      <c r="I2670" s="14" t="n">
        <f aca="false">MAX(I2669,H2670)</f>
        <v>52.0677867128763</v>
      </c>
      <c r="J2670" s="14" t="n">
        <f aca="false">I2670-H2670</f>
        <v>0.0645265365381533</v>
      </c>
    </row>
    <row r="2671" customFormat="false" ht="15" hidden="false" customHeight="false" outlineLevel="0" collapsed="false">
      <c r="A2671" s="12" t="n">
        <f aca="false">Data!A2671</f>
        <v>45883</v>
      </c>
      <c r="B2671" s="14" t="n">
        <f aca="false">Data!B2671</f>
        <v>63.96</v>
      </c>
      <c r="C2671" s="0" t="str">
        <f aca="false">IF(Data!D2671="","HOLD",IF(AND(G2670&lt;&gt;"IN",Data!E2671&lt;-5),"BUY",IF(AND(G2670="IN",Data!E2671&gt;0),"SELL","HOLD")))</f>
        <v>HOLD</v>
      </c>
      <c r="D2671" s="14" t="n">
        <f aca="false">IF(C2671="BUY",B2671,IF(G2670="IN",D2670,""))</f>
        <v>62.65</v>
      </c>
      <c r="E2671" s="14" t="str">
        <f aca="false">IF(C2671="SELL",B2671,"")</f>
        <v/>
      </c>
      <c r="F2671" s="14" t="str">
        <f aca="false">IF(E2671="","",(E2671-D2671)/D2671*100)</f>
        <v/>
      </c>
      <c r="G2671" s="0" t="str">
        <f aca="false">IF(C2671="BUY","IN",IF(C2671="SELL","OUT",IF(G2670="IN","IN","OUT")))</f>
        <v>IN</v>
      </c>
      <c r="H2671" s="14" t="n">
        <f aca="false">H2670+IF(F2671="",0,F2671)</f>
        <v>52.0032601763382</v>
      </c>
      <c r="I2671" s="14" t="n">
        <f aca="false">MAX(I2670,H2671)</f>
        <v>52.0677867128763</v>
      </c>
      <c r="J2671" s="14" t="n">
        <f aca="false">I2671-H2671</f>
        <v>0.0645265365381533</v>
      </c>
    </row>
    <row r="2672" customFormat="false" ht="15" hidden="false" customHeight="false" outlineLevel="0" collapsed="false">
      <c r="A2672" s="12" t="n">
        <f aca="false">Data!A2672</f>
        <v>45884</v>
      </c>
      <c r="B2672" s="14" t="n">
        <f aca="false">Data!B2672</f>
        <v>62.8</v>
      </c>
      <c r="C2672" s="0" t="str">
        <f aca="false">IF(Data!D2672="","HOLD",IF(AND(G2671&lt;&gt;"IN",Data!E2672&lt;-5),"BUY",IF(AND(G2671="IN",Data!E2672&gt;0),"SELL","HOLD")))</f>
        <v>HOLD</v>
      </c>
      <c r="D2672" s="14" t="n">
        <f aca="false">IF(C2672="BUY",B2672,IF(G2671="IN",D2671,""))</f>
        <v>62.65</v>
      </c>
      <c r="E2672" s="14" t="str">
        <f aca="false">IF(C2672="SELL",B2672,"")</f>
        <v/>
      </c>
      <c r="F2672" s="14" t="str">
        <f aca="false">IF(E2672="","",(E2672-D2672)/D2672*100)</f>
        <v/>
      </c>
      <c r="G2672" s="0" t="str">
        <f aca="false">IF(C2672="BUY","IN",IF(C2672="SELL","OUT",IF(G2671="IN","IN","OUT")))</f>
        <v>IN</v>
      </c>
      <c r="H2672" s="14" t="n">
        <f aca="false">H2671+IF(F2672="",0,F2672)</f>
        <v>52.0032601763382</v>
      </c>
      <c r="I2672" s="14" t="n">
        <f aca="false">MAX(I2671,H2672)</f>
        <v>52.0677867128763</v>
      </c>
      <c r="J2672" s="14" t="n">
        <f aca="false">I2672-H2672</f>
        <v>0.0645265365381533</v>
      </c>
    </row>
    <row r="2673" customFormat="false" ht="15" hidden="false" customHeight="false" outlineLevel="0" collapsed="false">
      <c r="A2673" s="12" t="n">
        <f aca="false">Data!A2673</f>
        <v>45887</v>
      </c>
      <c r="B2673" s="14" t="n">
        <f aca="false">Data!B2673</f>
        <v>63.42</v>
      </c>
      <c r="C2673" s="0" t="str">
        <f aca="false">IF(Data!D2673="","HOLD",IF(AND(G2672&lt;&gt;"IN",Data!E2673&lt;-5),"BUY",IF(AND(G2672="IN",Data!E2673&gt;0),"SELL","HOLD")))</f>
        <v>HOLD</v>
      </c>
      <c r="D2673" s="14" t="n">
        <f aca="false">IF(C2673="BUY",B2673,IF(G2672="IN",D2672,""))</f>
        <v>62.65</v>
      </c>
      <c r="E2673" s="14" t="str">
        <f aca="false">IF(C2673="SELL",B2673,"")</f>
        <v/>
      </c>
      <c r="F2673" s="14" t="str">
        <f aca="false">IF(E2673="","",(E2673-D2673)/D2673*100)</f>
        <v/>
      </c>
      <c r="G2673" s="0" t="str">
        <f aca="false">IF(C2673="BUY","IN",IF(C2673="SELL","OUT",IF(G2672="IN","IN","OUT")))</f>
        <v>IN</v>
      </c>
      <c r="H2673" s="14" t="n">
        <f aca="false">H2672+IF(F2673="",0,F2673)</f>
        <v>52.0032601763382</v>
      </c>
      <c r="I2673" s="14" t="n">
        <f aca="false">MAX(I2672,H2673)</f>
        <v>52.0677867128763</v>
      </c>
      <c r="J2673" s="14" t="n">
        <f aca="false">I2673-H2673</f>
        <v>0.0645265365381533</v>
      </c>
    </row>
    <row r="2674" customFormat="false" ht="15" hidden="false" customHeight="false" outlineLevel="0" collapsed="false">
      <c r="A2674" s="12" t="n">
        <f aca="false">Data!A2674</f>
        <v>45888</v>
      </c>
      <c r="B2674" s="14" t="n">
        <f aca="false">Data!B2674</f>
        <v>62.35</v>
      </c>
      <c r="C2674" s="0" t="str">
        <f aca="false">IF(Data!D2674="","HOLD",IF(AND(G2673&lt;&gt;"IN",Data!E2674&lt;-5),"BUY",IF(AND(G2673="IN",Data!E2674&gt;0),"SELL","HOLD")))</f>
        <v>HOLD</v>
      </c>
      <c r="D2674" s="14" t="n">
        <f aca="false">IF(C2674="BUY",B2674,IF(G2673="IN",D2673,""))</f>
        <v>62.65</v>
      </c>
      <c r="E2674" s="14" t="str">
        <f aca="false">IF(C2674="SELL",B2674,"")</f>
        <v/>
      </c>
      <c r="F2674" s="14" t="str">
        <f aca="false">IF(E2674="","",(E2674-D2674)/D2674*100)</f>
        <v/>
      </c>
      <c r="G2674" s="0" t="str">
        <f aca="false">IF(C2674="BUY","IN",IF(C2674="SELL","OUT",IF(G2673="IN","IN","OUT")))</f>
        <v>IN</v>
      </c>
      <c r="H2674" s="14" t="n">
        <f aca="false">H2673+IF(F2674="",0,F2674)</f>
        <v>52.0032601763382</v>
      </c>
      <c r="I2674" s="14" t="n">
        <f aca="false">MAX(I2673,H2674)</f>
        <v>52.0677867128763</v>
      </c>
      <c r="J2674" s="14" t="n">
        <f aca="false">I2674-H2674</f>
        <v>0.0645265365381533</v>
      </c>
    </row>
    <row r="2675" customFormat="false" ht="15" hidden="false" customHeight="false" outlineLevel="0" collapsed="false">
      <c r="A2675" s="12" t="n">
        <f aca="false">Data!A2675</f>
        <v>45889</v>
      </c>
      <c r="B2675" s="14" t="n">
        <f aca="false">Data!B2675</f>
        <v>63.21</v>
      </c>
      <c r="C2675" s="0" t="str">
        <f aca="false">IF(Data!D2675="","HOLD",IF(AND(G2674&lt;&gt;"IN",Data!E2675&lt;-5),"BUY",IF(AND(G2674="IN",Data!E2675&gt;0),"SELL","HOLD")))</f>
        <v>HOLD</v>
      </c>
      <c r="D2675" s="14" t="n">
        <f aca="false">IF(C2675="BUY",B2675,IF(G2674="IN",D2674,""))</f>
        <v>62.65</v>
      </c>
      <c r="E2675" s="14" t="str">
        <f aca="false">IF(C2675="SELL",B2675,"")</f>
        <v/>
      </c>
      <c r="F2675" s="14" t="str">
        <f aca="false">IF(E2675="","",(E2675-D2675)/D2675*100)</f>
        <v/>
      </c>
      <c r="G2675" s="0" t="str">
        <f aca="false">IF(C2675="BUY","IN",IF(C2675="SELL","OUT",IF(G2674="IN","IN","OUT")))</f>
        <v>IN</v>
      </c>
      <c r="H2675" s="14" t="n">
        <f aca="false">H2674+IF(F2675="",0,F2675)</f>
        <v>52.0032601763382</v>
      </c>
      <c r="I2675" s="14" t="n">
        <f aca="false">MAX(I2674,H2675)</f>
        <v>52.0677867128763</v>
      </c>
      <c r="J2675" s="14" t="n">
        <f aca="false">I2675-H2675</f>
        <v>0.0645265365381533</v>
      </c>
    </row>
    <row r="2676" customFormat="false" ht="15" hidden="false" customHeight="false" outlineLevel="0" collapsed="false">
      <c r="A2676" s="12" t="n">
        <f aca="false">Data!A2676</f>
        <v>45890</v>
      </c>
      <c r="B2676" s="14" t="n">
        <f aca="false">Data!B2676</f>
        <v>63.52</v>
      </c>
      <c r="C2676" s="0" t="str">
        <f aca="false">IF(Data!D2676="","HOLD",IF(AND(G2675&lt;&gt;"IN",Data!E2676&lt;-5),"BUY",IF(AND(G2675="IN",Data!E2676&gt;0),"SELL","HOLD")))</f>
        <v>HOLD</v>
      </c>
      <c r="D2676" s="14" t="n">
        <f aca="false">IF(C2676="BUY",B2676,IF(G2675="IN",D2675,""))</f>
        <v>62.65</v>
      </c>
      <c r="E2676" s="14" t="str">
        <f aca="false">IF(C2676="SELL",B2676,"")</f>
        <v/>
      </c>
      <c r="F2676" s="14" t="str">
        <f aca="false">IF(E2676="","",(E2676-D2676)/D2676*100)</f>
        <v/>
      </c>
      <c r="G2676" s="0" t="str">
        <f aca="false">IF(C2676="BUY","IN",IF(C2676="SELL","OUT",IF(G2675="IN","IN","OUT")))</f>
        <v>IN</v>
      </c>
      <c r="H2676" s="14" t="n">
        <f aca="false">H2675+IF(F2676="",0,F2676)</f>
        <v>52.0032601763382</v>
      </c>
      <c r="I2676" s="14" t="n">
        <f aca="false">MAX(I2675,H2676)</f>
        <v>52.0677867128763</v>
      </c>
      <c r="J2676" s="14" t="n">
        <f aca="false">I2676-H2676</f>
        <v>0.0645265365381533</v>
      </c>
    </row>
    <row r="2677" customFormat="false" ht="15" hidden="false" customHeight="false" outlineLevel="0" collapsed="false">
      <c r="A2677" s="12" t="n">
        <f aca="false">Data!A2677</f>
        <v>45891</v>
      </c>
      <c r="B2677" s="14" t="n">
        <f aca="false">Data!B2677</f>
        <v>63.66</v>
      </c>
      <c r="C2677" s="0" t="str">
        <f aca="false">IF(Data!D2677="","HOLD",IF(AND(G2676&lt;&gt;"IN",Data!E2677&lt;-5),"BUY",IF(AND(G2676="IN",Data!E2677&gt;0),"SELL","HOLD")))</f>
        <v>HOLD</v>
      </c>
      <c r="D2677" s="14" t="n">
        <f aca="false">IF(C2677="BUY",B2677,IF(G2676="IN",D2676,""))</f>
        <v>62.65</v>
      </c>
      <c r="E2677" s="14" t="str">
        <f aca="false">IF(C2677="SELL",B2677,"")</f>
        <v/>
      </c>
      <c r="F2677" s="14" t="str">
        <f aca="false">IF(E2677="","",(E2677-D2677)/D2677*100)</f>
        <v/>
      </c>
      <c r="G2677" s="0" t="str">
        <f aca="false">IF(C2677="BUY","IN",IF(C2677="SELL","OUT",IF(G2676="IN","IN","OUT")))</f>
        <v>IN</v>
      </c>
      <c r="H2677" s="14" t="n">
        <f aca="false">H2676+IF(F2677="",0,F2677)</f>
        <v>52.0032601763382</v>
      </c>
      <c r="I2677" s="14" t="n">
        <f aca="false">MAX(I2676,H2677)</f>
        <v>52.0677867128763</v>
      </c>
      <c r="J2677" s="14" t="n">
        <f aca="false">I2677-H2677</f>
        <v>0.0645265365381533</v>
      </c>
    </row>
    <row r="2678" customFormat="false" ht="15" hidden="false" customHeight="false" outlineLevel="0" collapsed="false">
      <c r="A2678" s="12" t="n">
        <f aca="false">Data!A2678</f>
        <v>45894</v>
      </c>
      <c r="B2678" s="14" t="n">
        <f aca="false">Data!B2678</f>
        <v>64.8</v>
      </c>
      <c r="C2678" s="0" t="str">
        <f aca="false">IF(Data!D2678="","HOLD",IF(AND(G2677&lt;&gt;"IN",Data!E2678&lt;-5),"BUY",IF(AND(G2677="IN",Data!E2678&gt;0),"SELL","HOLD")))</f>
        <v>HOLD</v>
      </c>
      <c r="D2678" s="14" t="n">
        <f aca="false">IF(C2678="BUY",B2678,IF(G2677="IN",D2677,""))</f>
        <v>62.65</v>
      </c>
      <c r="E2678" s="14" t="str">
        <f aca="false">IF(C2678="SELL",B2678,"")</f>
        <v/>
      </c>
      <c r="F2678" s="14" t="str">
        <f aca="false">IF(E2678="","",(E2678-D2678)/D2678*100)</f>
        <v/>
      </c>
      <c r="G2678" s="0" t="str">
        <f aca="false">IF(C2678="BUY","IN",IF(C2678="SELL","OUT",IF(G2677="IN","IN","OUT")))</f>
        <v>IN</v>
      </c>
      <c r="H2678" s="14" t="n">
        <f aca="false">H2677+IF(F2678="",0,F2678)</f>
        <v>52.0032601763382</v>
      </c>
      <c r="I2678" s="14" t="n">
        <f aca="false">MAX(I2677,H2678)</f>
        <v>52.0677867128763</v>
      </c>
      <c r="J2678" s="14" t="n">
        <f aca="false">I2678-H2678</f>
        <v>0.0645265365381533</v>
      </c>
    </row>
    <row r="2679" customFormat="false" ht="15" hidden="false" customHeight="false" outlineLevel="0" collapsed="false">
      <c r="A2679" s="12" t="n">
        <f aca="false">Data!A2679</f>
        <v>45895</v>
      </c>
      <c r="B2679" s="14" t="n">
        <f aca="false">Data!B2679</f>
        <v>63.25</v>
      </c>
      <c r="C2679" s="0" t="str">
        <f aca="false">IF(Data!D2679="","HOLD",IF(AND(G2678&lt;&gt;"IN",Data!E2679&lt;-5),"BUY",IF(AND(G2678="IN",Data!E2679&gt;0),"SELL","HOLD")))</f>
        <v>HOLD</v>
      </c>
      <c r="D2679" s="14" t="n">
        <f aca="false">IF(C2679="BUY",B2679,IF(G2678="IN",D2678,""))</f>
        <v>62.65</v>
      </c>
      <c r="E2679" s="14" t="str">
        <f aca="false">IF(C2679="SELL",B2679,"")</f>
        <v/>
      </c>
      <c r="F2679" s="14" t="str">
        <f aca="false">IF(E2679="","",(E2679-D2679)/D2679*100)</f>
        <v/>
      </c>
      <c r="G2679" s="0" t="str">
        <f aca="false">IF(C2679="BUY","IN",IF(C2679="SELL","OUT",IF(G2678="IN","IN","OUT")))</f>
        <v>IN</v>
      </c>
      <c r="H2679" s="14" t="n">
        <f aca="false">H2678+IF(F2679="",0,F2679)</f>
        <v>52.0032601763382</v>
      </c>
      <c r="I2679" s="14" t="n">
        <f aca="false">MAX(I2678,H2679)</f>
        <v>52.0677867128763</v>
      </c>
      <c r="J2679" s="14" t="n">
        <f aca="false">I2679-H2679</f>
        <v>0.0645265365381533</v>
      </c>
    </row>
    <row r="2680" customFormat="false" ht="15" hidden="false" customHeight="false" outlineLevel="0" collapsed="false">
      <c r="A2680" s="12" t="n">
        <f aca="false">Data!A2680</f>
        <v>45896</v>
      </c>
      <c r="B2680" s="14" t="n">
        <f aca="false">Data!B2680</f>
        <v>64.15</v>
      </c>
      <c r="C2680" s="0" t="str">
        <f aca="false">IF(Data!D2680="","HOLD",IF(AND(G2679&lt;&gt;"IN",Data!E2680&lt;-5),"BUY",IF(AND(G2679="IN",Data!E2680&gt;0),"SELL","HOLD")))</f>
        <v>HOLD</v>
      </c>
      <c r="D2680" s="14" t="n">
        <f aca="false">IF(C2680="BUY",B2680,IF(G2679="IN",D2679,""))</f>
        <v>62.65</v>
      </c>
      <c r="E2680" s="14" t="str">
        <f aca="false">IF(C2680="SELL",B2680,"")</f>
        <v/>
      </c>
      <c r="F2680" s="14" t="str">
        <f aca="false">IF(E2680="","",(E2680-D2680)/D2680*100)</f>
        <v/>
      </c>
      <c r="G2680" s="0" t="str">
        <f aca="false">IF(C2680="BUY","IN",IF(C2680="SELL","OUT",IF(G2679="IN","IN","OUT")))</f>
        <v>IN</v>
      </c>
      <c r="H2680" s="14" t="n">
        <f aca="false">H2679+IF(F2680="",0,F2680)</f>
        <v>52.0032601763382</v>
      </c>
      <c r="I2680" s="14" t="n">
        <f aca="false">MAX(I2679,H2680)</f>
        <v>52.0677867128763</v>
      </c>
      <c r="J2680" s="14" t="n">
        <f aca="false">I2680-H2680</f>
        <v>0.0645265365381533</v>
      </c>
    </row>
    <row r="2681" customFormat="false" ht="15" hidden="false" customHeight="false" outlineLevel="0" collapsed="false">
      <c r="A2681" s="12" t="n">
        <f aca="false">Data!A2681</f>
        <v>45897</v>
      </c>
      <c r="B2681" s="14" t="n">
        <f aca="false">Data!B2681</f>
        <v>64.6</v>
      </c>
      <c r="C2681" s="0" t="str">
        <f aca="false">IF(Data!D2681="","HOLD",IF(AND(G2680&lt;&gt;"IN",Data!E2681&lt;-5),"BUY",IF(AND(G2680="IN",Data!E2681&gt;0),"SELL","HOLD")))</f>
        <v>SELL</v>
      </c>
      <c r="D2681" s="14" t="n">
        <f aca="false">IF(C2681="BUY",B2681,IF(G2680="IN",D2680,""))</f>
        <v>62.65</v>
      </c>
      <c r="E2681" s="14" t="n">
        <f aca="false">IF(C2681="SELL",B2681,"")</f>
        <v>64.6</v>
      </c>
      <c r="F2681" s="14" t="n">
        <f aca="false">IF(E2681="","",(E2681-D2681)/D2681*100)</f>
        <v>3.11252992817238</v>
      </c>
      <c r="G2681" s="0" t="str">
        <f aca="false">IF(C2681="BUY","IN",IF(C2681="SELL","OUT",IF(G2680="IN","IN","OUT")))</f>
        <v>OUT</v>
      </c>
      <c r="H2681" s="14" t="n">
        <f aca="false">H2680+IF(F2681="",0,F2681)</f>
        <v>55.1157901045106</v>
      </c>
      <c r="I2681" s="14" t="n">
        <f aca="false">MAX(I2680,H2681)</f>
        <v>55.1157901045106</v>
      </c>
      <c r="J2681" s="14" t="n">
        <f aca="false">I2681-H2681</f>
        <v>0</v>
      </c>
    </row>
    <row r="2682" customFormat="false" ht="15" hidden="false" customHeight="false" outlineLevel="0" collapsed="false">
      <c r="A2682" s="12" t="n">
        <f aca="false">Data!A2682</f>
        <v>45898</v>
      </c>
      <c r="B2682" s="14" t="n">
        <f aca="false">Data!B2682</f>
        <v>64.01</v>
      </c>
      <c r="C2682" s="0" t="str">
        <f aca="false">IF(Data!D2682="","HOLD",IF(AND(G2681&lt;&gt;"IN",Data!E2682&lt;-5),"BUY",IF(AND(G2681="IN",Data!E2682&gt;0),"SELL","HOLD")))</f>
        <v>HOLD</v>
      </c>
      <c r="D2682" s="14" t="str">
        <f aca="false">IF(C2682="BUY",B2682,IF(G2681="IN",D2681,""))</f>
        <v/>
      </c>
      <c r="E2682" s="14" t="str">
        <f aca="false">IF(C2682="SELL",B2682,"")</f>
        <v/>
      </c>
      <c r="F2682" s="14" t="str">
        <f aca="false">IF(E2682="","",(E2682-D2682)/D2682*100)</f>
        <v/>
      </c>
      <c r="G2682" s="0" t="str">
        <f aca="false">IF(C2682="BUY","IN",IF(C2682="SELL","OUT",IF(G2681="IN","IN","OUT")))</f>
        <v>OUT</v>
      </c>
      <c r="H2682" s="14" t="n">
        <f aca="false">H2681+IF(F2682="",0,F2682)</f>
        <v>55.1157901045106</v>
      </c>
      <c r="I2682" s="14" t="n">
        <f aca="false">MAX(I2681,H2682)</f>
        <v>55.1157901045106</v>
      </c>
      <c r="J2682" s="14" t="n">
        <f aca="false">I2682-H2682</f>
        <v>0</v>
      </c>
    </row>
    <row r="2683" customFormat="false" ht="15" hidden="false" customHeight="false" outlineLevel="0" collapsed="false">
      <c r="A2683" s="12" t="n">
        <f aca="false">Data!A2683</f>
        <v>45902</v>
      </c>
      <c r="B2683" s="14" t="n">
        <f aca="false">Data!B2683</f>
        <v>65.59</v>
      </c>
      <c r="C2683" s="0" t="str">
        <f aca="false">IF(Data!D2683="","HOLD",IF(AND(G2682&lt;&gt;"IN",Data!E2683&lt;-5),"BUY",IF(AND(G2682="IN",Data!E2683&gt;0),"SELL","HOLD")))</f>
        <v>HOLD</v>
      </c>
      <c r="D2683" s="14" t="str">
        <f aca="false">IF(C2683="BUY",B2683,IF(G2682="IN",D2682,""))</f>
        <v/>
      </c>
      <c r="E2683" s="14" t="str">
        <f aca="false">IF(C2683="SELL",B2683,"")</f>
        <v/>
      </c>
      <c r="F2683" s="14" t="str">
        <f aca="false">IF(E2683="","",(E2683-D2683)/D2683*100)</f>
        <v/>
      </c>
      <c r="G2683" s="0" t="str">
        <f aca="false">IF(C2683="BUY","IN",IF(C2683="SELL","OUT",IF(G2682="IN","IN","OUT")))</f>
        <v>OUT</v>
      </c>
      <c r="H2683" s="14" t="n">
        <f aca="false">H2682+IF(F2683="",0,F2683)</f>
        <v>55.1157901045106</v>
      </c>
      <c r="I2683" s="14" t="n">
        <f aca="false">MAX(I2682,H2683)</f>
        <v>55.1157901045106</v>
      </c>
      <c r="J2683" s="14" t="n">
        <f aca="false">I2683-H2683</f>
        <v>0</v>
      </c>
    </row>
    <row r="2684" customFormat="false" ht="15" hidden="false" customHeight="false" outlineLevel="0" collapsed="false">
      <c r="A2684" s="12" t="n">
        <f aca="false">Data!A2684</f>
        <v>45903</v>
      </c>
      <c r="B2684" s="14" t="n">
        <f aca="false">Data!B2684</f>
        <v>63.97</v>
      </c>
      <c r="C2684" s="0" t="str">
        <f aca="false">IF(Data!D2684="","HOLD",IF(AND(G2683&lt;&gt;"IN",Data!E2684&lt;-5),"BUY",IF(AND(G2683="IN",Data!E2684&gt;0),"SELL","HOLD")))</f>
        <v>HOLD</v>
      </c>
      <c r="D2684" s="14" t="str">
        <f aca="false">IF(C2684="BUY",B2684,IF(G2683="IN",D2683,""))</f>
        <v/>
      </c>
      <c r="E2684" s="14" t="str">
        <f aca="false">IF(C2684="SELL",B2684,"")</f>
        <v/>
      </c>
      <c r="F2684" s="14" t="str">
        <f aca="false">IF(E2684="","",(E2684-D2684)/D2684*100)</f>
        <v/>
      </c>
      <c r="G2684" s="0" t="str">
        <f aca="false">IF(C2684="BUY","IN",IF(C2684="SELL","OUT",IF(G2683="IN","IN","OUT")))</f>
        <v>OUT</v>
      </c>
      <c r="H2684" s="14" t="n">
        <f aca="false">H2683+IF(F2684="",0,F2684)</f>
        <v>55.1157901045106</v>
      </c>
      <c r="I2684" s="14" t="n">
        <f aca="false">MAX(I2683,H2684)</f>
        <v>55.1157901045106</v>
      </c>
      <c r="J2684" s="14" t="n">
        <f aca="false">I2684-H2684</f>
        <v>0</v>
      </c>
    </row>
    <row r="2685" customFormat="false" ht="15" hidden="false" customHeight="false" outlineLevel="0" collapsed="false">
      <c r="A2685" s="12" t="n">
        <f aca="false">Data!A2685</f>
        <v>45904</v>
      </c>
      <c r="B2685" s="14" t="n">
        <f aca="false">Data!B2685</f>
        <v>63.48</v>
      </c>
      <c r="C2685" s="0" t="str">
        <f aca="false">IF(Data!D2685="","HOLD",IF(AND(G2684&lt;&gt;"IN",Data!E2685&lt;-5),"BUY",IF(AND(G2684="IN",Data!E2685&gt;0),"SELL","HOLD")))</f>
        <v>HOLD</v>
      </c>
      <c r="D2685" s="14" t="str">
        <f aca="false">IF(C2685="BUY",B2685,IF(G2684="IN",D2684,""))</f>
        <v/>
      </c>
      <c r="E2685" s="14" t="str">
        <f aca="false">IF(C2685="SELL",B2685,"")</f>
        <v/>
      </c>
      <c r="F2685" s="14" t="str">
        <f aca="false">IF(E2685="","",(E2685-D2685)/D2685*100)</f>
        <v/>
      </c>
      <c r="G2685" s="0" t="str">
        <f aca="false">IF(C2685="BUY","IN",IF(C2685="SELL","OUT",IF(G2684="IN","IN","OUT")))</f>
        <v>OUT</v>
      </c>
      <c r="H2685" s="14" t="n">
        <f aca="false">H2684+IF(F2685="",0,F2685)</f>
        <v>55.1157901045106</v>
      </c>
      <c r="I2685" s="14" t="n">
        <f aca="false">MAX(I2684,H2685)</f>
        <v>55.1157901045106</v>
      </c>
      <c r="J2685" s="14" t="n">
        <f aca="false">I2685-H2685</f>
        <v>0</v>
      </c>
    </row>
    <row r="2686" customFormat="false" ht="15" hidden="false" customHeight="false" outlineLevel="0" collapsed="false">
      <c r="A2686" s="12" t="n">
        <f aca="false">Data!A2686</f>
        <v>45905</v>
      </c>
      <c r="B2686" s="14" t="n">
        <f aca="false">Data!B2686</f>
        <v>61.87</v>
      </c>
      <c r="C2686" s="0" t="str">
        <f aca="false">IF(Data!D2686="","HOLD",IF(AND(G2685&lt;&gt;"IN",Data!E2686&lt;-5),"BUY",IF(AND(G2685="IN",Data!E2686&gt;0),"SELL","HOLD")))</f>
        <v>HOLD</v>
      </c>
      <c r="D2686" s="14" t="str">
        <f aca="false">IF(C2686="BUY",B2686,IF(G2685="IN",D2685,""))</f>
        <v/>
      </c>
      <c r="E2686" s="14" t="str">
        <f aca="false">IF(C2686="SELL",B2686,"")</f>
        <v/>
      </c>
      <c r="F2686" s="14" t="str">
        <f aca="false">IF(E2686="","",(E2686-D2686)/D2686*100)</f>
        <v/>
      </c>
      <c r="G2686" s="0" t="str">
        <f aca="false">IF(C2686="BUY","IN",IF(C2686="SELL","OUT",IF(G2685="IN","IN","OUT")))</f>
        <v>OUT</v>
      </c>
      <c r="H2686" s="14" t="n">
        <f aca="false">H2685+IF(F2686="",0,F2686)</f>
        <v>55.1157901045106</v>
      </c>
      <c r="I2686" s="14" t="n">
        <f aca="false">MAX(I2685,H2686)</f>
        <v>55.1157901045106</v>
      </c>
      <c r="J2686" s="14" t="n">
        <f aca="false">I2686-H2686</f>
        <v>0</v>
      </c>
    </row>
    <row r="2687" customFormat="false" ht="15" hidden="false" customHeight="false" outlineLevel="0" collapsed="false">
      <c r="A2687" s="12" t="n">
        <f aca="false">Data!A2687</f>
        <v>45908</v>
      </c>
      <c r="B2687" s="14" t="n">
        <f aca="false">Data!B2687</f>
        <v>62.26</v>
      </c>
      <c r="C2687" s="0" t="str">
        <f aca="false">IF(Data!D2687="","HOLD",IF(AND(G2686&lt;&gt;"IN",Data!E2687&lt;-5),"BUY",IF(AND(G2686="IN",Data!E2687&gt;0),"SELL","HOLD")))</f>
        <v>HOLD</v>
      </c>
      <c r="D2687" s="14" t="str">
        <f aca="false">IF(C2687="BUY",B2687,IF(G2686="IN",D2686,""))</f>
        <v/>
      </c>
      <c r="E2687" s="14" t="str">
        <f aca="false">IF(C2687="SELL",B2687,"")</f>
        <v/>
      </c>
      <c r="F2687" s="14" t="str">
        <f aca="false">IF(E2687="","",(E2687-D2687)/D2687*100)</f>
        <v/>
      </c>
      <c r="G2687" s="0" t="str">
        <f aca="false">IF(C2687="BUY","IN",IF(C2687="SELL","OUT",IF(G2686="IN","IN","OUT")))</f>
        <v>OUT</v>
      </c>
      <c r="H2687" s="14" t="n">
        <f aca="false">H2686+IF(F2687="",0,F2687)</f>
        <v>55.1157901045106</v>
      </c>
      <c r="I2687" s="14" t="n">
        <f aca="false">MAX(I2686,H2687)</f>
        <v>55.1157901045106</v>
      </c>
      <c r="J2687" s="14" t="n">
        <f aca="false">I2687-H2687</f>
        <v>0</v>
      </c>
    </row>
    <row r="2688" customFormat="false" ht="15" hidden="false" customHeight="false" outlineLevel="0" collapsed="false">
      <c r="A2688" s="12" t="n">
        <f aca="false">Data!A2688</f>
        <v>45909</v>
      </c>
      <c r="B2688" s="14" t="n">
        <f aca="false">Data!B2688</f>
        <v>62.63</v>
      </c>
      <c r="C2688" s="0" t="str">
        <f aca="false">IF(Data!D2688="","HOLD",IF(AND(G2687&lt;&gt;"IN",Data!E2688&lt;-5),"BUY",IF(AND(G2687="IN",Data!E2688&gt;0),"SELL","HOLD")))</f>
        <v>HOLD</v>
      </c>
      <c r="D2688" s="14" t="str">
        <f aca="false">IF(C2688="BUY",B2688,IF(G2687="IN",D2687,""))</f>
        <v/>
      </c>
      <c r="E2688" s="14" t="str">
        <f aca="false">IF(C2688="SELL",B2688,"")</f>
        <v/>
      </c>
      <c r="F2688" s="14" t="str">
        <f aca="false">IF(E2688="","",(E2688-D2688)/D2688*100)</f>
        <v/>
      </c>
      <c r="G2688" s="0" t="str">
        <f aca="false">IF(C2688="BUY","IN",IF(C2688="SELL","OUT",IF(G2687="IN","IN","OUT")))</f>
        <v>OUT</v>
      </c>
      <c r="H2688" s="14" t="n">
        <f aca="false">H2687+IF(F2688="",0,F2688)</f>
        <v>55.1157901045106</v>
      </c>
      <c r="I2688" s="14" t="n">
        <f aca="false">MAX(I2687,H2688)</f>
        <v>55.1157901045106</v>
      </c>
      <c r="J2688" s="14" t="n">
        <f aca="false">I2688-H2688</f>
        <v>0</v>
      </c>
    </row>
    <row r="2689" customFormat="false" ht="15" hidden="false" customHeight="false" outlineLevel="0" collapsed="false">
      <c r="A2689" s="12" t="n">
        <f aca="false">Data!A2689</f>
        <v>45910</v>
      </c>
      <c r="B2689" s="14" t="n">
        <f aca="false">Data!B2689</f>
        <v>63.67</v>
      </c>
      <c r="C2689" s="0" t="str">
        <f aca="false">IF(Data!D2689="","HOLD",IF(AND(G2688&lt;&gt;"IN",Data!E2689&lt;-5),"BUY",IF(AND(G2688="IN",Data!E2689&gt;0),"SELL","HOLD")))</f>
        <v>HOLD</v>
      </c>
      <c r="D2689" s="14" t="str">
        <f aca="false">IF(C2689="BUY",B2689,IF(G2688="IN",D2688,""))</f>
        <v/>
      </c>
      <c r="E2689" s="14" t="str">
        <f aca="false">IF(C2689="SELL",B2689,"")</f>
        <v/>
      </c>
      <c r="F2689" s="14" t="str">
        <f aca="false">IF(E2689="","",(E2689-D2689)/D2689*100)</f>
        <v/>
      </c>
      <c r="G2689" s="0" t="str">
        <f aca="false">IF(C2689="BUY","IN",IF(C2689="SELL","OUT",IF(G2688="IN","IN","OUT")))</f>
        <v>OUT</v>
      </c>
      <c r="H2689" s="14" t="n">
        <f aca="false">H2688+IF(F2689="",0,F2689)</f>
        <v>55.1157901045106</v>
      </c>
      <c r="I2689" s="14" t="n">
        <f aca="false">MAX(I2688,H2689)</f>
        <v>55.1157901045106</v>
      </c>
      <c r="J2689" s="14" t="n">
        <f aca="false">I2689-H2689</f>
        <v>0</v>
      </c>
    </row>
    <row r="2690" customFormat="false" ht="15" hidden="false" customHeight="false" outlineLevel="0" collapsed="false">
      <c r="A2690" s="12" t="n">
        <f aca="false">Data!A2690</f>
        <v>45911</v>
      </c>
      <c r="B2690" s="14" t="n">
        <f aca="false">Data!B2690</f>
        <v>62.37</v>
      </c>
      <c r="C2690" s="0" t="str">
        <f aca="false">IF(Data!D2690="","HOLD",IF(AND(G2689&lt;&gt;"IN",Data!E2690&lt;-5),"BUY",IF(AND(G2689="IN",Data!E2690&gt;0),"SELL","HOLD")))</f>
        <v>HOLD</v>
      </c>
      <c r="D2690" s="14" t="str">
        <f aca="false">IF(C2690="BUY",B2690,IF(G2689="IN",D2689,""))</f>
        <v/>
      </c>
      <c r="E2690" s="14" t="str">
        <f aca="false">IF(C2690="SELL",B2690,"")</f>
        <v/>
      </c>
      <c r="F2690" s="14" t="str">
        <f aca="false">IF(E2690="","",(E2690-D2690)/D2690*100)</f>
        <v/>
      </c>
      <c r="G2690" s="0" t="str">
        <f aca="false">IF(C2690="BUY","IN",IF(C2690="SELL","OUT",IF(G2689="IN","IN","OUT")))</f>
        <v>OUT</v>
      </c>
      <c r="H2690" s="14" t="n">
        <f aca="false">H2689+IF(F2690="",0,F2690)</f>
        <v>55.1157901045106</v>
      </c>
      <c r="I2690" s="14" t="n">
        <f aca="false">MAX(I2689,H2690)</f>
        <v>55.1157901045106</v>
      </c>
      <c r="J2690" s="14" t="n">
        <f aca="false">I2690-H2690</f>
        <v>0</v>
      </c>
    </row>
    <row r="2691" customFormat="false" ht="15" hidden="false" customHeight="false" outlineLevel="0" collapsed="false">
      <c r="A2691" s="12" t="n">
        <f aca="false">Data!A2691</f>
        <v>45912</v>
      </c>
      <c r="B2691" s="14" t="n">
        <f aca="false">Data!B2691</f>
        <v>62.69</v>
      </c>
      <c r="C2691" s="0" t="str">
        <f aca="false">IF(Data!D2691="","HOLD",IF(AND(G2690&lt;&gt;"IN",Data!E2691&lt;-5),"BUY",IF(AND(G2690="IN",Data!E2691&gt;0),"SELL","HOLD")))</f>
        <v>HOLD</v>
      </c>
      <c r="D2691" s="14" t="str">
        <f aca="false">IF(C2691="BUY",B2691,IF(G2690="IN",D2690,""))</f>
        <v/>
      </c>
      <c r="E2691" s="14" t="str">
        <f aca="false">IF(C2691="SELL",B2691,"")</f>
        <v/>
      </c>
      <c r="F2691" s="14" t="str">
        <f aca="false">IF(E2691="","",(E2691-D2691)/D2691*100)</f>
        <v/>
      </c>
      <c r="G2691" s="0" t="str">
        <f aca="false">IF(C2691="BUY","IN",IF(C2691="SELL","OUT",IF(G2690="IN","IN","OUT")))</f>
        <v>OUT</v>
      </c>
      <c r="H2691" s="14" t="n">
        <f aca="false">H2690+IF(F2691="",0,F2691)</f>
        <v>55.1157901045106</v>
      </c>
      <c r="I2691" s="14" t="n">
        <f aca="false">MAX(I2690,H2691)</f>
        <v>55.1157901045106</v>
      </c>
      <c r="J2691" s="14" t="n">
        <f aca="false">I2691-H2691</f>
        <v>0</v>
      </c>
    </row>
    <row r="2692" customFormat="false" ht="15" hidden="false" customHeight="false" outlineLevel="0" collapsed="false">
      <c r="A2692" s="12" t="n">
        <f aca="false">Data!A2692</f>
        <v>45915</v>
      </c>
      <c r="B2692" s="14" t="n">
        <f aca="false">Data!B2692</f>
        <v>63.3</v>
      </c>
      <c r="C2692" s="0" t="str">
        <f aca="false">IF(Data!D2692="","HOLD",IF(AND(G2691&lt;&gt;"IN",Data!E2692&lt;-5),"BUY",IF(AND(G2691="IN",Data!E2692&gt;0),"SELL","HOLD")))</f>
        <v>HOLD</v>
      </c>
      <c r="D2692" s="14" t="str">
        <f aca="false">IF(C2692="BUY",B2692,IF(G2691="IN",D2691,""))</f>
        <v/>
      </c>
      <c r="E2692" s="14" t="str">
        <f aca="false">IF(C2692="SELL",B2692,"")</f>
        <v/>
      </c>
      <c r="F2692" s="14" t="str">
        <f aca="false">IF(E2692="","",(E2692-D2692)/D2692*100)</f>
        <v/>
      </c>
      <c r="G2692" s="0" t="str">
        <f aca="false">IF(C2692="BUY","IN",IF(C2692="SELL","OUT",IF(G2691="IN","IN","OUT")))</f>
        <v>OUT</v>
      </c>
      <c r="H2692" s="14" t="n">
        <f aca="false">H2691+IF(F2692="",0,F2692)</f>
        <v>55.1157901045106</v>
      </c>
      <c r="I2692" s="14" t="n">
        <f aca="false">MAX(I2691,H2692)</f>
        <v>55.1157901045106</v>
      </c>
      <c r="J2692" s="14" t="n">
        <f aca="false">I2692-H2692</f>
        <v>0</v>
      </c>
    </row>
    <row r="2693" customFormat="false" ht="15" hidden="false" customHeight="false" outlineLevel="0" collapsed="false">
      <c r="A2693" s="12" t="n">
        <f aca="false">Data!A2693</f>
        <v>45916</v>
      </c>
      <c r="B2693" s="14" t="n">
        <f aca="false">Data!B2693</f>
        <v>64.52</v>
      </c>
      <c r="C2693" s="0" t="str">
        <f aca="false">IF(Data!D2693="","HOLD",IF(AND(G2692&lt;&gt;"IN",Data!E2693&lt;-5),"BUY",IF(AND(G2692="IN",Data!E2693&gt;0),"SELL","HOLD")))</f>
        <v>HOLD</v>
      </c>
      <c r="D2693" s="14" t="str">
        <f aca="false">IF(C2693="BUY",B2693,IF(G2692="IN",D2692,""))</f>
        <v/>
      </c>
      <c r="E2693" s="14" t="str">
        <f aca="false">IF(C2693="SELL",B2693,"")</f>
        <v/>
      </c>
      <c r="F2693" s="14" t="str">
        <f aca="false">IF(E2693="","",(E2693-D2693)/D2693*100)</f>
        <v/>
      </c>
      <c r="G2693" s="0" t="str">
        <f aca="false">IF(C2693="BUY","IN",IF(C2693="SELL","OUT",IF(G2692="IN","IN","OUT")))</f>
        <v>OUT</v>
      </c>
      <c r="H2693" s="14" t="n">
        <f aca="false">H2692+IF(F2693="",0,F2693)</f>
        <v>55.1157901045106</v>
      </c>
      <c r="I2693" s="14" t="n">
        <f aca="false">MAX(I2692,H2693)</f>
        <v>55.1157901045106</v>
      </c>
      <c r="J2693" s="14" t="n">
        <f aca="false">I2693-H2693</f>
        <v>0</v>
      </c>
    </row>
    <row r="2694" customFormat="false" ht="15" hidden="false" customHeight="false" outlineLevel="0" collapsed="false">
      <c r="A2694" s="12" t="n">
        <f aca="false">Data!A2694</f>
        <v>45917</v>
      </c>
      <c r="B2694" s="14" t="n">
        <f aca="false">Data!B2694</f>
        <v>64.05</v>
      </c>
      <c r="C2694" s="0" t="str">
        <f aca="false">IF(Data!D2694="","HOLD",IF(AND(G2693&lt;&gt;"IN",Data!E2694&lt;-5),"BUY",IF(AND(G2693="IN",Data!E2694&gt;0),"SELL","HOLD")))</f>
        <v>HOLD</v>
      </c>
      <c r="D2694" s="14" t="str">
        <f aca="false">IF(C2694="BUY",B2694,IF(G2693="IN",D2693,""))</f>
        <v/>
      </c>
      <c r="E2694" s="14" t="str">
        <f aca="false">IF(C2694="SELL",B2694,"")</f>
        <v/>
      </c>
      <c r="F2694" s="14" t="str">
        <f aca="false">IF(E2694="","",(E2694-D2694)/D2694*100)</f>
        <v/>
      </c>
      <c r="G2694" s="0" t="str">
        <f aca="false">IF(C2694="BUY","IN",IF(C2694="SELL","OUT",IF(G2693="IN","IN","OUT")))</f>
        <v>OUT</v>
      </c>
      <c r="H2694" s="14" t="n">
        <f aca="false">H2693+IF(F2694="",0,F2694)</f>
        <v>55.1157901045106</v>
      </c>
      <c r="I2694" s="14" t="n">
        <f aca="false">MAX(I2693,H2694)</f>
        <v>55.1157901045106</v>
      </c>
      <c r="J2694" s="14" t="n">
        <f aca="false">I2694-H2694</f>
        <v>0</v>
      </c>
    </row>
    <row r="2695" customFormat="false" ht="15" hidden="false" customHeight="false" outlineLevel="0" collapsed="false">
      <c r="A2695" s="12" t="n">
        <f aca="false">Data!A2695</f>
        <v>45918</v>
      </c>
      <c r="B2695" s="14" t="n">
        <f aca="false">Data!B2695</f>
        <v>63.57</v>
      </c>
      <c r="C2695" s="0" t="str">
        <f aca="false">IF(Data!D2695="","HOLD",IF(AND(G2694&lt;&gt;"IN",Data!E2695&lt;-5),"BUY",IF(AND(G2694="IN",Data!E2695&gt;0),"SELL","HOLD")))</f>
        <v>HOLD</v>
      </c>
      <c r="D2695" s="14" t="str">
        <f aca="false">IF(C2695="BUY",B2695,IF(G2694="IN",D2694,""))</f>
        <v/>
      </c>
      <c r="E2695" s="14" t="str">
        <f aca="false">IF(C2695="SELL",B2695,"")</f>
        <v/>
      </c>
      <c r="F2695" s="14" t="str">
        <f aca="false">IF(E2695="","",(E2695-D2695)/D2695*100)</f>
        <v/>
      </c>
      <c r="G2695" s="0" t="str">
        <f aca="false">IF(C2695="BUY","IN",IF(C2695="SELL","OUT",IF(G2694="IN","IN","OUT")))</f>
        <v>OUT</v>
      </c>
      <c r="H2695" s="14" t="n">
        <f aca="false">H2694+IF(F2695="",0,F2695)</f>
        <v>55.1157901045106</v>
      </c>
      <c r="I2695" s="14" t="n">
        <f aca="false">MAX(I2694,H2695)</f>
        <v>55.1157901045106</v>
      </c>
      <c r="J2695" s="14" t="n">
        <f aca="false">I2695-H2695</f>
        <v>0</v>
      </c>
    </row>
    <row r="2696" customFormat="false" ht="15" hidden="false" customHeight="false" outlineLevel="0" collapsed="false">
      <c r="A2696" s="12" t="n">
        <f aca="false">Data!A2696</f>
        <v>45919</v>
      </c>
      <c r="B2696" s="14" t="n">
        <f aca="false">Data!B2696</f>
        <v>62.68</v>
      </c>
      <c r="C2696" s="0" t="str">
        <f aca="false">IF(Data!D2696="","HOLD",IF(AND(G2695&lt;&gt;"IN",Data!E2696&lt;-5),"BUY",IF(AND(G2695="IN",Data!E2696&gt;0),"SELL","HOLD")))</f>
        <v>HOLD</v>
      </c>
      <c r="D2696" s="14" t="str">
        <f aca="false">IF(C2696="BUY",B2696,IF(G2695="IN",D2695,""))</f>
        <v/>
      </c>
      <c r="E2696" s="14" t="str">
        <f aca="false">IF(C2696="SELL",B2696,"")</f>
        <v/>
      </c>
      <c r="F2696" s="14" t="str">
        <f aca="false">IF(E2696="","",(E2696-D2696)/D2696*100)</f>
        <v/>
      </c>
      <c r="G2696" s="0" t="str">
        <f aca="false">IF(C2696="BUY","IN",IF(C2696="SELL","OUT",IF(G2695="IN","IN","OUT")))</f>
        <v>OUT</v>
      </c>
      <c r="H2696" s="14" t="n">
        <f aca="false">H2695+IF(F2696="",0,F2696)</f>
        <v>55.1157901045106</v>
      </c>
      <c r="I2696" s="14" t="n">
        <f aca="false">MAX(I2695,H2696)</f>
        <v>55.1157901045106</v>
      </c>
      <c r="J2696" s="14" t="n">
        <f aca="false">I2696-H2696</f>
        <v>0</v>
      </c>
    </row>
    <row r="2697" customFormat="false" ht="15" hidden="false" customHeight="false" outlineLevel="0" collapsed="false">
      <c r="A2697" s="12" t="n">
        <f aca="false">Data!A2697</f>
        <v>45922</v>
      </c>
      <c r="B2697" s="14" t="n">
        <f aca="false">Data!B2697</f>
        <v>62.64</v>
      </c>
      <c r="C2697" s="0" t="str">
        <f aca="false">IF(Data!D2697="","HOLD",IF(AND(G2696&lt;&gt;"IN",Data!E2697&lt;-5),"BUY",IF(AND(G2696="IN",Data!E2697&gt;0),"SELL","HOLD")))</f>
        <v>HOLD</v>
      </c>
      <c r="D2697" s="14" t="str">
        <f aca="false">IF(C2697="BUY",B2697,IF(G2696="IN",D2696,""))</f>
        <v/>
      </c>
      <c r="E2697" s="14" t="str">
        <f aca="false">IF(C2697="SELL",B2697,"")</f>
        <v/>
      </c>
      <c r="F2697" s="14" t="str">
        <f aca="false">IF(E2697="","",(E2697-D2697)/D2697*100)</f>
        <v/>
      </c>
      <c r="G2697" s="0" t="str">
        <f aca="false">IF(C2697="BUY","IN",IF(C2697="SELL","OUT",IF(G2696="IN","IN","OUT")))</f>
        <v>OUT</v>
      </c>
      <c r="H2697" s="14" t="n">
        <f aca="false">H2696+IF(F2697="",0,F2697)</f>
        <v>55.1157901045106</v>
      </c>
      <c r="I2697" s="14" t="n">
        <f aca="false">MAX(I2696,H2697)</f>
        <v>55.1157901045106</v>
      </c>
      <c r="J2697" s="14" t="n">
        <f aca="false">I2697-H2697</f>
        <v>0</v>
      </c>
    </row>
    <row r="2698" customFormat="false" ht="15" hidden="false" customHeight="false" outlineLevel="0" collapsed="false">
      <c r="A2698" s="12" t="n">
        <f aca="false">Data!A2698</f>
        <v>45923</v>
      </c>
      <c r="B2698" s="14" t="n">
        <f aca="false">Data!B2698</f>
        <v>63.41</v>
      </c>
      <c r="C2698" s="0" t="str">
        <f aca="false">IF(Data!D2698="","HOLD",IF(AND(G2697&lt;&gt;"IN",Data!E2698&lt;-5),"BUY",IF(AND(G2697="IN",Data!E2698&gt;0),"SELL","HOLD")))</f>
        <v>HOLD</v>
      </c>
      <c r="D2698" s="14" t="str">
        <f aca="false">IF(C2698="BUY",B2698,IF(G2697="IN",D2697,""))</f>
        <v/>
      </c>
      <c r="E2698" s="14" t="str">
        <f aca="false">IF(C2698="SELL",B2698,"")</f>
        <v/>
      </c>
      <c r="F2698" s="14" t="str">
        <f aca="false">IF(E2698="","",(E2698-D2698)/D2698*100)</f>
        <v/>
      </c>
      <c r="G2698" s="0" t="str">
        <f aca="false">IF(C2698="BUY","IN",IF(C2698="SELL","OUT",IF(G2697="IN","IN","OUT")))</f>
        <v>OUT</v>
      </c>
      <c r="H2698" s="14" t="n">
        <f aca="false">H2697+IF(F2698="",0,F2698)</f>
        <v>55.1157901045106</v>
      </c>
      <c r="I2698" s="14" t="n">
        <f aca="false">MAX(I2697,H2698)</f>
        <v>55.1157901045106</v>
      </c>
      <c r="J2698" s="14" t="n">
        <f aca="false">I2698-H2698</f>
        <v>0</v>
      </c>
    </row>
    <row r="2699" customFormat="false" ht="15" hidden="false" customHeight="false" outlineLevel="0" collapsed="false">
      <c r="A2699" s="12" t="n">
        <f aca="false">Data!A2699</f>
        <v>45924</v>
      </c>
      <c r="B2699" s="14" t="n">
        <f aca="false">Data!B2699</f>
        <v>64.99</v>
      </c>
      <c r="C2699" s="0" t="str">
        <f aca="false">IF(Data!D2699="","HOLD",IF(AND(G2698&lt;&gt;"IN",Data!E2699&lt;-5),"BUY",IF(AND(G2698="IN",Data!E2699&gt;0),"SELL","HOLD")))</f>
        <v>HOLD</v>
      </c>
      <c r="D2699" s="14" t="str">
        <f aca="false">IF(C2699="BUY",B2699,IF(G2698="IN",D2698,""))</f>
        <v/>
      </c>
      <c r="E2699" s="14" t="str">
        <f aca="false">IF(C2699="SELL",B2699,"")</f>
        <v/>
      </c>
      <c r="F2699" s="14" t="str">
        <f aca="false">IF(E2699="","",(E2699-D2699)/D2699*100)</f>
        <v/>
      </c>
      <c r="G2699" s="0" t="str">
        <f aca="false">IF(C2699="BUY","IN",IF(C2699="SELL","OUT",IF(G2698="IN","IN","OUT")))</f>
        <v>OUT</v>
      </c>
      <c r="H2699" s="14" t="n">
        <f aca="false">H2698+IF(F2699="",0,F2699)</f>
        <v>55.1157901045106</v>
      </c>
      <c r="I2699" s="14" t="n">
        <f aca="false">MAX(I2698,H2699)</f>
        <v>55.1157901045106</v>
      </c>
      <c r="J2699" s="14" t="n">
        <f aca="false">I2699-H2699</f>
        <v>0</v>
      </c>
    </row>
    <row r="2700" customFormat="false" ht="15" hidden="false" customHeight="false" outlineLevel="0" collapsed="false">
      <c r="A2700" s="12" t="n">
        <f aca="false">Data!A2700</f>
        <v>45925</v>
      </c>
      <c r="B2700" s="14" t="n">
        <f aca="false">Data!B2700</f>
        <v>64.98</v>
      </c>
      <c r="C2700" s="0" t="str">
        <f aca="false">IF(Data!D2700="","HOLD",IF(AND(G2699&lt;&gt;"IN",Data!E2700&lt;-5),"BUY",IF(AND(G2699="IN",Data!E2700&gt;0),"SELL","HOLD")))</f>
        <v>HOLD</v>
      </c>
      <c r="D2700" s="14" t="str">
        <f aca="false">IF(C2700="BUY",B2700,IF(G2699="IN",D2699,""))</f>
        <v/>
      </c>
      <c r="E2700" s="14" t="str">
        <f aca="false">IF(C2700="SELL",B2700,"")</f>
        <v/>
      </c>
      <c r="F2700" s="14" t="str">
        <f aca="false">IF(E2700="","",(E2700-D2700)/D2700*100)</f>
        <v/>
      </c>
      <c r="G2700" s="0" t="str">
        <f aca="false">IF(C2700="BUY","IN",IF(C2700="SELL","OUT",IF(G2699="IN","IN","OUT")))</f>
        <v>OUT</v>
      </c>
      <c r="H2700" s="14" t="n">
        <f aca="false">H2699+IF(F2700="",0,F2700)</f>
        <v>55.1157901045106</v>
      </c>
      <c r="I2700" s="14" t="n">
        <f aca="false">MAX(I2699,H2700)</f>
        <v>55.1157901045106</v>
      </c>
      <c r="J2700" s="14" t="n">
        <f aca="false">I2700-H2700</f>
        <v>0</v>
      </c>
    </row>
    <row r="2701" customFormat="false" ht="15" hidden="false" customHeight="false" outlineLevel="0" collapsed="false">
      <c r="A2701" s="12" t="n">
        <f aca="false">Data!A2701</f>
        <v>45926</v>
      </c>
      <c r="B2701" s="14" t="n">
        <f aca="false">Data!B2701</f>
        <v>65.72</v>
      </c>
      <c r="C2701" s="0" t="str">
        <f aca="false">IF(Data!D2701="","HOLD",IF(AND(G2700&lt;&gt;"IN",Data!E2701&lt;-5),"BUY",IF(AND(G2700="IN",Data!E2701&gt;0),"SELL","HOLD")))</f>
        <v>HOLD</v>
      </c>
      <c r="D2701" s="14" t="str">
        <f aca="false">IF(C2701="BUY",B2701,IF(G2700="IN",D2700,""))</f>
        <v/>
      </c>
      <c r="E2701" s="14" t="str">
        <f aca="false">IF(C2701="SELL",B2701,"")</f>
        <v/>
      </c>
      <c r="F2701" s="14" t="str">
        <f aca="false">IF(E2701="","",(E2701-D2701)/D2701*100)</f>
        <v/>
      </c>
      <c r="G2701" s="0" t="str">
        <f aca="false">IF(C2701="BUY","IN",IF(C2701="SELL","OUT",IF(G2700="IN","IN","OUT")))</f>
        <v>OUT</v>
      </c>
      <c r="H2701" s="14" t="n">
        <f aca="false">H2700+IF(F2701="",0,F2701)</f>
        <v>55.1157901045106</v>
      </c>
      <c r="I2701" s="14" t="n">
        <f aca="false">MAX(I2700,H2701)</f>
        <v>55.1157901045106</v>
      </c>
      <c r="J2701" s="14" t="n">
        <f aca="false">I2701-H2701</f>
        <v>0</v>
      </c>
    </row>
    <row r="2702" customFormat="false" ht="15" hidden="false" customHeight="false" outlineLevel="0" collapsed="false">
      <c r="A2702" s="12" t="n">
        <f aca="false">Data!A2702</f>
        <v>45929</v>
      </c>
      <c r="B2702" s="14" t="n">
        <f aca="false">Data!B2702</f>
        <v>63.45</v>
      </c>
      <c r="C2702" s="0" t="str">
        <f aca="false">IF(Data!D2702="","HOLD",IF(AND(G2701&lt;&gt;"IN",Data!E2702&lt;-5),"BUY",IF(AND(G2701="IN",Data!E2702&gt;0),"SELL","HOLD")))</f>
        <v>HOLD</v>
      </c>
      <c r="D2702" s="14" t="str">
        <f aca="false">IF(C2702="BUY",B2702,IF(G2701="IN",D2701,""))</f>
        <v/>
      </c>
      <c r="E2702" s="14" t="str">
        <f aca="false">IF(C2702="SELL",B2702,"")</f>
        <v/>
      </c>
      <c r="F2702" s="14" t="str">
        <f aca="false">IF(E2702="","",(E2702-D2702)/D2702*100)</f>
        <v/>
      </c>
      <c r="G2702" s="0" t="str">
        <f aca="false">IF(C2702="BUY","IN",IF(C2702="SELL","OUT",IF(G2701="IN","IN","OUT")))</f>
        <v>OUT</v>
      </c>
      <c r="H2702" s="14" t="n">
        <f aca="false">H2701+IF(F2702="",0,F2702)</f>
        <v>55.1157901045106</v>
      </c>
      <c r="I2702" s="14" t="n">
        <f aca="false">MAX(I2701,H2702)</f>
        <v>55.1157901045106</v>
      </c>
      <c r="J2702" s="14" t="n">
        <f aca="false">I2702-H2702</f>
        <v>0</v>
      </c>
    </row>
    <row r="2703" customFormat="false" ht="15" hidden="false" customHeight="false" outlineLevel="0" collapsed="false">
      <c r="A2703" s="12" t="n">
        <f aca="false">Data!A2703</f>
        <v>45930</v>
      </c>
      <c r="B2703" s="14" t="n">
        <f aca="false">Data!B2703</f>
        <v>62.37</v>
      </c>
      <c r="C2703" s="0" t="str">
        <f aca="false">IF(Data!D2703="","HOLD",IF(AND(G2702&lt;&gt;"IN",Data!E2703&lt;-5),"BUY",IF(AND(G2702="IN",Data!E2703&gt;0),"SELL","HOLD")))</f>
        <v>HOLD</v>
      </c>
      <c r="D2703" s="14" t="str">
        <f aca="false">IF(C2703="BUY",B2703,IF(G2702="IN",D2702,""))</f>
        <v/>
      </c>
      <c r="E2703" s="14" t="str">
        <f aca="false">IF(C2703="SELL",B2703,"")</f>
        <v/>
      </c>
      <c r="F2703" s="14" t="str">
        <f aca="false">IF(E2703="","",(E2703-D2703)/D2703*100)</f>
        <v/>
      </c>
      <c r="G2703" s="0" t="str">
        <f aca="false">IF(C2703="BUY","IN",IF(C2703="SELL","OUT",IF(G2702="IN","IN","OUT")))</f>
        <v>OUT</v>
      </c>
      <c r="H2703" s="14" t="n">
        <f aca="false">H2702+IF(F2703="",0,F2703)</f>
        <v>55.1157901045106</v>
      </c>
      <c r="I2703" s="14" t="n">
        <f aca="false">MAX(I2702,H2703)</f>
        <v>55.1157901045106</v>
      </c>
      <c r="J2703" s="14" t="n">
        <f aca="false">I2703-H2703</f>
        <v>0</v>
      </c>
    </row>
    <row r="2704" customFormat="false" ht="15" hidden="false" customHeight="false" outlineLevel="0" collapsed="false">
      <c r="A2704" s="12" t="n">
        <f aca="false">Data!A2704</f>
        <v>45931</v>
      </c>
      <c r="B2704" s="14" t="n">
        <f aca="false">Data!B2704</f>
        <v>61.78</v>
      </c>
      <c r="C2704" s="0" t="str">
        <f aca="false">IF(Data!D2704="","HOLD",IF(AND(G2703&lt;&gt;"IN",Data!E2704&lt;-5),"BUY",IF(AND(G2703="IN",Data!E2704&gt;0),"SELL","HOLD")))</f>
        <v>HOLD</v>
      </c>
      <c r="D2704" s="14" t="str">
        <f aca="false">IF(C2704="BUY",B2704,IF(G2703="IN",D2703,""))</f>
        <v/>
      </c>
      <c r="E2704" s="14" t="str">
        <f aca="false">IF(C2704="SELL",B2704,"")</f>
        <v/>
      </c>
      <c r="F2704" s="14" t="str">
        <f aca="false">IF(E2704="","",(E2704-D2704)/D2704*100)</f>
        <v/>
      </c>
      <c r="G2704" s="0" t="str">
        <f aca="false">IF(C2704="BUY","IN",IF(C2704="SELL","OUT",IF(G2703="IN","IN","OUT")))</f>
        <v>OUT</v>
      </c>
      <c r="H2704" s="14" t="n">
        <f aca="false">H2703+IF(F2704="",0,F2704)</f>
        <v>55.1157901045106</v>
      </c>
      <c r="I2704" s="14" t="n">
        <f aca="false">MAX(I2703,H2704)</f>
        <v>55.1157901045106</v>
      </c>
      <c r="J2704" s="14" t="n">
        <f aca="false">I2704-H2704</f>
        <v>0</v>
      </c>
    </row>
    <row r="2705" customFormat="false" ht="15" hidden="false" customHeight="false" outlineLevel="0" collapsed="false">
      <c r="A2705" s="12" t="n">
        <f aca="false">Data!A2705</f>
        <v>45932</v>
      </c>
      <c r="B2705" s="14" t="n">
        <f aca="false">Data!B2705</f>
        <v>60.48</v>
      </c>
      <c r="C2705" s="0" t="str">
        <f aca="false">IF(Data!D2705="","HOLD",IF(AND(G2704&lt;&gt;"IN",Data!E2705&lt;-5),"BUY",IF(AND(G2704="IN",Data!E2705&gt;0),"SELL","HOLD")))</f>
        <v>HOLD</v>
      </c>
      <c r="D2705" s="14" t="str">
        <f aca="false">IF(C2705="BUY",B2705,IF(G2704="IN",D2704,""))</f>
        <v/>
      </c>
      <c r="E2705" s="14" t="str">
        <f aca="false">IF(C2705="SELL",B2705,"")</f>
        <v/>
      </c>
      <c r="F2705" s="14" t="str">
        <f aca="false">IF(E2705="","",(E2705-D2705)/D2705*100)</f>
        <v/>
      </c>
      <c r="G2705" s="0" t="str">
        <f aca="false">IF(C2705="BUY","IN",IF(C2705="SELL","OUT",IF(G2704="IN","IN","OUT")))</f>
        <v>OUT</v>
      </c>
      <c r="H2705" s="14" t="n">
        <f aca="false">H2704+IF(F2705="",0,F2705)</f>
        <v>55.1157901045106</v>
      </c>
      <c r="I2705" s="14" t="n">
        <f aca="false">MAX(I2704,H2705)</f>
        <v>55.1157901045106</v>
      </c>
      <c r="J2705" s="14" t="n">
        <f aca="false">I2705-H2705</f>
        <v>0</v>
      </c>
    </row>
    <row r="2706" customFormat="false" ht="15" hidden="false" customHeight="false" outlineLevel="0" collapsed="false">
      <c r="A2706" s="12" t="n">
        <f aca="false">Data!A2706</f>
        <v>45933</v>
      </c>
      <c r="B2706" s="14" t="n">
        <f aca="false">Data!B2706</f>
        <v>60.88</v>
      </c>
      <c r="C2706" s="0" t="str">
        <f aca="false">IF(Data!D2706="","HOLD",IF(AND(G2705&lt;&gt;"IN",Data!E2706&lt;-5),"BUY",IF(AND(G2705="IN",Data!E2706&gt;0),"SELL","HOLD")))</f>
        <v>HOLD</v>
      </c>
      <c r="D2706" s="14" t="str">
        <f aca="false">IF(C2706="BUY",B2706,IF(G2705="IN",D2705,""))</f>
        <v/>
      </c>
      <c r="E2706" s="14" t="str">
        <f aca="false">IF(C2706="SELL",B2706,"")</f>
        <v/>
      </c>
      <c r="F2706" s="14" t="str">
        <f aca="false">IF(E2706="","",(E2706-D2706)/D2706*100)</f>
        <v/>
      </c>
      <c r="G2706" s="0" t="str">
        <f aca="false">IF(C2706="BUY","IN",IF(C2706="SELL","OUT",IF(G2705="IN","IN","OUT")))</f>
        <v>OUT</v>
      </c>
      <c r="H2706" s="14" t="n">
        <f aca="false">H2705+IF(F2706="",0,F2706)</f>
        <v>55.1157901045106</v>
      </c>
      <c r="I2706" s="14" t="n">
        <f aca="false">MAX(I2705,H2706)</f>
        <v>55.1157901045106</v>
      </c>
      <c r="J2706" s="14" t="n">
        <f aca="false">I2706-H2706</f>
        <v>0</v>
      </c>
    </row>
    <row r="2707" customFormat="false" ht="15" hidden="false" customHeight="false" outlineLevel="0" collapsed="false">
      <c r="A2707" s="12" t="n">
        <f aca="false">Data!A2707</f>
        <v>45936</v>
      </c>
      <c r="B2707" s="14" t="n">
        <f aca="false">Data!B2707</f>
        <v>61.69</v>
      </c>
      <c r="C2707" s="0" t="str">
        <f aca="false">IF(Data!D2707="","HOLD",IF(AND(G2706&lt;&gt;"IN",Data!E2707&lt;-5),"BUY",IF(AND(G2706="IN",Data!E2707&gt;0),"SELL","HOLD")))</f>
        <v>HOLD</v>
      </c>
      <c r="D2707" s="14" t="str">
        <f aca="false">IF(C2707="BUY",B2707,IF(G2706="IN",D2706,""))</f>
        <v/>
      </c>
      <c r="E2707" s="14" t="str">
        <f aca="false">IF(C2707="SELL",B2707,"")</f>
        <v/>
      </c>
      <c r="F2707" s="14" t="str">
        <f aca="false">IF(E2707="","",(E2707-D2707)/D2707*100)</f>
        <v/>
      </c>
      <c r="G2707" s="0" t="str">
        <f aca="false">IF(C2707="BUY","IN",IF(C2707="SELL","OUT",IF(G2706="IN","IN","OUT")))</f>
        <v>OUT</v>
      </c>
      <c r="H2707" s="14" t="n">
        <f aca="false">H2706+IF(F2707="",0,F2707)</f>
        <v>55.1157901045106</v>
      </c>
      <c r="I2707" s="14" t="n">
        <f aca="false">MAX(I2706,H2707)</f>
        <v>55.1157901045106</v>
      </c>
      <c r="J2707" s="14" t="n">
        <f aca="false">I2707-H2707</f>
        <v>0</v>
      </c>
    </row>
    <row r="2708" customFormat="false" ht="15" hidden="false" customHeight="false" outlineLevel="0" collapsed="false">
      <c r="A2708" s="12" t="n">
        <f aca="false">Data!A2708</f>
        <v>45937</v>
      </c>
      <c r="B2708" s="14" t="n">
        <f aca="false">Data!B2708</f>
        <v>61.73</v>
      </c>
      <c r="C2708" s="0" t="str">
        <f aca="false">IF(Data!D2708="","HOLD",IF(AND(G2707&lt;&gt;"IN",Data!E2708&lt;-5),"BUY",IF(AND(G2707="IN",Data!E2708&gt;0),"SELL","HOLD")))</f>
        <v>HOLD</v>
      </c>
      <c r="D2708" s="14" t="str">
        <f aca="false">IF(C2708="BUY",B2708,IF(G2707="IN",D2707,""))</f>
        <v/>
      </c>
      <c r="E2708" s="14" t="str">
        <f aca="false">IF(C2708="SELL",B2708,"")</f>
        <v/>
      </c>
      <c r="F2708" s="14" t="str">
        <f aca="false">IF(E2708="","",(E2708-D2708)/D2708*100)</f>
        <v/>
      </c>
      <c r="G2708" s="0" t="str">
        <f aca="false">IF(C2708="BUY","IN",IF(C2708="SELL","OUT",IF(G2707="IN","IN","OUT")))</f>
        <v>OUT</v>
      </c>
      <c r="H2708" s="14" t="n">
        <f aca="false">H2707+IF(F2708="",0,F2708)</f>
        <v>55.1157901045106</v>
      </c>
      <c r="I2708" s="14" t="n">
        <f aca="false">MAX(I2707,H2708)</f>
        <v>55.1157901045106</v>
      </c>
      <c r="J2708" s="14" t="n">
        <f aca="false">I2708-H2708</f>
        <v>0</v>
      </c>
    </row>
    <row r="2709" customFormat="false" ht="15" hidden="false" customHeight="false" outlineLevel="0" collapsed="false">
      <c r="A2709" s="12" t="n">
        <f aca="false">Data!A2709</f>
        <v>45938</v>
      </c>
      <c r="B2709" s="14" t="n">
        <f aca="false">Data!B2709</f>
        <v>62.55</v>
      </c>
      <c r="C2709" s="0" t="str">
        <f aca="false">IF(Data!D2709="","HOLD",IF(AND(G2708&lt;&gt;"IN",Data!E2709&lt;-5),"BUY",IF(AND(G2708="IN",Data!E2709&gt;0),"SELL","HOLD")))</f>
        <v>HOLD</v>
      </c>
      <c r="D2709" s="14" t="str">
        <f aca="false">IF(C2709="BUY",B2709,IF(G2708="IN",D2708,""))</f>
        <v/>
      </c>
      <c r="E2709" s="14" t="str">
        <f aca="false">IF(C2709="SELL",B2709,"")</f>
        <v/>
      </c>
      <c r="F2709" s="14" t="str">
        <f aca="false">IF(E2709="","",(E2709-D2709)/D2709*100)</f>
        <v/>
      </c>
      <c r="G2709" s="0" t="str">
        <f aca="false">IF(C2709="BUY","IN",IF(C2709="SELL","OUT",IF(G2708="IN","IN","OUT")))</f>
        <v>OUT</v>
      </c>
      <c r="H2709" s="14" t="n">
        <f aca="false">H2708+IF(F2709="",0,F2709)</f>
        <v>55.1157901045106</v>
      </c>
      <c r="I2709" s="14" t="n">
        <f aca="false">MAX(I2708,H2709)</f>
        <v>55.1157901045106</v>
      </c>
      <c r="J2709" s="14" t="n">
        <f aca="false">I2709-H2709</f>
        <v>0</v>
      </c>
    </row>
    <row r="2710" customFormat="false" ht="15" hidden="false" customHeight="false" outlineLevel="0" collapsed="false">
      <c r="A2710" s="12" t="n">
        <f aca="false">Data!A2710</f>
        <v>45939</v>
      </c>
      <c r="B2710" s="14" t="n">
        <f aca="false">Data!B2710</f>
        <v>61.51</v>
      </c>
      <c r="C2710" s="0" t="str">
        <f aca="false">IF(Data!D2710="","HOLD",IF(AND(G2709&lt;&gt;"IN",Data!E2710&lt;-5),"BUY",IF(AND(G2709="IN",Data!E2710&gt;0),"SELL","HOLD")))</f>
        <v>HOLD</v>
      </c>
      <c r="D2710" s="14" t="str">
        <f aca="false">IF(C2710="BUY",B2710,IF(G2709="IN",D2709,""))</f>
        <v/>
      </c>
      <c r="E2710" s="14" t="str">
        <f aca="false">IF(C2710="SELL",B2710,"")</f>
        <v/>
      </c>
      <c r="F2710" s="14" t="str">
        <f aca="false">IF(E2710="","",(E2710-D2710)/D2710*100)</f>
        <v/>
      </c>
      <c r="G2710" s="0" t="str">
        <f aca="false">IF(C2710="BUY","IN",IF(C2710="SELL","OUT",IF(G2709="IN","IN","OUT")))</f>
        <v>OUT</v>
      </c>
      <c r="H2710" s="14" t="n">
        <f aca="false">H2709+IF(F2710="",0,F2710)</f>
        <v>55.1157901045106</v>
      </c>
      <c r="I2710" s="14" t="n">
        <f aca="false">MAX(I2709,H2710)</f>
        <v>55.1157901045106</v>
      </c>
      <c r="J2710" s="14" t="n">
        <f aca="false">I2710-H2710</f>
        <v>0</v>
      </c>
    </row>
    <row r="2711" customFormat="false" ht="15" hidden="false" customHeight="false" outlineLevel="0" collapsed="false">
      <c r="A2711" s="12" t="n">
        <f aca="false">Data!A2711</f>
        <v>45940</v>
      </c>
      <c r="B2711" s="14" t="n">
        <f aca="false">Data!B2711</f>
        <v>58.9</v>
      </c>
      <c r="C2711" s="0" t="str">
        <f aca="false">IF(Data!D2711="","HOLD",IF(AND(G2710&lt;&gt;"IN",Data!E2711&lt;-5),"BUY",IF(AND(G2710="IN",Data!E2711&gt;0),"SELL","HOLD")))</f>
        <v>BUY</v>
      </c>
      <c r="D2711" s="14" t="n">
        <f aca="false">IF(C2711="BUY",B2711,IF(G2710="IN",D2710,""))</f>
        <v>58.9</v>
      </c>
      <c r="E2711" s="14" t="str">
        <f aca="false">IF(C2711="SELL",B2711,"")</f>
        <v/>
      </c>
      <c r="F2711" s="14" t="str">
        <f aca="false">IF(E2711="","",(E2711-D2711)/D2711*100)</f>
        <v/>
      </c>
      <c r="G2711" s="0" t="str">
        <f aca="false">IF(C2711="BUY","IN",IF(C2711="SELL","OUT",IF(G2710="IN","IN","OUT")))</f>
        <v>IN</v>
      </c>
      <c r="H2711" s="14" t="n">
        <f aca="false">H2710+IF(F2711="",0,F2711)</f>
        <v>55.1157901045106</v>
      </c>
      <c r="I2711" s="14" t="n">
        <f aca="false">MAX(I2710,H2711)</f>
        <v>55.1157901045106</v>
      </c>
      <c r="J2711" s="14" t="n">
        <f aca="false">I2711-H2711</f>
        <v>0</v>
      </c>
    </row>
    <row r="2712" customFormat="false" ht="15" hidden="false" customHeight="false" outlineLevel="0" collapsed="false">
      <c r="A2712" s="12" t="n">
        <f aca="false">Data!A2712</f>
        <v>45943</v>
      </c>
      <c r="B2712" s="14" t="n">
        <f aca="false">Data!B2712</f>
        <v>59.49</v>
      </c>
      <c r="C2712" s="0" t="str">
        <f aca="false">IF(Data!D2712="","HOLD",IF(AND(G2711&lt;&gt;"IN",Data!E2712&lt;-5),"BUY",IF(AND(G2711="IN",Data!E2712&gt;0),"SELL","HOLD")))</f>
        <v>HOLD</v>
      </c>
      <c r="D2712" s="14" t="n">
        <f aca="false">IF(C2712="BUY",B2712,IF(G2711="IN",D2711,""))</f>
        <v>58.9</v>
      </c>
      <c r="E2712" s="14" t="str">
        <f aca="false">IF(C2712="SELL",B2712,"")</f>
        <v/>
      </c>
      <c r="F2712" s="14" t="str">
        <f aca="false">IF(E2712="","",(E2712-D2712)/D2712*100)</f>
        <v/>
      </c>
      <c r="G2712" s="0" t="str">
        <f aca="false">IF(C2712="BUY","IN",IF(C2712="SELL","OUT",IF(G2711="IN","IN","OUT")))</f>
        <v>IN</v>
      </c>
      <c r="H2712" s="14" t="n">
        <f aca="false">H2711+IF(F2712="",0,F2712)</f>
        <v>55.1157901045106</v>
      </c>
      <c r="I2712" s="14" t="n">
        <f aca="false">MAX(I2711,H2712)</f>
        <v>55.1157901045106</v>
      </c>
      <c r="J2712" s="14" t="n">
        <f aca="false">I2712-H2712</f>
        <v>0</v>
      </c>
    </row>
    <row r="2713" customFormat="false" ht="15" hidden="false" customHeight="false" outlineLevel="0" collapsed="false">
      <c r="A2713" s="12" t="n">
        <f aca="false">Data!A2713</f>
        <v>45944</v>
      </c>
      <c r="B2713" s="14" t="n">
        <f aca="false">Data!B2713</f>
        <v>58.7</v>
      </c>
      <c r="C2713" s="0" t="str">
        <f aca="false">IF(Data!D2713="","HOLD",IF(AND(G2712&lt;&gt;"IN",Data!E2713&lt;-5),"BUY",IF(AND(G2712="IN",Data!E2713&gt;0),"SELL","HOLD")))</f>
        <v>HOLD</v>
      </c>
      <c r="D2713" s="14" t="n">
        <f aca="false">IF(C2713="BUY",B2713,IF(G2712="IN",D2712,""))</f>
        <v>58.9</v>
      </c>
      <c r="E2713" s="14" t="str">
        <f aca="false">IF(C2713="SELL",B2713,"")</f>
        <v/>
      </c>
      <c r="F2713" s="14" t="str">
        <f aca="false">IF(E2713="","",(E2713-D2713)/D2713*100)</f>
        <v/>
      </c>
      <c r="G2713" s="0" t="str">
        <f aca="false">IF(C2713="BUY","IN",IF(C2713="SELL","OUT",IF(G2712="IN","IN","OUT")))</f>
        <v>IN</v>
      </c>
      <c r="H2713" s="14" t="n">
        <f aca="false">H2712+IF(F2713="",0,F2713)</f>
        <v>55.1157901045106</v>
      </c>
      <c r="I2713" s="14" t="n">
        <f aca="false">MAX(I2712,H2713)</f>
        <v>55.1157901045106</v>
      </c>
      <c r="J2713" s="14" t="n">
        <f aca="false">I2713-H2713</f>
        <v>0</v>
      </c>
    </row>
    <row r="2714" customFormat="false" ht="15" hidden="false" customHeight="false" outlineLevel="0" collapsed="false">
      <c r="A2714" s="12" t="n">
        <f aca="false">Data!A2714</f>
        <v>45945</v>
      </c>
      <c r="B2714" s="14" t="n">
        <f aca="false">Data!B2714</f>
        <v>58.27</v>
      </c>
      <c r="C2714" s="0" t="str">
        <f aca="false">IF(Data!D2714="","HOLD",IF(AND(G2713&lt;&gt;"IN",Data!E2714&lt;-5),"BUY",IF(AND(G2713="IN",Data!E2714&gt;0),"SELL","HOLD")))</f>
        <v>HOLD</v>
      </c>
      <c r="D2714" s="14" t="n">
        <f aca="false">IF(C2714="BUY",B2714,IF(G2713="IN",D2713,""))</f>
        <v>58.9</v>
      </c>
      <c r="E2714" s="14" t="str">
        <f aca="false">IF(C2714="SELL",B2714,"")</f>
        <v/>
      </c>
      <c r="F2714" s="14" t="str">
        <f aca="false">IF(E2714="","",(E2714-D2714)/D2714*100)</f>
        <v/>
      </c>
      <c r="G2714" s="0" t="str">
        <f aca="false">IF(C2714="BUY","IN",IF(C2714="SELL","OUT",IF(G2713="IN","IN","OUT")))</f>
        <v>IN</v>
      </c>
      <c r="H2714" s="14" t="n">
        <f aca="false">H2713+IF(F2714="",0,F2714)</f>
        <v>55.1157901045106</v>
      </c>
      <c r="I2714" s="14" t="n">
        <f aca="false">MAX(I2713,H2714)</f>
        <v>55.1157901045106</v>
      </c>
      <c r="J2714" s="14" t="n">
        <f aca="false">I2714-H2714</f>
        <v>0</v>
      </c>
    </row>
    <row r="2715" customFormat="false" ht="15" hidden="false" customHeight="false" outlineLevel="0" collapsed="false">
      <c r="A2715" s="12" t="n">
        <f aca="false">Data!A2715</f>
        <v>45946</v>
      </c>
      <c r="B2715" s="14" t="n">
        <f aca="false">Data!B2715</f>
        <v>57.46</v>
      </c>
      <c r="C2715" s="0" t="str">
        <f aca="false">IF(Data!D2715="","HOLD",IF(AND(G2714&lt;&gt;"IN",Data!E2715&lt;-5),"BUY",IF(AND(G2714="IN",Data!E2715&gt;0),"SELL","HOLD")))</f>
        <v>HOLD</v>
      </c>
      <c r="D2715" s="14" t="n">
        <f aca="false">IF(C2715="BUY",B2715,IF(G2714="IN",D2714,""))</f>
        <v>58.9</v>
      </c>
      <c r="E2715" s="14" t="str">
        <f aca="false">IF(C2715="SELL",B2715,"")</f>
        <v/>
      </c>
      <c r="F2715" s="14" t="str">
        <f aca="false">IF(E2715="","",(E2715-D2715)/D2715*100)</f>
        <v/>
      </c>
      <c r="G2715" s="0" t="str">
        <f aca="false">IF(C2715="BUY","IN",IF(C2715="SELL","OUT",IF(G2714="IN","IN","OUT")))</f>
        <v>IN</v>
      </c>
      <c r="H2715" s="14" t="n">
        <f aca="false">H2714+IF(F2715="",0,F2715)</f>
        <v>55.1157901045106</v>
      </c>
      <c r="I2715" s="14" t="n">
        <f aca="false">MAX(I2714,H2715)</f>
        <v>55.1157901045106</v>
      </c>
      <c r="J2715" s="14" t="n">
        <f aca="false">I2715-H2715</f>
        <v>0</v>
      </c>
    </row>
    <row r="2716" customFormat="false" ht="15" hidden="false" customHeight="false" outlineLevel="0" collapsed="false">
      <c r="A2716" s="12" t="n">
        <f aca="false">Data!A2716</f>
        <v>45947</v>
      </c>
      <c r="B2716" s="14" t="n">
        <f aca="false">Data!B2716</f>
        <v>57.54</v>
      </c>
      <c r="C2716" s="0" t="str">
        <f aca="false">IF(Data!D2716="","HOLD",IF(AND(G2715&lt;&gt;"IN",Data!E2716&lt;-5),"BUY",IF(AND(G2715="IN",Data!E2716&gt;0),"SELL","HOLD")))</f>
        <v>HOLD</v>
      </c>
      <c r="D2716" s="14" t="n">
        <f aca="false">IF(C2716="BUY",B2716,IF(G2715="IN",D2715,""))</f>
        <v>58.9</v>
      </c>
      <c r="E2716" s="14" t="str">
        <f aca="false">IF(C2716="SELL",B2716,"")</f>
        <v/>
      </c>
      <c r="F2716" s="14" t="str">
        <f aca="false">IF(E2716="","",(E2716-D2716)/D2716*100)</f>
        <v/>
      </c>
      <c r="G2716" s="0" t="str">
        <f aca="false">IF(C2716="BUY","IN",IF(C2716="SELL","OUT",IF(G2715="IN","IN","OUT")))</f>
        <v>IN</v>
      </c>
      <c r="H2716" s="14" t="n">
        <f aca="false">H2715+IF(F2716="",0,F2716)</f>
        <v>55.1157901045106</v>
      </c>
      <c r="I2716" s="14" t="n">
        <f aca="false">MAX(I2715,H2716)</f>
        <v>55.1157901045106</v>
      </c>
      <c r="J2716" s="14" t="n">
        <f aca="false">I2716-H2716</f>
        <v>0</v>
      </c>
    </row>
    <row r="2717" customFormat="false" ht="15" hidden="false" customHeight="false" outlineLevel="0" collapsed="false">
      <c r="A2717" s="12" t="n">
        <f aca="false">Data!A2717</f>
        <v>45950</v>
      </c>
      <c r="B2717" s="14" t="n">
        <f aca="false">Data!B2717</f>
        <v>57.52</v>
      </c>
      <c r="C2717" s="0" t="str">
        <f aca="false">IF(Data!D2717="","HOLD",IF(AND(G2716&lt;&gt;"IN",Data!E2717&lt;-5),"BUY",IF(AND(G2716="IN",Data!E2717&gt;0),"SELL","HOLD")))</f>
        <v>HOLD</v>
      </c>
      <c r="D2717" s="14" t="n">
        <f aca="false">IF(C2717="BUY",B2717,IF(G2716="IN",D2716,""))</f>
        <v>58.9</v>
      </c>
      <c r="E2717" s="14" t="str">
        <f aca="false">IF(C2717="SELL",B2717,"")</f>
        <v/>
      </c>
      <c r="F2717" s="14" t="str">
        <f aca="false">IF(E2717="","",(E2717-D2717)/D2717*100)</f>
        <v/>
      </c>
      <c r="G2717" s="0" t="str">
        <f aca="false">IF(C2717="BUY","IN",IF(C2717="SELL","OUT",IF(G2716="IN","IN","OUT")))</f>
        <v>IN</v>
      </c>
      <c r="H2717" s="14" t="n">
        <f aca="false">H2716+IF(F2717="",0,F2717)</f>
        <v>55.1157901045106</v>
      </c>
      <c r="I2717" s="14" t="n">
        <f aca="false">MAX(I2716,H2717)</f>
        <v>55.1157901045106</v>
      </c>
      <c r="J2717" s="14" t="n">
        <f aca="false">I2717-H2717</f>
        <v>0</v>
      </c>
    </row>
    <row r="2718" customFormat="false" ht="15" hidden="false" customHeight="false" outlineLevel="0" collapsed="false">
      <c r="A2718" s="12" t="n">
        <f aca="false">Data!A2718</f>
        <v>45951</v>
      </c>
      <c r="B2718" s="14" t="n">
        <f aca="false">Data!B2718</f>
        <v>57.82</v>
      </c>
      <c r="C2718" s="0" t="str">
        <f aca="false">IF(Data!D2718="","HOLD",IF(AND(G2717&lt;&gt;"IN",Data!E2718&lt;-5),"BUY",IF(AND(G2717="IN",Data!E2718&gt;0),"SELL","HOLD")))</f>
        <v>HOLD</v>
      </c>
      <c r="D2718" s="14" t="n">
        <f aca="false">IF(C2718="BUY",B2718,IF(G2717="IN",D2717,""))</f>
        <v>58.9</v>
      </c>
      <c r="E2718" s="14" t="str">
        <f aca="false">IF(C2718="SELL",B2718,"")</f>
        <v/>
      </c>
      <c r="F2718" s="14" t="str">
        <f aca="false">IF(E2718="","",(E2718-D2718)/D2718*100)</f>
        <v/>
      </c>
      <c r="G2718" s="0" t="str">
        <f aca="false">IF(C2718="BUY","IN",IF(C2718="SELL","OUT",IF(G2717="IN","IN","OUT")))</f>
        <v>IN</v>
      </c>
      <c r="H2718" s="14" t="n">
        <f aca="false">H2717+IF(F2718="",0,F2718)</f>
        <v>55.1157901045106</v>
      </c>
      <c r="I2718" s="14" t="n">
        <f aca="false">MAX(I2717,H2718)</f>
        <v>55.1157901045106</v>
      </c>
      <c r="J2718" s="14" t="n">
        <f aca="false">I2718-H2718</f>
        <v>0</v>
      </c>
    </row>
    <row r="2719" customFormat="false" ht="15" hidden="false" customHeight="false" outlineLevel="0" collapsed="false">
      <c r="A2719" s="12" t="n">
        <f aca="false">Data!A2719</f>
        <v>45952</v>
      </c>
      <c r="B2719" s="14" t="n">
        <f aca="false">Data!B2719</f>
        <v>58.5</v>
      </c>
      <c r="C2719" s="0" t="str">
        <f aca="false">IF(Data!D2719="","HOLD",IF(AND(G2718&lt;&gt;"IN",Data!E2719&lt;-5),"BUY",IF(AND(G2718="IN",Data!E2719&gt;0),"SELL","HOLD")))</f>
        <v>HOLD</v>
      </c>
      <c r="D2719" s="14" t="n">
        <f aca="false">IF(C2719="BUY",B2719,IF(G2718="IN",D2718,""))</f>
        <v>58.9</v>
      </c>
      <c r="E2719" s="14" t="str">
        <f aca="false">IF(C2719="SELL",B2719,"")</f>
        <v/>
      </c>
      <c r="F2719" s="14" t="str">
        <f aca="false">IF(E2719="","",(E2719-D2719)/D2719*100)</f>
        <v/>
      </c>
      <c r="G2719" s="0" t="str">
        <f aca="false">IF(C2719="BUY","IN",IF(C2719="SELL","OUT",IF(G2718="IN","IN","OUT")))</f>
        <v>IN</v>
      </c>
      <c r="H2719" s="14" t="n">
        <f aca="false">H2718+IF(F2719="",0,F2719)</f>
        <v>55.1157901045106</v>
      </c>
      <c r="I2719" s="14" t="n">
        <f aca="false">MAX(I2718,H2719)</f>
        <v>55.1157901045106</v>
      </c>
      <c r="J2719" s="14" t="n">
        <f aca="false">I2719-H2719</f>
        <v>0</v>
      </c>
    </row>
    <row r="2720" customFormat="false" ht="15" hidden="false" customHeight="false" outlineLevel="0" collapsed="false">
      <c r="A2720" s="12" t="n">
        <f aca="false">Data!A2720</f>
        <v>45953</v>
      </c>
      <c r="B2720" s="14" t="n">
        <f aca="false">Data!B2720</f>
        <v>61.79</v>
      </c>
      <c r="C2720" s="0" t="str">
        <f aca="false">IF(Data!D2720="","HOLD",IF(AND(G2719&lt;&gt;"IN",Data!E2720&lt;-5),"BUY",IF(AND(G2719="IN",Data!E2720&gt;0),"SELL","HOLD")))</f>
        <v>SELL</v>
      </c>
      <c r="D2720" s="14" t="n">
        <f aca="false">IF(C2720="BUY",B2720,IF(G2719="IN",D2719,""))</f>
        <v>58.9</v>
      </c>
      <c r="E2720" s="14" t="n">
        <f aca="false">IF(C2720="SELL",B2720,"")</f>
        <v>61.79</v>
      </c>
      <c r="F2720" s="14" t="n">
        <f aca="false">IF(E2720="","",(E2720-D2720)/D2720*100)</f>
        <v>4.90662139219015</v>
      </c>
      <c r="G2720" s="0" t="str">
        <f aca="false">IF(C2720="BUY","IN",IF(C2720="SELL","OUT",IF(G2719="IN","IN","OUT")))</f>
        <v>OUT</v>
      </c>
      <c r="H2720" s="14" t="n">
        <f aca="false">H2719+IF(F2720="",0,F2720)</f>
        <v>60.0224114967007</v>
      </c>
      <c r="I2720" s="14" t="n">
        <f aca="false">MAX(I2719,H2720)</f>
        <v>60.0224114967007</v>
      </c>
      <c r="J2720" s="14" t="n">
        <f aca="false">I2720-H2720</f>
        <v>0</v>
      </c>
    </row>
    <row r="2721" customFormat="false" ht="15" hidden="false" customHeight="false" outlineLevel="0" collapsed="false">
      <c r="A2721" s="12" t="n">
        <f aca="false">Data!A2721</f>
        <v>45954</v>
      </c>
      <c r="B2721" s="14" t="n">
        <f aca="false">Data!B2721</f>
        <v>61.5</v>
      </c>
      <c r="C2721" s="0" t="str">
        <f aca="false">IF(Data!D2721="","HOLD",IF(AND(G2720&lt;&gt;"IN",Data!E2721&lt;-5),"BUY",IF(AND(G2720="IN",Data!E2721&gt;0),"SELL","HOLD")))</f>
        <v>HOLD</v>
      </c>
      <c r="D2721" s="14" t="str">
        <f aca="false">IF(C2721="BUY",B2721,IF(G2720="IN",D2720,""))</f>
        <v/>
      </c>
      <c r="E2721" s="14" t="str">
        <f aca="false">IF(C2721="SELL",B2721,"")</f>
        <v/>
      </c>
      <c r="F2721" s="14" t="str">
        <f aca="false">IF(E2721="","",(E2721-D2721)/D2721*100)</f>
        <v/>
      </c>
      <c r="G2721" s="0" t="str">
        <f aca="false">IF(C2721="BUY","IN",IF(C2721="SELL","OUT",IF(G2720="IN","IN","OUT")))</f>
        <v>OUT</v>
      </c>
      <c r="H2721" s="14" t="n">
        <f aca="false">H2720+IF(F2721="",0,F2721)</f>
        <v>60.0224114967007</v>
      </c>
      <c r="I2721" s="14" t="n">
        <f aca="false">MAX(I2720,H2721)</f>
        <v>60.0224114967007</v>
      </c>
      <c r="J2721" s="14" t="n">
        <f aca="false">I2721-H2721</f>
        <v>0</v>
      </c>
    </row>
    <row r="2722" customFormat="false" ht="15" hidden="false" customHeight="false" outlineLevel="0" collapsed="false">
      <c r="A2722" s="12" t="n">
        <f aca="false">Data!A2722</f>
        <v>45957</v>
      </c>
      <c r="B2722" s="14" t="n">
        <f aca="false">Data!B2722</f>
        <v>61.31</v>
      </c>
      <c r="C2722" s="0" t="str">
        <f aca="false">IF(Data!D2722="","HOLD",IF(AND(G2721&lt;&gt;"IN",Data!E2722&lt;-5),"BUY",IF(AND(G2721="IN",Data!E2722&gt;0),"SELL","HOLD")))</f>
        <v>HOLD</v>
      </c>
      <c r="D2722" s="14" t="str">
        <f aca="false">IF(C2722="BUY",B2722,IF(G2721="IN",D2721,""))</f>
        <v/>
      </c>
      <c r="E2722" s="14" t="str">
        <f aca="false">IF(C2722="SELL",B2722,"")</f>
        <v/>
      </c>
      <c r="F2722" s="14" t="str">
        <f aca="false">IF(E2722="","",(E2722-D2722)/D2722*100)</f>
        <v/>
      </c>
      <c r="G2722" s="0" t="str">
        <f aca="false">IF(C2722="BUY","IN",IF(C2722="SELL","OUT",IF(G2721="IN","IN","OUT")))</f>
        <v>OUT</v>
      </c>
      <c r="H2722" s="14" t="n">
        <f aca="false">H2721+IF(F2722="",0,F2722)</f>
        <v>60.0224114967007</v>
      </c>
      <c r="I2722" s="14" t="n">
        <f aca="false">MAX(I2721,H2722)</f>
        <v>60.0224114967007</v>
      </c>
      <c r="J2722" s="14" t="n">
        <f aca="false">I2722-H2722</f>
        <v>0</v>
      </c>
    </row>
    <row r="2723" customFormat="false" ht="15" hidden="false" customHeight="false" outlineLevel="0" collapsed="false">
      <c r="A2723" s="12" t="n">
        <f aca="false">Data!A2723</f>
        <v>45958</v>
      </c>
      <c r="B2723" s="14" t="n">
        <f aca="false">Data!B2723</f>
        <v>60.15</v>
      </c>
      <c r="C2723" s="0" t="str">
        <f aca="false">IF(Data!D2723="","HOLD",IF(AND(G2722&lt;&gt;"IN",Data!E2723&lt;-5),"BUY",IF(AND(G2722="IN",Data!E2723&gt;0),"SELL","HOLD")))</f>
        <v>HOLD</v>
      </c>
      <c r="D2723" s="14" t="str">
        <f aca="false">IF(C2723="BUY",B2723,IF(G2722="IN",D2722,""))</f>
        <v/>
      </c>
      <c r="E2723" s="14" t="str">
        <f aca="false">IF(C2723="SELL",B2723,"")</f>
        <v/>
      </c>
      <c r="F2723" s="14" t="str">
        <f aca="false">IF(E2723="","",(E2723-D2723)/D2723*100)</f>
        <v/>
      </c>
      <c r="G2723" s="0" t="str">
        <f aca="false">IF(C2723="BUY","IN",IF(C2723="SELL","OUT",IF(G2722="IN","IN","OUT")))</f>
        <v>OUT</v>
      </c>
      <c r="H2723" s="14" t="n">
        <f aca="false">H2722+IF(F2723="",0,F2723)</f>
        <v>60.0224114967007</v>
      </c>
      <c r="I2723" s="14" t="n">
        <f aca="false">MAX(I2722,H2723)</f>
        <v>60.0224114967007</v>
      </c>
      <c r="J2723" s="14" t="n">
        <f aca="false">I2723-H2723</f>
        <v>0</v>
      </c>
    </row>
    <row r="2724" customFormat="false" ht="15" hidden="false" customHeight="false" outlineLevel="0" collapsed="false">
      <c r="A2724" s="12" t="n">
        <f aca="false">Data!A2724</f>
        <v>45959</v>
      </c>
      <c r="B2724" s="14" t="n">
        <f aca="false">Data!B2724</f>
        <v>60.48</v>
      </c>
      <c r="C2724" s="0" t="str">
        <f aca="false">IF(Data!D2724="","HOLD",IF(AND(G2723&lt;&gt;"IN",Data!E2724&lt;-5),"BUY",IF(AND(G2723="IN",Data!E2724&gt;0),"SELL","HOLD")))</f>
        <v>HOLD</v>
      </c>
      <c r="D2724" s="14" t="str">
        <f aca="false">IF(C2724="BUY",B2724,IF(G2723="IN",D2723,""))</f>
        <v/>
      </c>
      <c r="E2724" s="14" t="str">
        <f aca="false">IF(C2724="SELL",B2724,"")</f>
        <v/>
      </c>
      <c r="F2724" s="14" t="str">
        <f aca="false">IF(E2724="","",(E2724-D2724)/D2724*100)</f>
        <v/>
      </c>
      <c r="G2724" s="0" t="str">
        <f aca="false">IF(C2724="BUY","IN",IF(C2724="SELL","OUT",IF(G2723="IN","IN","OUT")))</f>
        <v>OUT</v>
      </c>
      <c r="H2724" s="14" t="n">
        <f aca="false">H2723+IF(F2724="",0,F2724)</f>
        <v>60.0224114967007</v>
      </c>
      <c r="I2724" s="14" t="n">
        <f aca="false">MAX(I2723,H2724)</f>
        <v>60.0224114967007</v>
      </c>
      <c r="J2724" s="14" t="n">
        <f aca="false">I2724-H2724</f>
        <v>0</v>
      </c>
    </row>
    <row r="2725" customFormat="false" ht="15" hidden="false" customHeight="false" outlineLevel="0" collapsed="false">
      <c r="A2725" s="12" t="n">
        <f aca="false">Data!A2725</f>
        <v>45960</v>
      </c>
      <c r="B2725" s="14" t="n">
        <f aca="false">Data!B2725</f>
        <v>60.57</v>
      </c>
      <c r="C2725" s="0" t="str">
        <f aca="false">IF(Data!D2725="","HOLD",IF(AND(G2724&lt;&gt;"IN",Data!E2725&lt;-5),"BUY",IF(AND(G2724="IN",Data!E2725&gt;0),"SELL","HOLD")))</f>
        <v>HOLD</v>
      </c>
      <c r="D2725" s="14" t="str">
        <f aca="false">IF(C2725="BUY",B2725,IF(G2724="IN",D2724,""))</f>
        <v/>
      </c>
      <c r="E2725" s="14" t="str">
        <f aca="false">IF(C2725="SELL",B2725,"")</f>
        <v/>
      </c>
      <c r="F2725" s="14" t="str">
        <f aca="false">IF(E2725="","",(E2725-D2725)/D2725*100)</f>
        <v/>
      </c>
      <c r="G2725" s="0" t="str">
        <f aca="false">IF(C2725="BUY","IN",IF(C2725="SELL","OUT",IF(G2724="IN","IN","OUT")))</f>
        <v>OUT</v>
      </c>
      <c r="H2725" s="14" t="n">
        <f aca="false">H2724+IF(F2725="",0,F2725)</f>
        <v>60.0224114967007</v>
      </c>
      <c r="I2725" s="14" t="n">
        <f aca="false">MAX(I2724,H2725)</f>
        <v>60.0224114967007</v>
      </c>
      <c r="J2725" s="14" t="n">
        <f aca="false">I2725-H2725</f>
        <v>0</v>
      </c>
    </row>
    <row r="2726" customFormat="false" ht="15" hidden="false" customHeight="false" outlineLevel="0" collapsed="false">
      <c r="A2726" s="12" t="n">
        <f aca="false">Data!A2726</f>
        <v>45961</v>
      </c>
      <c r="B2726" s="14" t="n">
        <f aca="false">Data!B2726</f>
        <v>60.98</v>
      </c>
      <c r="C2726" s="0" t="str">
        <f aca="false">IF(Data!D2726="","HOLD",IF(AND(G2725&lt;&gt;"IN",Data!E2726&lt;-5),"BUY",IF(AND(G2725="IN",Data!E2726&gt;0),"SELL","HOLD")))</f>
        <v>HOLD</v>
      </c>
      <c r="D2726" s="14" t="str">
        <f aca="false">IF(C2726="BUY",B2726,IF(G2725="IN",D2725,""))</f>
        <v/>
      </c>
      <c r="E2726" s="14" t="str">
        <f aca="false">IF(C2726="SELL",B2726,"")</f>
        <v/>
      </c>
      <c r="F2726" s="14" t="str">
        <f aca="false">IF(E2726="","",(E2726-D2726)/D2726*100)</f>
        <v/>
      </c>
      <c r="G2726" s="0" t="str">
        <f aca="false">IF(C2726="BUY","IN",IF(C2726="SELL","OUT",IF(G2725="IN","IN","OUT")))</f>
        <v>OUT</v>
      </c>
      <c r="H2726" s="14" t="n">
        <f aca="false">H2725+IF(F2726="",0,F2726)</f>
        <v>60.0224114967007</v>
      </c>
      <c r="I2726" s="14" t="n">
        <f aca="false">MAX(I2725,H2726)</f>
        <v>60.0224114967007</v>
      </c>
      <c r="J2726" s="14" t="n">
        <f aca="false">I2726-H2726</f>
        <v>0</v>
      </c>
    </row>
    <row r="2727" customFormat="false" ht="15" hidden="false" customHeight="false" outlineLevel="0" collapsed="false">
      <c r="A2727" s="12" t="n">
        <f aca="false">Data!A2727</f>
        <v>45964</v>
      </c>
      <c r="B2727" s="14" t="n">
        <f aca="false">Data!B2727</f>
        <v>61.05</v>
      </c>
      <c r="C2727" s="0" t="str">
        <f aca="false">IF(Data!D2727="","HOLD",IF(AND(G2726&lt;&gt;"IN",Data!E2727&lt;-5),"BUY",IF(AND(G2726="IN",Data!E2727&gt;0),"SELL","HOLD")))</f>
        <v>HOLD</v>
      </c>
      <c r="D2727" s="14" t="str">
        <f aca="false">IF(C2727="BUY",B2727,IF(G2726="IN",D2726,""))</f>
        <v/>
      </c>
      <c r="E2727" s="14" t="str">
        <f aca="false">IF(C2727="SELL",B2727,"")</f>
        <v/>
      </c>
      <c r="F2727" s="14" t="str">
        <f aca="false">IF(E2727="","",(E2727-D2727)/D2727*100)</f>
        <v/>
      </c>
      <c r="G2727" s="0" t="str">
        <f aca="false">IF(C2727="BUY","IN",IF(C2727="SELL","OUT",IF(G2726="IN","IN","OUT")))</f>
        <v>OUT</v>
      </c>
      <c r="H2727" s="14" t="n">
        <f aca="false">H2726+IF(F2727="",0,F2727)</f>
        <v>60.0224114967007</v>
      </c>
      <c r="I2727" s="14" t="n">
        <f aca="false">MAX(I2726,H2727)</f>
        <v>60.0224114967007</v>
      </c>
      <c r="J2727" s="14" t="n">
        <f aca="false">I2727-H2727</f>
        <v>0</v>
      </c>
    </row>
    <row r="2728" customFormat="false" ht="15" hidden="false" customHeight="false" outlineLevel="0" collapsed="false">
      <c r="A2728" s="12" t="n">
        <f aca="false">Data!A2728</f>
        <v>45965</v>
      </c>
      <c r="B2728" s="14" t="n">
        <f aca="false">Data!B2728</f>
        <v>60.56</v>
      </c>
      <c r="C2728" s="0" t="str">
        <f aca="false">IF(Data!D2728="","HOLD",IF(AND(G2727&lt;&gt;"IN",Data!E2728&lt;-5),"BUY",IF(AND(G2727="IN",Data!E2728&gt;0),"SELL","HOLD")))</f>
        <v>HOLD</v>
      </c>
      <c r="D2728" s="14" t="str">
        <f aca="false">IF(C2728="BUY",B2728,IF(G2727="IN",D2727,""))</f>
        <v/>
      </c>
      <c r="E2728" s="14" t="str">
        <f aca="false">IF(C2728="SELL",B2728,"")</f>
        <v/>
      </c>
      <c r="F2728" s="14" t="str">
        <f aca="false">IF(E2728="","",(E2728-D2728)/D2728*100)</f>
        <v/>
      </c>
      <c r="G2728" s="0" t="str">
        <f aca="false">IF(C2728="BUY","IN",IF(C2728="SELL","OUT",IF(G2727="IN","IN","OUT")))</f>
        <v>OUT</v>
      </c>
      <c r="H2728" s="14" t="n">
        <f aca="false">H2727+IF(F2728="",0,F2728)</f>
        <v>60.0224114967007</v>
      </c>
      <c r="I2728" s="14" t="n">
        <f aca="false">MAX(I2727,H2728)</f>
        <v>60.0224114967007</v>
      </c>
      <c r="J2728" s="14" t="n">
        <f aca="false">I2728-H2728</f>
        <v>0</v>
      </c>
    </row>
    <row r="2729" customFormat="false" ht="15" hidden="false" customHeight="false" outlineLevel="0" collapsed="false">
      <c r="A2729" s="12" t="n">
        <f aca="false">Data!A2729</f>
        <v>45966</v>
      </c>
      <c r="B2729" s="14" t="n">
        <f aca="false">Data!B2729</f>
        <v>59.6</v>
      </c>
      <c r="C2729" s="0" t="str">
        <f aca="false">IF(Data!D2729="","HOLD",IF(AND(G2728&lt;&gt;"IN",Data!E2729&lt;-5),"BUY",IF(AND(G2728="IN",Data!E2729&gt;0),"SELL","HOLD")))</f>
        <v>HOLD</v>
      </c>
      <c r="D2729" s="14" t="str">
        <f aca="false">IF(C2729="BUY",B2729,IF(G2728="IN",D2728,""))</f>
        <v/>
      </c>
      <c r="E2729" s="14" t="str">
        <f aca="false">IF(C2729="SELL",B2729,"")</f>
        <v/>
      </c>
      <c r="F2729" s="14" t="str">
        <f aca="false">IF(E2729="","",(E2729-D2729)/D2729*100)</f>
        <v/>
      </c>
      <c r="G2729" s="0" t="str">
        <f aca="false">IF(C2729="BUY","IN",IF(C2729="SELL","OUT",IF(G2728="IN","IN","OUT")))</f>
        <v>OUT</v>
      </c>
      <c r="H2729" s="14" t="n">
        <f aca="false">H2728+IF(F2729="",0,F2729)</f>
        <v>60.0224114967007</v>
      </c>
      <c r="I2729" s="14" t="n">
        <f aca="false">MAX(I2728,H2729)</f>
        <v>60.0224114967007</v>
      </c>
      <c r="J2729" s="14" t="n">
        <f aca="false">I2729-H2729</f>
        <v>0</v>
      </c>
    </row>
    <row r="2730" customFormat="false" ht="15" hidden="false" customHeight="false" outlineLevel="0" collapsed="false">
      <c r="A2730" s="12" t="n">
        <f aca="false">Data!A2730</f>
        <v>45967</v>
      </c>
      <c r="B2730" s="14" t="n">
        <f aca="false">Data!B2730</f>
        <v>59.43</v>
      </c>
      <c r="C2730" s="0" t="str">
        <f aca="false">IF(Data!D2730="","HOLD",IF(AND(G2729&lt;&gt;"IN",Data!E2730&lt;-5),"BUY",IF(AND(G2729="IN",Data!E2730&gt;0),"SELL","HOLD")))</f>
        <v>HOLD</v>
      </c>
      <c r="D2730" s="14" t="str">
        <f aca="false">IF(C2730="BUY",B2730,IF(G2729="IN",D2729,""))</f>
        <v/>
      </c>
      <c r="E2730" s="14" t="str">
        <f aca="false">IF(C2730="SELL",B2730,"")</f>
        <v/>
      </c>
      <c r="F2730" s="14" t="str">
        <f aca="false">IF(E2730="","",(E2730-D2730)/D2730*100)</f>
        <v/>
      </c>
      <c r="G2730" s="0" t="str">
        <f aca="false">IF(C2730="BUY","IN",IF(C2730="SELL","OUT",IF(G2729="IN","IN","OUT")))</f>
        <v>OUT</v>
      </c>
      <c r="H2730" s="14" t="n">
        <f aca="false">H2729+IF(F2730="",0,F2730)</f>
        <v>60.0224114967007</v>
      </c>
      <c r="I2730" s="14" t="n">
        <f aca="false">MAX(I2729,H2730)</f>
        <v>60.0224114967007</v>
      </c>
      <c r="J2730" s="14" t="n">
        <f aca="false">I2730-H2730</f>
        <v>0</v>
      </c>
    </row>
    <row r="2731" customFormat="false" ht="15" hidden="false" customHeight="false" outlineLevel="0" collapsed="false">
      <c r="A2731" s="12" t="n">
        <f aca="false">Data!A2731</f>
        <v>45968</v>
      </c>
      <c r="B2731" s="14" t="n">
        <f aca="false">Data!B2731</f>
        <v>59.75</v>
      </c>
      <c r="C2731" s="0" t="str">
        <f aca="false">IF(Data!D2731="","HOLD",IF(AND(G2730&lt;&gt;"IN",Data!E2731&lt;-5),"BUY",IF(AND(G2730="IN",Data!E2731&gt;0),"SELL","HOLD")))</f>
        <v>HOLD</v>
      </c>
      <c r="D2731" s="14" t="str">
        <f aca="false">IF(C2731="BUY",B2731,IF(G2730="IN",D2730,""))</f>
        <v/>
      </c>
      <c r="E2731" s="14" t="str">
        <f aca="false">IF(C2731="SELL",B2731,"")</f>
        <v/>
      </c>
      <c r="F2731" s="14" t="str">
        <f aca="false">IF(E2731="","",(E2731-D2731)/D2731*100)</f>
        <v/>
      </c>
      <c r="G2731" s="0" t="str">
        <f aca="false">IF(C2731="BUY","IN",IF(C2731="SELL","OUT",IF(G2730="IN","IN","OUT")))</f>
        <v>OUT</v>
      </c>
      <c r="H2731" s="14" t="n">
        <f aca="false">H2730+IF(F2731="",0,F2731)</f>
        <v>60.0224114967007</v>
      </c>
      <c r="I2731" s="14" t="n">
        <f aca="false">MAX(I2730,H2731)</f>
        <v>60.0224114967007</v>
      </c>
      <c r="J2731" s="14" t="n">
        <f aca="false">I2731-H2731</f>
        <v>0</v>
      </c>
    </row>
    <row r="2732" customFormat="false" ht="15" hidden="false" customHeight="false" outlineLevel="0" collapsed="false">
      <c r="A2732" s="12" t="n">
        <f aca="false">Data!A2732</f>
        <v>45971</v>
      </c>
      <c r="B2732" s="14" t="n">
        <f aca="false">Data!B2732</f>
        <v>60.13</v>
      </c>
      <c r="C2732" s="0" t="str">
        <f aca="false">IF(Data!D2732="","HOLD",IF(AND(G2731&lt;&gt;"IN",Data!E2732&lt;-5),"BUY",IF(AND(G2731="IN",Data!E2732&gt;0),"SELL","HOLD")))</f>
        <v>HOLD</v>
      </c>
      <c r="D2732" s="14" t="str">
        <f aca="false">IF(C2732="BUY",B2732,IF(G2731="IN",D2731,""))</f>
        <v/>
      </c>
      <c r="E2732" s="14" t="str">
        <f aca="false">IF(C2732="SELL",B2732,"")</f>
        <v/>
      </c>
      <c r="F2732" s="14" t="str">
        <f aca="false">IF(E2732="","",(E2732-D2732)/D2732*100)</f>
        <v/>
      </c>
      <c r="G2732" s="0" t="str">
        <f aca="false">IF(C2732="BUY","IN",IF(C2732="SELL","OUT",IF(G2731="IN","IN","OUT")))</f>
        <v>OUT</v>
      </c>
      <c r="H2732" s="14" t="n">
        <f aca="false">H2731+IF(F2732="",0,F2732)</f>
        <v>60.0224114967007</v>
      </c>
      <c r="I2732" s="14" t="n">
        <f aca="false">MAX(I2731,H2732)</f>
        <v>60.0224114967007</v>
      </c>
      <c r="J2732" s="14" t="n">
        <f aca="false">I2732-H2732</f>
        <v>0</v>
      </c>
    </row>
    <row r="2733" customFormat="false" ht="15" hidden="false" customHeight="false" outlineLevel="0" collapsed="false">
      <c r="A2733" s="12" t="n">
        <f aca="false">Data!A2733</f>
        <v>45972</v>
      </c>
      <c r="B2733" s="14" t="n">
        <f aca="false">Data!B2733</f>
        <v>61.04</v>
      </c>
      <c r="C2733" s="0" t="str">
        <f aca="false">IF(Data!D2733="","HOLD",IF(AND(G2732&lt;&gt;"IN",Data!E2733&lt;-5),"BUY",IF(AND(G2732="IN",Data!E2733&gt;0),"SELL","HOLD")))</f>
        <v>HOLD</v>
      </c>
      <c r="D2733" s="14" t="str">
        <f aca="false">IF(C2733="BUY",B2733,IF(G2732="IN",D2732,""))</f>
        <v/>
      </c>
      <c r="E2733" s="14" t="str">
        <f aca="false">IF(C2733="SELL",B2733,"")</f>
        <v/>
      </c>
      <c r="F2733" s="14" t="str">
        <f aca="false">IF(E2733="","",(E2733-D2733)/D2733*100)</f>
        <v/>
      </c>
      <c r="G2733" s="0" t="str">
        <f aca="false">IF(C2733="BUY","IN",IF(C2733="SELL","OUT",IF(G2732="IN","IN","OUT")))</f>
        <v>OUT</v>
      </c>
      <c r="H2733" s="14" t="n">
        <f aca="false">H2732+IF(F2733="",0,F2733)</f>
        <v>60.0224114967007</v>
      </c>
      <c r="I2733" s="14" t="n">
        <f aca="false">MAX(I2732,H2733)</f>
        <v>60.0224114967007</v>
      </c>
      <c r="J2733" s="14" t="n">
        <f aca="false">I2733-H2733</f>
        <v>0</v>
      </c>
    </row>
    <row r="2734" customFormat="false" ht="15" hidden="false" customHeight="false" outlineLevel="0" collapsed="false">
      <c r="A2734" s="12" t="n">
        <f aca="false">Data!A2734</f>
        <v>45973</v>
      </c>
      <c r="B2734" s="14" t="n">
        <f aca="false">Data!B2734</f>
        <v>58.49</v>
      </c>
      <c r="C2734" s="0" t="str">
        <f aca="false">IF(Data!D2734="","HOLD",IF(AND(G2733&lt;&gt;"IN",Data!E2734&lt;-5),"BUY",IF(AND(G2733="IN",Data!E2734&gt;0),"SELL","HOLD")))</f>
        <v>HOLD</v>
      </c>
      <c r="D2734" s="14" t="str">
        <f aca="false">IF(C2734="BUY",B2734,IF(G2733="IN",D2733,""))</f>
        <v/>
      </c>
      <c r="E2734" s="14" t="str">
        <f aca="false">IF(C2734="SELL",B2734,"")</f>
        <v/>
      </c>
      <c r="F2734" s="14" t="str">
        <f aca="false">IF(E2734="","",(E2734-D2734)/D2734*100)</f>
        <v/>
      </c>
      <c r="G2734" s="0" t="str">
        <f aca="false">IF(C2734="BUY","IN",IF(C2734="SELL","OUT",IF(G2733="IN","IN","OUT")))</f>
        <v>OUT</v>
      </c>
      <c r="H2734" s="14" t="n">
        <f aca="false">H2733+IF(F2734="",0,F2734)</f>
        <v>60.0224114967007</v>
      </c>
      <c r="I2734" s="14" t="n">
        <f aca="false">MAX(I2733,H2734)</f>
        <v>60.0224114967007</v>
      </c>
      <c r="J2734" s="14" t="n">
        <f aca="false">I2734-H2734</f>
        <v>0</v>
      </c>
    </row>
    <row r="2735" customFormat="false" ht="15" hidden="false" customHeight="false" outlineLevel="0" collapsed="false">
      <c r="A2735" s="12" t="n">
        <f aca="false">Data!A2735</f>
        <v>45974</v>
      </c>
      <c r="B2735" s="14" t="n">
        <f aca="false">Data!B2735</f>
        <v>58.69</v>
      </c>
      <c r="C2735" s="0" t="str">
        <f aca="false">IF(Data!D2735="","HOLD",IF(AND(G2734&lt;&gt;"IN",Data!E2735&lt;-5),"BUY",IF(AND(G2734="IN",Data!E2735&gt;0),"SELL","HOLD")))</f>
        <v>HOLD</v>
      </c>
      <c r="D2735" s="14" t="str">
        <f aca="false">IF(C2735="BUY",B2735,IF(G2734="IN",D2734,""))</f>
        <v/>
      </c>
      <c r="E2735" s="14" t="str">
        <f aca="false">IF(C2735="SELL",B2735,"")</f>
        <v/>
      </c>
      <c r="F2735" s="14" t="str">
        <f aca="false">IF(E2735="","",(E2735-D2735)/D2735*100)</f>
        <v/>
      </c>
      <c r="G2735" s="0" t="str">
        <f aca="false">IF(C2735="BUY","IN",IF(C2735="SELL","OUT",IF(G2734="IN","IN","OUT")))</f>
        <v>OUT</v>
      </c>
      <c r="H2735" s="14" t="n">
        <f aca="false">H2734+IF(F2735="",0,F2735)</f>
        <v>60.0224114967007</v>
      </c>
      <c r="I2735" s="14" t="n">
        <f aca="false">MAX(I2734,H2735)</f>
        <v>60.0224114967007</v>
      </c>
      <c r="J2735" s="14" t="n">
        <f aca="false">I2735-H2735</f>
        <v>0</v>
      </c>
    </row>
    <row r="2736" customFormat="false" ht="15" hidden="false" customHeight="false" outlineLevel="0" collapsed="false">
      <c r="A2736" s="12" t="n">
        <f aca="false">Data!A2736</f>
        <v>45975</v>
      </c>
      <c r="B2736" s="14" t="n">
        <f aca="false">Data!B2736</f>
        <v>60.09</v>
      </c>
      <c r="C2736" s="0" t="str">
        <f aca="false">IF(Data!D2736="","HOLD",IF(AND(G2735&lt;&gt;"IN",Data!E2736&lt;-5),"BUY",IF(AND(G2735="IN",Data!E2736&gt;0),"SELL","HOLD")))</f>
        <v>HOLD</v>
      </c>
      <c r="D2736" s="14" t="str">
        <f aca="false">IF(C2736="BUY",B2736,IF(G2735="IN",D2735,""))</f>
        <v/>
      </c>
      <c r="E2736" s="14" t="str">
        <f aca="false">IF(C2736="SELL",B2736,"")</f>
        <v/>
      </c>
      <c r="F2736" s="14" t="str">
        <f aca="false">IF(E2736="","",(E2736-D2736)/D2736*100)</f>
        <v/>
      </c>
      <c r="G2736" s="0" t="str">
        <f aca="false">IF(C2736="BUY","IN",IF(C2736="SELL","OUT",IF(G2735="IN","IN","OUT")))</f>
        <v>OUT</v>
      </c>
      <c r="H2736" s="14" t="n">
        <f aca="false">H2735+IF(F2736="",0,F2736)</f>
        <v>60.0224114967007</v>
      </c>
      <c r="I2736" s="14" t="n">
        <f aca="false">MAX(I2735,H2736)</f>
        <v>60.0224114967007</v>
      </c>
      <c r="J2736" s="14" t="n">
        <f aca="false">I2736-H2736</f>
        <v>0</v>
      </c>
    </row>
    <row r="2737" customFormat="false" ht="15" hidden="false" customHeight="false" outlineLevel="0" collapsed="false">
      <c r="A2737" s="12" t="n">
        <f aca="false">Data!A2737</f>
        <v>45978</v>
      </c>
      <c r="B2737" s="14" t="n">
        <f aca="false">Data!B2737</f>
        <v>59.91</v>
      </c>
      <c r="C2737" s="0" t="str">
        <f aca="false">IF(Data!D2737="","HOLD",IF(AND(G2736&lt;&gt;"IN",Data!E2737&lt;-5),"BUY",IF(AND(G2736="IN",Data!E2737&gt;0),"SELL","HOLD")))</f>
        <v>HOLD</v>
      </c>
      <c r="D2737" s="14" t="str">
        <f aca="false">IF(C2737="BUY",B2737,IF(G2736="IN",D2736,""))</f>
        <v/>
      </c>
      <c r="E2737" s="14" t="str">
        <f aca="false">IF(C2737="SELL",B2737,"")</f>
        <v/>
      </c>
      <c r="F2737" s="14" t="str">
        <f aca="false">IF(E2737="","",(E2737-D2737)/D2737*100)</f>
        <v/>
      </c>
      <c r="G2737" s="0" t="str">
        <f aca="false">IF(C2737="BUY","IN",IF(C2737="SELL","OUT",IF(G2736="IN","IN","OUT")))</f>
        <v>OUT</v>
      </c>
      <c r="H2737" s="14" t="n">
        <f aca="false">H2736+IF(F2737="",0,F2737)</f>
        <v>60.0224114967007</v>
      </c>
      <c r="I2737" s="14" t="n">
        <f aca="false">MAX(I2736,H2737)</f>
        <v>60.0224114967007</v>
      </c>
      <c r="J2737" s="14" t="n">
        <f aca="false">I2737-H2737</f>
        <v>0</v>
      </c>
    </row>
    <row r="2738" customFormat="false" ht="15" hidden="false" customHeight="false" outlineLevel="0" collapsed="false">
      <c r="A2738" s="12" t="n">
        <f aca="false">Data!A2738</f>
        <v>45979</v>
      </c>
      <c r="B2738" s="14" t="n">
        <f aca="false">Data!B2738</f>
        <v>60.74</v>
      </c>
      <c r="C2738" s="0" t="str">
        <f aca="false">IF(Data!D2738="","HOLD",IF(AND(G2737&lt;&gt;"IN",Data!E2738&lt;-5),"BUY",IF(AND(G2737="IN",Data!E2738&gt;0),"SELL","HOLD")))</f>
        <v>HOLD</v>
      </c>
      <c r="D2738" s="14" t="str">
        <f aca="false">IF(C2738="BUY",B2738,IF(G2737="IN",D2737,""))</f>
        <v/>
      </c>
      <c r="E2738" s="14" t="str">
        <f aca="false">IF(C2738="SELL",B2738,"")</f>
        <v/>
      </c>
      <c r="F2738" s="14" t="str">
        <f aca="false">IF(E2738="","",(E2738-D2738)/D2738*100)</f>
        <v/>
      </c>
      <c r="G2738" s="0" t="str">
        <f aca="false">IF(C2738="BUY","IN",IF(C2738="SELL","OUT",IF(G2737="IN","IN","OUT")))</f>
        <v>OUT</v>
      </c>
      <c r="H2738" s="14" t="n">
        <f aca="false">H2737+IF(F2738="",0,F2738)</f>
        <v>60.0224114967007</v>
      </c>
      <c r="I2738" s="14" t="n">
        <f aca="false">MAX(I2737,H2738)</f>
        <v>60.0224114967007</v>
      </c>
      <c r="J2738" s="14" t="n">
        <f aca="false">I2738-H2738</f>
        <v>0</v>
      </c>
    </row>
    <row r="2739" customFormat="false" ht="15" hidden="false" customHeight="false" outlineLevel="0" collapsed="false">
      <c r="A2739" s="12" t="n">
        <f aca="false">Data!A2739</f>
        <v>45980</v>
      </c>
      <c r="B2739" s="14" t="n">
        <f aca="false">Data!B2739</f>
        <v>59.44</v>
      </c>
      <c r="C2739" s="0" t="str">
        <f aca="false">IF(Data!D2739="","HOLD",IF(AND(G2738&lt;&gt;"IN",Data!E2739&lt;-5),"BUY",IF(AND(G2738="IN",Data!E2739&gt;0),"SELL","HOLD")))</f>
        <v>HOLD</v>
      </c>
      <c r="D2739" s="14" t="str">
        <f aca="false">IF(C2739="BUY",B2739,IF(G2738="IN",D2738,""))</f>
        <v/>
      </c>
      <c r="E2739" s="14" t="str">
        <f aca="false">IF(C2739="SELL",B2739,"")</f>
        <v/>
      </c>
      <c r="F2739" s="14" t="str">
        <f aca="false">IF(E2739="","",(E2739-D2739)/D2739*100)</f>
        <v/>
      </c>
      <c r="G2739" s="0" t="str">
        <f aca="false">IF(C2739="BUY","IN",IF(C2739="SELL","OUT",IF(G2738="IN","IN","OUT")))</f>
        <v>OUT</v>
      </c>
      <c r="H2739" s="14" t="n">
        <f aca="false">H2738+IF(F2739="",0,F2739)</f>
        <v>60.0224114967007</v>
      </c>
      <c r="I2739" s="14" t="n">
        <f aca="false">MAX(I2738,H2739)</f>
        <v>60.0224114967007</v>
      </c>
      <c r="J2739" s="14" t="n">
        <f aca="false">I2739-H2739</f>
        <v>0</v>
      </c>
    </row>
    <row r="2740" customFormat="false" ht="15" hidden="false" customHeight="false" outlineLevel="0" collapsed="false">
      <c r="A2740" s="12" t="n">
        <f aca="false">Data!A2740</f>
        <v>45981</v>
      </c>
      <c r="B2740" s="14" t="n">
        <f aca="false">Data!B2740</f>
        <v>59.14</v>
      </c>
      <c r="C2740" s="0" t="str">
        <f aca="false">IF(Data!D2740="","HOLD",IF(AND(G2739&lt;&gt;"IN",Data!E2740&lt;-5),"BUY",IF(AND(G2739="IN",Data!E2740&gt;0),"SELL","HOLD")))</f>
        <v>HOLD</v>
      </c>
      <c r="D2740" s="14" t="str">
        <f aca="false">IF(C2740="BUY",B2740,IF(G2739="IN",D2739,""))</f>
        <v/>
      </c>
      <c r="E2740" s="14" t="str">
        <f aca="false">IF(C2740="SELL",B2740,"")</f>
        <v/>
      </c>
      <c r="F2740" s="14" t="str">
        <f aca="false">IF(E2740="","",(E2740-D2740)/D2740*100)</f>
        <v/>
      </c>
      <c r="G2740" s="0" t="str">
        <f aca="false">IF(C2740="BUY","IN",IF(C2740="SELL","OUT",IF(G2739="IN","IN","OUT")))</f>
        <v>OUT</v>
      </c>
      <c r="H2740" s="14" t="n">
        <f aca="false">H2739+IF(F2740="",0,F2740)</f>
        <v>60.0224114967007</v>
      </c>
      <c r="I2740" s="14" t="n">
        <f aca="false">MAX(I2739,H2740)</f>
        <v>60.0224114967007</v>
      </c>
      <c r="J2740" s="14" t="n">
        <f aca="false">I2740-H2740</f>
        <v>0</v>
      </c>
    </row>
    <row r="2741" customFormat="false" ht="15" hidden="false" customHeight="false" outlineLevel="0" collapsed="false">
      <c r="A2741" s="12" t="n">
        <f aca="false">Data!A2741</f>
        <v>45982</v>
      </c>
      <c r="B2741" s="14" t="n">
        <f aca="false">Data!B2741</f>
        <v>58.06</v>
      </c>
      <c r="C2741" s="0" t="str">
        <f aca="false">IF(Data!D2741="","HOLD",IF(AND(G2740&lt;&gt;"IN",Data!E2741&lt;-5),"BUY",IF(AND(G2740="IN",Data!E2741&gt;0),"SELL","HOLD")))</f>
        <v>HOLD</v>
      </c>
      <c r="D2741" s="14" t="str">
        <f aca="false">IF(C2741="BUY",B2741,IF(G2740="IN",D2740,""))</f>
        <v/>
      </c>
      <c r="E2741" s="14" t="str">
        <f aca="false">IF(C2741="SELL",B2741,"")</f>
        <v/>
      </c>
      <c r="F2741" s="14" t="str">
        <f aca="false">IF(E2741="","",(E2741-D2741)/D2741*100)</f>
        <v/>
      </c>
      <c r="G2741" s="0" t="str">
        <f aca="false">IF(C2741="BUY","IN",IF(C2741="SELL","OUT",IF(G2740="IN","IN","OUT")))</f>
        <v>OUT</v>
      </c>
      <c r="H2741" s="14" t="n">
        <f aca="false">H2740+IF(F2741="",0,F2741)</f>
        <v>60.0224114967007</v>
      </c>
      <c r="I2741" s="14" t="n">
        <f aca="false">MAX(I2740,H2741)</f>
        <v>60.0224114967007</v>
      </c>
      <c r="J2741" s="14" t="n">
        <f aca="false">I2741-H2741</f>
        <v>0</v>
      </c>
    </row>
    <row r="2742" customFormat="false" ht="15" hidden="false" customHeight="false" outlineLevel="0" collapsed="false">
      <c r="A2742" s="12" t="n">
        <f aca="false">Data!A2742</f>
        <v>45985</v>
      </c>
      <c r="B2742" s="14" t="n">
        <f aca="false">Data!B2742</f>
        <v>58.84</v>
      </c>
      <c r="C2742" s="0" t="str">
        <f aca="false">IF(Data!D2742="","HOLD",IF(AND(G2741&lt;&gt;"IN",Data!E2742&lt;-5),"BUY",IF(AND(G2741="IN",Data!E2742&gt;0),"SELL","HOLD")))</f>
        <v>HOLD</v>
      </c>
      <c r="D2742" s="14" t="str">
        <f aca="false">IF(C2742="BUY",B2742,IF(G2741="IN",D2741,""))</f>
        <v/>
      </c>
      <c r="E2742" s="14" t="str">
        <f aca="false">IF(C2742="SELL",B2742,"")</f>
        <v/>
      </c>
      <c r="F2742" s="14" t="str">
        <f aca="false">IF(E2742="","",(E2742-D2742)/D2742*100)</f>
        <v/>
      </c>
      <c r="G2742" s="0" t="str">
        <f aca="false">IF(C2742="BUY","IN",IF(C2742="SELL","OUT",IF(G2741="IN","IN","OUT")))</f>
        <v>OUT</v>
      </c>
      <c r="H2742" s="14" t="n">
        <f aca="false">H2741+IF(F2742="",0,F2742)</f>
        <v>60.0224114967007</v>
      </c>
      <c r="I2742" s="14" t="n">
        <f aca="false">MAX(I2741,H2742)</f>
        <v>60.0224114967007</v>
      </c>
      <c r="J2742" s="14" t="n">
        <f aca="false">I2742-H2742</f>
        <v>0</v>
      </c>
    </row>
    <row r="2743" customFormat="false" ht="15" hidden="false" customHeight="false" outlineLevel="0" collapsed="false">
      <c r="A2743" s="12" t="n">
        <f aca="false">Data!A2743</f>
        <v>45986</v>
      </c>
      <c r="B2743" s="14" t="n">
        <f aca="false">Data!B2743</f>
        <v>57.95</v>
      </c>
      <c r="C2743" s="0" t="str">
        <f aca="false">IF(Data!D2743="","HOLD",IF(AND(G2742&lt;&gt;"IN",Data!E2743&lt;-5),"BUY",IF(AND(G2742="IN",Data!E2743&gt;0),"SELL","HOLD")))</f>
        <v>HOLD</v>
      </c>
      <c r="D2743" s="14" t="str">
        <f aca="false">IF(C2743="BUY",B2743,IF(G2742="IN",D2742,""))</f>
        <v/>
      </c>
      <c r="E2743" s="14" t="str">
        <f aca="false">IF(C2743="SELL",B2743,"")</f>
        <v/>
      </c>
      <c r="F2743" s="14" t="str">
        <f aca="false">IF(E2743="","",(E2743-D2743)/D2743*100)</f>
        <v/>
      </c>
      <c r="G2743" s="0" t="str">
        <f aca="false">IF(C2743="BUY","IN",IF(C2743="SELL","OUT",IF(G2742="IN","IN","OUT")))</f>
        <v>OUT</v>
      </c>
      <c r="H2743" s="14" t="n">
        <f aca="false">H2742+IF(F2743="",0,F2743)</f>
        <v>60.0224114967007</v>
      </c>
      <c r="I2743" s="14" t="n">
        <f aca="false">MAX(I2742,H2743)</f>
        <v>60.0224114967007</v>
      </c>
      <c r="J2743" s="14" t="n">
        <f aca="false">I2743-H2743</f>
        <v>0</v>
      </c>
    </row>
    <row r="2744" customFormat="false" ht="15" hidden="false" customHeight="false" outlineLevel="0" collapsed="false">
      <c r="A2744" s="12" t="n">
        <f aca="false">Data!A2744</f>
        <v>45987</v>
      </c>
      <c r="B2744" s="14" t="n">
        <f aca="false">Data!B2744</f>
        <v>58.65</v>
      </c>
      <c r="C2744" s="0" t="str">
        <f aca="false">IF(Data!D2744="","HOLD",IF(AND(G2743&lt;&gt;"IN",Data!E2744&lt;-5),"BUY",IF(AND(G2743="IN",Data!E2744&gt;0),"SELL","HOLD")))</f>
        <v>HOLD</v>
      </c>
      <c r="D2744" s="14" t="str">
        <f aca="false">IF(C2744="BUY",B2744,IF(G2743="IN",D2743,""))</f>
        <v/>
      </c>
      <c r="E2744" s="14" t="str">
        <f aca="false">IF(C2744="SELL",B2744,"")</f>
        <v/>
      </c>
      <c r="F2744" s="14" t="str">
        <f aca="false">IF(E2744="","",(E2744-D2744)/D2744*100)</f>
        <v/>
      </c>
      <c r="G2744" s="0" t="str">
        <f aca="false">IF(C2744="BUY","IN",IF(C2744="SELL","OUT",IF(G2743="IN","IN","OUT")))</f>
        <v>OUT</v>
      </c>
      <c r="H2744" s="14" t="n">
        <f aca="false">H2743+IF(F2744="",0,F2744)</f>
        <v>60.0224114967007</v>
      </c>
      <c r="I2744" s="14" t="n">
        <f aca="false">MAX(I2743,H2744)</f>
        <v>60.0224114967007</v>
      </c>
      <c r="J2744" s="14" t="n">
        <f aca="false">I2744-H2744</f>
        <v>0</v>
      </c>
    </row>
    <row r="2745" customFormat="false" ht="15" hidden="false" customHeight="false" outlineLevel="0" collapsed="false">
      <c r="A2745" s="12" t="n">
        <f aca="false">Data!A2745</f>
        <v>45989</v>
      </c>
      <c r="B2745" s="14" t="n">
        <f aca="false">Data!B2745</f>
        <v>58.55</v>
      </c>
      <c r="C2745" s="0" t="str">
        <f aca="false">IF(Data!D2745="","HOLD",IF(AND(G2744&lt;&gt;"IN",Data!E2745&lt;-5),"BUY",IF(AND(G2744="IN",Data!E2745&gt;0),"SELL","HOLD")))</f>
        <v>HOLD</v>
      </c>
      <c r="D2745" s="14" t="str">
        <f aca="false">IF(C2745="BUY",B2745,IF(G2744="IN",D2744,""))</f>
        <v/>
      </c>
      <c r="E2745" s="14" t="str">
        <f aca="false">IF(C2745="SELL",B2745,"")</f>
        <v/>
      </c>
      <c r="F2745" s="14" t="str">
        <f aca="false">IF(E2745="","",(E2745-D2745)/D2745*100)</f>
        <v/>
      </c>
      <c r="G2745" s="0" t="str">
        <f aca="false">IF(C2745="BUY","IN",IF(C2745="SELL","OUT",IF(G2744="IN","IN","OUT")))</f>
        <v>OUT</v>
      </c>
      <c r="H2745" s="14" t="n">
        <f aca="false">H2744+IF(F2745="",0,F2745)</f>
        <v>60.0224114967007</v>
      </c>
      <c r="I2745" s="14" t="n">
        <f aca="false">MAX(I2744,H2745)</f>
        <v>60.0224114967007</v>
      </c>
      <c r="J2745" s="14" t="n">
        <f aca="false">I2745-H2745</f>
        <v>0</v>
      </c>
    </row>
    <row r="2746" customFormat="false" ht="15" hidden="false" customHeight="false" outlineLevel="0" collapsed="false">
      <c r="A2746" s="12" t="n">
        <f aca="false">Data!A2746</f>
        <v>45992</v>
      </c>
      <c r="B2746" s="14" t="n">
        <f aca="false">Data!B2746</f>
        <v>59.32</v>
      </c>
      <c r="C2746" s="0" t="str">
        <f aca="false">IF(Data!D2746="","HOLD",IF(AND(G2745&lt;&gt;"IN",Data!E2746&lt;-5),"BUY",IF(AND(G2745="IN",Data!E2746&gt;0),"SELL","HOLD")))</f>
        <v>HOLD</v>
      </c>
      <c r="D2746" s="14" t="str">
        <f aca="false">IF(C2746="BUY",B2746,IF(G2745="IN",D2745,""))</f>
        <v/>
      </c>
      <c r="E2746" s="14" t="str">
        <f aca="false">IF(C2746="SELL",B2746,"")</f>
        <v/>
      </c>
      <c r="F2746" s="14" t="str">
        <f aca="false">IF(E2746="","",(E2746-D2746)/D2746*100)</f>
        <v/>
      </c>
      <c r="G2746" s="0" t="str">
        <f aca="false">IF(C2746="BUY","IN",IF(C2746="SELL","OUT",IF(G2745="IN","IN","OUT")))</f>
        <v>OUT</v>
      </c>
      <c r="H2746" s="14" t="n">
        <f aca="false">H2745+IF(F2746="",0,F2746)</f>
        <v>60.0224114967007</v>
      </c>
      <c r="I2746" s="14" t="n">
        <f aca="false">MAX(I2745,H2746)</f>
        <v>60.0224114967007</v>
      </c>
      <c r="J2746" s="14" t="n">
        <f aca="false">I2746-H2746</f>
        <v>0</v>
      </c>
    </row>
    <row r="2747" customFormat="false" ht="15" hidden="false" customHeight="false" outlineLevel="0" collapsed="false">
      <c r="A2747" s="12" t="n">
        <f aca="false">Data!A2747</f>
        <v>45993</v>
      </c>
      <c r="B2747" s="14" t="n">
        <f aca="false">Data!B2747</f>
        <v>58.64</v>
      </c>
      <c r="C2747" s="0" t="str">
        <f aca="false">IF(Data!D2747="","HOLD",IF(AND(G2746&lt;&gt;"IN",Data!E2747&lt;-5),"BUY",IF(AND(G2746="IN",Data!E2747&gt;0),"SELL","HOLD")))</f>
        <v>HOLD</v>
      </c>
      <c r="D2747" s="14" t="str">
        <f aca="false">IF(C2747="BUY",B2747,IF(G2746="IN",D2746,""))</f>
        <v/>
      </c>
      <c r="E2747" s="14" t="str">
        <f aca="false">IF(C2747="SELL",B2747,"")</f>
        <v/>
      </c>
      <c r="F2747" s="14" t="str">
        <f aca="false">IF(E2747="","",(E2747-D2747)/D2747*100)</f>
        <v/>
      </c>
      <c r="G2747" s="0" t="str">
        <f aca="false">IF(C2747="BUY","IN",IF(C2747="SELL","OUT",IF(G2746="IN","IN","OUT")))</f>
        <v>OUT</v>
      </c>
      <c r="H2747" s="14" t="n">
        <f aca="false">H2746+IF(F2747="",0,F2747)</f>
        <v>60.0224114967007</v>
      </c>
      <c r="I2747" s="14" t="n">
        <f aca="false">MAX(I2746,H2747)</f>
        <v>60.0224114967007</v>
      </c>
      <c r="J2747" s="14" t="n">
        <f aca="false">I2747-H2747</f>
        <v>0</v>
      </c>
    </row>
    <row r="2748" customFormat="false" ht="15" hidden="false" customHeight="false" outlineLevel="0" collapsed="false">
      <c r="A2748" s="12" t="n">
        <f aca="false">Data!A2748</f>
        <v>45994</v>
      </c>
      <c r="B2748" s="14" t="n">
        <f aca="false">Data!B2748</f>
        <v>58.95</v>
      </c>
      <c r="C2748" s="0" t="str">
        <f aca="false">IF(Data!D2748="","HOLD",IF(AND(G2747&lt;&gt;"IN",Data!E2748&lt;-5),"BUY",IF(AND(G2747="IN",Data!E2748&gt;0),"SELL","HOLD")))</f>
        <v>HOLD</v>
      </c>
      <c r="D2748" s="14" t="str">
        <f aca="false">IF(C2748="BUY",B2748,IF(G2747="IN",D2747,""))</f>
        <v/>
      </c>
      <c r="E2748" s="14" t="str">
        <f aca="false">IF(C2748="SELL",B2748,"")</f>
        <v/>
      </c>
      <c r="F2748" s="14" t="str">
        <f aca="false">IF(E2748="","",(E2748-D2748)/D2748*100)</f>
        <v/>
      </c>
      <c r="G2748" s="0" t="str">
        <f aca="false">IF(C2748="BUY","IN",IF(C2748="SELL","OUT",IF(G2747="IN","IN","OUT")))</f>
        <v>OUT</v>
      </c>
      <c r="H2748" s="14" t="n">
        <f aca="false">H2747+IF(F2748="",0,F2748)</f>
        <v>60.0224114967007</v>
      </c>
      <c r="I2748" s="14" t="n">
        <f aca="false">MAX(I2747,H2748)</f>
        <v>60.0224114967007</v>
      </c>
      <c r="J2748" s="14" t="n">
        <f aca="false">I2748-H2748</f>
        <v>0</v>
      </c>
    </row>
    <row r="2749" customFormat="false" ht="15" hidden="false" customHeight="false" outlineLevel="0" collapsed="false">
      <c r="A2749" s="12" t="n">
        <f aca="false">Data!A2749</f>
        <v>45995</v>
      </c>
      <c r="B2749" s="14" t="n">
        <f aca="false">Data!B2749</f>
        <v>59.67</v>
      </c>
      <c r="C2749" s="0" t="str">
        <f aca="false">IF(Data!D2749="","HOLD",IF(AND(G2748&lt;&gt;"IN",Data!E2749&lt;-5),"BUY",IF(AND(G2748="IN",Data!E2749&gt;0),"SELL","HOLD")))</f>
        <v>HOLD</v>
      </c>
      <c r="D2749" s="14" t="str">
        <f aca="false">IF(C2749="BUY",B2749,IF(G2748="IN",D2748,""))</f>
        <v/>
      </c>
      <c r="E2749" s="14" t="str">
        <f aca="false">IF(C2749="SELL",B2749,"")</f>
        <v/>
      </c>
      <c r="F2749" s="14" t="str">
        <f aca="false">IF(E2749="","",(E2749-D2749)/D2749*100)</f>
        <v/>
      </c>
      <c r="G2749" s="0" t="str">
        <f aca="false">IF(C2749="BUY","IN",IF(C2749="SELL","OUT",IF(G2748="IN","IN","OUT")))</f>
        <v>OUT</v>
      </c>
      <c r="H2749" s="14" t="n">
        <f aca="false">H2748+IF(F2749="",0,F2749)</f>
        <v>60.0224114967007</v>
      </c>
      <c r="I2749" s="14" t="n">
        <f aca="false">MAX(I2748,H2749)</f>
        <v>60.0224114967007</v>
      </c>
      <c r="J2749" s="14" t="n">
        <f aca="false">I2749-H2749</f>
        <v>0</v>
      </c>
    </row>
    <row r="2750" customFormat="false" ht="15" hidden="false" customHeight="false" outlineLevel="0" collapsed="false">
      <c r="A2750" s="12" t="n">
        <f aca="false">Data!A2750</f>
        <v>45996</v>
      </c>
      <c r="B2750" s="14" t="n">
        <f aca="false">Data!B2750</f>
        <v>60.08</v>
      </c>
      <c r="C2750" s="0" t="str">
        <f aca="false">IF(Data!D2750="","HOLD",IF(AND(G2749&lt;&gt;"IN",Data!E2750&lt;-5),"BUY",IF(AND(G2749="IN",Data!E2750&gt;0),"SELL","HOLD")))</f>
        <v>HOLD</v>
      </c>
      <c r="D2750" s="14" t="str">
        <f aca="false">IF(C2750="BUY",B2750,IF(G2749="IN",D2749,""))</f>
        <v/>
      </c>
      <c r="E2750" s="14" t="str">
        <f aca="false">IF(C2750="SELL",B2750,"")</f>
        <v/>
      </c>
      <c r="F2750" s="14" t="str">
        <f aca="false">IF(E2750="","",(E2750-D2750)/D2750*100)</f>
        <v/>
      </c>
      <c r="G2750" s="0" t="str">
        <f aca="false">IF(C2750="BUY","IN",IF(C2750="SELL","OUT",IF(G2749="IN","IN","OUT")))</f>
        <v>OUT</v>
      </c>
      <c r="H2750" s="14" t="n">
        <f aca="false">H2749+IF(F2750="",0,F2750)</f>
        <v>60.0224114967007</v>
      </c>
      <c r="I2750" s="14" t="n">
        <f aca="false">MAX(I2749,H2750)</f>
        <v>60.0224114967007</v>
      </c>
      <c r="J2750" s="14" t="n">
        <f aca="false">I2750-H2750</f>
        <v>0</v>
      </c>
    </row>
    <row r="2751" customFormat="false" ht="15" hidden="false" customHeight="false" outlineLevel="0" collapsed="false">
      <c r="A2751" s="12" t="n">
        <f aca="false">Data!A2751</f>
        <v>45999</v>
      </c>
      <c r="B2751" s="14" t="n">
        <f aca="false">Data!B2751</f>
        <v>58.88</v>
      </c>
      <c r="C2751" s="0" t="str">
        <f aca="false">IF(Data!D2751="","HOLD",IF(AND(G2750&lt;&gt;"IN",Data!E2751&lt;-5),"BUY",IF(AND(G2750="IN",Data!E2751&gt;0),"SELL","HOLD")))</f>
        <v>HOLD</v>
      </c>
      <c r="D2751" s="14" t="str">
        <f aca="false">IF(C2751="BUY",B2751,IF(G2750="IN",D2750,""))</f>
        <v/>
      </c>
      <c r="E2751" s="14" t="str">
        <f aca="false">IF(C2751="SELL",B2751,"")</f>
        <v/>
      </c>
      <c r="F2751" s="14" t="str">
        <f aca="false">IF(E2751="","",(E2751-D2751)/D2751*100)</f>
        <v/>
      </c>
      <c r="G2751" s="0" t="str">
        <f aca="false">IF(C2751="BUY","IN",IF(C2751="SELL","OUT",IF(G2750="IN","IN","OUT")))</f>
        <v>OUT</v>
      </c>
      <c r="H2751" s="14" t="n">
        <f aca="false">H2750+IF(F2751="",0,F2751)</f>
        <v>60.0224114967007</v>
      </c>
      <c r="I2751" s="14" t="n">
        <f aca="false">MAX(I2750,H2751)</f>
        <v>60.0224114967007</v>
      </c>
      <c r="J2751" s="14" t="n">
        <f aca="false">I2751-H2751</f>
        <v>0</v>
      </c>
    </row>
    <row r="2752" customFormat="false" ht="15" hidden="false" customHeight="false" outlineLevel="0" collapsed="false">
      <c r="A2752" s="12" t="n">
        <f aca="false">Data!A2752</f>
        <v>46000</v>
      </c>
      <c r="B2752" s="14" t="n">
        <f aca="false">Data!B2752</f>
        <v>58.25</v>
      </c>
      <c r="C2752" s="0" t="str">
        <f aca="false">IF(Data!D2752="","HOLD",IF(AND(G2751&lt;&gt;"IN",Data!E2752&lt;-5),"BUY",IF(AND(G2751="IN",Data!E2752&gt;0),"SELL","HOLD")))</f>
        <v>HOLD</v>
      </c>
      <c r="D2752" s="14" t="str">
        <f aca="false">IF(C2752="BUY",B2752,IF(G2751="IN",D2751,""))</f>
        <v/>
      </c>
      <c r="E2752" s="14" t="str">
        <f aca="false">IF(C2752="SELL",B2752,"")</f>
        <v/>
      </c>
      <c r="F2752" s="14" t="str">
        <f aca="false">IF(E2752="","",(E2752-D2752)/D2752*100)</f>
        <v/>
      </c>
      <c r="G2752" s="0" t="str">
        <f aca="false">IF(C2752="BUY","IN",IF(C2752="SELL","OUT",IF(G2751="IN","IN","OUT")))</f>
        <v>OUT</v>
      </c>
      <c r="H2752" s="14" t="n">
        <f aca="false">H2751+IF(F2752="",0,F2752)</f>
        <v>60.0224114967007</v>
      </c>
      <c r="I2752" s="14" t="n">
        <f aca="false">MAX(I2751,H2752)</f>
        <v>60.0224114967007</v>
      </c>
      <c r="J2752" s="14" t="n">
        <f aca="false">I2752-H2752</f>
        <v>0</v>
      </c>
    </row>
    <row r="2753" customFormat="false" ht="15" hidden="false" customHeight="false" outlineLevel="0" collapsed="false">
      <c r="A2753" s="12" t="n">
        <f aca="false">Data!A2753</f>
        <v>46001</v>
      </c>
      <c r="B2753" s="14" t="n">
        <f aca="false">Data!B2753</f>
        <v>58.46</v>
      </c>
      <c r="C2753" s="0" t="str">
        <f aca="false">IF(Data!D2753="","HOLD",IF(AND(G2752&lt;&gt;"IN",Data!E2753&lt;-5),"BUY",IF(AND(G2752="IN",Data!E2753&gt;0),"SELL","HOLD")))</f>
        <v>HOLD</v>
      </c>
      <c r="D2753" s="14" t="str">
        <f aca="false">IF(C2753="BUY",B2753,IF(G2752="IN",D2752,""))</f>
        <v/>
      </c>
      <c r="E2753" s="14" t="str">
        <f aca="false">IF(C2753="SELL",B2753,"")</f>
        <v/>
      </c>
      <c r="F2753" s="14" t="str">
        <f aca="false">IF(E2753="","",(E2753-D2753)/D2753*100)</f>
        <v/>
      </c>
      <c r="G2753" s="0" t="str">
        <f aca="false">IF(C2753="BUY","IN",IF(C2753="SELL","OUT",IF(G2752="IN","IN","OUT")))</f>
        <v>OUT</v>
      </c>
      <c r="H2753" s="14" t="n">
        <f aca="false">H2752+IF(F2753="",0,F2753)</f>
        <v>60.0224114967007</v>
      </c>
      <c r="I2753" s="14" t="n">
        <f aca="false">MAX(I2752,H2753)</f>
        <v>60.0224114967007</v>
      </c>
      <c r="J2753" s="14" t="n">
        <f aca="false">I2753-H2753</f>
        <v>0</v>
      </c>
    </row>
    <row r="2754" customFormat="false" ht="15" hidden="false" customHeight="false" outlineLevel="0" collapsed="false">
      <c r="A2754" s="12" t="n">
        <f aca="false">Data!A2754</f>
        <v>46002</v>
      </c>
      <c r="B2754" s="14" t="n">
        <f aca="false">Data!B2754</f>
        <v>57.6</v>
      </c>
      <c r="C2754" s="0" t="str">
        <f aca="false">IF(Data!D2754="","HOLD",IF(AND(G2753&lt;&gt;"IN",Data!E2754&lt;-5),"BUY",IF(AND(G2753="IN",Data!E2754&gt;0),"SELL","HOLD")))</f>
        <v>HOLD</v>
      </c>
      <c r="D2754" s="14" t="str">
        <f aca="false">IF(C2754="BUY",B2754,IF(G2753="IN",D2753,""))</f>
        <v/>
      </c>
      <c r="E2754" s="14" t="str">
        <f aca="false">IF(C2754="SELL",B2754,"")</f>
        <v/>
      </c>
      <c r="F2754" s="14" t="str">
        <f aca="false">IF(E2754="","",(E2754-D2754)/D2754*100)</f>
        <v/>
      </c>
      <c r="G2754" s="0" t="str">
        <f aca="false">IF(C2754="BUY","IN",IF(C2754="SELL","OUT",IF(G2753="IN","IN","OUT")))</f>
        <v>OUT</v>
      </c>
      <c r="H2754" s="14" t="n">
        <f aca="false">H2753+IF(F2754="",0,F2754)</f>
        <v>60.0224114967007</v>
      </c>
      <c r="I2754" s="14" t="n">
        <f aca="false">MAX(I2753,H2754)</f>
        <v>60.0224114967007</v>
      </c>
      <c r="J2754" s="14" t="n">
        <f aca="false">I2754-H2754</f>
        <v>0</v>
      </c>
    </row>
    <row r="2755" customFormat="false" ht="15" hidden="false" customHeight="false" outlineLevel="0" collapsed="false">
      <c r="A2755" s="12" t="n">
        <f aca="false">Data!A2755</f>
        <v>46003</v>
      </c>
      <c r="B2755" s="14" t="n">
        <f aca="false">Data!B2755</f>
        <v>57.44</v>
      </c>
      <c r="C2755" s="0" t="str">
        <f aca="false">IF(Data!D2755="","HOLD",IF(AND(G2754&lt;&gt;"IN",Data!E2755&lt;-5),"BUY",IF(AND(G2754="IN",Data!E2755&gt;0),"SELL","HOLD")))</f>
        <v>HOLD</v>
      </c>
      <c r="D2755" s="14" t="str">
        <f aca="false">IF(C2755="BUY",B2755,IF(G2754="IN",D2754,""))</f>
        <v/>
      </c>
      <c r="E2755" s="14" t="str">
        <f aca="false">IF(C2755="SELL",B2755,"")</f>
        <v/>
      </c>
      <c r="F2755" s="14" t="str">
        <f aca="false">IF(E2755="","",(E2755-D2755)/D2755*100)</f>
        <v/>
      </c>
      <c r="G2755" s="0" t="str">
        <f aca="false">IF(C2755="BUY","IN",IF(C2755="SELL","OUT",IF(G2754="IN","IN","OUT")))</f>
        <v>OUT</v>
      </c>
      <c r="H2755" s="14" t="n">
        <f aca="false">H2754+IF(F2755="",0,F2755)</f>
        <v>60.0224114967007</v>
      </c>
      <c r="I2755" s="14" t="n">
        <f aca="false">MAX(I2754,H2755)</f>
        <v>60.0224114967007</v>
      </c>
      <c r="J2755" s="14" t="n">
        <f aca="false">I2755-H2755</f>
        <v>0</v>
      </c>
    </row>
    <row r="2756" customFormat="false" ht="15" hidden="false" customHeight="false" outlineLevel="0" collapsed="false">
      <c r="A2756" s="12" t="n">
        <f aca="false">Data!A2756</f>
        <v>46006</v>
      </c>
      <c r="B2756" s="14" t="n">
        <f aca="false">Data!B2756</f>
        <v>56.82</v>
      </c>
      <c r="C2756" s="0" t="str">
        <f aca="false">IF(Data!D2756="","HOLD",IF(AND(G2755&lt;&gt;"IN",Data!E2756&lt;-5),"BUY",IF(AND(G2755="IN",Data!E2756&gt;0),"SELL","HOLD")))</f>
        <v>HOLD</v>
      </c>
      <c r="D2756" s="14" t="str">
        <f aca="false">IF(C2756="BUY",B2756,IF(G2755="IN",D2755,""))</f>
        <v/>
      </c>
      <c r="E2756" s="14" t="str">
        <f aca="false">IF(C2756="SELL",B2756,"")</f>
        <v/>
      </c>
      <c r="F2756" s="14" t="str">
        <f aca="false">IF(E2756="","",(E2756-D2756)/D2756*100)</f>
        <v/>
      </c>
      <c r="G2756" s="0" t="str">
        <f aca="false">IF(C2756="BUY","IN",IF(C2756="SELL","OUT",IF(G2755="IN","IN","OUT")))</f>
        <v>OUT</v>
      </c>
      <c r="H2756" s="14" t="n">
        <f aca="false">H2755+IF(F2756="",0,F2756)</f>
        <v>60.0224114967007</v>
      </c>
      <c r="I2756" s="14" t="n">
        <f aca="false">MAX(I2755,H2756)</f>
        <v>60.0224114967007</v>
      </c>
      <c r="J2756" s="14" t="n">
        <f aca="false">I2756-H2756</f>
        <v>0</v>
      </c>
    </row>
    <row r="2757" customFormat="false" ht="15" hidden="false" customHeight="false" outlineLevel="0" collapsed="false">
      <c r="A2757" s="12" t="n">
        <f aca="false">Data!A2757</f>
        <v>46007</v>
      </c>
      <c r="B2757" s="14" t="n">
        <f aca="false">Data!B2757</f>
        <v>55.27</v>
      </c>
      <c r="C2757" s="0" t="str">
        <f aca="false">IF(Data!D2757="","HOLD",IF(AND(G2756&lt;&gt;"IN",Data!E2757&lt;-5),"BUY",IF(AND(G2756="IN",Data!E2757&gt;0),"SELL","HOLD")))</f>
        <v>BUY</v>
      </c>
      <c r="D2757" s="14" t="n">
        <f aca="false">IF(C2757="BUY",B2757,IF(G2756="IN",D2756,""))</f>
        <v>55.27</v>
      </c>
      <c r="E2757" s="14" t="str">
        <f aca="false">IF(C2757="SELL",B2757,"")</f>
        <v/>
      </c>
      <c r="F2757" s="14" t="str">
        <f aca="false">IF(E2757="","",(E2757-D2757)/D2757*100)</f>
        <v/>
      </c>
      <c r="G2757" s="0" t="str">
        <f aca="false">IF(C2757="BUY","IN",IF(C2757="SELL","OUT",IF(G2756="IN","IN","OUT")))</f>
        <v>IN</v>
      </c>
      <c r="H2757" s="14" t="n">
        <f aca="false">H2756+IF(F2757="",0,F2757)</f>
        <v>60.0224114967007</v>
      </c>
      <c r="I2757" s="14" t="n">
        <f aca="false">MAX(I2756,H2757)</f>
        <v>60.0224114967007</v>
      </c>
      <c r="J2757" s="14" t="n">
        <f aca="false">I2757-H2757</f>
        <v>0</v>
      </c>
    </row>
    <row r="2758" customFormat="false" ht="15" hidden="false" customHeight="false" outlineLevel="0" collapsed="false">
      <c r="A2758" s="12" t="n">
        <f aca="false">Data!A2758</f>
        <v>46008</v>
      </c>
      <c r="B2758" s="14" t="n">
        <f aca="false">Data!B2758</f>
        <v>55.94</v>
      </c>
      <c r="C2758" s="0" t="str">
        <f aca="false">IF(Data!D2758="","HOLD",IF(AND(G2757&lt;&gt;"IN",Data!E2758&lt;-5),"BUY",IF(AND(G2757="IN",Data!E2758&gt;0),"SELL","HOLD")))</f>
        <v>HOLD</v>
      </c>
      <c r="D2758" s="14" t="n">
        <f aca="false">IF(C2758="BUY",B2758,IF(G2757="IN",D2757,""))</f>
        <v>55.27</v>
      </c>
      <c r="E2758" s="14" t="str">
        <f aca="false">IF(C2758="SELL",B2758,"")</f>
        <v/>
      </c>
      <c r="F2758" s="14" t="str">
        <f aca="false">IF(E2758="","",(E2758-D2758)/D2758*100)</f>
        <v/>
      </c>
      <c r="G2758" s="0" t="str">
        <f aca="false">IF(C2758="BUY","IN",IF(C2758="SELL","OUT",IF(G2757="IN","IN","OUT")))</f>
        <v>IN</v>
      </c>
      <c r="H2758" s="14" t="n">
        <f aca="false">H2757+IF(F2758="",0,F2758)</f>
        <v>60.0224114967007</v>
      </c>
      <c r="I2758" s="14" t="n">
        <f aca="false">MAX(I2757,H2758)</f>
        <v>60.0224114967007</v>
      </c>
      <c r="J2758" s="14" t="n">
        <f aca="false">I2758-H2758</f>
        <v>0</v>
      </c>
    </row>
    <row r="2759" customFormat="false" ht="15" hidden="false" customHeight="false" outlineLevel="0" collapsed="false">
      <c r="A2759" s="12" t="n">
        <f aca="false">Data!A2759</f>
        <v>46009</v>
      </c>
      <c r="B2759" s="14" t="n">
        <f aca="false">Data!B2759</f>
        <v>56.15</v>
      </c>
      <c r="C2759" s="0" t="str">
        <f aca="false">IF(Data!D2759="","HOLD",IF(AND(G2758&lt;&gt;"IN",Data!E2759&lt;-5),"BUY",IF(AND(G2758="IN",Data!E2759&gt;0),"SELL","HOLD")))</f>
        <v>HOLD</v>
      </c>
      <c r="D2759" s="14" t="n">
        <f aca="false">IF(C2759="BUY",B2759,IF(G2758="IN",D2758,""))</f>
        <v>55.27</v>
      </c>
      <c r="E2759" s="14" t="str">
        <f aca="false">IF(C2759="SELL",B2759,"")</f>
        <v/>
      </c>
      <c r="F2759" s="14" t="str">
        <f aca="false">IF(E2759="","",(E2759-D2759)/D2759*100)</f>
        <v/>
      </c>
      <c r="G2759" s="0" t="str">
        <f aca="false">IF(C2759="BUY","IN",IF(C2759="SELL","OUT",IF(G2758="IN","IN","OUT")))</f>
        <v>IN</v>
      </c>
      <c r="H2759" s="14" t="n">
        <f aca="false">H2758+IF(F2759="",0,F2759)</f>
        <v>60.0224114967007</v>
      </c>
      <c r="I2759" s="14" t="n">
        <f aca="false">MAX(I2758,H2759)</f>
        <v>60.0224114967007</v>
      </c>
      <c r="J2759" s="14" t="n">
        <f aca="false">I2759-H2759</f>
        <v>0</v>
      </c>
    </row>
    <row r="2760" customFormat="false" ht="15" hidden="false" customHeight="false" outlineLevel="0" collapsed="false">
      <c r="A2760" s="12" t="n">
        <f aca="false">Data!A2760</f>
        <v>46010</v>
      </c>
      <c r="B2760" s="14" t="n">
        <f aca="false">Data!B2760</f>
        <v>56.66</v>
      </c>
      <c r="C2760" s="0" t="str">
        <f aca="false">IF(Data!D2760="","HOLD",IF(AND(G2759&lt;&gt;"IN",Data!E2760&lt;-5),"BUY",IF(AND(G2759="IN",Data!E2760&gt;0),"SELL","HOLD")))</f>
        <v>HOLD</v>
      </c>
      <c r="D2760" s="14" t="n">
        <f aca="false">IF(C2760="BUY",B2760,IF(G2759="IN",D2759,""))</f>
        <v>55.27</v>
      </c>
      <c r="E2760" s="14" t="str">
        <f aca="false">IF(C2760="SELL",B2760,"")</f>
        <v/>
      </c>
      <c r="F2760" s="14" t="str">
        <f aca="false">IF(E2760="","",(E2760-D2760)/D2760*100)</f>
        <v/>
      </c>
      <c r="G2760" s="0" t="str">
        <f aca="false">IF(C2760="BUY","IN",IF(C2760="SELL","OUT",IF(G2759="IN","IN","OUT")))</f>
        <v>IN</v>
      </c>
      <c r="H2760" s="14" t="n">
        <f aca="false">H2759+IF(F2760="",0,F2760)</f>
        <v>60.0224114967007</v>
      </c>
      <c r="I2760" s="14" t="n">
        <f aca="false">MAX(I2759,H2760)</f>
        <v>60.0224114967007</v>
      </c>
      <c r="J2760" s="14" t="n">
        <f aca="false">I2760-H2760</f>
        <v>0</v>
      </c>
    </row>
    <row r="2761" customFormat="false" ht="15" hidden="false" customHeight="false" outlineLevel="0" collapsed="false">
      <c r="A2761" s="12" t="n">
        <f aca="false">Data!A2761</f>
        <v>46013</v>
      </c>
      <c r="B2761" s="14" t="n">
        <f aca="false">Data!B2761</f>
        <v>58.01</v>
      </c>
      <c r="C2761" s="0" t="str">
        <f aca="false">IF(Data!D2761="","HOLD",IF(AND(G2760&lt;&gt;"IN",Data!E2761&lt;-5),"BUY",IF(AND(G2760="IN",Data!E2761&gt;0),"SELL","HOLD")))</f>
        <v>SELL</v>
      </c>
      <c r="D2761" s="14" t="n">
        <f aca="false">IF(C2761="BUY",B2761,IF(G2760="IN",D2760,""))</f>
        <v>55.27</v>
      </c>
      <c r="E2761" s="14" t="n">
        <f aca="false">IF(C2761="SELL",B2761,"")</f>
        <v>58.01</v>
      </c>
      <c r="F2761" s="14" t="n">
        <f aca="false">IF(E2761="","",(E2761-D2761)/D2761*100)</f>
        <v>4.95748145467703</v>
      </c>
      <c r="G2761" s="0" t="str">
        <f aca="false">IF(C2761="BUY","IN",IF(C2761="SELL","OUT",IF(G2760="IN","IN","OUT")))</f>
        <v>OUT</v>
      </c>
      <c r="H2761" s="14" t="n">
        <f aca="false">H2760+IF(F2761="",0,F2761)</f>
        <v>64.9798929513777</v>
      </c>
      <c r="I2761" s="14" t="n">
        <f aca="false">MAX(I2760,H2761)</f>
        <v>64.9798929513777</v>
      </c>
      <c r="J2761" s="14" t="n">
        <f aca="false">I2761-H2761</f>
        <v>0</v>
      </c>
    </row>
    <row r="2762" customFormat="false" ht="15" hidden="false" customHeight="false" outlineLevel="0" collapsed="false">
      <c r="A2762" s="12" t="n">
        <f aca="false">Data!A2762</f>
        <v>46014</v>
      </c>
      <c r="B2762" s="14" t="n">
        <f aca="false">Data!B2762</f>
        <v>58.38</v>
      </c>
      <c r="C2762" s="0" t="str">
        <f aca="false">IF(Data!D2762="","HOLD",IF(AND(G2761&lt;&gt;"IN",Data!E2762&lt;-5),"BUY",IF(AND(G2761="IN",Data!E2762&gt;0),"SELL","HOLD")))</f>
        <v>HOLD</v>
      </c>
      <c r="D2762" s="14" t="str">
        <f aca="false">IF(C2762="BUY",B2762,IF(G2761="IN",D2761,""))</f>
        <v/>
      </c>
      <c r="E2762" s="14" t="str">
        <f aca="false">IF(C2762="SELL",B2762,"")</f>
        <v/>
      </c>
      <c r="F2762" s="14" t="str">
        <f aca="false">IF(E2762="","",(E2762-D2762)/D2762*100)</f>
        <v/>
      </c>
      <c r="G2762" s="0" t="str">
        <f aca="false">IF(C2762="BUY","IN",IF(C2762="SELL","OUT",IF(G2761="IN","IN","OUT")))</f>
        <v>OUT</v>
      </c>
      <c r="H2762" s="14" t="n">
        <f aca="false">H2761+IF(F2762="",0,F2762)</f>
        <v>64.9798929513777</v>
      </c>
      <c r="I2762" s="14" t="n">
        <f aca="false">MAX(I2761,H2762)</f>
        <v>64.9798929513777</v>
      </c>
      <c r="J2762" s="14" t="n">
        <f aca="false">I2762-H2762</f>
        <v>0</v>
      </c>
    </row>
    <row r="2763" customFormat="false" ht="15" hidden="false" customHeight="false" outlineLevel="0" collapsed="false">
      <c r="A2763" s="12" t="n">
        <f aca="false">Data!A2763</f>
        <v>46015</v>
      </c>
      <c r="B2763" s="14" t="n">
        <f aca="false">Data!B2763</f>
        <v>58.35</v>
      </c>
      <c r="C2763" s="0" t="str">
        <f aca="false">IF(Data!D2763="","HOLD",IF(AND(G2762&lt;&gt;"IN",Data!E2763&lt;-5),"BUY",IF(AND(G2762="IN",Data!E2763&gt;0),"SELL","HOLD")))</f>
        <v>HOLD</v>
      </c>
      <c r="D2763" s="14" t="str">
        <f aca="false">IF(C2763="BUY",B2763,IF(G2762="IN",D2762,""))</f>
        <v/>
      </c>
      <c r="E2763" s="14" t="str">
        <f aca="false">IF(C2763="SELL",B2763,"")</f>
        <v/>
      </c>
      <c r="F2763" s="14" t="str">
        <f aca="false">IF(E2763="","",(E2763-D2763)/D2763*100)</f>
        <v/>
      </c>
      <c r="G2763" s="0" t="str">
        <f aca="false">IF(C2763="BUY","IN",IF(C2763="SELL","OUT",IF(G2762="IN","IN","OUT")))</f>
        <v>OUT</v>
      </c>
      <c r="H2763" s="14" t="n">
        <f aca="false">H2762+IF(F2763="",0,F2763)</f>
        <v>64.9798929513777</v>
      </c>
      <c r="I2763" s="14" t="n">
        <f aca="false">MAX(I2762,H2763)</f>
        <v>64.9798929513777</v>
      </c>
      <c r="J2763" s="14" t="n">
        <f aca="false">I2763-H2763</f>
        <v>0</v>
      </c>
    </row>
    <row r="2764" customFormat="false" ht="15" hidden="false" customHeight="false" outlineLevel="0" collapsed="false">
      <c r="A2764" s="12" t="n">
        <f aca="false">Data!A2764</f>
        <v>46017</v>
      </c>
      <c r="B2764" s="14" t="n">
        <f aca="false">Data!B2764</f>
        <v>56.74</v>
      </c>
      <c r="C2764" s="0" t="str">
        <f aca="false">IF(Data!D2764="","HOLD",IF(AND(G2763&lt;&gt;"IN",Data!E2764&lt;-5),"BUY",IF(AND(G2763="IN",Data!E2764&gt;0),"SELL","HOLD")))</f>
        <v>HOLD</v>
      </c>
      <c r="D2764" s="14" t="str">
        <f aca="false">IF(C2764="BUY",B2764,IF(G2763="IN",D2763,""))</f>
        <v/>
      </c>
      <c r="E2764" s="14" t="str">
        <f aca="false">IF(C2764="SELL",B2764,"")</f>
        <v/>
      </c>
      <c r="F2764" s="14" t="str">
        <f aca="false">IF(E2764="","",(E2764-D2764)/D2764*100)</f>
        <v/>
      </c>
      <c r="G2764" s="0" t="str">
        <f aca="false">IF(C2764="BUY","IN",IF(C2764="SELL","OUT",IF(G2763="IN","IN","OUT")))</f>
        <v>OUT</v>
      </c>
      <c r="H2764" s="14" t="n">
        <f aca="false">H2763+IF(F2764="",0,F2764)</f>
        <v>64.9798929513777</v>
      </c>
      <c r="I2764" s="14" t="n">
        <f aca="false">MAX(I2763,H2764)</f>
        <v>64.9798929513777</v>
      </c>
      <c r="J2764" s="14" t="n">
        <f aca="false">I2764-H2764</f>
        <v>0</v>
      </c>
    </row>
    <row r="2765" customFormat="false" ht="15" hidden="false" customHeight="false" outlineLevel="0" collapsed="false">
      <c r="A2765" s="12" t="n">
        <f aca="false">Data!A2765</f>
        <v>46020</v>
      </c>
      <c r="B2765" s="14" t="n">
        <f aca="false">Data!B2765</f>
        <v>58.08</v>
      </c>
      <c r="C2765" s="0" t="str">
        <f aca="false">IF(Data!D2765="","HOLD",IF(AND(G2764&lt;&gt;"IN",Data!E2765&lt;-5),"BUY",IF(AND(G2764="IN",Data!E2765&gt;0),"SELL","HOLD")))</f>
        <v>HOLD</v>
      </c>
      <c r="D2765" s="14" t="str">
        <f aca="false">IF(C2765="BUY",B2765,IF(G2764="IN",D2764,""))</f>
        <v/>
      </c>
      <c r="E2765" s="14" t="str">
        <f aca="false">IF(C2765="SELL",B2765,"")</f>
        <v/>
      </c>
      <c r="F2765" s="14" t="str">
        <f aca="false">IF(E2765="","",(E2765-D2765)/D2765*100)</f>
        <v/>
      </c>
      <c r="G2765" s="0" t="str">
        <f aca="false">IF(C2765="BUY","IN",IF(C2765="SELL","OUT",IF(G2764="IN","IN","OUT")))</f>
        <v>OUT</v>
      </c>
      <c r="H2765" s="14" t="n">
        <f aca="false">H2764+IF(F2765="",0,F2765)</f>
        <v>64.9798929513777</v>
      </c>
      <c r="I2765" s="14" t="n">
        <f aca="false">MAX(I2764,H2765)</f>
        <v>64.9798929513777</v>
      </c>
      <c r="J2765" s="14" t="n">
        <f aca="false">I2765-H2765</f>
        <v>0</v>
      </c>
    </row>
    <row r="2766" customFormat="false" ht="15" hidden="false" customHeight="false" outlineLevel="0" collapsed="false">
      <c r="A2766" s="12" t="n">
        <f aca="false">Data!A2766</f>
        <v>46021</v>
      </c>
      <c r="B2766" s="14" t="n">
        <f aca="false">Data!B2766</f>
        <v>57.95</v>
      </c>
      <c r="C2766" s="0" t="str">
        <f aca="false">IF(Data!D2766="","HOLD",IF(AND(G2765&lt;&gt;"IN",Data!E2766&lt;-5),"BUY",IF(AND(G2765="IN",Data!E2766&gt;0),"SELL","HOLD")))</f>
        <v>HOLD</v>
      </c>
      <c r="D2766" s="14" t="str">
        <f aca="false">IF(C2766="BUY",B2766,IF(G2765="IN",D2765,""))</f>
        <v/>
      </c>
      <c r="E2766" s="14" t="str">
        <f aca="false">IF(C2766="SELL",B2766,"")</f>
        <v/>
      </c>
      <c r="F2766" s="14" t="str">
        <f aca="false">IF(E2766="","",(E2766-D2766)/D2766*100)</f>
        <v/>
      </c>
      <c r="G2766" s="0" t="str">
        <f aca="false">IF(C2766="BUY","IN",IF(C2766="SELL","OUT",IF(G2765="IN","IN","OUT")))</f>
        <v>OUT</v>
      </c>
      <c r="H2766" s="14" t="n">
        <f aca="false">H2765+IF(F2766="",0,F2766)</f>
        <v>64.9798929513777</v>
      </c>
      <c r="I2766" s="14" t="n">
        <f aca="false">MAX(I2765,H2766)</f>
        <v>64.9798929513777</v>
      </c>
      <c r="J2766" s="14" t="n">
        <f aca="false">I2766-H2766</f>
        <v>0</v>
      </c>
    </row>
    <row r="2767" customFormat="false" ht="15" hidden="false" customHeight="false" outlineLevel="0" collapsed="false">
      <c r="A2767" s="12" t="n">
        <f aca="false">Data!A2767</f>
        <v>46022</v>
      </c>
      <c r="B2767" s="14" t="n">
        <f aca="false">Data!B2767</f>
        <v>57.42</v>
      </c>
      <c r="C2767" s="0" t="str">
        <f aca="false">IF(Data!D2767="","HOLD",IF(AND(G2766&lt;&gt;"IN",Data!E2767&lt;-5),"BUY",IF(AND(G2766="IN",Data!E2767&gt;0),"SELL","HOLD")))</f>
        <v>HOLD</v>
      </c>
      <c r="D2767" s="14" t="str">
        <f aca="false">IF(C2767="BUY",B2767,IF(G2766="IN",D2766,""))</f>
        <v/>
      </c>
      <c r="E2767" s="14" t="str">
        <f aca="false">IF(C2767="SELL",B2767,"")</f>
        <v/>
      </c>
      <c r="F2767" s="14" t="str">
        <f aca="false">IF(E2767="","",(E2767-D2767)/D2767*100)</f>
        <v/>
      </c>
      <c r="G2767" s="0" t="str">
        <f aca="false">IF(C2767="BUY","IN",IF(C2767="SELL","OUT",IF(G2766="IN","IN","OUT")))</f>
        <v>OUT</v>
      </c>
      <c r="H2767" s="14" t="n">
        <f aca="false">H2766+IF(F2767="",0,F2767)</f>
        <v>64.9798929513777</v>
      </c>
      <c r="I2767" s="14" t="n">
        <f aca="false">MAX(I2766,H2767)</f>
        <v>64.9798929513777</v>
      </c>
      <c r="J2767" s="14" t="n">
        <f aca="false">I2767-H2767</f>
        <v>0</v>
      </c>
    </row>
    <row r="2768" customFormat="false" ht="15" hidden="false" customHeight="false" outlineLevel="0" collapsed="false">
      <c r="A2768" s="12" t="n">
        <f aca="false">Data!A2768</f>
        <v>46024</v>
      </c>
      <c r="B2768" s="14" t="n">
        <f aca="false">Data!B2768</f>
        <v>57.32</v>
      </c>
      <c r="C2768" s="0" t="str">
        <f aca="false">IF(Data!D2768="","HOLD",IF(AND(G2767&lt;&gt;"IN",Data!E2768&lt;-5),"BUY",IF(AND(G2767="IN",Data!E2768&gt;0),"SELL","HOLD")))</f>
        <v>HOLD</v>
      </c>
      <c r="D2768" s="14" t="str">
        <f aca="false">IF(C2768="BUY",B2768,IF(G2767="IN",D2767,""))</f>
        <v/>
      </c>
      <c r="E2768" s="14" t="str">
        <f aca="false">IF(C2768="SELL",B2768,"")</f>
        <v/>
      </c>
      <c r="F2768" s="14" t="str">
        <f aca="false">IF(E2768="","",(E2768-D2768)/D2768*100)</f>
        <v/>
      </c>
      <c r="G2768" s="0" t="str">
        <f aca="false">IF(C2768="BUY","IN",IF(C2768="SELL","OUT",IF(G2767="IN","IN","OUT")))</f>
        <v>OUT</v>
      </c>
      <c r="H2768" s="14" t="n">
        <f aca="false">H2767+IF(F2768="",0,F2768)</f>
        <v>64.9798929513777</v>
      </c>
      <c r="I2768" s="14" t="n">
        <f aca="false">MAX(I2767,H2768)</f>
        <v>64.9798929513777</v>
      </c>
      <c r="J2768" s="14" t="n">
        <f aca="false">I2768-H2768</f>
        <v>0</v>
      </c>
    </row>
    <row r="2769" customFormat="false" ht="15" hidden="false" customHeight="false" outlineLevel="0" collapsed="false">
      <c r="A2769" s="12" t="n">
        <f aca="false">Data!A2769</f>
        <v>46027</v>
      </c>
      <c r="B2769" s="14" t="n">
        <f aca="false">Data!B2769</f>
        <v>58.32</v>
      </c>
      <c r="C2769" s="0" t="str">
        <f aca="false">IF(Data!D2769="","HOLD",IF(AND(G2768&lt;&gt;"IN",Data!E2769&lt;-5),"BUY",IF(AND(G2768="IN",Data!E2769&gt;0),"SELL","HOLD")))</f>
        <v>HOLD</v>
      </c>
      <c r="D2769" s="14" t="str">
        <f aca="false">IF(C2769="BUY",B2769,IF(G2768="IN",D2768,""))</f>
        <v/>
      </c>
      <c r="E2769" s="14" t="str">
        <f aca="false">IF(C2769="SELL",B2769,"")</f>
        <v/>
      </c>
      <c r="F2769" s="14" t="str">
        <f aca="false">IF(E2769="","",(E2769-D2769)/D2769*100)</f>
        <v/>
      </c>
      <c r="G2769" s="0" t="str">
        <f aca="false">IF(C2769="BUY","IN",IF(C2769="SELL","OUT",IF(G2768="IN","IN","OUT")))</f>
        <v>OUT</v>
      </c>
      <c r="H2769" s="14" t="n">
        <f aca="false">H2768+IF(F2769="",0,F2769)</f>
        <v>64.9798929513777</v>
      </c>
      <c r="I2769" s="14" t="n">
        <f aca="false">MAX(I2768,H2769)</f>
        <v>64.9798929513777</v>
      </c>
      <c r="J2769" s="14" t="n">
        <f aca="false">I2769-H2769</f>
        <v>0</v>
      </c>
    </row>
    <row r="2770" customFormat="false" ht="15" hidden="false" customHeight="false" outlineLevel="0" collapsed="false">
      <c r="A2770" s="12" t="n">
        <f aca="false">Data!A2770</f>
        <v>46028</v>
      </c>
      <c r="B2770" s="14" t="n">
        <f aca="false">Data!B2770</f>
        <v>57.13</v>
      </c>
      <c r="C2770" s="0" t="str">
        <f aca="false">IF(Data!D2770="","HOLD",IF(AND(G2769&lt;&gt;"IN",Data!E2770&lt;-5),"BUY",IF(AND(G2769="IN",Data!E2770&gt;0),"SELL","HOLD")))</f>
        <v>HOLD</v>
      </c>
      <c r="D2770" s="14" t="str">
        <f aca="false">IF(C2770="BUY",B2770,IF(G2769="IN",D2769,""))</f>
        <v/>
      </c>
      <c r="E2770" s="14" t="str">
        <f aca="false">IF(C2770="SELL",B2770,"")</f>
        <v/>
      </c>
      <c r="F2770" s="14" t="str">
        <f aca="false">IF(E2770="","",(E2770-D2770)/D2770*100)</f>
        <v/>
      </c>
      <c r="G2770" s="0" t="str">
        <f aca="false">IF(C2770="BUY","IN",IF(C2770="SELL","OUT",IF(G2769="IN","IN","OUT")))</f>
        <v>OUT</v>
      </c>
      <c r="H2770" s="14" t="n">
        <f aca="false">H2769+IF(F2770="",0,F2770)</f>
        <v>64.9798929513777</v>
      </c>
      <c r="I2770" s="14" t="n">
        <f aca="false">MAX(I2769,H2770)</f>
        <v>64.9798929513777</v>
      </c>
      <c r="J2770" s="14" t="n">
        <f aca="false">I2770-H2770</f>
        <v>0</v>
      </c>
    </row>
    <row r="2771" customFormat="false" ht="15" hidden="false" customHeight="false" outlineLevel="0" collapsed="false">
      <c r="A2771" s="12" t="n">
        <f aca="false">Data!A2771</f>
        <v>46029</v>
      </c>
      <c r="B2771" s="14" t="n">
        <f aca="false">Data!B2771</f>
        <v>55.99</v>
      </c>
      <c r="C2771" s="0" t="str">
        <f aca="false">IF(Data!D2771="","HOLD",IF(AND(G2770&lt;&gt;"IN",Data!E2771&lt;-5),"BUY",IF(AND(G2770="IN",Data!E2771&gt;0),"SELL","HOLD")))</f>
        <v>HOLD</v>
      </c>
      <c r="D2771" s="14" t="str">
        <f aca="false">IF(C2771="BUY",B2771,IF(G2770="IN",D2770,""))</f>
        <v/>
      </c>
      <c r="E2771" s="14" t="str">
        <f aca="false">IF(C2771="SELL",B2771,"")</f>
        <v/>
      </c>
      <c r="F2771" s="14" t="str">
        <f aca="false">IF(E2771="","",(E2771-D2771)/D2771*100)</f>
        <v/>
      </c>
      <c r="G2771" s="0" t="str">
        <f aca="false">IF(C2771="BUY","IN",IF(C2771="SELL","OUT",IF(G2770="IN","IN","OUT")))</f>
        <v>OUT</v>
      </c>
      <c r="H2771" s="14" t="n">
        <f aca="false">H2770+IF(F2771="",0,F2771)</f>
        <v>64.9798929513777</v>
      </c>
      <c r="I2771" s="14" t="n">
        <f aca="false">MAX(I2770,H2771)</f>
        <v>64.9798929513777</v>
      </c>
      <c r="J2771" s="14" t="n">
        <f aca="false">I2771-H2771</f>
        <v>0</v>
      </c>
    </row>
    <row r="2772" customFormat="false" ht="15" hidden="false" customHeight="false" outlineLevel="0" collapsed="false">
      <c r="A2772" s="12" t="n">
        <f aca="false">Data!A2772</f>
        <v>46030</v>
      </c>
      <c r="B2772" s="14" t="n">
        <f aca="false">Data!B2772</f>
        <v>57.76</v>
      </c>
      <c r="C2772" s="0" t="str">
        <f aca="false">IF(Data!D2772="","HOLD",IF(AND(G2771&lt;&gt;"IN",Data!E2772&lt;-5),"BUY",IF(AND(G2771="IN",Data!E2772&gt;0),"SELL","HOLD")))</f>
        <v>HOLD</v>
      </c>
      <c r="D2772" s="14" t="str">
        <f aca="false">IF(C2772="BUY",B2772,IF(G2771="IN",D2771,""))</f>
        <v/>
      </c>
      <c r="E2772" s="14" t="str">
        <f aca="false">IF(C2772="SELL",B2772,"")</f>
        <v/>
      </c>
      <c r="F2772" s="14" t="str">
        <f aca="false">IF(E2772="","",(E2772-D2772)/D2772*100)</f>
        <v/>
      </c>
      <c r="G2772" s="0" t="str">
        <f aca="false">IF(C2772="BUY","IN",IF(C2772="SELL","OUT",IF(G2771="IN","IN","OUT")))</f>
        <v>OUT</v>
      </c>
      <c r="H2772" s="14" t="n">
        <f aca="false">H2771+IF(F2772="",0,F2772)</f>
        <v>64.9798929513777</v>
      </c>
      <c r="I2772" s="14" t="n">
        <f aca="false">MAX(I2771,H2772)</f>
        <v>64.9798929513777</v>
      </c>
      <c r="J2772" s="14" t="n">
        <f aca="false">I2772-H2772</f>
        <v>0</v>
      </c>
    </row>
    <row r="2773" customFormat="false" ht="15" hidden="false" customHeight="false" outlineLevel="0" collapsed="false">
      <c r="A2773" s="12" t="n">
        <f aca="false">Data!A2773</f>
        <v>46031</v>
      </c>
      <c r="B2773" s="14" t="n">
        <f aca="false">Data!B2773</f>
        <v>59.12</v>
      </c>
      <c r="C2773" s="0" t="str">
        <f aca="false">IF(Data!D2773="","HOLD",IF(AND(G2772&lt;&gt;"IN",Data!E2773&lt;-5),"BUY",IF(AND(G2772="IN",Data!E2773&gt;0),"SELL","HOLD")))</f>
        <v>HOLD</v>
      </c>
      <c r="D2773" s="14" t="str">
        <f aca="false">IF(C2773="BUY",B2773,IF(G2772="IN",D2772,""))</f>
        <v/>
      </c>
      <c r="E2773" s="14" t="str">
        <f aca="false">IF(C2773="SELL",B2773,"")</f>
        <v/>
      </c>
      <c r="F2773" s="14" t="str">
        <f aca="false">IF(E2773="","",(E2773-D2773)/D2773*100)</f>
        <v/>
      </c>
      <c r="G2773" s="0" t="str">
        <f aca="false">IF(C2773="BUY","IN",IF(C2773="SELL","OUT",IF(G2772="IN","IN","OUT")))</f>
        <v>OUT</v>
      </c>
      <c r="H2773" s="14" t="n">
        <f aca="false">H2772+IF(F2773="",0,F2773)</f>
        <v>64.9798929513777</v>
      </c>
      <c r="I2773" s="14" t="n">
        <f aca="false">MAX(I2772,H2773)</f>
        <v>64.9798929513777</v>
      </c>
      <c r="J2773" s="14" t="n">
        <f aca="false">I2773-H2773</f>
        <v>0</v>
      </c>
    </row>
    <row r="2774" customFormat="false" ht="15" hidden="false" customHeight="false" outlineLevel="0" collapsed="false">
      <c r="A2774" s="12" t="n">
        <f aca="false">Data!A2774</f>
        <v>46034</v>
      </c>
      <c r="B2774" s="14" t="n">
        <f aca="false">Data!B2774</f>
        <v>59.5</v>
      </c>
      <c r="C2774" s="0" t="str">
        <f aca="false">IF(Data!D2774="","HOLD",IF(AND(G2773&lt;&gt;"IN",Data!E2774&lt;-5),"BUY",IF(AND(G2773="IN",Data!E2774&gt;0),"SELL","HOLD")))</f>
        <v>HOLD</v>
      </c>
      <c r="D2774" s="14" t="str">
        <f aca="false">IF(C2774="BUY",B2774,IF(G2773="IN",D2773,""))</f>
        <v/>
      </c>
      <c r="E2774" s="14" t="str">
        <f aca="false">IF(C2774="SELL",B2774,"")</f>
        <v/>
      </c>
      <c r="F2774" s="14" t="str">
        <f aca="false">IF(E2774="","",(E2774-D2774)/D2774*100)</f>
        <v/>
      </c>
      <c r="G2774" s="0" t="str">
        <f aca="false">IF(C2774="BUY","IN",IF(C2774="SELL","OUT",IF(G2773="IN","IN","OUT")))</f>
        <v>OUT</v>
      </c>
      <c r="H2774" s="14" t="n">
        <f aca="false">H2773+IF(F2774="",0,F2774)</f>
        <v>64.9798929513777</v>
      </c>
      <c r="I2774" s="14" t="n">
        <f aca="false">MAX(I2773,H2774)</f>
        <v>64.9798929513777</v>
      </c>
      <c r="J2774" s="14" t="n">
        <f aca="false">I2774-H2774</f>
        <v>0</v>
      </c>
    </row>
    <row r="2775" customFormat="false" ht="15" hidden="false" customHeight="false" outlineLevel="0" collapsed="false">
      <c r="A2775" s="12" t="n">
        <f aca="false">Data!A2775</f>
        <v>46035</v>
      </c>
      <c r="B2775" s="14" t="n">
        <f aca="false">Data!B2775</f>
        <v>61.15</v>
      </c>
      <c r="C2775" s="0" t="str">
        <f aca="false">IF(Data!D2775="","HOLD",IF(AND(G2774&lt;&gt;"IN",Data!E2775&lt;-5),"BUY",IF(AND(G2774="IN",Data!E2775&gt;0),"SELL","HOLD")))</f>
        <v>HOLD</v>
      </c>
      <c r="D2775" s="14" t="str">
        <f aca="false">IF(C2775="BUY",B2775,IF(G2774="IN",D2774,""))</f>
        <v/>
      </c>
      <c r="E2775" s="14" t="str">
        <f aca="false">IF(C2775="SELL",B2775,"")</f>
        <v/>
      </c>
      <c r="F2775" s="14" t="str">
        <f aca="false">IF(E2775="","",(E2775-D2775)/D2775*100)</f>
        <v/>
      </c>
      <c r="G2775" s="0" t="str">
        <f aca="false">IF(C2775="BUY","IN",IF(C2775="SELL","OUT",IF(G2774="IN","IN","OUT")))</f>
        <v>OUT</v>
      </c>
      <c r="H2775" s="14" t="n">
        <f aca="false">H2774+IF(F2775="",0,F2775)</f>
        <v>64.9798929513777</v>
      </c>
      <c r="I2775" s="14" t="n">
        <f aca="false">MAX(I2774,H2775)</f>
        <v>64.9798929513777</v>
      </c>
      <c r="J2775" s="14" t="n">
        <f aca="false">I2775-H2775</f>
        <v>0</v>
      </c>
    </row>
    <row r="2776" customFormat="false" ht="15" hidden="false" customHeight="false" outlineLevel="0" collapsed="false">
      <c r="A2776" s="12" t="n">
        <f aca="false">Data!A2776</f>
        <v>46036</v>
      </c>
      <c r="B2776" s="14" t="n">
        <f aca="false">Data!B2776</f>
        <v>62.02</v>
      </c>
      <c r="C2776" s="0" t="str">
        <f aca="false">IF(Data!D2776="","HOLD",IF(AND(G2775&lt;&gt;"IN",Data!E2776&lt;-5),"BUY",IF(AND(G2775="IN",Data!E2776&gt;0),"SELL","HOLD")))</f>
        <v>HOLD</v>
      </c>
      <c r="D2776" s="14" t="str">
        <f aca="false">IF(C2776="BUY",B2776,IF(G2775="IN",D2775,""))</f>
        <v/>
      </c>
      <c r="E2776" s="14" t="str">
        <f aca="false">IF(C2776="SELL",B2776,"")</f>
        <v/>
      </c>
      <c r="F2776" s="14" t="str">
        <f aca="false">IF(E2776="","",(E2776-D2776)/D2776*100)</f>
        <v/>
      </c>
      <c r="G2776" s="0" t="str">
        <f aca="false">IF(C2776="BUY","IN",IF(C2776="SELL","OUT",IF(G2775="IN","IN","OUT")))</f>
        <v>OUT</v>
      </c>
      <c r="H2776" s="14" t="n">
        <f aca="false">H2775+IF(F2776="",0,F2776)</f>
        <v>64.9798929513777</v>
      </c>
      <c r="I2776" s="14" t="n">
        <f aca="false">MAX(I2775,H2776)</f>
        <v>64.9798929513777</v>
      </c>
      <c r="J2776" s="14" t="n">
        <f aca="false">I2776-H2776</f>
        <v>0</v>
      </c>
    </row>
    <row r="2777" customFormat="false" ht="15" hidden="false" customHeight="false" outlineLevel="0" collapsed="false">
      <c r="A2777" s="12" t="n">
        <f aca="false">Data!A2777</f>
        <v>46037</v>
      </c>
      <c r="B2777" s="14" t="n">
        <f aca="false">Data!B2777</f>
        <v>59.19</v>
      </c>
      <c r="C2777" s="0" t="str">
        <f aca="false">IF(Data!D2777="","HOLD",IF(AND(G2776&lt;&gt;"IN",Data!E2777&lt;-5),"BUY",IF(AND(G2776="IN",Data!E2777&gt;0),"SELL","HOLD")))</f>
        <v>HOLD</v>
      </c>
      <c r="D2777" s="14" t="str">
        <f aca="false">IF(C2777="BUY",B2777,IF(G2776="IN",D2776,""))</f>
        <v/>
      </c>
      <c r="E2777" s="14" t="str">
        <f aca="false">IF(C2777="SELL",B2777,"")</f>
        <v/>
      </c>
      <c r="F2777" s="14" t="str">
        <f aca="false">IF(E2777="","",(E2777-D2777)/D2777*100)</f>
        <v/>
      </c>
      <c r="G2777" s="0" t="str">
        <f aca="false">IF(C2777="BUY","IN",IF(C2777="SELL","OUT",IF(G2776="IN","IN","OUT")))</f>
        <v>OUT</v>
      </c>
      <c r="H2777" s="14" t="n">
        <f aca="false">H2776+IF(F2777="",0,F2777)</f>
        <v>64.9798929513777</v>
      </c>
      <c r="I2777" s="14" t="n">
        <f aca="false">MAX(I2776,H2777)</f>
        <v>64.9798929513777</v>
      </c>
      <c r="J2777" s="14" t="n">
        <f aca="false">I2777-H2777</f>
        <v>0</v>
      </c>
    </row>
    <row r="2778" customFormat="false" ht="15" hidden="false" customHeight="false" outlineLevel="0" collapsed="false">
      <c r="A2778" s="12" t="n">
        <f aca="false">Data!A2778</f>
        <v>46038</v>
      </c>
      <c r="B2778" s="14" t="n">
        <f aca="false">Data!B2778</f>
        <v>59.44</v>
      </c>
      <c r="C2778" s="0" t="str">
        <f aca="false">IF(Data!D2778="","HOLD",IF(AND(G2777&lt;&gt;"IN",Data!E2778&lt;-5),"BUY",IF(AND(G2777="IN",Data!E2778&gt;0),"SELL","HOLD")))</f>
        <v>HOLD</v>
      </c>
      <c r="D2778" s="14" t="str">
        <f aca="false">IF(C2778="BUY",B2778,IF(G2777="IN",D2777,""))</f>
        <v/>
      </c>
      <c r="E2778" s="14" t="str">
        <f aca="false">IF(C2778="SELL",B2778,"")</f>
        <v/>
      </c>
      <c r="F2778" s="14" t="str">
        <f aca="false">IF(E2778="","",(E2778-D2778)/D2778*100)</f>
        <v/>
      </c>
      <c r="G2778" s="0" t="str">
        <f aca="false">IF(C2778="BUY","IN",IF(C2778="SELL","OUT",IF(G2777="IN","IN","OUT")))</f>
        <v>OUT</v>
      </c>
      <c r="H2778" s="14" t="n">
        <f aca="false">H2777+IF(F2778="",0,F2778)</f>
        <v>64.9798929513777</v>
      </c>
      <c r="I2778" s="14" t="n">
        <f aca="false">MAX(I2777,H2778)</f>
        <v>64.9798929513777</v>
      </c>
      <c r="J2778" s="14" t="n">
        <f aca="false">I2778-H2778</f>
        <v>0</v>
      </c>
    </row>
    <row r="2779" customFormat="false" ht="15" hidden="false" customHeight="false" outlineLevel="0" collapsed="false">
      <c r="A2779" s="12" t="n">
        <f aca="false">Data!A2779</f>
        <v>46042</v>
      </c>
      <c r="B2779" s="14" t="n">
        <f aca="false">Data!B2779</f>
        <v>60.34</v>
      </c>
      <c r="C2779" s="0" t="str">
        <f aca="false">IF(Data!D2779="","HOLD",IF(AND(G2778&lt;&gt;"IN",Data!E2779&lt;-5),"BUY",IF(AND(G2778="IN",Data!E2779&gt;0),"SELL","HOLD")))</f>
        <v>HOLD</v>
      </c>
      <c r="D2779" s="14" t="str">
        <f aca="false">IF(C2779="BUY",B2779,IF(G2778="IN",D2778,""))</f>
        <v/>
      </c>
      <c r="E2779" s="14" t="str">
        <f aca="false">IF(C2779="SELL",B2779,"")</f>
        <v/>
      </c>
      <c r="F2779" s="14" t="str">
        <f aca="false">IF(E2779="","",(E2779-D2779)/D2779*100)</f>
        <v/>
      </c>
      <c r="G2779" s="0" t="str">
        <f aca="false">IF(C2779="BUY","IN",IF(C2779="SELL","OUT",IF(G2778="IN","IN","OUT")))</f>
        <v>OUT</v>
      </c>
      <c r="H2779" s="14" t="n">
        <f aca="false">H2778+IF(F2779="",0,F2779)</f>
        <v>64.9798929513777</v>
      </c>
      <c r="I2779" s="14" t="n">
        <f aca="false">MAX(I2778,H2779)</f>
        <v>64.9798929513777</v>
      </c>
      <c r="J2779" s="14" t="n">
        <f aca="false">I2779-H2779</f>
        <v>0</v>
      </c>
    </row>
    <row r="2780" customFormat="false" ht="15" hidden="false" customHeight="false" outlineLevel="0" collapsed="false">
      <c r="A2780" s="12" t="n">
        <f aca="false">Data!A2780</f>
        <v>46043</v>
      </c>
      <c r="B2780" s="14" t="n">
        <f aca="false">Data!B2780</f>
        <v>60.62</v>
      </c>
      <c r="C2780" s="0" t="str">
        <f aca="false">IF(Data!D2780="","HOLD",IF(AND(G2779&lt;&gt;"IN",Data!E2780&lt;-5),"BUY",IF(AND(G2779="IN",Data!E2780&gt;0),"SELL","HOLD")))</f>
        <v>HOLD</v>
      </c>
      <c r="D2780" s="14" t="str">
        <f aca="false">IF(C2780="BUY",B2780,IF(G2779="IN",D2779,""))</f>
        <v/>
      </c>
      <c r="E2780" s="14" t="str">
        <f aca="false">IF(C2780="SELL",B2780,"")</f>
        <v/>
      </c>
      <c r="F2780" s="14" t="str">
        <f aca="false">IF(E2780="","",(E2780-D2780)/D2780*100)</f>
        <v/>
      </c>
      <c r="G2780" s="0" t="str">
        <f aca="false">IF(C2780="BUY","IN",IF(C2780="SELL","OUT",IF(G2779="IN","IN","OUT")))</f>
        <v>OUT</v>
      </c>
      <c r="H2780" s="14" t="n">
        <f aca="false">H2779+IF(F2780="",0,F2780)</f>
        <v>64.9798929513777</v>
      </c>
      <c r="I2780" s="14" t="n">
        <f aca="false">MAX(I2779,H2780)</f>
        <v>64.9798929513777</v>
      </c>
      <c r="J2780" s="14" t="n">
        <f aca="false">I2780-H2780</f>
        <v>0</v>
      </c>
    </row>
    <row r="2781" customFormat="false" ht="15" hidden="false" customHeight="false" outlineLevel="0" collapsed="false">
      <c r="A2781" s="12" t="n">
        <f aca="false">Data!A2781</f>
        <v>46044</v>
      </c>
      <c r="B2781" s="14" t="n">
        <f aca="false">Data!B2781</f>
        <v>59.36</v>
      </c>
      <c r="C2781" s="0" t="str">
        <f aca="false">IF(Data!D2781="","HOLD",IF(AND(G2780&lt;&gt;"IN",Data!E2781&lt;-5),"BUY",IF(AND(G2780="IN",Data!E2781&gt;0),"SELL","HOLD")))</f>
        <v>HOLD</v>
      </c>
      <c r="D2781" s="14" t="str">
        <f aca="false">IF(C2781="BUY",B2781,IF(G2780="IN",D2780,""))</f>
        <v/>
      </c>
      <c r="E2781" s="14" t="str">
        <f aca="false">IF(C2781="SELL",B2781,"")</f>
        <v/>
      </c>
      <c r="F2781" s="14" t="str">
        <f aca="false">IF(E2781="","",(E2781-D2781)/D2781*100)</f>
        <v/>
      </c>
      <c r="G2781" s="0" t="str">
        <f aca="false">IF(C2781="BUY","IN",IF(C2781="SELL","OUT",IF(G2780="IN","IN","OUT")))</f>
        <v>OUT</v>
      </c>
      <c r="H2781" s="14" t="n">
        <f aca="false">H2780+IF(F2781="",0,F2781)</f>
        <v>64.9798929513777</v>
      </c>
      <c r="I2781" s="14" t="n">
        <f aca="false">MAX(I2780,H2781)</f>
        <v>64.9798929513777</v>
      </c>
      <c r="J2781" s="14" t="n">
        <f aca="false">I2781-H2781</f>
        <v>0</v>
      </c>
    </row>
    <row r="2782" customFormat="false" ht="15" hidden="false" customHeight="false" outlineLevel="0" collapsed="false">
      <c r="A2782" s="12" t="n">
        <f aca="false">Data!A2782</f>
        <v>46045</v>
      </c>
      <c r="B2782" s="14" t="n">
        <f aca="false">Data!B2782</f>
        <v>61.07</v>
      </c>
      <c r="C2782" s="0" t="str">
        <f aca="false">IF(Data!D2782="","HOLD",IF(AND(G2781&lt;&gt;"IN",Data!E2782&lt;-5),"BUY",IF(AND(G2781="IN",Data!E2782&gt;0),"SELL","HOLD")))</f>
        <v>HOLD</v>
      </c>
      <c r="D2782" s="14" t="str">
        <f aca="false">IF(C2782="BUY",B2782,IF(G2781="IN",D2781,""))</f>
        <v/>
      </c>
      <c r="E2782" s="14" t="str">
        <f aca="false">IF(C2782="SELL",B2782,"")</f>
        <v/>
      </c>
      <c r="F2782" s="14" t="str">
        <f aca="false">IF(E2782="","",(E2782-D2782)/D2782*100)</f>
        <v/>
      </c>
      <c r="G2782" s="0" t="str">
        <f aca="false">IF(C2782="BUY","IN",IF(C2782="SELL","OUT",IF(G2781="IN","IN","OUT")))</f>
        <v>OUT</v>
      </c>
      <c r="H2782" s="14" t="n">
        <f aca="false">H2781+IF(F2782="",0,F2782)</f>
        <v>64.9798929513777</v>
      </c>
      <c r="I2782" s="14" t="n">
        <f aca="false">MAX(I2781,H2782)</f>
        <v>64.9798929513777</v>
      </c>
      <c r="J2782" s="14" t="n">
        <f aca="false">I2782-H2782</f>
        <v>0</v>
      </c>
    </row>
    <row r="2783" customFormat="false" ht="15" hidden="false" customHeight="false" outlineLevel="0" collapsed="false">
      <c r="A2783" s="12" t="n">
        <f aca="false">Data!A2783</f>
        <v>46048</v>
      </c>
      <c r="B2783" s="14" t="n">
        <f aca="false">Data!B2783</f>
        <v>60.63</v>
      </c>
      <c r="C2783" s="0" t="str">
        <f aca="false">IF(Data!D2783="","HOLD",IF(AND(G2782&lt;&gt;"IN",Data!E2783&lt;-5),"BUY",IF(AND(G2782="IN",Data!E2783&gt;0),"SELL","HOLD")))</f>
        <v>HOLD</v>
      </c>
      <c r="D2783" s="14" t="str">
        <f aca="false">IF(C2783="BUY",B2783,IF(G2782="IN",D2782,""))</f>
        <v/>
      </c>
      <c r="E2783" s="14" t="str">
        <f aca="false">IF(C2783="SELL",B2783,"")</f>
        <v/>
      </c>
      <c r="F2783" s="14" t="str">
        <f aca="false">IF(E2783="","",(E2783-D2783)/D2783*100)</f>
        <v/>
      </c>
      <c r="G2783" s="0" t="str">
        <f aca="false">IF(C2783="BUY","IN",IF(C2783="SELL","OUT",IF(G2782="IN","IN","OUT")))</f>
        <v>OUT</v>
      </c>
      <c r="H2783" s="14" t="n">
        <f aca="false">H2782+IF(F2783="",0,F2783)</f>
        <v>64.9798929513777</v>
      </c>
      <c r="I2783" s="14" t="n">
        <f aca="false">MAX(I2782,H2783)</f>
        <v>64.9798929513777</v>
      </c>
      <c r="J2783" s="14" t="n">
        <f aca="false">I2783-H2783</f>
        <v>0</v>
      </c>
    </row>
    <row r="2784" customFormat="false" ht="15" hidden="false" customHeight="false" outlineLevel="0" collapsed="false">
      <c r="A2784" s="12" t="n">
        <f aca="false">Data!A2784</f>
        <v>46049</v>
      </c>
      <c r="B2784" s="14" t="n">
        <f aca="false">Data!B2784</f>
        <v>62.39</v>
      </c>
      <c r="C2784" s="0" t="str">
        <f aca="false">IF(Data!D2784="","HOLD",IF(AND(G2783&lt;&gt;"IN",Data!E2784&lt;-5),"BUY",IF(AND(G2783="IN",Data!E2784&gt;0),"SELL","HOLD")))</f>
        <v>HOLD</v>
      </c>
      <c r="D2784" s="14" t="str">
        <f aca="false">IF(C2784="BUY",B2784,IF(G2783="IN",D2783,""))</f>
        <v/>
      </c>
      <c r="E2784" s="14" t="str">
        <f aca="false">IF(C2784="SELL",B2784,"")</f>
        <v/>
      </c>
      <c r="F2784" s="14" t="str">
        <f aca="false">IF(E2784="","",(E2784-D2784)/D2784*100)</f>
        <v/>
      </c>
      <c r="G2784" s="0" t="str">
        <f aca="false">IF(C2784="BUY","IN",IF(C2784="SELL","OUT",IF(G2783="IN","IN","OUT")))</f>
        <v>OUT</v>
      </c>
      <c r="H2784" s="14" t="n">
        <f aca="false">H2783+IF(F2784="",0,F2784)</f>
        <v>64.9798929513777</v>
      </c>
      <c r="I2784" s="14" t="n">
        <f aca="false">MAX(I2783,H2784)</f>
        <v>64.9798929513777</v>
      </c>
      <c r="J2784" s="14" t="n">
        <f aca="false">I2784-H2784</f>
        <v>0</v>
      </c>
    </row>
    <row r="2785" customFormat="false" ht="15" hidden="false" customHeight="false" outlineLevel="0" collapsed="false">
      <c r="A2785" s="12" t="n">
        <f aca="false">Data!A2785</f>
        <v>46050</v>
      </c>
      <c r="B2785" s="14" t="n">
        <f aca="false">Data!B2785</f>
        <v>63.21</v>
      </c>
      <c r="C2785" s="0" t="str">
        <f aca="false">IF(Data!D2785="","HOLD",IF(AND(G2784&lt;&gt;"IN",Data!E2785&lt;-5),"BUY",IF(AND(G2784="IN",Data!E2785&gt;0),"SELL","HOLD")))</f>
        <v>HOLD</v>
      </c>
      <c r="D2785" s="14" t="str">
        <f aca="false">IF(C2785="BUY",B2785,IF(G2784="IN",D2784,""))</f>
        <v/>
      </c>
      <c r="E2785" s="14" t="str">
        <f aca="false">IF(C2785="SELL",B2785,"")</f>
        <v/>
      </c>
      <c r="F2785" s="14" t="str">
        <f aca="false">IF(E2785="","",(E2785-D2785)/D2785*100)</f>
        <v/>
      </c>
      <c r="G2785" s="0" t="str">
        <f aca="false">IF(C2785="BUY","IN",IF(C2785="SELL","OUT",IF(G2784="IN","IN","OUT")))</f>
        <v>OUT</v>
      </c>
      <c r="H2785" s="14" t="n">
        <f aca="false">H2784+IF(F2785="",0,F2785)</f>
        <v>64.9798929513777</v>
      </c>
      <c r="I2785" s="14" t="n">
        <f aca="false">MAX(I2784,H2785)</f>
        <v>64.9798929513777</v>
      </c>
      <c r="J2785" s="14" t="n">
        <f aca="false">I2785-H2785</f>
        <v>0</v>
      </c>
    </row>
    <row r="2786" customFormat="false" ht="15" hidden="false" customHeight="false" outlineLevel="0" collapsed="false">
      <c r="A2786" s="12" t="n">
        <f aca="false">Data!A2786</f>
        <v>46051</v>
      </c>
      <c r="B2786" s="14" t="n">
        <f aca="false">Data!B2786</f>
        <v>65.42</v>
      </c>
      <c r="C2786" s="0" t="str">
        <f aca="false">IF(Data!D2786="","HOLD",IF(AND(G2785&lt;&gt;"IN",Data!E2786&lt;-5),"BUY",IF(AND(G2785="IN",Data!E2786&gt;0),"SELL","HOLD")))</f>
        <v>HOLD</v>
      </c>
      <c r="D2786" s="14" t="str">
        <f aca="false">IF(C2786="BUY",B2786,IF(G2785="IN",D2785,""))</f>
        <v/>
      </c>
      <c r="E2786" s="14" t="str">
        <f aca="false">IF(C2786="SELL",B2786,"")</f>
        <v/>
      </c>
      <c r="F2786" s="14" t="str">
        <f aca="false">IF(E2786="","",(E2786-D2786)/D2786*100)</f>
        <v/>
      </c>
      <c r="G2786" s="0" t="str">
        <f aca="false">IF(C2786="BUY","IN",IF(C2786="SELL","OUT",IF(G2785="IN","IN","OUT")))</f>
        <v>OUT</v>
      </c>
      <c r="H2786" s="14" t="n">
        <f aca="false">H2785+IF(F2786="",0,F2786)</f>
        <v>64.9798929513777</v>
      </c>
      <c r="I2786" s="14" t="n">
        <f aca="false">MAX(I2785,H2786)</f>
        <v>64.9798929513777</v>
      </c>
      <c r="J2786" s="14" t="n">
        <f aca="false">I2786-H2786</f>
        <v>0</v>
      </c>
    </row>
    <row r="2787" customFormat="false" ht="15" hidden="false" customHeight="false" outlineLevel="0" collapsed="false">
      <c r="A2787" s="12" t="n">
        <f aca="false">Data!A2787</f>
        <v>46052</v>
      </c>
      <c r="B2787" s="14" t="n">
        <f aca="false">Data!B2787</f>
        <v>65.21</v>
      </c>
      <c r="C2787" s="0" t="str">
        <f aca="false">IF(Data!D2787="","HOLD",IF(AND(G2786&lt;&gt;"IN",Data!E2787&lt;-5),"BUY",IF(AND(G2786="IN",Data!E2787&gt;0),"SELL","HOLD")))</f>
        <v>HOLD</v>
      </c>
      <c r="D2787" s="14" t="str">
        <f aca="false">IF(C2787="BUY",B2787,IF(G2786="IN",D2786,""))</f>
        <v/>
      </c>
      <c r="E2787" s="14" t="str">
        <f aca="false">IF(C2787="SELL",B2787,"")</f>
        <v/>
      </c>
      <c r="F2787" s="14" t="str">
        <f aca="false">IF(E2787="","",(E2787-D2787)/D2787*100)</f>
        <v/>
      </c>
      <c r="G2787" s="0" t="str">
        <f aca="false">IF(C2787="BUY","IN",IF(C2787="SELL","OUT",IF(G2786="IN","IN","OUT")))</f>
        <v>OUT</v>
      </c>
      <c r="H2787" s="14" t="n">
        <f aca="false">H2786+IF(F2787="",0,F2787)</f>
        <v>64.9798929513777</v>
      </c>
      <c r="I2787" s="14" t="n">
        <f aca="false">MAX(I2786,H2787)</f>
        <v>64.9798929513777</v>
      </c>
      <c r="J2787" s="14" t="n">
        <f aca="false">I2787-H2787</f>
        <v>0</v>
      </c>
    </row>
    <row r="2788" customFormat="false" ht="15" hidden="false" customHeight="false" outlineLevel="0" collapsed="false">
      <c r="A2788" s="12" t="n">
        <f aca="false">Data!A2788</f>
        <v>46055</v>
      </c>
      <c r="B2788" s="14" t="n">
        <f aca="false">Data!B2788</f>
        <v>62.14</v>
      </c>
      <c r="C2788" s="0" t="str">
        <f aca="false">IF(Data!D2788="","HOLD",IF(AND(G2787&lt;&gt;"IN",Data!E2788&lt;-5),"BUY",IF(AND(G2787="IN",Data!E2788&gt;0),"SELL","HOLD")))</f>
        <v>HOLD</v>
      </c>
      <c r="D2788" s="14" t="str">
        <f aca="false">IF(C2788="BUY",B2788,IF(G2787="IN",D2787,""))</f>
        <v/>
      </c>
      <c r="E2788" s="14" t="str">
        <f aca="false">IF(C2788="SELL",B2788,"")</f>
        <v/>
      </c>
      <c r="F2788" s="14" t="str">
        <f aca="false">IF(E2788="","",(E2788-D2788)/D2788*100)</f>
        <v/>
      </c>
      <c r="G2788" s="0" t="str">
        <f aca="false">IF(C2788="BUY","IN",IF(C2788="SELL","OUT",IF(G2787="IN","IN","OUT")))</f>
        <v>OUT</v>
      </c>
      <c r="H2788" s="14" t="n">
        <f aca="false">H2787+IF(F2788="",0,F2788)</f>
        <v>64.9798929513777</v>
      </c>
      <c r="I2788" s="14" t="n">
        <f aca="false">MAX(I2787,H2788)</f>
        <v>64.9798929513777</v>
      </c>
      <c r="J2788" s="14" t="n">
        <f aca="false">I2788-H2788</f>
        <v>0</v>
      </c>
    </row>
    <row r="2789" customFormat="false" ht="15" hidden="false" customHeight="false" outlineLevel="0" collapsed="false">
      <c r="A2789" s="12" t="n">
        <f aca="false">Data!A2789</f>
        <v>46056</v>
      </c>
      <c r="B2789" s="14" t="n">
        <f aca="false">Data!B2789</f>
        <v>63.21</v>
      </c>
      <c r="C2789" s="0" t="str">
        <f aca="false">IF(Data!D2789="","HOLD",IF(AND(G2788&lt;&gt;"IN",Data!E2789&lt;-5),"BUY",IF(AND(G2788="IN",Data!E2789&gt;0),"SELL","HOLD")))</f>
        <v>HOLD</v>
      </c>
      <c r="D2789" s="14" t="str">
        <f aca="false">IF(C2789="BUY",B2789,IF(G2788="IN",D2788,""))</f>
        <v/>
      </c>
      <c r="E2789" s="14" t="str">
        <f aca="false">IF(C2789="SELL",B2789,"")</f>
        <v/>
      </c>
      <c r="F2789" s="14" t="str">
        <f aca="false">IF(E2789="","",(E2789-D2789)/D2789*100)</f>
        <v/>
      </c>
      <c r="G2789" s="0" t="str">
        <f aca="false">IF(C2789="BUY","IN",IF(C2789="SELL","OUT",IF(G2788="IN","IN","OUT")))</f>
        <v>OUT</v>
      </c>
      <c r="H2789" s="14" t="n">
        <f aca="false">H2788+IF(F2789="",0,F2789)</f>
        <v>64.9798929513777</v>
      </c>
      <c r="I2789" s="14" t="n">
        <f aca="false">MAX(I2788,H2789)</f>
        <v>64.9798929513777</v>
      </c>
      <c r="J2789" s="14" t="n">
        <f aca="false">I2789-H2789</f>
        <v>0</v>
      </c>
    </row>
    <row r="2790" customFormat="false" ht="15" hidden="false" customHeight="false" outlineLevel="0" collapsed="false">
      <c r="A2790" s="12" t="n">
        <f aca="false">Data!A2790</f>
        <v>46057</v>
      </c>
      <c r="B2790" s="14" t="n">
        <f aca="false">Data!B2790</f>
        <v>65.14</v>
      </c>
      <c r="C2790" s="0" t="str">
        <f aca="false">IF(Data!D2790="","HOLD",IF(AND(G2789&lt;&gt;"IN",Data!E2790&lt;-5),"BUY",IF(AND(G2789="IN",Data!E2790&gt;0),"SELL","HOLD")))</f>
        <v>HOLD</v>
      </c>
      <c r="D2790" s="14" t="str">
        <f aca="false">IF(C2790="BUY",B2790,IF(G2789="IN",D2789,""))</f>
        <v/>
      </c>
      <c r="E2790" s="14" t="str">
        <f aca="false">IF(C2790="SELL",B2790,"")</f>
        <v/>
      </c>
      <c r="F2790" s="14" t="str">
        <f aca="false">IF(E2790="","",(E2790-D2790)/D2790*100)</f>
        <v/>
      </c>
      <c r="G2790" s="0" t="str">
        <f aca="false">IF(C2790="BUY","IN",IF(C2790="SELL","OUT",IF(G2789="IN","IN","OUT")))</f>
        <v>OUT</v>
      </c>
      <c r="H2790" s="14" t="n">
        <f aca="false">H2789+IF(F2790="",0,F2790)</f>
        <v>64.9798929513777</v>
      </c>
      <c r="I2790" s="14" t="n">
        <f aca="false">MAX(I2789,H2790)</f>
        <v>64.9798929513777</v>
      </c>
      <c r="J2790" s="14" t="n">
        <f aca="false">I2790-H2790</f>
        <v>0</v>
      </c>
    </row>
    <row r="2791" customFormat="false" ht="15" hidden="false" customHeight="false" outlineLevel="0" collapsed="false">
      <c r="A2791" s="12" t="n">
        <f aca="false">Data!A2791</f>
        <v>46058</v>
      </c>
      <c r="B2791" s="14" t="n">
        <f aca="false">Data!B2791</f>
        <v>63.29</v>
      </c>
      <c r="C2791" s="0" t="str">
        <f aca="false">IF(Data!D2791="","HOLD",IF(AND(G2790&lt;&gt;"IN",Data!E2791&lt;-5),"BUY",IF(AND(G2790="IN",Data!E2791&gt;0),"SELL","HOLD")))</f>
        <v>HOLD</v>
      </c>
      <c r="D2791" s="14" t="str">
        <f aca="false">IF(C2791="BUY",B2791,IF(G2790="IN",D2790,""))</f>
        <v/>
      </c>
      <c r="E2791" s="14" t="str">
        <f aca="false">IF(C2791="SELL",B2791,"")</f>
        <v/>
      </c>
      <c r="F2791" s="14" t="str">
        <f aca="false">IF(E2791="","",(E2791-D2791)/D2791*100)</f>
        <v/>
      </c>
      <c r="G2791" s="0" t="str">
        <f aca="false">IF(C2791="BUY","IN",IF(C2791="SELL","OUT",IF(G2790="IN","IN","OUT")))</f>
        <v>OUT</v>
      </c>
      <c r="H2791" s="14" t="n">
        <f aca="false">H2790+IF(F2791="",0,F2791)</f>
        <v>64.9798929513777</v>
      </c>
      <c r="I2791" s="14" t="n">
        <f aca="false">MAX(I2790,H2791)</f>
        <v>64.9798929513777</v>
      </c>
      <c r="J2791" s="14" t="n">
        <f aca="false">I2791-H2791</f>
        <v>0</v>
      </c>
    </row>
    <row r="2792" customFormat="false" ht="15" hidden="false" customHeight="false" outlineLevel="0" collapsed="false">
      <c r="A2792" s="12" t="n">
        <f aca="false">Data!A2792</f>
        <v>46059</v>
      </c>
      <c r="B2792" s="14" t="n">
        <f aca="false">Data!B2792</f>
        <v>63.55</v>
      </c>
      <c r="C2792" s="0" t="str">
        <f aca="false">IF(Data!D2792="","HOLD",IF(AND(G2791&lt;&gt;"IN",Data!E2792&lt;-5),"BUY",IF(AND(G2791="IN",Data!E2792&gt;0),"SELL","HOLD")))</f>
        <v>HOLD</v>
      </c>
      <c r="D2792" s="14" t="str">
        <f aca="false">IF(C2792="BUY",B2792,IF(G2791="IN",D2791,""))</f>
        <v/>
      </c>
      <c r="E2792" s="14" t="str">
        <f aca="false">IF(C2792="SELL",B2792,"")</f>
        <v/>
      </c>
      <c r="F2792" s="14" t="str">
        <f aca="false">IF(E2792="","",(E2792-D2792)/D2792*100)</f>
        <v/>
      </c>
      <c r="G2792" s="0" t="str">
        <f aca="false">IF(C2792="BUY","IN",IF(C2792="SELL","OUT",IF(G2791="IN","IN","OUT")))</f>
        <v>OUT</v>
      </c>
      <c r="H2792" s="14" t="n">
        <f aca="false">H2791+IF(F2792="",0,F2792)</f>
        <v>64.9798929513777</v>
      </c>
      <c r="I2792" s="14" t="n">
        <f aca="false">MAX(I2791,H2792)</f>
        <v>64.9798929513777</v>
      </c>
      <c r="J2792" s="14" t="n">
        <f aca="false">I2792-H2792</f>
        <v>0</v>
      </c>
    </row>
    <row r="2793" customFormat="false" ht="15" hidden="false" customHeight="false" outlineLevel="0" collapsed="false">
      <c r="A2793" s="12" t="n">
        <f aca="false">Data!A2793</f>
        <v>46062</v>
      </c>
      <c r="B2793" s="14" t="n">
        <f aca="false">Data!B2793</f>
        <v>64.36</v>
      </c>
      <c r="C2793" s="0" t="str">
        <f aca="false">IF(Data!D2793="","HOLD",IF(AND(G2792&lt;&gt;"IN",Data!E2793&lt;-5),"BUY",IF(AND(G2792="IN",Data!E2793&gt;0),"SELL","HOLD")))</f>
        <v>HOLD</v>
      </c>
      <c r="D2793" s="14" t="str">
        <f aca="false">IF(C2793="BUY",B2793,IF(G2792="IN",D2792,""))</f>
        <v/>
      </c>
      <c r="E2793" s="14" t="str">
        <f aca="false">IF(C2793="SELL",B2793,"")</f>
        <v/>
      </c>
      <c r="F2793" s="14" t="str">
        <f aca="false">IF(E2793="","",(E2793-D2793)/D2793*100)</f>
        <v/>
      </c>
      <c r="G2793" s="0" t="str">
        <f aca="false">IF(C2793="BUY","IN",IF(C2793="SELL","OUT",IF(G2792="IN","IN","OUT")))</f>
        <v>OUT</v>
      </c>
      <c r="H2793" s="14" t="n">
        <f aca="false">H2792+IF(F2793="",0,F2793)</f>
        <v>64.9798929513777</v>
      </c>
      <c r="I2793" s="14" t="n">
        <f aca="false">MAX(I2792,H2793)</f>
        <v>64.9798929513777</v>
      </c>
      <c r="J2793" s="14" t="n">
        <f aca="false">I2793-H2793</f>
        <v>0</v>
      </c>
    </row>
    <row r="2794" customFormat="false" ht="15" hidden="false" customHeight="false" outlineLevel="0" collapsed="false">
      <c r="A2794" s="12" t="n">
        <f aca="false">Data!A2794</f>
        <v>46063</v>
      </c>
      <c r="B2794" s="14" t="n">
        <f aca="false">Data!B2794</f>
        <v>63.96</v>
      </c>
      <c r="C2794" s="0" t="str">
        <f aca="false">IF(Data!D2794="","HOLD",IF(AND(G2793&lt;&gt;"IN",Data!E2794&lt;-5),"BUY",IF(AND(G2793="IN",Data!E2794&gt;0),"SELL","HOLD")))</f>
        <v>HOLD</v>
      </c>
      <c r="D2794" s="14" t="str">
        <f aca="false">IF(C2794="BUY",B2794,IF(G2793="IN",D2793,""))</f>
        <v/>
      </c>
      <c r="E2794" s="14" t="str">
        <f aca="false">IF(C2794="SELL",B2794,"")</f>
        <v/>
      </c>
      <c r="F2794" s="14" t="str">
        <f aca="false">IF(E2794="","",(E2794-D2794)/D2794*100)</f>
        <v/>
      </c>
      <c r="G2794" s="0" t="str">
        <f aca="false">IF(C2794="BUY","IN",IF(C2794="SELL","OUT",IF(G2793="IN","IN","OUT")))</f>
        <v>OUT</v>
      </c>
      <c r="H2794" s="14" t="n">
        <f aca="false">H2793+IF(F2794="",0,F2794)</f>
        <v>64.9798929513777</v>
      </c>
      <c r="I2794" s="14" t="n">
        <f aca="false">MAX(I2793,H2794)</f>
        <v>64.9798929513777</v>
      </c>
      <c r="J2794" s="14" t="n">
        <f aca="false">I2794-H2794</f>
        <v>0</v>
      </c>
    </row>
    <row r="2795" customFormat="false" ht="15" hidden="false" customHeight="false" outlineLevel="0" collapsed="false">
      <c r="A2795" s="12" t="n">
        <f aca="false">Data!A2795</f>
        <v>46064</v>
      </c>
      <c r="B2795" s="14" t="n">
        <f aca="false">Data!B2795</f>
        <v>64.63</v>
      </c>
      <c r="C2795" s="0" t="str">
        <f aca="false">IF(Data!D2795="","HOLD",IF(AND(G2794&lt;&gt;"IN",Data!E2795&lt;-5),"BUY",IF(AND(G2794="IN",Data!E2795&gt;0),"SELL","HOLD")))</f>
        <v>HOLD</v>
      </c>
      <c r="D2795" s="14" t="str">
        <f aca="false">IF(C2795="BUY",B2795,IF(G2794="IN",D2794,""))</f>
        <v/>
      </c>
      <c r="E2795" s="14" t="str">
        <f aca="false">IF(C2795="SELL",B2795,"")</f>
        <v/>
      </c>
      <c r="F2795" s="14" t="str">
        <f aca="false">IF(E2795="","",(E2795-D2795)/D2795*100)</f>
        <v/>
      </c>
      <c r="G2795" s="0" t="str">
        <f aca="false">IF(C2795="BUY","IN",IF(C2795="SELL","OUT",IF(G2794="IN","IN","OUT")))</f>
        <v>OUT</v>
      </c>
      <c r="H2795" s="14" t="n">
        <f aca="false">H2794+IF(F2795="",0,F2795)</f>
        <v>64.9798929513777</v>
      </c>
      <c r="I2795" s="14" t="n">
        <f aca="false">MAX(I2794,H2795)</f>
        <v>64.9798929513777</v>
      </c>
      <c r="J2795" s="14" t="n">
        <f aca="false">I2795-H2795</f>
        <v>0</v>
      </c>
    </row>
    <row r="2796" customFormat="false" ht="15" hidden="false" customHeight="false" outlineLevel="0" collapsed="false">
      <c r="A2796" s="12" t="n">
        <f aca="false">Data!A2796</f>
        <v>46065</v>
      </c>
      <c r="B2796" s="14" t="n">
        <f aca="false">Data!B2796</f>
        <v>62.84</v>
      </c>
      <c r="C2796" s="0" t="str">
        <f aca="false">IF(Data!D2796="","HOLD",IF(AND(G2795&lt;&gt;"IN",Data!E2796&lt;-5),"BUY",IF(AND(G2795="IN",Data!E2796&gt;0),"SELL","HOLD")))</f>
        <v>HOLD</v>
      </c>
      <c r="D2796" s="14" t="str">
        <f aca="false">IF(C2796="BUY",B2796,IF(G2795="IN",D2795,""))</f>
        <v/>
      </c>
      <c r="E2796" s="14" t="str">
        <f aca="false">IF(C2796="SELL",B2796,"")</f>
        <v/>
      </c>
      <c r="F2796" s="14" t="str">
        <f aca="false">IF(E2796="","",(E2796-D2796)/D2796*100)</f>
        <v/>
      </c>
      <c r="G2796" s="0" t="str">
        <f aca="false">IF(C2796="BUY","IN",IF(C2796="SELL","OUT",IF(G2795="IN","IN","OUT")))</f>
        <v>OUT</v>
      </c>
      <c r="H2796" s="14" t="n">
        <f aca="false">H2795+IF(F2796="",0,F2796)</f>
        <v>64.9798929513777</v>
      </c>
      <c r="I2796" s="14" t="n">
        <f aca="false">MAX(I2795,H2796)</f>
        <v>64.9798929513777</v>
      </c>
      <c r="J2796" s="14" t="n">
        <f aca="false">I2796-H2796</f>
        <v>0</v>
      </c>
    </row>
    <row r="2797" customFormat="false" ht="15" hidden="false" customHeight="false" outlineLevel="0" collapsed="false">
      <c r="A2797" s="12" t="n">
        <f aca="false">Data!A2797</f>
        <v>46066</v>
      </c>
      <c r="B2797" s="14" t="n">
        <f aca="false">Data!B2797</f>
        <v>62.89</v>
      </c>
      <c r="C2797" s="0" t="str">
        <f aca="false">IF(Data!D2797="","HOLD",IF(AND(G2796&lt;&gt;"IN",Data!E2797&lt;-5),"BUY",IF(AND(G2796="IN",Data!E2797&gt;0),"SELL","HOLD")))</f>
        <v>HOLD</v>
      </c>
      <c r="D2797" s="14" t="str">
        <f aca="false">IF(C2797="BUY",B2797,IF(G2796="IN",D2796,""))</f>
        <v/>
      </c>
      <c r="E2797" s="14" t="str">
        <f aca="false">IF(C2797="SELL",B2797,"")</f>
        <v/>
      </c>
      <c r="F2797" s="14" t="str">
        <f aca="false">IF(E2797="","",(E2797-D2797)/D2797*100)</f>
        <v/>
      </c>
      <c r="G2797" s="0" t="str">
        <f aca="false">IF(C2797="BUY","IN",IF(C2797="SELL","OUT",IF(G2796="IN","IN","OUT")))</f>
        <v>OUT</v>
      </c>
      <c r="H2797" s="14" t="n">
        <f aca="false">H2796+IF(F2797="",0,F2797)</f>
        <v>64.9798929513777</v>
      </c>
      <c r="I2797" s="14" t="n">
        <f aca="false">MAX(I2796,H2797)</f>
        <v>64.9798929513777</v>
      </c>
      <c r="J2797" s="14" t="n">
        <f aca="false">I2797-H2797</f>
        <v>0</v>
      </c>
    </row>
    <row r="2798" customFormat="false" ht="15" hidden="false" customHeight="false" outlineLevel="0" collapsed="false">
      <c r="A2798" s="12" t="n">
        <f aca="false">Data!A2798</f>
        <v>46070</v>
      </c>
      <c r="B2798" s="14" t="n">
        <f aca="false">Data!B2798</f>
        <v>62.33</v>
      </c>
      <c r="C2798" s="0" t="str">
        <f aca="false">IF(Data!D2798="","HOLD",IF(AND(G2797&lt;&gt;"IN",Data!E2798&lt;-5),"BUY",IF(AND(G2797="IN",Data!E2798&gt;0),"SELL","HOLD")))</f>
        <v>HOLD</v>
      </c>
      <c r="D2798" s="14" t="str">
        <f aca="false">IF(C2798="BUY",B2798,IF(G2797="IN",D2797,""))</f>
        <v/>
      </c>
      <c r="E2798" s="14" t="str">
        <f aca="false">IF(C2798="SELL",B2798,"")</f>
        <v/>
      </c>
      <c r="F2798" s="14" t="str">
        <f aca="false">IF(E2798="","",(E2798-D2798)/D2798*100)</f>
        <v/>
      </c>
      <c r="G2798" s="0" t="str">
        <f aca="false">IF(C2798="BUY","IN",IF(C2798="SELL","OUT",IF(G2797="IN","IN","OUT")))</f>
        <v>OUT</v>
      </c>
      <c r="H2798" s="14" t="n">
        <f aca="false">H2797+IF(F2798="",0,F2798)</f>
        <v>64.9798929513777</v>
      </c>
      <c r="I2798" s="14" t="n">
        <f aca="false">MAX(I2797,H2798)</f>
        <v>64.9798929513777</v>
      </c>
      <c r="J2798" s="14" t="n">
        <f aca="false">I2798-H2798</f>
        <v>0</v>
      </c>
    </row>
    <row r="2799" customFormat="false" ht="15" hidden="false" customHeight="false" outlineLevel="0" collapsed="false">
      <c r="A2799" s="12" t="n">
        <f aca="false">Data!A2799</f>
        <v>46071</v>
      </c>
      <c r="B2799" s="14" t="n">
        <f aca="false">Data!B2799</f>
        <v>65.19</v>
      </c>
      <c r="C2799" s="0" t="str">
        <f aca="false">IF(Data!D2799="","HOLD",IF(AND(G2798&lt;&gt;"IN",Data!E2799&lt;-5),"BUY",IF(AND(G2798="IN",Data!E2799&gt;0),"SELL","HOLD")))</f>
        <v>HOLD</v>
      </c>
      <c r="D2799" s="14" t="str">
        <f aca="false">IF(C2799="BUY",B2799,IF(G2798="IN",D2798,""))</f>
        <v/>
      </c>
      <c r="E2799" s="14" t="str">
        <f aca="false">IF(C2799="SELL",B2799,"")</f>
        <v/>
      </c>
      <c r="F2799" s="14" t="str">
        <f aca="false">IF(E2799="","",(E2799-D2799)/D2799*100)</f>
        <v/>
      </c>
      <c r="G2799" s="0" t="str">
        <f aca="false">IF(C2799="BUY","IN",IF(C2799="SELL","OUT",IF(G2798="IN","IN","OUT")))</f>
        <v>OUT</v>
      </c>
      <c r="H2799" s="14" t="n">
        <f aca="false">H2798+IF(F2799="",0,F2799)</f>
        <v>64.9798929513777</v>
      </c>
      <c r="I2799" s="14" t="n">
        <f aca="false">MAX(I2798,H2799)</f>
        <v>64.9798929513777</v>
      </c>
      <c r="J2799" s="14" t="n">
        <f aca="false">I2799-H2799</f>
        <v>0</v>
      </c>
    </row>
    <row r="2800" customFormat="false" ht="15" hidden="false" customHeight="false" outlineLevel="0" collapsed="false">
      <c r="A2800" s="12" t="n">
        <f aca="false">Data!A2800</f>
        <v>46072</v>
      </c>
      <c r="B2800" s="14" t="n">
        <f aca="false">Data!B2800</f>
        <v>66.43</v>
      </c>
      <c r="C2800" s="0" t="str">
        <f aca="false">IF(Data!D2800="","HOLD",IF(AND(G2799&lt;&gt;"IN",Data!E2800&lt;-5),"BUY",IF(AND(G2799="IN",Data!E2800&gt;0),"SELL","HOLD")))</f>
        <v>HOLD</v>
      </c>
      <c r="D2800" s="14" t="str">
        <f aca="false">IF(C2800="BUY",B2800,IF(G2799="IN",D2799,""))</f>
        <v/>
      </c>
      <c r="E2800" s="14" t="str">
        <f aca="false">IF(C2800="SELL",B2800,"")</f>
        <v/>
      </c>
      <c r="F2800" s="14" t="str">
        <f aca="false">IF(E2800="","",(E2800-D2800)/D2800*100)</f>
        <v/>
      </c>
      <c r="G2800" s="0" t="str">
        <f aca="false">IF(C2800="BUY","IN",IF(C2800="SELL","OUT",IF(G2799="IN","IN","OUT")))</f>
        <v>OUT</v>
      </c>
      <c r="H2800" s="14" t="n">
        <f aca="false">H2799+IF(F2800="",0,F2800)</f>
        <v>64.9798929513777</v>
      </c>
      <c r="I2800" s="14" t="n">
        <f aca="false">MAX(I2799,H2800)</f>
        <v>64.9798929513777</v>
      </c>
      <c r="J2800" s="14" t="n">
        <f aca="false">I2800-H2800</f>
        <v>0</v>
      </c>
    </row>
    <row r="2801" customFormat="false" ht="15" hidden="false" customHeight="false" outlineLevel="0" collapsed="false">
      <c r="A2801" s="12" t="n">
        <f aca="false">Data!A2801</f>
        <v>46073</v>
      </c>
      <c r="B2801" s="14" t="n">
        <f aca="false">Data!B2801</f>
        <v>66.39</v>
      </c>
      <c r="C2801" s="0" t="str">
        <f aca="false">IF(Data!D2801="","HOLD",IF(AND(G2800&lt;&gt;"IN",Data!E2801&lt;-5),"BUY",IF(AND(G2800="IN",Data!E2801&gt;0),"SELL","HOLD")))</f>
        <v>HOLD</v>
      </c>
      <c r="D2801" s="14" t="str">
        <f aca="false">IF(C2801="BUY",B2801,IF(G2800="IN",D2800,""))</f>
        <v/>
      </c>
      <c r="E2801" s="14" t="str">
        <f aca="false">IF(C2801="SELL",B2801,"")</f>
        <v/>
      </c>
      <c r="F2801" s="14" t="str">
        <f aca="false">IF(E2801="","",(E2801-D2801)/D2801*100)</f>
        <v/>
      </c>
      <c r="G2801" s="0" t="str">
        <f aca="false">IF(C2801="BUY","IN",IF(C2801="SELL","OUT",IF(G2800="IN","IN","OUT")))</f>
        <v>OUT</v>
      </c>
      <c r="H2801" s="14" t="n">
        <f aca="false">H2800+IF(F2801="",0,F2801)</f>
        <v>64.9798929513777</v>
      </c>
      <c r="I2801" s="14" t="n">
        <f aca="false">MAX(I2800,H2801)</f>
        <v>64.9798929513777</v>
      </c>
      <c r="J2801" s="14" t="n">
        <f aca="false">I2801-H2801</f>
        <v>0</v>
      </c>
    </row>
    <row r="2802" customFormat="false" ht="15" hidden="false" customHeight="false" outlineLevel="0" collapsed="false">
      <c r="A2802" s="12" t="n">
        <f aca="false">Data!A2802</f>
        <v>46076</v>
      </c>
      <c r="B2802" s="14" t="n">
        <f aca="false">Data!B2802</f>
        <v>66.31</v>
      </c>
      <c r="C2802" s="0" t="str">
        <f aca="false">IF(Data!D2802="","HOLD",IF(AND(G2801&lt;&gt;"IN",Data!E2802&lt;-5),"BUY",IF(AND(G2801="IN",Data!E2802&gt;0),"SELL","HOLD")))</f>
        <v>HOLD</v>
      </c>
      <c r="D2802" s="14" t="str">
        <f aca="false">IF(C2802="BUY",B2802,IF(G2801="IN",D2801,""))</f>
        <v/>
      </c>
      <c r="E2802" s="14" t="str">
        <f aca="false">IF(C2802="SELL",B2802,"")</f>
        <v/>
      </c>
      <c r="F2802" s="14" t="str">
        <f aca="false">IF(E2802="","",(E2802-D2802)/D2802*100)</f>
        <v/>
      </c>
      <c r="G2802" s="0" t="str">
        <f aca="false">IF(C2802="BUY","IN",IF(C2802="SELL","OUT",IF(G2801="IN","IN","OUT")))</f>
        <v>OUT</v>
      </c>
      <c r="H2802" s="14" t="n">
        <f aca="false">H2801+IF(F2802="",0,F2802)</f>
        <v>64.9798929513777</v>
      </c>
      <c r="I2802" s="14" t="n">
        <f aca="false">MAX(I2801,H2802)</f>
        <v>64.9798929513777</v>
      </c>
      <c r="J2802" s="14" t="n">
        <f aca="false">I2802-H2802</f>
        <v>0</v>
      </c>
    </row>
    <row r="2803" customFormat="false" ht="15" hidden="false" customHeight="false" outlineLevel="0" collapsed="false">
      <c r="A2803" s="12" t="n">
        <f aca="false">Data!A2803</f>
        <v>46077</v>
      </c>
      <c r="B2803" s="14" t="n">
        <f aca="false">Data!B2803</f>
        <v>65.63</v>
      </c>
      <c r="C2803" s="0" t="str">
        <f aca="false">IF(Data!D2803="","HOLD",IF(AND(G2802&lt;&gt;"IN",Data!E2803&lt;-5),"BUY",IF(AND(G2802="IN",Data!E2803&gt;0),"SELL","HOLD")))</f>
        <v>HOLD</v>
      </c>
      <c r="D2803" s="14" t="str">
        <f aca="false">IF(C2803="BUY",B2803,IF(G2802="IN",D2802,""))</f>
        <v/>
      </c>
      <c r="E2803" s="14" t="str">
        <f aca="false">IF(C2803="SELL",B2803,"")</f>
        <v/>
      </c>
      <c r="F2803" s="14" t="str">
        <f aca="false">IF(E2803="","",(E2803-D2803)/D2803*100)</f>
        <v/>
      </c>
      <c r="G2803" s="0" t="str">
        <f aca="false">IF(C2803="BUY","IN",IF(C2803="SELL","OUT",IF(G2802="IN","IN","OUT")))</f>
        <v>OUT</v>
      </c>
      <c r="H2803" s="14" t="n">
        <f aca="false">H2802+IF(F2803="",0,F2803)</f>
        <v>64.9798929513777</v>
      </c>
      <c r="I2803" s="14" t="n">
        <f aca="false">MAX(I2802,H2803)</f>
        <v>64.9798929513777</v>
      </c>
      <c r="J2803" s="14" t="n">
        <f aca="false">I2803-H2803</f>
        <v>0</v>
      </c>
    </row>
    <row r="2804" customFormat="false" ht="15" hidden="false" customHeight="false" outlineLevel="0" collapsed="false">
      <c r="A2804" s="12" t="n">
        <f aca="false">Data!A2804</f>
        <v>46078</v>
      </c>
      <c r="B2804" s="14" t="n">
        <f aca="false">Data!B2804</f>
        <v>65.42</v>
      </c>
      <c r="C2804" s="0" t="str">
        <f aca="false">IF(Data!D2804="","HOLD",IF(AND(G2803&lt;&gt;"IN",Data!E2804&lt;-5),"BUY",IF(AND(G2803="IN",Data!E2804&gt;0),"SELL","HOLD")))</f>
        <v>HOLD</v>
      </c>
      <c r="D2804" s="14" t="str">
        <f aca="false">IF(C2804="BUY",B2804,IF(G2803="IN",D2803,""))</f>
        <v/>
      </c>
      <c r="E2804" s="14" t="str">
        <f aca="false">IF(C2804="SELL",B2804,"")</f>
        <v/>
      </c>
      <c r="F2804" s="14" t="str">
        <f aca="false">IF(E2804="","",(E2804-D2804)/D2804*100)</f>
        <v/>
      </c>
      <c r="G2804" s="0" t="str">
        <f aca="false">IF(C2804="BUY","IN",IF(C2804="SELL","OUT",IF(G2803="IN","IN","OUT")))</f>
        <v>OUT</v>
      </c>
      <c r="H2804" s="14" t="n">
        <f aca="false">H2803+IF(F2804="",0,F2804)</f>
        <v>64.9798929513777</v>
      </c>
      <c r="I2804" s="14" t="n">
        <f aca="false">MAX(I2803,H2804)</f>
        <v>64.9798929513777</v>
      </c>
      <c r="J2804" s="14" t="n">
        <f aca="false">I2804-H2804</f>
        <v>0</v>
      </c>
    </row>
    <row r="2805" customFormat="false" ht="15" hidden="false" customHeight="false" outlineLevel="0" collapsed="false">
      <c r="A2805" s="12" t="n">
        <f aca="false">Data!A2805</f>
        <v>46079</v>
      </c>
      <c r="B2805" s="14" t="n">
        <f aca="false">Data!B2805</f>
        <v>65.21</v>
      </c>
      <c r="C2805" s="0" t="str">
        <f aca="false">IF(Data!D2805="","HOLD",IF(AND(G2804&lt;&gt;"IN",Data!E2805&lt;-5),"BUY",IF(AND(G2804="IN",Data!E2805&gt;0),"SELL","HOLD")))</f>
        <v>HOLD</v>
      </c>
      <c r="D2805" s="14" t="str">
        <f aca="false">IF(C2805="BUY",B2805,IF(G2804="IN",D2804,""))</f>
        <v/>
      </c>
      <c r="E2805" s="14" t="str">
        <f aca="false">IF(C2805="SELL",B2805,"")</f>
        <v/>
      </c>
      <c r="F2805" s="14" t="str">
        <f aca="false">IF(E2805="","",(E2805-D2805)/D2805*100)</f>
        <v/>
      </c>
      <c r="G2805" s="0" t="str">
        <f aca="false">IF(C2805="BUY","IN",IF(C2805="SELL","OUT",IF(G2804="IN","IN","OUT")))</f>
        <v>OUT</v>
      </c>
      <c r="H2805" s="14" t="n">
        <f aca="false">H2804+IF(F2805="",0,F2805)</f>
        <v>64.9798929513777</v>
      </c>
      <c r="I2805" s="14" t="n">
        <f aca="false">MAX(I2804,H2805)</f>
        <v>64.9798929513777</v>
      </c>
      <c r="J2805" s="14" t="n">
        <f aca="false">I2805-H2805</f>
        <v>0</v>
      </c>
    </row>
    <row r="2806" customFormat="false" ht="15" hidden="false" customHeight="false" outlineLevel="0" collapsed="false">
      <c r="A2806" s="12" t="n">
        <f aca="false">Data!A2806</f>
        <v>46080</v>
      </c>
      <c r="B2806" s="14" t="n">
        <f aca="false">Data!B2806</f>
        <v>67.02</v>
      </c>
      <c r="C2806" s="0" t="str">
        <f aca="false">IF(Data!D2806="","HOLD",IF(AND(G2805&lt;&gt;"IN",Data!E2806&lt;-5),"BUY",IF(AND(G2805="IN",Data!E2806&gt;0),"SELL","HOLD")))</f>
        <v>HOLD</v>
      </c>
      <c r="D2806" s="14" t="str">
        <f aca="false">IF(C2806="BUY",B2806,IF(G2805="IN",D2805,""))</f>
        <v/>
      </c>
      <c r="E2806" s="14" t="str">
        <f aca="false">IF(C2806="SELL",B2806,"")</f>
        <v/>
      </c>
      <c r="F2806" s="14" t="str">
        <f aca="false">IF(E2806="","",(E2806-D2806)/D2806*100)</f>
        <v/>
      </c>
      <c r="G2806" s="0" t="str">
        <f aca="false">IF(C2806="BUY","IN",IF(C2806="SELL","OUT",IF(G2805="IN","IN","OUT")))</f>
        <v>OUT</v>
      </c>
      <c r="H2806" s="14" t="n">
        <f aca="false">H2805+IF(F2806="",0,F2806)</f>
        <v>64.9798929513777</v>
      </c>
      <c r="I2806" s="14" t="n">
        <f aca="false">MAX(I2805,H2806)</f>
        <v>64.9798929513777</v>
      </c>
      <c r="J2806" s="14" t="n">
        <f aca="false">I2806-H2806</f>
        <v>0</v>
      </c>
    </row>
    <row r="2807" customFormat="false" ht="15" hidden="false" customHeight="false" outlineLevel="0" collapsed="false">
      <c r="A2807" s="12" t="n">
        <f aca="false">Data!A2807</f>
        <v>46083</v>
      </c>
      <c r="B2807" s="14" t="n">
        <f aca="false">Data!B2807</f>
        <v>71.23</v>
      </c>
      <c r="C2807" s="0" t="str">
        <f aca="false">IF(Data!D2807="","HOLD",IF(AND(G2806&lt;&gt;"IN",Data!E2807&lt;-5),"BUY",IF(AND(G2806="IN",Data!E2807&gt;0),"SELL","HOLD")))</f>
        <v>HOLD</v>
      </c>
      <c r="D2807" s="14" t="str">
        <f aca="false">IF(C2807="BUY",B2807,IF(G2806="IN",D2806,""))</f>
        <v/>
      </c>
      <c r="E2807" s="14" t="str">
        <f aca="false">IF(C2807="SELL",B2807,"")</f>
        <v/>
      </c>
      <c r="F2807" s="14" t="str">
        <f aca="false">IF(E2807="","",(E2807-D2807)/D2807*100)</f>
        <v/>
      </c>
      <c r="G2807" s="0" t="str">
        <f aca="false">IF(C2807="BUY","IN",IF(C2807="SELL","OUT",IF(G2806="IN","IN","OUT")))</f>
        <v>OUT</v>
      </c>
      <c r="H2807" s="14" t="n">
        <f aca="false">H2806+IF(F2807="",0,F2807)</f>
        <v>64.9798929513777</v>
      </c>
      <c r="I2807" s="14" t="n">
        <f aca="false">MAX(I2806,H2807)</f>
        <v>64.9798929513777</v>
      </c>
      <c r="J2807" s="14" t="n">
        <f aca="false">I2807-H2807</f>
        <v>0</v>
      </c>
    </row>
    <row r="2808" customFormat="false" ht="15" hidden="false" customHeight="false" outlineLevel="0" collapsed="false">
      <c r="A2808" s="12" t="n">
        <f aca="false">Data!A2808</f>
        <v>46084</v>
      </c>
      <c r="B2808" s="14" t="n">
        <f aca="false">Data!B2808</f>
        <v>74.56</v>
      </c>
      <c r="C2808" s="0" t="str">
        <f aca="false">IF(Data!D2808="","HOLD",IF(AND(G2807&lt;&gt;"IN",Data!E2808&lt;-5),"BUY",IF(AND(G2807="IN",Data!E2808&gt;0),"SELL","HOLD")))</f>
        <v>HOLD</v>
      </c>
      <c r="D2808" s="14" t="str">
        <f aca="false">IF(C2808="BUY",B2808,IF(G2807="IN",D2807,""))</f>
        <v/>
      </c>
      <c r="E2808" s="14" t="str">
        <f aca="false">IF(C2808="SELL",B2808,"")</f>
        <v/>
      </c>
      <c r="F2808" s="14" t="str">
        <f aca="false">IF(E2808="","",(E2808-D2808)/D2808*100)</f>
        <v/>
      </c>
      <c r="G2808" s="0" t="str">
        <f aca="false">IF(C2808="BUY","IN",IF(C2808="SELL","OUT",IF(G2807="IN","IN","OUT")))</f>
        <v>OUT</v>
      </c>
      <c r="H2808" s="14" t="n">
        <f aca="false">H2807+IF(F2808="",0,F2808)</f>
        <v>64.9798929513777</v>
      </c>
      <c r="I2808" s="14" t="n">
        <f aca="false">MAX(I2807,H2808)</f>
        <v>64.9798929513777</v>
      </c>
      <c r="J2808" s="14" t="n">
        <f aca="false">I2808-H2808</f>
        <v>0</v>
      </c>
    </row>
    <row r="2809" customFormat="false" ht="15" hidden="false" customHeight="false" outlineLevel="0" collapsed="false">
      <c r="A2809" s="12" t="n">
        <f aca="false">Data!A2809</f>
        <v>46085</v>
      </c>
      <c r="B2809" s="14" t="n">
        <f aca="false">Data!B2809</f>
        <v>74.66</v>
      </c>
      <c r="C2809" s="0" t="str">
        <f aca="false">IF(Data!D2809="","HOLD",IF(AND(G2808&lt;&gt;"IN",Data!E2809&lt;-5),"BUY",IF(AND(G2808="IN",Data!E2809&gt;0),"SELL","HOLD")))</f>
        <v>HOLD</v>
      </c>
      <c r="D2809" s="14" t="str">
        <f aca="false">IF(C2809="BUY",B2809,IF(G2808="IN",D2808,""))</f>
        <v/>
      </c>
      <c r="E2809" s="14" t="str">
        <f aca="false">IF(C2809="SELL",B2809,"")</f>
        <v/>
      </c>
      <c r="F2809" s="14" t="str">
        <f aca="false">IF(E2809="","",(E2809-D2809)/D2809*100)</f>
        <v/>
      </c>
      <c r="G2809" s="0" t="str">
        <f aca="false">IF(C2809="BUY","IN",IF(C2809="SELL","OUT",IF(G2808="IN","IN","OUT")))</f>
        <v>OUT</v>
      </c>
      <c r="H2809" s="14" t="n">
        <f aca="false">H2808+IF(F2809="",0,F2809)</f>
        <v>64.9798929513777</v>
      </c>
      <c r="I2809" s="14" t="n">
        <f aca="false">MAX(I2808,H2809)</f>
        <v>64.9798929513777</v>
      </c>
      <c r="J2809" s="14" t="n">
        <f aca="false">I2809-H2809</f>
        <v>0</v>
      </c>
    </row>
    <row r="2810" customFormat="false" ht="15" hidden="false" customHeight="false" outlineLevel="0" collapsed="false">
      <c r="A2810" s="12" t="n">
        <f aca="false">Data!A2810</f>
        <v>46086</v>
      </c>
      <c r="B2810" s="14" t="n">
        <f aca="false">Data!B2810</f>
        <v>81.01</v>
      </c>
      <c r="C2810" s="0" t="str">
        <f aca="false">IF(Data!D2810="","HOLD",IF(AND(G2809&lt;&gt;"IN",Data!E2810&lt;-5),"BUY",IF(AND(G2809="IN",Data!E2810&gt;0),"SELL","HOLD")))</f>
        <v>HOLD</v>
      </c>
      <c r="D2810" s="14" t="str">
        <f aca="false">IF(C2810="BUY",B2810,IF(G2809="IN",D2809,""))</f>
        <v/>
      </c>
      <c r="E2810" s="14" t="str">
        <f aca="false">IF(C2810="SELL",B2810,"")</f>
        <v/>
      </c>
      <c r="F2810" s="14" t="str">
        <f aca="false">IF(E2810="","",(E2810-D2810)/D2810*100)</f>
        <v/>
      </c>
      <c r="G2810" s="0" t="str">
        <f aca="false">IF(C2810="BUY","IN",IF(C2810="SELL","OUT",IF(G2809="IN","IN","OUT")))</f>
        <v>OUT</v>
      </c>
      <c r="H2810" s="14" t="n">
        <f aca="false">H2809+IF(F2810="",0,F2810)</f>
        <v>64.9798929513777</v>
      </c>
      <c r="I2810" s="14" t="n">
        <f aca="false">MAX(I2809,H2810)</f>
        <v>64.9798929513777</v>
      </c>
      <c r="J2810" s="14" t="n">
        <f aca="false">I2810-H2810</f>
        <v>0</v>
      </c>
    </row>
    <row r="2811" customFormat="false" ht="15" hidden="false" customHeight="false" outlineLevel="0" collapsed="false">
      <c r="A2811" s="12" t="n">
        <f aca="false">Data!A2811</f>
        <v>46087</v>
      </c>
      <c r="B2811" s="14" t="n">
        <f aca="false">Data!B2811</f>
        <v>90.9</v>
      </c>
      <c r="C2811" s="0" t="str">
        <f aca="false">IF(Data!D2811="","HOLD",IF(AND(G2810&lt;&gt;"IN",Data!E2811&lt;-5),"BUY",IF(AND(G2810="IN",Data!E2811&gt;0),"SELL","HOLD")))</f>
        <v>HOLD</v>
      </c>
      <c r="D2811" s="14" t="str">
        <f aca="false">IF(C2811="BUY",B2811,IF(G2810="IN",D2810,""))</f>
        <v/>
      </c>
      <c r="E2811" s="14" t="str">
        <f aca="false">IF(C2811="SELL",B2811,"")</f>
        <v/>
      </c>
      <c r="F2811" s="14" t="str">
        <f aca="false">IF(E2811="","",(E2811-D2811)/D2811*100)</f>
        <v/>
      </c>
      <c r="G2811" s="0" t="str">
        <f aca="false">IF(C2811="BUY","IN",IF(C2811="SELL","OUT",IF(G2810="IN","IN","OUT")))</f>
        <v>OUT</v>
      </c>
      <c r="H2811" s="14" t="n">
        <f aca="false">H2810+IF(F2811="",0,F2811)</f>
        <v>64.9798929513777</v>
      </c>
      <c r="I2811" s="14" t="n">
        <f aca="false">MAX(I2810,H2811)</f>
        <v>64.9798929513777</v>
      </c>
      <c r="J2811" s="14" t="n">
        <f aca="false">I2811-H2811</f>
        <v>0</v>
      </c>
    </row>
    <row r="2812" customFormat="false" ht="15" hidden="false" customHeight="false" outlineLevel="0" collapsed="false">
      <c r="A2812" s="12" t="n">
        <f aca="false">Data!A2812</f>
        <v>46090</v>
      </c>
      <c r="B2812" s="14" t="n">
        <f aca="false">Data!B2812</f>
        <v>94.77</v>
      </c>
      <c r="C2812" s="0" t="str">
        <f aca="false">IF(Data!D2812="","HOLD",IF(AND(G2811&lt;&gt;"IN",Data!E2812&lt;-5),"BUY",IF(AND(G2811="IN",Data!E2812&gt;0),"SELL","HOLD")))</f>
        <v>HOLD</v>
      </c>
      <c r="D2812" s="14" t="str">
        <f aca="false">IF(C2812="BUY",B2812,IF(G2811="IN",D2811,""))</f>
        <v/>
      </c>
      <c r="E2812" s="14" t="str">
        <f aca="false">IF(C2812="SELL",B2812,"")</f>
        <v/>
      </c>
      <c r="F2812" s="14" t="str">
        <f aca="false">IF(E2812="","",(E2812-D2812)/D2812*100)</f>
        <v/>
      </c>
      <c r="G2812" s="0" t="str">
        <f aca="false">IF(C2812="BUY","IN",IF(C2812="SELL","OUT",IF(G2811="IN","IN","OUT")))</f>
        <v>OUT</v>
      </c>
      <c r="H2812" s="14" t="n">
        <f aca="false">H2811+IF(F2812="",0,F2812)</f>
        <v>64.9798929513777</v>
      </c>
      <c r="I2812" s="14" t="n">
        <f aca="false">MAX(I2811,H2812)</f>
        <v>64.9798929513777</v>
      </c>
      <c r="J2812" s="14" t="n">
        <f aca="false">I2812-H2812</f>
        <v>0</v>
      </c>
    </row>
    <row r="2813" customFormat="false" ht="15" hidden="false" customHeight="false" outlineLevel="0" collapsed="false">
      <c r="A2813" s="12" t="n">
        <f aca="false">Data!A2813</f>
        <v>46091</v>
      </c>
      <c r="B2813" s="14" t="n">
        <f aca="false">Data!B2813</f>
        <v>83.45</v>
      </c>
      <c r="C2813" s="0" t="str">
        <f aca="false">IF(Data!D2813="","HOLD",IF(AND(G2812&lt;&gt;"IN",Data!E2813&lt;-5),"BUY",IF(AND(G2812="IN",Data!E2813&gt;0),"SELL","HOLD")))</f>
        <v>HOLD</v>
      </c>
      <c r="D2813" s="14" t="str">
        <f aca="false">IF(C2813="BUY",B2813,IF(G2812="IN",D2812,""))</f>
        <v/>
      </c>
      <c r="E2813" s="14" t="str">
        <f aca="false">IF(C2813="SELL",B2813,"")</f>
        <v/>
      </c>
      <c r="F2813" s="14" t="str">
        <f aca="false">IF(E2813="","",(E2813-D2813)/D2813*100)</f>
        <v/>
      </c>
      <c r="G2813" s="0" t="str">
        <f aca="false">IF(C2813="BUY","IN",IF(C2813="SELL","OUT",IF(G2812="IN","IN","OUT")))</f>
        <v>OUT</v>
      </c>
      <c r="H2813" s="14" t="n">
        <f aca="false">H2812+IF(F2813="",0,F2813)</f>
        <v>64.9798929513777</v>
      </c>
      <c r="I2813" s="14" t="n">
        <f aca="false">MAX(I2812,H2813)</f>
        <v>64.9798929513777</v>
      </c>
      <c r="J2813" s="14" t="n">
        <f aca="false">I2813-H2813</f>
        <v>0</v>
      </c>
    </row>
    <row r="2814" customFormat="false" ht="15" hidden="false" customHeight="false" outlineLevel="0" collapsed="false">
      <c r="A2814" s="12" t="n">
        <f aca="false">Data!A2814</f>
        <v>46092</v>
      </c>
      <c r="B2814" s="14" t="n">
        <f aca="false">Data!B2814</f>
        <v>87.25</v>
      </c>
      <c r="C2814" s="0" t="str">
        <f aca="false">IF(Data!D2814="","HOLD",IF(AND(G2813&lt;&gt;"IN",Data!E2814&lt;-5),"BUY",IF(AND(G2813="IN",Data!E2814&gt;0),"SELL","HOLD")))</f>
        <v>HOLD</v>
      </c>
      <c r="D2814" s="14" t="str">
        <f aca="false">IF(C2814="BUY",B2814,IF(G2813="IN",D2813,""))</f>
        <v/>
      </c>
      <c r="E2814" s="14" t="str">
        <f aca="false">IF(C2814="SELL",B2814,"")</f>
        <v/>
      </c>
      <c r="F2814" s="14" t="str">
        <f aca="false">IF(E2814="","",(E2814-D2814)/D2814*100)</f>
        <v/>
      </c>
      <c r="G2814" s="0" t="str">
        <f aca="false">IF(C2814="BUY","IN",IF(C2814="SELL","OUT",IF(G2813="IN","IN","OUT")))</f>
        <v>OUT</v>
      </c>
      <c r="H2814" s="14" t="n">
        <f aca="false">H2813+IF(F2814="",0,F2814)</f>
        <v>64.9798929513777</v>
      </c>
      <c r="I2814" s="14" t="n">
        <f aca="false">MAX(I2813,H2814)</f>
        <v>64.9798929513777</v>
      </c>
      <c r="J2814" s="14" t="n">
        <f aca="false">I2814-H2814</f>
        <v>0</v>
      </c>
    </row>
    <row r="2815" customFormat="false" ht="15" hidden="false" customHeight="false" outlineLevel="0" collapsed="false">
      <c r="A2815" s="12" t="n">
        <f aca="false">Data!A2815</f>
        <v>46093</v>
      </c>
      <c r="B2815" s="14" t="n">
        <f aca="false">Data!B2815</f>
        <v>95.73</v>
      </c>
      <c r="C2815" s="0" t="str">
        <f aca="false">IF(Data!D2815="","HOLD",IF(AND(G2814&lt;&gt;"IN",Data!E2815&lt;-5),"BUY",IF(AND(G2814="IN",Data!E2815&gt;0),"SELL","HOLD")))</f>
        <v>HOLD</v>
      </c>
      <c r="D2815" s="14" t="str">
        <f aca="false">IF(C2815="BUY",B2815,IF(G2814="IN",D2814,""))</f>
        <v/>
      </c>
      <c r="E2815" s="14" t="str">
        <f aca="false">IF(C2815="SELL",B2815,"")</f>
        <v/>
      </c>
      <c r="F2815" s="14" t="str">
        <f aca="false">IF(E2815="","",(E2815-D2815)/D2815*100)</f>
        <v/>
      </c>
      <c r="G2815" s="0" t="str">
        <f aca="false">IF(C2815="BUY","IN",IF(C2815="SELL","OUT",IF(G2814="IN","IN","OUT")))</f>
        <v>OUT</v>
      </c>
      <c r="H2815" s="14" t="n">
        <f aca="false">H2814+IF(F2815="",0,F2815)</f>
        <v>64.9798929513777</v>
      </c>
      <c r="I2815" s="14" t="n">
        <f aca="false">MAX(I2814,H2815)</f>
        <v>64.9798929513777</v>
      </c>
      <c r="J2815" s="14" t="n">
        <f aca="false">I2815-H2815</f>
        <v>0</v>
      </c>
    </row>
    <row r="2816" customFormat="false" ht="15" hidden="false" customHeight="false" outlineLevel="0" collapsed="false">
      <c r="A2816" s="12" t="n">
        <f aca="false">Data!A2816</f>
        <v>46094</v>
      </c>
      <c r="B2816" s="14" t="n">
        <f aca="false">Data!B2816</f>
        <v>98.71</v>
      </c>
      <c r="C2816" s="0" t="str">
        <f aca="false">IF(Data!D2816="","HOLD",IF(AND(G2815&lt;&gt;"IN",Data!E2816&lt;-5),"BUY",IF(AND(G2815="IN",Data!E2816&gt;0),"SELL","HOLD")))</f>
        <v>HOLD</v>
      </c>
      <c r="D2816" s="14" t="str">
        <f aca="false">IF(C2816="BUY",B2816,IF(G2815="IN",D2815,""))</f>
        <v/>
      </c>
      <c r="E2816" s="14" t="str">
        <f aca="false">IF(C2816="SELL",B2816,"")</f>
        <v/>
      </c>
      <c r="F2816" s="14" t="str">
        <f aca="false">IF(E2816="","",(E2816-D2816)/D2816*100)</f>
        <v/>
      </c>
      <c r="G2816" s="0" t="str">
        <f aca="false">IF(C2816="BUY","IN",IF(C2816="SELL","OUT",IF(G2815="IN","IN","OUT")))</f>
        <v>OUT</v>
      </c>
      <c r="H2816" s="14" t="n">
        <f aca="false">H2815+IF(F2816="",0,F2816)</f>
        <v>64.9798929513777</v>
      </c>
      <c r="I2816" s="14" t="n">
        <f aca="false">MAX(I2815,H2816)</f>
        <v>64.9798929513777</v>
      </c>
      <c r="J2816" s="14" t="n">
        <f aca="false">I2816-H2816</f>
        <v>0</v>
      </c>
    </row>
    <row r="2817" customFormat="false" ht="15" hidden="false" customHeight="false" outlineLevel="0" collapsed="false">
      <c r="A2817" s="12" t="n">
        <f aca="false">Data!A2817</f>
        <v>46097</v>
      </c>
      <c r="B2817" s="14" t="n">
        <f aca="false">Data!B2817</f>
        <v>93.5</v>
      </c>
      <c r="C2817" s="0" t="str">
        <f aca="false">IF(Data!D2817="","HOLD",IF(AND(G2816&lt;&gt;"IN",Data!E2817&lt;-5),"BUY",IF(AND(G2816="IN",Data!E2817&gt;0),"SELL","HOLD")))</f>
        <v>HOLD</v>
      </c>
      <c r="D2817" s="14" t="str">
        <f aca="false">IF(C2817="BUY",B2817,IF(G2816="IN",D2816,""))</f>
        <v/>
      </c>
      <c r="E2817" s="14" t="str">
        <f aca="false">IF(C2817="SELL",B2817,"")</f>
        <v/>
      </c>
      <c r="F2817" s="14" t="str">
        <f aca="false">IF(E2817="","",(E2817-D2817)/D2817*100)</f>
        <v/>
      </c>
      <c r="G2817" s="0" t="str">
        <f aca="false">IF(C2817="BUY","IN",IF(C2817="SELL","OUT",IF(G2816="IN","IN","OUT")))</f>
        <v>OUT</v>
      </c>
      <c r="H2817" s="14" t="n">
        <f aca="false">H2816+IF(F2817="",0,F2817)</f>
        <v>64.9798929513777</v>
      </c>
      <c r="I2817" s="14" t="n">
        <f aca="false">MAX(I2816,H2817)</f>
        <v>64.9798929513777</v>
      </c>
      <c r="J2817" s="14" t="n">
        <f aca="false">I2817-H2817</f>
        <v>0</v>
      </c>
    </row>
    <row r="2818" customFormat="false" ht="15" hidden="false" customHeight="false" outlineLevel="0" collapsed="false">
      <c r="A2818" s="12" t="n">
        <f aca="false">Data!A2818</f>
        <v>46098</v>
      </c>
      <c r="B2818" s="14" t="n">
        <f aca="false">Data!B2818</f>
        <v>96.21</v>
      </c>
      <c r="C2818" s="0" t="str">
        <f aca="false">IF(Data!D2818="","HOLD",IF(AND(G2817&lt;&gt;"IN",Data!E2818&lt;-5),"BUY",IF(AND(G2817="IN",Data!E2818&gt;0),"SELL","HOLD")))</f>
        <v>HOLD</v>
      </c>
      <c r="D2818" s="14" t="str">
        <f aca="false">IF(C2818="BUY",B2818,IF(G2817="IN",D2817,""))</f>
        <v/>
      </c>
      <c r="E2818" s="14" t="str">
        <f aca="false">IF(C2818="SELL",B2818,"")</f>
        <v/>
      </c>
      <c r="F2818" s="14" t="str">
        <f aca="false">IF(E2818="","",(E2818-D2818)/D2818*100)</f>
        <v/>
      </c>
      <c r="G2818" s="0" t="str">
        <f aca="false">IF(C2818="BUY","IN",IF(C2818="SELL","OUT",IF(G2817="IN","IN","OUT")))</f>
        <v>OUT</v>
      </c>
      <c r="H2818" s="14" t="n">
        <f aca="false">H2817+IF(F2818="",0,F2818)</f>
        <v>64.9798929513777</v>
      </c>
      <c r="I2818" s="14" t="n">
        <f aca="false">MAX(I2817,H2818)</f>
        <v>64.9798929513777</v>
      </c>
      <c r="J2818" s="14" t="n">
        <f aca="false">I2818-H2818</f>
        <v>0</v>
      </c>
    </row>
    <row r="2819" customFormat="false" ht="15" hidden="false" customHeight="false" outlineLevel="0" collapsed="false">
      <c r="A2819" s="12" t="n">
        <f aca="false">Data!A2819</f>
        <v>46099</v>
      </c>
      <c r="B2819" s="14" t="n">
        <f aca="false">Data!B2819</f>
        <v>96.32</v>
      </c>
      <c r="C2819" s="0" t="str">
        <f aca="false">IF(Data!D2819="","HOLD",IF(AND(G2818&lt;&gt;"IN",Data!E2819&lt;-5),"BUY",IF(AND(G2818="IN",Data!E2819&gt;0),"SELL","HOLD")))</f>
        <v>HOLD</v>
      </c>
      <c r="D2819" s="14" t="str">
        <f aca="false">IF(C2819="BUY",B2819,IF(G2818="IN",D2818,""))</f>
        <v/>
      </c>
      <c r="E2819" s="14" t="str">
        <f aca="false">IF(C2819="SELL",B2819,"")</f>
        <v/>
      </c>
      <c r="F2819" s="14" t="str">
        <f aca="false">IF(E2819="","",(E2819-D2819)/D2819*100)</f>
        <v/>
      </c>
      <c r="G2819" s="0" t="str">
        <f aca="false">IF(C2819="BUY","IN",IF(C2819="SELL","OUT",IF(G2818="IN","IN","OUT")))</f>
        <v>OUT</v>
      </c>
      <c r="H2819" s="14" t="n">
        <f aca="false">H2818+IF(F2819="",0,F2819)</f>
        <v>64.9798929513777</v>
      </c>
      <c r="I2819" s="14" t="n">
        <f aca="false">MAX(I2818,H2819)</f>
        <v>64.9798929513777</v>
      </c>
      <c r="J2819" s="14" t="n">
        <f aca="false">I2819-H2819</f>
        <v>0</v>
      </c>
    </row>
    <row r="2820" customFormat="false" ht="15" hidden="false" customHeight="false" outlineLevel="0" collapsed="false">
      <c r="A2820" s="12" t="n">
        <f aca="false">Data!A2820</f>
        <v>46100</v>
      </c>
      <c r="B2820" s="14" t="n">
        <f aca="false">Data!B2820</f>
        <v>96.14</v>
      </c>
      <c r="C2820" s="0" t="str">
        <f aca="false">IF(Data!D2820="","HOLD",IF(AND(G2819&lt;&gt;"IN",Data!E2820&lt;-5),"BUY",IF(AND(G2819="IN",Data!E2820&gt;0),"SELL","HOLD")))</f>
        <v>HOLD</v>
      </c>
      <c r="D2820" s="14" t="str">
        <f aca="false">IF(C2820="BUY",B2820,IF(G2819="IN",D2819,""))</f>
        <v/>
      </c>
      <c r="E2820" s="14" t="str">
        <f aca="false">IF(C2820="SELL",B2820,"")</f>
        <v/>
      </c>
      <c r="F2820" s="14" t="str">
        <f aca="false">IF(E2820="","",(E2820-D2820)/D2820*100)</f>
        <v/>
      </c>
      <c r="G2820" s="0" t="str">
        <f aca="false">IF(C2820="BUY","IN",IF(C2820="SELL","OUT",IF(G2819="IN","IN","OUT")))</f>
        <v>OUT</v>
      </c>
      <c r="H2820" s="14" t="n">
        <f aca="false">H2819+IF(F2820="",0,F2820)</f>
        <v>64.9798929513777</v>
      </c>
      <c r="I2820" s="14" t="n">
        <f aca="false">MAX(I2819,H2820)</f>
        <v>64.9798929513777</v>
      </c>
      <c r="J2820" s="14" t="n">
        <f aca="false">I2820-H2820</f>
        <v>0</v>
      </c>
    </row>
    <row r="2821" customFormat="false" ht="15" hidden="false" customHeight="false" outlineLevel="0" collapsed="false">
      <c r="A2821" s="12" t="n">
        <f aca="false">Data!A2821</f>
        <v>46101</v>
      </c>
      <c r="B2821" s="14" t="n">
        <f aca="false">Data!B2821</f>
        <v>98.32</v>
      </c>
      <c r="C2821" s="0" t="str">
        <f aca="false">IF(Data!D2821="","HOLD",IF(AND(G2820&lt;&gt;"IN",Data!E2821&lt;-5),"BUY",IF(AND(G2820="IN",Data!E2821&gt;0),"SELL","HOLD")))</f>
        <v>HOLD</v>
      </c>
      <c r="D2821" s="14" t="str">
        <f aca="false">IF(C2821="BUY",B2821,IF(G2820="IN",D2820,""))</f>
        <v/>
      </c>
      <c r="E2821" s="14" t="str">
        <f aca="false">IF(C2821="SELL",B2821,"")</f>
        <v/>
      </c>
      <c r="F2821" s="14" t="str">
        <f aca="false">IF(E2821="","",(E2821-D2821)/D2821*100)</f>
        <v/>
      </c>
      <c r="G2821" s="0" t="str">
        <f aca="false">IF(C2821="BUY","IN",IF(C2821="SELL","OUT",IF(G2820="IN","IN","OUT")))</f>
        <v>OUT</v>
      </c>
      <c r="H2821" s="14" t="n">
        <f aca="false">H2820+IF(F2821="",0,F2821)</f>
        <v>64.9798929513777</v>
      </c>
      <c r="I2821" s="14" t="n">
        <f aca="false">MAX(I2820,H2821)</f>
        <v>64.9798929513777</v>
      </c>
      <c r="J2821" s="14" t="n">
        <f aca="false">I2821-H2821</f>
        <v>0</v>
      </c>
    </row>
    <row r="2822" customFormat="false" ht="15" hidden="false" customHeight="false" outlineLevel="0" collapsed="false">
      <c r="A2822" s="12" t="n">
        <f aca="false">Data!A2822</f>
        <v>46104</v>
      </c>
      <c r="B2822" s="14" t="n">
        <f aca="false">Data!B2822</f>
        <v>88.13</v>
      </c>
      <c r="C2822" s="0" t="str">
        <f aca="false">IF(Data!D2822="","HOLD",IF(AND(G2821&lt;&gt;"IN",Data!E2822&lt;-5),"BUY",IF(AND(G2821="IN",Data!E2822&gt;0),"SELL","HOLD")))</f>
        <v>HOLD</v>
      </c>
      <c r="D2822" s="14" t="str">
        <f aca="false">IF(C2822="BUY",B2822,IF(G2821="IN",D2821,""))</f>
        <v/>
      </c>
      <c r="E2822" s="14" t="str">
        <f aca="false">IF(C2822="SELL",B2822,"")</f>
        <v/>
      </c>
      <c r="F2822" s="14" t="str">
        <f aca="false">IF(E2822="","",(E2822-D2822)/D2822*100)</f>
        <v/>
      </c>
      <c r="G2822" s="0" t="str">
        <f aca="false">IF(C2822="BUY","IN",IF(C2822="SELL","OUT",IF(G2821="IN","IN","OUT")))</f>
        <v>OUT</v>
      </c>
      <c r="H2822" s="14" t="n">
        <f aca="false">H2821+IF(F2822="",0,F2822)</f>
        <v>64.9798929513777</v>
      </c>
      <c r="I2822" s="14" t="n">
        <f aca="false">MAX(I2821,H2822)</f>
        <v>64.9798929513777</v>
      </c>
      <c r="J2822" s="14" t="n">
        <f aca="false">I2822-H2822</f>
        <v>0</v>
      </c>
    </row>
    <row r="2823" customFormat="false" ht="15" hidden="false" customHeight="false" outlineLevel="0" collapsed="false">
      <c r="A2823" s="12" t="n">
        <f aca="false">Data!A2823</f>
        <v>46105</v>
      </c>
      <c r="B2823" s="14" t="n">
        <f aca="false">Data!B2823</f>
        <v>92.35</v>
      </c>
      <c r="C2823" s="0" t="str">
        <f aca="false">IF(Data!D2823="","HOLD",IF(AND(G2822&lt;&gt;"IN",Data!E2823&lt;-5),"BUY",IF(AND(G2822="IN",Data!E2823&gt;0),"SELL","HOLD")))</f>
        <v>HOLD</v>
      </c>
      <c r="D2823" s="14" t="str">
        <f aca="false">IF(C2823="BUY",B2823,IF(G2822="IN",D2822,""))</f>
        <v/>
      </c>
      <c r="E2823" s="14" t="str">
        <f aca="false">IF(C2823="SELL",B2823,"")</f>
        <v/>
      </c>
      <c r="F2823" s="14" t="str">
        <f aca="false">IF(E2823="","",(E2823-D2823)/D2823*100)</f>
        <v/>
      </c>
      <c r="G2823" s="0" t="str">
        <f aca="false">IF(C2823="BUY","IN",IF(C2823="SELL","OUT",IF(G2822="IN","IN","OUT")))</f>
        <v>OUT</v>
      </c>
      <c r="H2823" s="14" t="n">
        <f aca="false">H2822+IF(F2823="",0,F2823)</f>
        <v>64.9798929513777</v>
      </c>
      <c r="I2823" s="14" t="n">
        <f aca="false">MAX(I2822,H2823)</f>
        <v>64.9798929513777</v>
      </c>
      <c r="J2823" s="14" t="n">
        <f aca="false">I2823-H2823</f>
        <v>0</v>
      </c>
    </row>
    <row r="2824" customFormat="false" ht="15" hidden="false" customHeight="false" outlineLevel="0" collapsed="false">
      <c r="A2824" s="12" t="n">
        <f aca="false">Data!A2824</f>
        <v>46106</v>
      </c>
      <c r="B2824" s="14" t="n">
        <f aca="false">Data!B2824</f>
        <v>90.32</v>
      </c>
      <c r="C2824" s="0" t="str">
        <f aca="false">IF(Data!D2824="","HOLD",IF(AND(G2823&lt;&gt;"IN",Data!E2824&lt;-5),"BUY",IF(AND(G2823="IN",Data!E2824&gt;0),"SELL","HOLD")))</f>
        <v>HOLD</v>
      </c>
      <c r="D2824" s="14" t="str">
        <f aca="false">IF(C2824="BUY",B2824,IF(G2823="IN",D2823,""))</f>
        <v/>
      </c>
      <c r="E2824" s="14" t="str">
        <f aca="false">IF(C2824="SELL",B2824,"")</f>
        <v/>
      </c>
      <c r="F2824" s="14" t="str">
        <f aca="false">IF(E2824="","",(E2824-D2824)/D2824*100)</f>
        <v/>
      </c>
      <c r="G2824" s="0" t="str">
        <f aca="false">IF(C2824="BUY","IN",IF(C2824="SELL","OUT",IF(G2823="IN","IN","OUT")))</f>
        <v>OUT</v>
      </c>
      <c r="H2824" s="14" t="n">
        <f aca="false">H2823+IF(F2824="",0,F2824)</f>
        <v>64.9798929513777</v>
      </c>
      <c r="I2824" s="14" t="n">
        <f aca="false">MAX(I2823,H2824)</f>
        <v>64.9798929513777</v>
      </c>
      <c r="J2824" s="14" t="n">
        <f aca="false">I2824-H2824</f>
        <v>0</v>
      </c>
    </row>
    <row r="2825" customFormat="false" ht="15" hidden="false" customHeight="false" outlineLevel="0" collapsed="false">
      <c r="A2825" s="12" t="n">
        <f aca="false">Data!A2825</f>
        <v>46107</v>
      </c>
      <c r="B2825" s="14" t="n">
        <f aca="false">Data!B2825</f>
        <v>94.48</v>
      </c>
      <c r="C2825" s="0" t="str">
        <f aca="false">IF(Data!D2825="","HOLD",IF(AND(G2824&lt;&gt;"IN",Data!E2825&lt;-5),"BUY",IF(AND(G2824="IN",Data!E2825&gt;0),"SELL","HOLD")))</f>
        <v>HOLD</v>
      </c>
      <c r="D2825" s="14" t="str">
        <f aca="false">IF(C2825="BUY",B2825,IF(G2824="IN",D2824,""))</f>
        <v/>
      </c>
      <c r="E2825" s="14" t="str">
        <f aca="false">IF(C2825="SELL",B2825,"")</f>
        <v/>
      </c>
      <c r="F2825" s="14" t="str">
        <f aca="false">IF(E2825="","",(E2825-D2825)/D2825*100)</f>
        <v/>
      </c>
      <c r="G2825" s="0" t="str">
        <f aca="false">IF(C2825="BUY","IN",IF(C2825="SELL","OUT",IF(G2824="IN","IN","OUT")))</f>
        <v>OUT</v>
      </c>
      <c r="H2825" s="14" t="n">
        <f aca="false">H2824+IF(F2825="",0,F2825)</f>
        <v>64.9798929513777</v>
      </c>
      <c r="I2825" s="14" t="n">
        <f aca="false">MAX(I2824,H2825)</f>
        <v>64.9798929513777</v>
      </c>
      <c r="J2825" s="14" t="n">
        <f aca="false">I2825-H2825</f>
        <v>0</v>
      </c>
    </row>
    <row r="2826" customFormat="false" ht="15" hidden="false" customHeight="false" outlineLevel="0" collapsed="false">
      <c r="A2826" s="12" t="n">
        <f aca="false">Data!A2826</f>
        <v>46108</v>
      </c>
      <c r="B2826" s="14" t="n">
        <f aca="false">Data!B2826</f>
        <v>99.64</v>
      </c>
      <c r="C2826" s="0" t="str">
        <f aca="false">IF(Data!D2826="","HOLD",IF(AND(G2825&lt;&gt;"IN",Data!E2826&lt;-5),"BUY",IF(AND(G2825="IN",Data!E2826&gt;0),"SELL","HOLD")))</f>
        <v>HOLD</v>
      </c>
      <c r="D2826" s="14" t="str">
        <f aca="false">IF(C2826="BUY",B2826,IF(G2825="IN",D2825,""))</f>
        <v/>
      </c>
      <c r="E2826" s="14" t="str">
        <f aca="false">IF(C2826="SELL",B2826,"")</f>
        <v/>
      </c>
      <c r="F2826" s="14" t="str">
        <f aca="false">IF(E2826="","",(E2826-D2826)/D2826*100)</f>
        <v/>
      </c>
      <c r="G2826" s="0" t="str">
        <f aca="false">IF(C2826="BUY","IN",IF(C2826="SELL","OUT",IF(G2825="IN","IN","OUT")))</f>
        <v>OUT</v>
      </c>
      <c r="H2826" s="14" t="n">
        <f aca="false">H2825+IF(F2826="",0,F2826)</f>
        <v>64.9798929513777</v>
      </c>
      <c r="I2826" s="14" t="n">
        <f aca="false">MAX(I2825,H2826)</f>
        <v>64.9798929513777</v>
      </c>
      <c r="J2826" s="14" t="n">
        <f aca="false">I2826-H2826</f>
        <v>0</v>
      </c>
    </row>
    <row r="2827" customFormat="false" ht="15" hidden="false" customHeight="false" outlineLevel="0" collapsed="false">
      <c r="A2827" s="12" t="n">
        <f aca="false">Data!A2827</f>
        <v>46111</v>
      </c>
      <c r="B2827" s="14" t="n">
        <f aca="false">Data!B2827</f>
        <v>102.88</v>
      </c>
      <c r="C2827" s="0" t="str">
        <f aca="false">IF(Data!D2827="","HOLD",IF(AND(G2826&lt;&gt;"IN",Data!E2827&lt;-5),"BUY",IF(AND(G2826="IN",Data!E2827&gt;0),"SELL","HOLD")))</f>
        <v>HOLD</v>
      </c>
      <c r="D2827" s="14" t="str">
        <f aca="false">IF(C2827="BUY",B2827,IF(G2826="IN",D2826,""))</f>
        <v/>
      </c>
      <c r="E2827" s="14" t="str">
        <f aca="false">IF(C2827="SELL",B2827,"")</f>
        <v/>
      </c>
      <c r="F2827" s="14" t="str">
        <f aca="false">IF(E2827="","",(E2827-D2827)/D2827*100)</f>
        <v/>
      </c>
      <c r="G2827" s="0" t="str">
        <f aca="false">IF(C2827="BUY","IN",IF(C2827="SELL","OUT",IF(G2826="IN","IN","OUT")))</f>
        <v>OUT</v>
      </c>
      <c r="H2827" s="14" t="n">
        <f aca="false">H2826+IF(F2827="",0,F2827)</f>
        <v>64.9798929513777</v>
      </c>
      <c r="I2827" s="14" t="n">
        <f aca="false">MAX(I2826,H2827)</f>
        <v>64.9798929513777</v>
      </c>
      <c r="J2827" s="14" t="n">
        <f aca="false">I2827-H2827</f>
        <v>0</v>
      </c>
    </row>
    <row r="2828" customFormat="false" ht="15" hidden="false" customHeight="false" outlineLevel="0" collapsed="false">
      <c r="A2828" s="12" t="n">
        <f aca="false">Data!A2828</f>
        <v>46112</v>
      </c>
      <c r="B2828" s="14" t="n">
        <f aca="false">Data!B2828</f>
        <v>101.38</v>
      </c>
      <c r="C2828" s="0" t="str">
        <f aca="false">IF(Data!D2828="","HOLD",IF(AND(G2827&lt;&gt;"IN",Data!E2828&lt;-5),"BUY",IF(AND(G2827="IN",Data!E2828&gt;0),"SELL","HOLD")))</f>
        <v>HOLD</v>
      </c>
      <c r="D2828" s="14" t="str">
        <f aca="false">IF(C2828="BUY",B2828,IF(G2827="IN",D2827,""))</f>
        <v/>
      </c>
      <c r="E2828" s="14" t="str">
        <f aca="false">IF(C2828="SELL",B2828,"")</f>
        <v/>
      </c>
      <c r="F2828" s="14" t="str">
        <f aca="false">IF(E2828="","",(E2828-D2828)/D2828*100)</f>
        <v/>
      </c>
      <c r="G2828" s="0" t="str">
        <f aca="false">IF(C2828="BUY","IN",IF(C2828="SELL","OUT",IF(G2827="IN","IN","OUT")))</f>
        <v>OUT</v>
      </c>
      <c r="H2828" s="14" t="n">
        <f aca="false">H2827+IF(F2828="",0,F2828)</f>
        <v>64.9798929513777</v>
      </c>
      <c r="I2828" s="14" t="n">
        <f aca="false">MAX(I2827,H2828)</f>
        <v>64.9798929513777</v>
      </c>
      <c r="J2828" s="14" t="n">
        <f aca="false">I2828-H2828</f>
        <v>0</v>
      </c>
    </row>
    <row r="2829" customFormat="false" ht="15" hidden="false" customHeight="false" outlineLevel="0" collapsed="false">
      <c r="A2829" s="12" t="n">
        <f aca="false">Data!A2829</f>
        <v>46113</v>
      </c>
      <c r="B2829" s="14" t="n">
        <f aca="false">Data!B2829</f>
        <v>100.12</v>
      </c>
      <c r="C2829" s="0" t="str">
        <f aca="false">IF(Data!D2829="","HOLD",IF(AND(G2828&lt;&gt;"IN",Data!E2829&lt;-5),"BUY",IF(AND(G2828="IN",Data!E2829&gt;0),"SELL","HOLD")))</f>
        <v>HOLD</v>
      </c>
      <c r="D2829" s="14" t="str">
        <f aca="false">IF(C2829="BUY",B2829,IF(G2828="IN",D2828,""))</f>
        <v/>
      </c>
      <c r="E2829" s="14" t="str">
        <f aca="false">IF(C2829="SELL",B2829,"")</f>
        <v/>
      </c>
      <c r="F2829" s="14" t="str">
        <f aca="false">IF(E2829="","",(E2829-D2829)/D2829*100)</f>
        <v/>
      </c>
      <c r="G2829" s="0" t="str">
        <f aca="false">IF(C2829="BUY","IN",IF(C2829="SELL","OUT",IF(G2828="IN","IN","OUT")))</f>
        <v>OUT</v>
      </c>
      <c r="H2829" s="14" t="n">
        <f aca="false">H2828+IF(F2829="",0,F2829)</f>
        <v>64.9798929513777</v>
      </c>
      <c r="I2829" s="14" t="n">
        <f aca="false">MAX(I2828,H2829)</f>
        <v>64.9798929513777</v>
      </c>
      <c r="J2829" s="14" t="n">
        <f aca="false">I2829-H2829</f>
        <v>0</v>
      </c>
    </row>
    <row r="2830" customFormat="false" ht="15" hidden="false" customHeight="false" outlineLevel="0" collapsed="false">
      <c r="A2830" s="12" t="n">
        <f aca="false">Data!A2830</f>
        <v>46114</v>
      </c>
      <c r="B2830" s="14" t="n">
        <f aca="false">Data!B2830</f>
        <v>111.54</v>
      </c>
      <c r="C2830" s="0" t="str">
        <f aca="false">IF(Data!D2830="","HOLD",IF(AND(G2829&lt;&gt;"IN",Data!E2830&lt;-5),"BUY",IF(AND(G2829="IN",Data!E2830&gt;0),"SELL","HOLD")))</f>
        <v>HOLD</v>
      </c>
      <c r="D2830" s="14" t="str">
        <f aca="false">IF(C2830="BUY",B2830,IF(G2829="IN",D2829,""))</f>
        <v/>
      </c>
      <c r="E2830" s="14" t="str">
        <f aca="false">IF(C2830="SELL",B2830,"")</f>
        <v/>
      </c>
      <c r="F2830" s="14" t="str">
        <f aca="false">IF(E2830="","",(E2830-D2830)/D2830*100)</f>
        <v/>
      </c>
      <c r="G2830" s="0" t="str">
        <f aca="false">IF(C2830="BUY","IN",IF(C2830="SELL","OUT",IF(G2829="IN","IN","OUT")))</f>
        <v>OUT</v>
      </c>
      <c r="H2830" s="14" t="n">
        <f aca="false">H2829+IF(F2830="",0,F2830)</f>
        <v>64.9798929513777</v>
      </c>
      <c r="I2830" s="14" t="n">
        <f aca="false">MAX(I2829,H2830)</f>
        <v>64.9798929513777</v>
      </c>
      <c r="J2830" s="14" t="n">
        <f aca="false">I2830-H2830</f>
        <v>0</v>
      </c>
    </row>
    <row r="2831" customFormat="false" ht="15" hidden="false" customHeight="false" outlineLevel="0" collapsed="false">
      <c r="A2831" s="12" t="n">
        <f aca="false">Data!A2831</f>
        <v>46118</v>
      </c>
      <c r="B2831" s="14" t="n">
        <f aca="false">Data!B2831</f>
        <v>112.41</v>
      </c>
      <c r="C2831" s="0" t="str">
        <f aca="false">IF(Data!D2831="","HOLD",IF(AND(G2830&lt;&gt;"IN",Data!E2831&lt;-5),"BUY",IF(AND(G2830="IN",Data!E2831&gt;0),"SELL","HOLD")))</f>
        <v>HOLD</v>
      </c>
      <c r="D2831" s="14" t="str">
        <f aca="false">IF(C2831="BUY",B2831,IF(G2830="IN",D2830,""))</f>
        <v/>
      </c>
      <c r="E2831" s="14" t="str">
        <f aca="false">IF(C2831="SELL",B2831,"")</f>
        <v/>
      </c>
      <c r="F2831" s="14" t="str">
        <f aca="false">IF(E2831="","",(E2831-D2831)/D2831*100)</f>
        <v/>
      </c>
      <c r="G2831" s="0" t="str">
        <f aca="false">IF(C2831="BUY","IN",IF(C2831="SELL","OUT",IF(G2830="IN","IN","OUT")))</f>
        <v>OUT</v>
      </c>
      <c r="H2831" s="14" t="n">
        <f aca="false">H2830+IF(F2831="",0,F2831)</f>
        <v>64.9798929513777</v>
      </c>
      <c r="I2831" s="14" t="n">
        <f aca="false">MAX(I2830,H2831)</f>
        <v>64.9798929513777</v>
      </c>
      <c r="J2831" s="14" t="n">
        <f aca="false">I2831-H2831</f>
        <v>0</v>
      </c>
    </row>
    <row r="2832" customFormat="false" ht="15" hidden="false" customHeight="false" outlineLevel="0" collapsed="false">
      <c r="A2832" s="12" t="n">
        <f aca="false">Data!A2832</f>
        <v>46119</v>
      </c>
      <c r="B2832" s="14" t="n">
        <f aca="false">Data!B2832</f>
        <v>112.95</v>
      </c>
      <c r="C2832" s="0" t="str">
        <f aca="false">IF(Data!D2832="","HOLD",IF(AND(G2831&lt;&gt;"IN",Data!E2832&lt;-5),"BUY",IF(AND(G2831="IN",Data!E2832&gt;0),"SELL","HOLD")))</f>
        <v>HOLD</v>
      </c>
      <c r="D2832" s="14" t="str">
        <f aca="false">IF(C2832="BUY",B2832,IF(G2831="IN",D2831,""))</f>
        <v/>
      </c>
      <c r="E2832" s="14" t="str">
        <f aca="false">IF(C2832="SELL",B2832,"")</f>
        <v/>
      </c>
      <c r="F2832" s="14" t="str">
        <f aca="false">IF(E2832="","",(E2832-D2832)/D2832*100)</f>
        <v/>
      </c>
      <c r="G2832" s="0" t="str">
        <f aca="false">IF(C2832="BUY","IN",IF(C2832="SELL","OUT",IF(G2831="IN","IN","OUT")))</f>
        <v>OUT</v>
      </c>
      <c r="H2832" s="14" t="n">
        <f aca="false">H2831+IF(F2832="",0,F2832)</f>
        <v>64.9798929513777</v>
      </c>
      <c r="I2832" s="14" t="n">
        <f aca="false">MAX(I2831,H2832)</f>
        <v>64.9798929513777</v>
      </c>
      <c r="J2832" s="14" t="n">
        <f aca="false">I2832-H2832</f>
        <v>0</v>
      </c>
    </row>
    <row r="2833" customFormat="false" ht="15" hidden="false" customHeight="false" outlineLevel="0" collapsed="false">
      <c r="A2833" s="12" t="n">
        <f aca="false">Data!A2833</f>
        <v>46120</v>
      </c>
      <c r="B2833" s="14" t="n">
        <f aca="false">Data!B2833</f>
        <v>94.41</v>
      </c>
      <c r="C2833" s="0" t="str">
        <f aca="false">IF(Data!D2833="","HOLD",IF(AND(G2832&lt;&gt;"IN",Data!E2833&lt;-5),"BUY",IF(AND(G2832="IN",Data!E2833&gt;0),"SELL","HOLD")))</f>
        <v>HOLD</v>
      </c>
      <c r="D2833" s="14" t="str">
        <f aca="false">IF(C2833="BUY",B2833,IF(G2832="IN",D2832,""))</f>
        <v/>
      </c>
      <c r="E2833" s="14" t="str">
        <f aca="false">IF(C2833="SELL",B2833,"")</f>
        <v/>
      </c>
      <c r="F2833" s="14" t="str">
        <f aca="false">IF(E2833="","",(E2833-D2833)/D2833*100)</f>
        <v/>
      </c>
      <c r="G2833" s="0" t="str">
        <f aca="false">IF(C2833="BUY","IN",IF(C2833="SELL","OUT",IF(G2832="IN","IN","OUT")))</f>
        <v>OUT</v>
      </c>
      <c r="H2833" s="14" t="n">
        <f aca="false">H2832+IF(F2833="",0,F2833)</f>
        <v>64.9798929513777</v>
      </c>
      <c r="I2833" s="14" t="n">
        <f aca="false">MAX(I2832,H2833)</f>
        <v>64.9798929513777</v>
      </c>
      <c r="J2833" s="14" t="n">
        <f aca="false">I2833-H2833</f>
        <v>0</v>
      </c>
    </row>
    <row r="2834" customFormat="false" ht="15" hidden="false" customHeight="false" outlineLevel="0" collapsed="false">
      <c r="A2834" s="12" t="n">
        <f aca="false">Data!A2834</f>
        <v>46121</v>
      </c>
      <c r="B2834" s="14" t="n">
        <f aca="false">Data!B2834</f>
        <v>97.87</v>
      </c>
      <c r="C2834" s="0" t="str">
        <f aca="false">IF(Data!D2834="","HOLD",IF(AND(G2833&lt;&gt;"IN",Data!E2834&lt;-5),"BUY",IF(AND(G2833="IN",Data!E2834&gt;0),"SELL","HOLD")))</f>
        <v>HOLD</v>
      </c>
      <c r="D2834" s="14" t="str">
        <f aca="false">IF(C2834="BUY",B2834,IF(G2833="IN",D2833,""))</f>
        <v/>
      </c>
      <c r="E2834" s="14" t="str">
        <f aca="false">IF(C2834="SELL",B2834,"")</f>
        <v/>
      </c>
      <c r="F2834" s="14" t="str">
        <f aca="false">IF(E2834="","",(E2834-D2834)/D2834*100)</f>
        <v/>
      </c>
      <c r="G2834" s="0" t="str">
        <f aca="false">IF(C2834="BUY","IN",IF(C2834="SELL","OUT",IF(G2833="IN","IN","OUT")))</f>
        <v>OUT</v>
      </c>
      <c r="H2834" s="14" t="n">
        <f aca="false">H2833+IF(F2834="",0,F2834)</f>
        <v>64.9798929513777</v>
      </c>
      <c r="I2834" s="14" t="n">
        <f aca="false">MAX(I2833,H2834)</f>
        <v>64.9798929513777</v>
      </c>
      <c r="J2834" s="14" t="n">
        <f aca="false">I2834-H2834</f>
        <v>0</v>
      </c>
    </row>
    <row r="2835" customFormat="false" ht="15" hidden="false" customHeight="false" outlineLevel="0" collapsed="false">
      <c r="A2835" s="12" t="n">
        <f aca="false">Data!A2835</f>
        <v>46122</v>
      </c>
      <c r="B2835" s="14" t="n">
        <f aca="false">Data!B2835</f>
        <v>96.57</v>
      </c>
      <c r="C2835" s="0" t="str">
        <f aca="false">IF(Data!D2835="","HOLD",IF(AND(G2834&lt;&gt;"IN",Data!E2835&lt;-5),"BUY",IF(AND(G2834="IN",Data!E2835&gt;0),"SELL","HOLD")))</f>
        <v>HOLD</v>
      </c>
      <c r="D2835" s="14" t="str">
        <f aca="false">IF(C2835="BUY",B2835,IF(G2834="IN",D2834,""))</f>
        <v/>
      </c>
      <c r="E2835" s="14" t="str">
        <f aca="false">IF(C2835="SELL",B2835,"")</f>
        <v/>
      </c>
      <c r="F2835" s="14" t="str">
        <f aca="false">IF(E2835="","",(E2835-D2835)/D2835*100)</f>
        <v/>
      </c>
      <c r="G2835" s="0" t="str">
        <f aca="false">IF(C2835="BUY","IN",IF(C2835="SELL","OUT",IF(G2834="IN","IN","OUT")))</f>
        <v>OUT</v>
      </c>
      <c r="H2835" s="14" t="n">
        <f aca="false">H2834+IF(F2835="",0,F2835)</f>
        <v>64.9798929513777</v>
      </c>
      <c r="I2835" s="14" t="n">
        <f aca="false">MAX(I2834,H2835)</f>
        <v>64.9798929513777</v>
      </c>
      <c r="J2835" s="14" t="n">
        <f aca="false">I2835-H2835</f>
        <v>0</v>
      </c>
    </row>
    <row r="2836" customFormat="false" ht="15" hidden="false" customHeight="false" outlineLevel="0" collapsed="false">
      <c r="A2836" s="12" t="n">
        <f aca="false">Data!A2836</f>
        <v>46125</v>
      </c>
      <c r="B2836" s="14" t="n">
        <f aca="false">Data!B2836</f>
        <v>99.08</v>
      </c>
      <c r="C2836" s="0" t="str">
        <f aca="false">IF(Data!D2836="","HOLD",IF(AND(G2835&lt;&gt;"IN",Data!E2836&lt;-5),"BUY",IF(AND(G2835="IN",Data!E2836&gt;0),"SELL","HOLD")))</f>
        <v>HOLD</v>
      </c>
      <c r="D2836" s="14" t="str">
        <f aca="false">IF(C2836="BUY",B2836,IF(G2835="IN",D2835,""))</f>
        <v/>
      </c>
      <c r="E2836" s="14" t="str">
        <f aca="false">IF(C2836="SELL",B2836,"")</f>
        <v/>
      </c>
      <c r="F2836" s="14" t="str">
        <f aca="false">IF(E2836="","",(E2836-D2836)/D2836*100)</f>
        <v/>
      </c>
      <c r="G2836" s="0" t="str">
        <f aca="false">IF(C2836="BUY","IN",IF(C2836="SELL","OUT",IF(G2835="IN","IN","OUT")))</f>
        <v>OUT</v>
      </c>
      <c r="H2836" s="14" t="n">
        <f aca="false">H2835+IF(F2836="",0,F2836)</f>
        <v>64.9798929513777</v>
      </c>
      <c r="I2836" s="14" t="n">
        <f aca="false">MAX(I2835,H2836)</f>
        <v>64.9798929513777</v>
      </c>
      <c r="J2836" s="14" t="n">
        <f aca="false">I2836-H2836</f>
        <v>0</v>
      </c>
    </row>
    <row r="2837" customFormat="false" ht="15" hidden="false" customHeight="false" outlineLevel="0" collapsed="false">
      <c r="A2837" s="12" t="n">
        <f aca="false">Data!A2837</f>
        <v>46126</v>
      </c>
      <c r="B2837" s="14" t="n">
        <f aca="false">Data!B2837</f>
        <v>91.28</v>
      </c>
      <c r="C2837" s="0" t="str">
        <f aca="false">IF(Data!D2837="","HOLD",IF(AND(G2836&lt;&gt;"IN",Data!E2837&lt;-5),"BUY",IF(AND(G2836="IN",Data!E2837&gt;0),"SELL","HOLD")))</f>
        <v>BUY</v>
      </c>
      <c r="D2837" s="14" t="n">
        <f aca="false">IF(C2837="BUY",B2837,IF(G2836="IN",D2836,""))</f>
        <v>91.28</v>
      </c>
      <c r="E2837" s="14" t="str">
        <f aca="false">IF(C2837="SELL",B2837,"")</f>
        <v/>
      </c>
      <c r="F2837" s="14" t="str">
        <f aca="false">IF(E2837="","",(E2837-D2837)/D2837*100)</f>
        <v/>
      </c>
      <c r="G2837" s="0" t="str">
        <f aca="false">IF(C2837="BUY","IN",IF(C2837="SELL","OUT",IF(G2836="IN","IN","OUT")))</f>
        <v>IN</v>
      </c>
      <c r="H2837" s="14" t="n">
        <f aca="false">H2836+IF(F2837="",0,F2837)</f>
        <v>64.9798929513777</v>
      </c>
      <c r="I2837" s="14" t="n">
        <f aca="false">MAX(I2836,H2837)</f>
        <v>64.9798929513777</v>
      </c>
      <c r="J2837" s="14" t="n">
        <f aca="false">I2837-H2837</f>
        <v>0</v>
      </c>
    </row>
    <row r="2838" customFormat="false" ht="15" hidden="false" customHeight="false" outlineLevel="0" collapsed="false">
      <c r="A2838" s="12" t="n">
        <f aca="false">Data!A2838</f>
        <v>46127</v>
      </c>
      <c r="B2838" s="14" t="n">
        <f aca="false">Data!B2838</f>
        <v>91.29</v>
      </c>
      <c r="C2838" s="0" t="str">
        <f aca="false">IF(Data!D2838="","HOLD",IF(AND(G2837&lt;&gt;"IN",Data!E2838&lt;-5),"BUY",IF(AND(G2837="IN",Data!E2838&gt;0),"SELL","HOLD")))</f>
        <v>HOLD</v>
      </c>
      <c r="D2838" s="14" t="n">
        <f aca="false">IF(C2838="BUY",B2838,IF(G2837="IN",D2837,""))</f>
        <v>91.28</v>
      </c>
      <c r="E2838" s="14" t="str">
        <f aca="false">IF(C2838="SELL",B2838,"")</f>
        <v/>
      </c>
      <c r="F2838" s="14" t="str">
        <f aca="false">IF(E2838="","",(E2838-D2838)/D2838*100)</f>
        <v/>
      </c>
      <c r="G2838" s="0" t="str">
        <f aca="false">IF(C2838="BUY","IN",IF(C2838="SELL","OUT",IF(G2837="IN","IN","OUT")))</f>
        <v>IN</v>
      </c>
      <c r="H2838" s="14" t="n">
        <f aca="false">H2837+IF(F2838="",0,F2838)</f>
        <v>64.9798929513777</v>
      </c>
      <c r="I2838" s="14" t="n">
        <f aca="false">MAX(I2837,H2838)</f>
        <v>64.9798929513777</v>
      </c>
      <c r="J2838" s="14" t="n">
        <f aca="false">I2838-H2838</f>
        <v>0</v>
      </c>
    </row>
    <row r="2839" customFormat="false" ht="15" hidden="false" customHeight="false" outlineLevel="0" collapsed="false">
      <c r="A2839" s="12" t="n">
        <f aca="false">Data!A2839</f>
        <v>46128</v>
      </c>
      <c r="B2839" s="14" t="n">
        <f aca="false">Data!B2839</f>
        <v>94.69</v>
      </c>
      <c r="C2839" s="0" t="str">
        <f aca="false">IF(Data!D2839="","HOLD",IF(AND(G2838&lt;&gt;"IN",Data!E2839&lt;-5),"BUY",IF(AND(G2838="IN",Data!E2839&gt;0),"SELL","HOLD")))</f>
        <v>HOLD</v>
      </c>
      <c r="D2839" s="14" t="n">
        <f aca="false">IF(C2839="BUY",B2839,IF(G2838="IN",D2838,""))</f>
        <v>91.28</v>
      </c>
      <c r="E2839" s="14" t="str">
        <f aca="false">IF(C2839="SELL",B2839,"")</f>
        <v/>
      </c>
      <c r="F2839" s="14" t="str">
        <f aca="false">IF(E2839="","",(E2839-D2839)/D2839*100)</f>
        <v/>
      </c>
      <c r="G2839" s="0" t="str">
        <f aca="false">IF(C2839="BUY","IN",IF(C2839="SELL","OUT",IF(G2838="IN","IN","OUT")))</f>
        <v>IN</v>
      </c>
      <c r="H2839" s="14" t="n">
        <f aca="false">H2838+IF(F2839="",0,F2839)</f>
        <v>64.9798929513777</v>
      </c>
      <c r="I2839" s="14" t="n">
        <f aca="false">MAX(I2838,H2839)</f>
        <v>64.9798929513777</v>
      </c>
      <c r="J2839" s="14" t="n">
        <f aca="false">I2839-H2839</f>
        <v>0</v>
      </c>
    </row>
    <row r="2840" customFormat="false" ht="15" hidden="false" customHeight="false" outlineLevel="0" collapsed="false">
      <c r="A2840" s="12" t="n">
        <f aca="false">Data!A2840</f>
        <v>46129</v>
      </c>
      <c r="B2840" s="14" t="n">
        <f aca="false">Data!B2840</f>
        <v>83.85</v>
      </c>
      <c r="C2840" s="0" t="str">
        <f aca="false">IF(Data!D2840="","HOLD",IF(AND(G2839&lt;&gt;"IN",Data!E2840&lt;-5),"BUY",IF(AND(G2839="IN",Data!E2840&gt;0),"SELL","HOLD")))</f>
        <v>HOLD</v>
      </c>
      <c r="D2840" s="14" t="n">
        <f aca="false">IF(C2840="BUY",B2840,IF(G2839="IN",D2839,""))</f>
        <v>91.28</v>
      </c>
      <c r="E2840" s="14" t="str">
        <f aca="false">IF(C2840="SELL",B2840,"")</f>
        <v/>
      </c>
      <c r="F2840" s="14" t="str">
        <f aca="false">IF(E2840="","",(E2840-D2840)/D2840*100)</f>
        <v/>
      </c>
      <c r="G2840" s="0" t="str">
        <f aca="false">IF(C2840="BUY","IN",IF(C2840="SELL","OUT",IF(G2839="IN","IN","OUT")))</f>
        <v>IN</v>
      </c>
      <c r="H2840" s="14" t="n">
        <f aca="false">H2839+IF(F2840="",0,F2840)</f>
        <v>64.9798929513777</v>
      </c>
      <c r="I2840" s="14" t="n">
        <f aca="false">MAX(I2839,H2840)</f>
        <v>64.9798929513777</v>
      </c>
      <c r="J2840" s="14" t="n">
        <f aca="false">I2840-H2840</f>
        <v>0</v>
      </c>
    </row>
    <row r="2841" customFormat="false" ht="15" hidden="false" customHeight="false" outlineLevel="0" collapsed="false">
      <c r="A2841" s="12" t="n">
        <f aca="false">Data!A2841</f>
        <v>46132</v>
      </c>
      <c r="B2841" s="14" t="n">
        <f aca="false">Data!B2841</f>
        <v>89.61</v>
      </c>
      <c r="C2841" s="0" t="str">
        <f aca="false">IF(Data!D2841="","HOLD",IF(AND(G2840&lt;&gt;"IN",Data!E2841&lt;-5),"BUY",IF(AND(G2840="IN",Data!E2841&gt;0),"SELL","HOLD")))</f>
        <v>HOLD</v>
      </c>
      <c r="D2841" s="14" t="n">
        <f aca="false">IF(C2841="BUY",B2841,IF(G2840="IN",D2840,""))</f>
        <v>91.28</v>
      </c>
      <c r="E2841" s="14" t="str">
        <f aca="false">IF(C2841="SELL",B2841,"")</f>
        <v/>
      </c>
      <c r="F2841" s="14" t="str">
        <f aca="false">IF(E2841="","",(E2841-D2841)/D2841*100)</f>
        <v/>
      </c>
      <c r="G2841" s="0" t="str">
        <f aca="false">IF(C2841="BUY","IN",IF(C2841="SELL","OUT",IF(G2840="IN","IN","OUT")))</f>
        <v>IN</v>
      </c>
      <c r="H2841" s="14" t="n">
        <f aca="false">H2840+IF(F2841="",0,F2841)</f>
        <v>64.9798929513777</v>
      </c>
      <c r="I2841" s="14" t="n">
        <f aca="false">MAX(I2840,H2841)</f>
        <v>64.9798929513777</v>
      </c>
      <c r="J2841" s="14" t="n">
        <f aca="false">I2841-H2841</f>
        <v>0</v>
      </c>
    </row>
    <row r="2842" customFormat="false" ht="15" hidden="false" customHeight="false" outlineLevel="0" collapsed="false">
      <c r="A2842" s="12" t="n">
        <f aca="false">Data!A2842</f>
        <v>46133</v>
      </c>
      <c r="B2842" s="14" t="n">
        <f aca="false">Data!B2842</f>
        <v>92.13</v>
      </c>
      <c r="C2842" s="0" t="str">
        <f aca="false">IF(Data!D2842="","HOLD",IF(AND(G2841&lt;&gt;"IN",Data!E2842&lt;-5),"BUY",IF(AND(G2841="IN",Data!E2842&gt;0),"SELL","HOLD")))</f>
        <v>HOLD</v>
      </c>
      <c r="D2842" s="14" t="n">
        <f aca="false">IF(C2842="BUY",B2842,IF(G2841="IN",D2841,""))</f>
        <v>91.28</v>
      </c>
      <c r="E2842" s="14" t="str">
        <f aca="false">IF(C2842="SELL",B2842,"")</f>
        <v/>
      </c>
      <c r="F2842" s="14" t="str">
        <f aca="false">IF(E2842="","",(E2842-D2842)/D2842*100)</f>
        <v/>
      </c>
      <c r="G2842" s="0" t="str">
        <f aca="false">IF(C2842="BUY","IN",IF(C2842="SELL","OUT",IF(G2841="IN","IN","OUT")))</f>
        <v>IN</v>
      </c>
      <c r="H2842" s="14" t="n">
        <f aca="false">H2841+IF(F2842="",0,F2842)</f>
        <v>64.9798929513777</v>
      </c>
      <c r="I2842" s="14" t="n">
        <f aca="false">MAX(I2841,H2842)</f>
        <v>64.9798929513777</v>
      </c>
      <c r="J2842" s="14" t="n">
        <f aca="false">I2842-H2842</f>
        <v>0</v>
      </c>
    </row>
    <row r="2843" customFormat="false" ht="15" hidden="false" customHeight="false" outlineLevel="0" collapsed="false">
      <c r="A2843" s="12" t="n">
        <f aca="false">Data!A2843</f>
        <v>46134</v>
      </c>
      <c r="B2843" s="14" t="n">
        <f aca="false">Data!B2843</f>
        <v>92.96</v>
      </c>
      <c r="C2843" s="0" t="str">
        <f aca="false">IF(Data!D2843="","HOLD",IF(AND(G2842&lt;&gt;"IN",Data!E2843&lt;-5),"BUY",IF(AND(G2842="IN",Data!E2843&gt;0),"SELL","HOLD")))</f>
        <v>HOLD</v>
      </c>
      <c r="D2843" s="14" t="n">
        <f aca="false">IF(C2843="BUY",B2843,IF(G2842="IN",D2842,""))</f>
        <v>91.28</v>
      </c>
      <c r="E2843" s="14" t="str">
        <f aca="false">IF(C2843="SELL",B2843,"")</f>
        <v/>
      </c>
      <c r="F2843" s="14" t="str">
        <f aca="false">IF(E2843="","",(E2843-D2843)/D2843*100)</f>
        <v/>
      </c>
      <c r="G2843" s="0" t="str">
        <f aca="false">IF(C2843="BUY","IN",IF(C2843="SELL","OUT",IF(G2842="IN","IN","OUT")))</f>
        <v>IN</v>
      </c>
      <c r="H2843" s="14" t="n">
        <f aca="false">H2842+IF(F2843="",0,F2843)</f>
        <v>64.9798929513777</v>
      </c>
      <c r="I2843" s="14" t="n">
        <f aca="false">MAX(I2842,H2843)</f>
        <v>64.9798929513777</v>
      </c>
      <c r="J2843" s="14" t="n">
        <f aca="false">I2843-H2843</f>
        <v>0</v>
      </c>
    </row>
    <row r="2844" customFormat="false" ht="15" hidden="false" customHeight="false" outlineLevel="0" collapsed="false">
      <c r="A2844" s="12" t="n">
        <f aca="false">Data!A2844</f>
        <v>46135</v>
      </c>
      <c r="B2844" s="14" t="n">
        <f aca="false">Data!B2844</f>
        <v>95.85</v>
      </c>
      <c r="C2844" s="0" t="str">
        <f aca="false">IF(Data!D2844="","HOLD",IF(AND(G2843&lt;&gt;"IN",Data!E2844&lt;-5),"BUY",IF(AND(G2843="IN",Data!E2844&gt;0),"SELL","HOLD")))</f>
        <v>HOLD</v>
      </c>
      <c r="D2844" s="14" t="n">
        <f aca="false">IF(C2844="BUY",B2844,IF(G2843="IN",D2843,""))</f>
        <v>91.28</v>
      </c>
      <c r="E2844" s="14" t="str">
        <f aca="false">IF(C2844="SELL",B2844,"")</f>
        <v/>
      </c>
      <c r="F2844" s="14" t="str">
        <f aca="false">IF(E2844="","",(E2844-D2844)/D2844*100)</f>
        <v/>
      </c>
      <c r="G2844" s="0" t="str">
        <f aca="false">IF(C2844="BUY","IN",IF(C2844="SELL","OUT",IF(G2843="IN","IN","OUT")))</f>
        <v>IN</v>
      </c>
      <c r="H2844" s="14" t="n">
        <f aca="false">H2843+IF(F2844="",0,F2844)</f>
        <v>64.9798929513777</v>
      </c>
      <c r="I2844" s="14" t="n">
        <f aca="false">MAX(I2843,H2844)</f>
        <v>64.9798929513777</v>
      </c>
      <c r="J2844" s="14" t="n">
        <f aca="false">I2844-H2844</f>
        <v>0</v>
      </c>
    </row>
    <row r="2845" customFormat="false" ht="15" hidden="false" customHeight="false" outlineLevel="0" collapsed="false">
      <c r="A2845" s="12" t="n">
        <f aca="false">Data!A2845</f>
        <v>46136</v>
      </c>
      <c r="B2845" s="14" t="n">
        <f aca="false">Data!B2845</f>
        <v>94.4</v>
      </c>
      <c r="C2845" s="0" t="str">
        <f aca="false">IF(Data!D2845="","HOLD",IF(AND(G2844&lt;&gt;"IN",Data!E2845&lt;-5),"BUY",IF(AND(G2844="IN",Data!E2845&gt;0),"SELL","HOLD")))</f>
        <v>HOLD</v>
      </c>
      <c r="D2845" s="14" t="n">
        <f aca="false">IF(C2845="BUY",B2845,IF(G2844="IN",D2844,""))</f>
        <v>91.28</v>
      </c>
      <c r="E2845" s="14" t="str">
        <f aca="false">IF(C2845="SELL",B2845,"")</f>
        <v/>
      </c>
      <c r="F2845" s="14" t="str">
        <f aca="false">IF(E2845="","",(E2845-D2845)/D2845*100)</f>
        <v/>
      </c>
      <c r="G2845" s="0" t="str">
        <f aca="false">IF(C2845="BUY","IN",IF(C2845="SELL","OUT",IF(G2844="IN","IN","OUT")))</f>
        <v>IN</v>
      </c>
      <c r="H2845" s="14" t="n">
        <f aca="false">H2844+IF(F2845="",0,F2845)</f>
        <v>64.9798929513777</v>
      </c>
      <c r="I2845" s="14" t="n">
        <f aca="false">MAX(I2844,H2845)</f>
        <v>64.9798929513777</v>
      </c>
      <c r="J2845" s="14" t="n">
        <f aca="false">I2845-H2845</f>
        <v>0</v>
      </c>
    </row>
    <row r="2846" customFormat="false" ht="15" hidden="false" customHeight="false" outlineLevel="0" collapsed="false">
      <c r="A2846" s="12" t="n">
        <f aca="false">Data!A2846</f>
        <v>46139</v>
      </c>
      <c r="B2846" s="14" t="n">
        <f aca="false">Data!B2846</f>
        <v>96.37</v>
      </c>
      <c r="C2846" s="0" t="str">
        <f aca="false">IF(Data!D2846="","HOLD",IF(AND(G2845&lt;&gt;"IN",Data!E2846&lt;-5),"BUY",IF(AND(G2845="IN",Data!E2846&gt;0),"SELL","HOLD")))</f>
        <v>HOLD</v>
      </c>
      <c r="D2846" s="14" t="n">
        <f aca="false">IF(C2846="BUY",B2846,IF(G2845="IN",D2845,""))</f>
        <v>91.28</v>
      </c>
      <c r="E2846" s="14" t="str">
        <f aca="false">IF(C2846="SELL",B2846,"")</f>
        <v/>
      </c>
      <c r="F2846" s="14" t="str">
        <f aca="false">IF(E2846="","",(E2846-D2846)/D2846*100)</f>
        <v/>
      </c>
      <c r="G2846" s="0" t="str">
        <f aca="false">IF(C2846="BUY","IN",IF(C2846="SELL","OUT",IF(G2845="IN","IN","OUT")))</f>
        <v>IN</v>
      </c>
      <c r="H2846" s="14" t="n">
        <f aca="false">H2845+IF(F2846="",0,F2846)</f>
        <v>64.9798929513777</v>
      </c>
      <c r="I2846" s="14" t="n">
        <f aca="false">MAX(I2845,H2846)</f>
        <v>64.9798929513777</v>
      </c>
      <c r="J2846" s="14" t="n">
        <f aca="false">I2846-H2846</f>
        <v>0</v>
      </c>
    </row>
    <row r="2847" customFormat="false" ht="15" hidden="false" customHeight="false" outlineLevel="0" collapsed="false">
      <c r="A2847" s="12" t="n">
        <f aca="false">Data!A2847</f>
        <v>46140</v>
      </c>
      <c r="B2847" s="14" t="n">
        <f aca="false">Data!B2847</f>
        <v>99.93</v>
      </c>
      <c r="C2847" s="0" t="str">
        <f aca="false">IF(Data!D2847="","HOLD",IF(AND(G2846&lt;&gt;"IN",Data!E2847&lt;-5),"BUY",IF(AND(G2846="IN",Data!E2847&gt;0),"SELL","HOLD")))</f>
        <v>SELL</v>
      </c>
      <c r="D2847" s="14" t="n">
        <f aca="false">IF(C2847="BUY",B2847,IF(G2846="IN",D2846,""))</f>
        <v>91.28</v>
      </c>
      <c r="E2847" s="14" t="n">
        <f aca="false">IF(C2847="SELL",B2847,"")</f>
        <v>99.93</v>
      </c>
      <c r="F2847" s="14" t="n">
        <f aca="false">IF(E2847="","",(E2847-D2847)/D2847*100)</f>
        <v>9.4763365468887</v>
      </c>
      <c r="G2847" s="0" t="str">
        <f aca="false">IF(C2847="BUY","IN",IF(C2847="SELL","OUT",IF(G2846="IN","IN","OUT")))</f>
        <v>OUT</v>
      </c>
      <c r="H2847" s="14" t="n">
        <f aca="false">H2846+IF(F2847="",0,F2847)</f>
        <v>74.4562294982664</v>
      </c>
      <c r="I2847" s="14" t="n">
        <f aca="false">MAX(I2846,H2847)</f>
        <v>74.4562294982664</v>
      </c>
      <c r="J2847" s="14" t="n">
        <f aca="false">I2847-H2847</f>
        <v>0</v>
      </c>
    </row>
    <row r="2848" customFormat="false" ht="15" hidden="false" customHeight="false" outlineLevel="0" collapsed="false">
      <c r="A2848" s="12" t="n">
        <f aca="false">Data!A2848</f>
        <v>46141</v>
      </c>
      <c r="B2848" s="14" t="n">
        <f aca="false">Data!B2848</f>
        <v>106.88</v>
      </c>
      <c r="C2848" s="0" t="str">
        <f aca="false">IF(Data!D2848="","HOLD",IF(AND(G2847&lt;&gt;"IN",Data!E2848&lt;-5),"BUY",IF(AND(G2847="IN",Data!E2848&gt;0),"SELL","HOLD")))</f>
        <v>HOLD</v>
      </c>
      <c r="D2848" s="14" t="str">
        <f aca="false">IF(C2848="BUY",B2848,IF(G2847="IN",D2847,""))</f>
        <v/>
      </c>
      <c r="E2848" s="14" t="str">
        <f aca="false">IF(C2848="SELL",B2848,"")</f>
        <v/>
      </c>
      <c r="F2848" s="14" t="str">
        <f aca="false">IF(E2848="","",(E2848-D2848)/D2848*100)</f>
        <v/>
      </c>
      <c r="G2848" s="0" t="str">
        <f aca="false">IF(C2848="BUY","IN",IF(C2848="SELL","OUT",IF(G2847="IN","IN","OUT")))</f>
        <v>OUT</v>
      </c>
      <c r="H2848" s="14" t="n">
        <f aca="false">H2847+IF(F2848="",0,F2848)</f>
        <v>74.4562294982664</v>
      </c>
      <c r="I2848" s="14" t="n">
        <f aca="false">MAX(I2847,H2848)</f>
        <v>74.4562294982664</v>
      </c>
      <c r="J2848" s="14" t="n">
        <f aca="false">I2848-H2848</f>
        <v>0</v>
      </c>
    </row>
    <row r="2849" customFormat="false" ht="15" hidden="false" customHeight="false" outlineLevel="0" collapsed="false">
      <c r="A2849" s="12" t="n">
        <f aca="false">Data!A2849</f>
        <v>46142</v>
      </c>
      <c r="B2849" s="14" t="n">
        <f aca="false">Data!B2849</f>
        <v>105.07</v>
      </c>
      <c r="C2849" s="0" t="str">
        <f aca="false">IF(Data!D2849="","HOLD",IF(AND(G2848&lt;&gt;"IN",Data!E2849&lt;-5),"BUY",IF(AND(G2848="IN",Data!E2849&gt;0),"SELL","HOLD")))</f>
        <v>HOLD</v>
      </c>
      <c r="D2849" s="14" t="str">
        <f aca="false">IF(C2849="BUY",B2849,IF(G2848="IN",D2848,""))</f>
        <v/>
      </c>
      <c r="E2849" s="14" t="str">
        <f aca="false">IF(C2849="SELL",B2849,"")</f>
        <v/>
      </c>
      <c r="F2849" s="14" t="str">
        <f aca="false">IF(E2849="","",(E2849-D2849)/D2849*100)</f>
        <v/>
      </c>
      <c r="G2849" s="0" t="str">
        <f aca="false">IF(C2849="BUY","IN",IF(C2849="SELL","OUT",IF(G2848="IN","IN","OUT")))</f>
        <v>OUT</v>
      </c>
      <c r="H2849" s="14" t="n">
        <f aca="false">H2848+IF(F2849="",0,F2849)</f>
        <v>74.4562294982664</v>
      </c>
      <c r="I2849" s="14" t="n">
        <f aca="false">MAX(I2848,H2849)</f>
        <v>74.4562294982664</v>
      </c>
      <c r="J2849" s="14" t="n">
        <f aca="false">I2849-H2849</f>
        <v>0</v>
      </c>
    </row>
    <row r="2850" customFormat="false" ht="15" hidden="false" customHeight="false" outlineLevel="0" collapsed="false">
      <c r="A2850" s="12" t="n">
        <f aca="false">Data!A2850</f>
        <v>46143</v>
      </c>
      <c r="B2850" s="14" t="n">
        <f aca="false">Data!B2850</f>
        <v>101.94</v>
      </c>
      <c r="C2850" s="0" t="str">
        <f aca="false">IF(Data!D2850="","HOLD",IF(AND(G2849&lt;&gt;"IN",Data!E2850&lt;-5),"BUY",IF(AND(G2849="IN",Data!E2850&gt;0),"SELL","HOLD")))</f>
        <v>HOLD</v>
      </c>
      <c r="D2850" s="14" t="str">
        <f aca="false">IF(C2850="BUY",B2850,IF(G2849="IN",D2849,""))</f>
        <v/>
      </c>
      <c r="E2850" s="14" t="str">
        <f aca="false">IF(C2850="SELL",B2850,"")</f>
        <v/>
      </c>
      <c r="F2850" s="14" t="str">
        <f aca="false">IF(E2850="","",(E2850-D2850)/D2850*100)</f>
        <v/>
      </c>
      <c r="G2850" s="0" t="str">
        <f aca="false">IF(C2850="BUY","IN",IF(C2850="SELL","OUT",IF(G2849="IN","IN","OUT")))</f>
        <v>OUT</v>
      </c>
      <c r="H2850" s="14" t="n">
        <f aca="false">H2849+IF(F2850="",0,F2850)</f>
        <v>74.4562294982664</v>
      </c>
      <c r="I2850" s="14" t="n">
        <f aca="false">MAX(I2849,H2850)</f>
        <v>74.4562294982664</v>
      </c>
      <c r="J2850" s="14" t="n">
        <f aca="false">I2850-H2850</f>
        <v>0</v>
      </c>
    </row>
    <row r="2851" customFormat="false" ht="15" hidden="false" customHeight="false" outlineLevel="0" collapsed="false">
      <c r="A2851" s="12" t="n">
        <f aca="false">Data!A2851</f>
        <v>46146</v>
      </c>
      <c r="B2851" s="14" t="n">
        <f aca="false">Data!B2851</f>
        <v>106.42</v>
      </c>
      <c r="C2851" s="0" t="str">
        <f aca="false">IF(Data!D2851="","HOLD",IF(AND(G2850&lt;&gt;"IN",Data!E2851&lt;-5),"BUY",IF(AND(G2850="IN",Data!E2851&gt;0),"SELL","HOLD")))</f>
        <v>HOLD</v>
      </c>
      <c r="D2851" s="14" t="str">
        <f aca="false">IF(C2851="BUY",B2851,IF(G2850="IN",D2850,""))</f>
        <v/>
      </c>
      <c r="E2851" s="14" t="str">
        <f aca="false">IF(C2851="SELL",B2851,"")</f>
        <v/>
      </c>
      <c r="F2851" s="14" t="str">
        <f aca="false">IF(E2851="","",(E2851-D2851)/D2851*100)</f>
        <v/>
      </c>
      <c r="G2851" s="0" t="str">
        <f aca="false">IF(C2851="BUY","IN",IF(C2851="SELL","OUT",IF(G2850="IN","IN","OUT")))</f>
        <v>OUT</v>
      </c>
      <c r="H2851" s="14" t="n">
        <f aca="false">H2850+IF(F2851="",0,F2851)</f>
        <v>74.4562294982664</v>
      </c>
      <c r="I2851" s="14" t="n">
        <f aca="false">MAX(I2850,H2851)</f>
        <v>74.4562294982664</v>
      </c>
      <c r="J2851" s="14" t="n">
        <f aca="false">I2851-H2851</f>
        <v>0</v>
      </c>
    </row>
    <row r="2852" customFormat="false" ht="15" hidden="false" customHeight="false" outlineLevel="0" collapsed="false">
      <c r="A2852" s="12" t="n">
        <f aca="false">Data!A2852</f>
        <v>46147</v>
      </c>
      <c r="B2852" s="14" t="n">
        <f aca="false">Data!B2852</f>
        <v>102.27</v>
      </c>
      <c r="C2852" s="0" t="str">
        <f aca="false">IF(Data!D2852="","HOLD",IF(AND(G2851&lt;&gt;"IN",Data!E2852&lt;-5),"BUY",IF(AND(G2851="IN",Data!E2852&gt;0),"SELL","HOLD")))</f>
        <v>HOLD</v>
      </c>
      <c r="D2852" s="14" t="str">
        <f aca="false">IF(C2852="BUY",B2852,IF(G2851="IN",D2851,""))</f>
        <v/>
      </c>
      <c r="E2852" s="14" t="str">
        <f aca="false">IF(C2852="SELL",B2852,"")</f>
        <v/>
      </c>
      <c r="F2852" s="14" t="str">
        <f aca="false">IF(E2852="","",(E2852-D2852)/D2852*100)</f>
        <v/>
      </c>
      <c r="G2852" s="0" t="str">
        <f aca="false">IF(C2852="BUY","IN",IF(C2852="SELL","OUT",IF(G2851="IN","IN","OUT")))</f>
        <v>OUT</v>
      </c>
      <c r="H2852" s="14" t="n">
        <f aca="false">H2851+IF(F2852="",0,F2852)</f>
        <v>74.4562294982664</v>
      </c>
      <c r="I2852" s="14" t="n">
        <f aca="false">MAX(I2851,H2852)</f>
        <v>74.4562294982664</v>
      </c>
      <c r="J2852" s="14" t="n">
        <f aca="false">I2852-H2852</f>
        <v>0</v>
      </c>
    </row>
    <row r="2853" customFormat="false" ht="15" hidden="false" customHeight="false" outlineLevel="0" collapsed="false">
      <c r="A2853" s="12" t="n">
        <f aca="false">Data!A2853</f>
        <v>46148</v>
      </c>
      <c r="B2853" s="14" t="n">
        <f aca="false">Data!B2853</f>
        <v>95.08</v>
      </c>
      <c r="C2853" s="0" t="str">
        <f aca="false">IF(Data!D2853="","HOLD",IF(AND(G2852&lt;&gt;"IN",Data!E2853&lt;-5),"BUY",IF(AND(G2852="IN",Data!E2853&gt;0),"SELL","HOLD")))</f>
        <v>HOLD</v>
      </c>
      <c r="D2853" s="14" t="str">
        <f aca="false">IF(C2853="BUY",B2853,IF(G2852="IN",D2852,""))</f>
        <v/>
      </c>
      <c r="E2853" s="14" t="str">
        <f aca="false">IF(C2853="SELL",B2853,"")</f>
        <v/>
      </c>
      <c r="F2853" s="14" t="str">
        <f aca="false">IF(E2853="","",(E2853-D2853)/D2853*100)</f>
        <v/>
      </c>
      <c r="G2853" s="0" t="str">
        <f aca="false">IF(C2853="BUY","IN",IF(C2853="SELL","OUT",IF(G2852="IN","IN","OUT")))</f>
        <v>OUT</v>
      </c>
      <c r="H2853" s="14" t="n">
        <f aca="false">H2852+IF(F2853="",0,F2853)</f>
        <v>74.4562294982664</v>
      </c>
      <c r="I2853" s="14" t="n">
        <f aca="false">MAX(I2852,H2853)</f>
        <v>74.4562294982664</v>
      </c>
      <c r="J2853" s="14" t="n">
        <f aca="false">I2853-H2853</f>
        <v>0</v>
      </c>
    </row>
    <row r="2854" customFormat="false" ht="15" hidden="false" customHeight="false" outlineLevel="0" collapsed="false">
      <c r="A2854" s="12" t="n">
        <f aca="false">Data!A2854</f>
        <v>46149</v>
      </c>
      <c r="B2854" s="14" t="n">
        <f aca="false">Data!B2854</f>
        <v>94.81</v>
      </c>
      <c r="C2854" s="0" t="str">
        <f aca="false">IF(Data!D2854="","HOLD",IF(AND(G2853&lt;&gt;"IN",Data!E2854&lt;-5),"BUY",IF(AND(G2853="IN",Data!E2854&gt;0),"SELL","HOLD")))</f>
        <v>HOLD</v>
      </c>
      <c r="D2854" s="14" t="str">
        <f aca="false">IF(C2854="BUY",B2854,IF(G2853="IN",D2853,""))</f>
        <v/>
      </c>
      <c r="E2854" s="14" t="str">
        <f aca="false">IF(C2854="SELL",B2854,"")</f>
        <v/>
      </c>
      <c r="F2854" s="14" t="str">
        <f aca="false">IF(E2854="","",(E2854-D2854)/D2854*100)</f>
        <v/>
      </c>
      <c r="G2854" s="0" t="str">
        <f aca="false">IF(C2854="BUY","IN",IF(C2854="SELL","OUT",IF(G2853="IN","IN","OUT")))</f>
        <v>OUT</v>
      </c>
      <c r="H2854" s="14" t="n">
        <f aca="false">H2853+IF(F2854="",0,F2854)</f>
        <v>74.4562294982664</v>
      </c>
      <c r="I2854" s="14" t="n">
        <f aca="false">MAX(I2853,H2854)</f>
        <v>74.4562294982664</v>
      </c>
      <c r="J2854" s="14" t="n">
        <f aca="false">I2854-H2854</f>
        <v>0</v>
      </c>
    </row>
    <row r="2855" customFormat="false" ht="15" hidden="false" customHeight="false" outlineLevel="0" collapsed="false">
      <c r="A2855" s="12" t="n">
        <f aca="false">Data!A2855</f>
        <v>46150</v>
      </c>
      <c r="B2855" s="14" t="n">
        <f aca="false">Data!B2855</f>
        <v>95.42</v>
      </c>
      <c r="C2855" s="0" t="str">
        <f aca="false">IF(Data!D2855="","HOLD",IF(AND(G2854&lt;&gt;"IN",Data!E2855&lt;-5),"BUY",IF(AND(G2854="IN",Data!E2855&gt;0),"SELL","HOLD")))</f>
        <v>HOLD</v>
      </c>
      <c r="D2855" s="14" t="str">
        <f aca="false">IF(C2855="BUY",B2855,IF(G2854="IN",D2854,""))</f>
        <v/>
      </c>
      <c r="E2855" s="14" t="str">
        <f aca="false">IF(C2855="SELL",B2855,"")</f>
        <v/>
      </c>
      <c r="F2855" s="14" t="str">
        <f aca="false">IF(E2855="","",(E2855-D2855)/D2855*100)</f>
        <v/>
      </c>
      <c r="G2855" s="0" t="str">
        <f aca="false">IF(C2855="BUY","IN",IF(C2855="SELL","OUT",IF(G2854="IN","IN","OUT")))</f>
        <v>OUT</v>
      </c>
      <c r="H2855" s="14" t="n">
        <f aca="false">H2854+IF(F2855="",0,F2855)</f>
        <v>74.4562294982664</v>
      </c>
      <c r="I2855" s="14" t="n">
        <f aca="false">MAX(I2854,H2855)</f>
        <v>74.4562294982664</v>
      </c>
      <c r="J2855" s="14" t="n">
        <f aca="false">I2855-H2855</f>
        <v>0</v>
      </c>
    </row>
    <row r="2856" customFormat="false" ht="15" hidden="false" customHeight="false" outlineLevel="0" collapsed="false">
      <c r="A2856" s="12" t="n">
        <f aca="false">Data!A2856</f>
        <v>46153</v>
      </c>
      <c r="B2856" s="14" t="n">
        <f aca="false">Data!B2856</f>
        <v>98.07</v>
      </c>
      <c r="C2856" s="0" t="str">
        <f aca="false">IF(Data!D2856="","HOLD",IF(AND(G2855&lt;&gt;"IN",Data!E2856&lt;-5),"BUY",IF(AND(G2855="IN",Data!E2856&gt;0),"SELL","HOLD")))</f>
        <v>HOLD</v>
      </c>
      <c r="D2856" s="14" t="str">
        <f aca="false">IF(C2856="BUY",B2856,IF(G2855="IN",D2855,""))</f>
        <v/>
      </c>
      <c r="E2856" s="14" t="str">
        <f aca="false">IF(C2856="SELL",B2856,"")</f>
        <v/>
      </c>
      <c r="F2856" s="14" t="str">
        <f aca="false">IF(E2856="","",(E2856-D2856)/D2856*100)</f>
        <v/>
      </c>
      <c r="G2856" s="0" t="str">
        <f aca="false">IF(C2856="BUY","IN",IF(C2856="SELL","OUT",IF(G2855="IN","IN","OUT")))</f>
        <v>OUT</v>
      </c>
      <c r="H2856" s="14" t="n">
        <f aca="false">H2855+IF(F2856="",0,F2856)</f>
        <v>74.4562294982664</v>
      </c>
      <c r="I2856" s="14" t="n">
        <f aca="false">MAX(I2855,H2856)</f>
        <v>74.4562294982664</v>
      </c>
      <c r="J2856" s="14" t="n">
        <f aca="false">I2856-H2856</f>
        <v>0</v>
      </c>
    </row>
    <row r="2857" customFormat="false" ht="15" hidden="false" customHeight="false" outlineLevel="0" collapsed="false">
      <c r="A2857" s="12" t="n">
        <f aca="false">Data!A2857</f>
        <v>46154</v>
      </c>
      <c r="B2857" s="14" t="n">
        <f aca="false">Data!B2857</f>
        <v>102.18</v>
      </c>
      <c r="C2857" s="0" t="str">
        <f aca="false">IF(Data!D2857="","HOLD",IF(AND(G2856&lt;&gt;"IN",Data!E2857&lt;-5),"BUY",IF(AND(G2856="IN",Data!E2857&gt;0),"SELL","HOLD")))</f>
        <v>HOLD</v>
      </c>
      <c r="D2857" s="14" t="str">
        <f aca="false">IF(C2857="BUY",B2857,IF(G2856="IN",D2856,""))</f>
        <v/>
      </c>
      <c r="E2857" s="14" t="str">
        <f aca="false">IF(C2857="SELL",B2857,"")</f>
        <v/>
      </c>
      <c r="F2857" s="14" t="str">
        <f aca="false">IF(E2857="","",(E2857-D2857)/D2857*100)</f>
        <v/>
      </c>
      <c r="G2857" s="0" t="str">
        <f aca="false">IF(C2857="BUY","IN",IF(C2857="SELL","OUT",IF(G2856="IN","IN","OUT")))</f>
        <v>OUT</v>
      </c>
      <c r="H2857" s="14" t="n">
        <f aca="false">H2856+IF(F2857="",0,F2857)</f>
        <v>74.4562294982664</v>
      </c>
      <c r="I2857" s="14" t="n">
        <f aca="false">MAX(I2856,H2857)</f>
        <v>74.4562294982664</v>
      </c>
      <c r="J2857" s="14" t="n">
        <f aca="false">I2857-H2857</f>
        <v>0</v>
      </c>
    </row>
    <row r="2858" customFormat="false" ht="15" hidden="false" customHeight="false" outlineLevel="0" collapsed="false">
      <c r="A2858" s="12" t="n">
        <f aca="false">Data!A2858</f>
        <v>46155</v>
      </c>
      <c r="B2858" s="14" t="n">
        <f aca="false">Data!B2858</f>
        <v>101.02</v>
      </c>
      <c r="C2858" s="0" t="str">
        <f aca="false">IF(Data!D2858="","HOLD",IF(AND(G2857&lt;&gt;"IN",Data!E2858&lt;-5),"BUY",IF(AND(G2857="IN",Data!E2858&gt;0),"SELL","HOLD")))</f>
        <v>HOLD</v>
      </c>
      <c r="D2858" s="14" t="str">
        <f aca="false">IF(C2858="BUY",B2858,IF(G2857="IN",D2857,""))</f>
        <v/>
      </c>
      <c r="E2858" s="14" t="str">
        <f aca="false">IF(C2858="SELL",B2858,"")</f>
        <v/>
      </c>
      <c r="F2858" s="14" t="str">
        <f aca="false">IF(E2858="","",(E2858-D2858)/D2858*100)</f>
        <v/>
      </c>
      <c r="G2858" s="0" t="str">
        <f aca="false">IF(C2858="BUY","IN",IF(C2858="SELL","OUT",IF(G2857="IN","IN","OUT")))</f>
        <v>OUT</v>
      </c>
      <c r="H2858" s="14" t="n">
        <f aca="false">H2857+IF(F2858="",0,F2858)</f>
        <v>74.4562294982664</v>
      </c>
      <c r="I2858" s="14" t="n">
        <f aca="false">MAX(I2857,H2858)</f>
        <v>74.4562294982664</v>
      </c>
      <c r="J2858" s="14" t="n">
        <f aca="false">I2858-H2858</f>
        <v>0</v>
      </c>
    </row>
    <row r="2859" customFormat="false" ht="15" hidden="false" customHeight="false" outlineLevel="0" collapsed="false">
      <c r="A2859" s="12" t="n">
        <f aca="false">Data!A2859</f>
        <v>46156</v>
      </c>
      <c r="B2859" s="14" t="n">
        <f aca="false">Data!B2859</f>
        <v>101.17</v>
      </c>
      <c r="C2859" s="0" t="str">
        <f aca="false">IF(Data!D2859="","HOLD",IF(AND(G2858&lt;&gt;"IN",Data!E2859&lt;-5),"BUY",IF(AND(G2858="IN",Data!E2859&gt;0),"SELL","HOLD")))</f>
        <v>HOLD</v>
      </c>
      <c r="D2859" s="14" t="str">
        <f aca="false">IF(C2859="BUY",B2859,IF(G2858="IN",D2858,""))</f>
        <v/>
      </c>
      <c r="E2859" s="14" t="str">
        <f aca="false">IF(C2859="SELL",B2859,"")</f>
        <v/>
      </c>
      <c r="F2859" s="14" t="str">
        <f aca="false">IF(E2859="","",(E2859-D2859)/D2859*100)</f>
        <v/>
      </c>
      <c r="G2859" s="0" t="str">
        <f aca="false">IF(C2859="BUY","IN",IF(C2859="SELL","OUT",IF(G2858="IN","IN","OUT")))</f>
        <v>OUT</v>
      </c>
      <c r="H2859" s="14" t="n">
        <f aca="false">H2858+IF(F2859="",0,F2859)</f>
        <v>74.4562294982664</v>
      </c>
      <c r="I2859" s="14" t="n">
        <f aca="false">MAX(I2858,H2859)</f>
        <v>74.4562294982664</v>
      </c>
      <c r="J2859" s="14" t="n">
        <f aca="false">I2859-H2859</f>
        <v>0</v>
      </c>
    </row>
    <row r="2860" customFormat="false" ht="15" hidden="false" customHeight="false" outlineLevel="0" collapsed="false">
      <c r="A2860" s="12" t="n">
        <f aca="false">Data!A2860</f>
        <v>46157</v>
      </c>
      <c r="B2860" s="14" t="n">
        <f aca="false">Data!B2860</f>
        <v>105.42</v>
      </c>
      <c r="C2860" s="0" t="str">
        <f aca="false">IF(Data!D2860="","HOLD",IF(AND(G2859&lt;&gt;"IN",Data!E2860&lt;-5),"BUY",IF(AND(G2859="IN",Data!E2860&gt;0),"SELL","HOLD")))</f>
        <v>HOLD</v>
      </c>
      <c r="D2860" s="14" t="str">
        <f aca="false">IF(C2860="BUY",B2860,IF(G2859="IN",D2859,""))</f>
        <v/>
      </c>
      <c r="E2860" s="14" t="str">
        <f aca="false">IF(C2860="SELL",B2860,"")</f>
        <v/>
      </c>
      <c r="F2860" s="14" t="str">
        <f aca="false">IF(E2860="","",(E2860-D2860)/D2860*100)</f>
        <v/>
      </c>
      <c r="G2860" s="0" t="str">
        <f aca="false">IF(C2860="BUY","IN",IF(C2860="SELL","OUT",IF(G2859="IN","IN","OUT")))</f>
        <v>OUT</v>
      </c>
      <c r="H2860" s="14" t="n">
        <f aca="false">H2859+IF(F2860="",0,F2860)</f>
        <v>74.4562294982664</v>
      </c>
      <c r="I2860" s="14" t="n">
        <f aca="false">MAX(I2859,H2860)</f>
        <v>74.4562294982664</v>
      </c>
      <c r="J2860" s="14" t="n">
        <f aca="false">I2860-H2860</f>
        <v>0</v>
      </c>
    </row>
    <row r="2861" customFormat="false" ht="15" hidden="false" customHeight="false" outlineLevel="0" collapsed="false">
      <c r="A2861" s="12" t="n">
        <f aca="false">Data!A2861</f>
        <v>46160</v>
      </c>
      <c r="B2861" s="14" t="n">
        <f aca="false">Data!B2861</f>
        <v>108.66</v>
      </c>
      <c r="C2861" s="0" t="str">
        <f aca="false">IF(Data!D2861="","HOLD",IF(AND(G2860&lt;&gt;"IN",Data!E2861&lt;-5),"BUY",IF(AND(G2860="IN",Data!E2861&gt;0),"SELL","HOLD")))</f>
        <v>HOLD</v>
      </c>
      <c r="D2861" s="14" t="str">
        <f aca="false">IF(C2861="BUY",B2861,IF(G2860="IN",D2860,""))</f>
        <v/>
      </c>
      <c r="E2861" s="14" t="str">
        <f aca="false">IF(C2861="SELL",B2861,"")</f>
        <v/>
      </c>
      <c r="F2861" s="14" t="str">
        <f aca="false">IF(E2861="","",(E2861-D2861)/D2861*100)</f>
        <v/>
      </c>
      <c r="G2861" s="0" t="str">
        <f aca="false">IF(C2861="BUY","IN",IF(C2861="SELL","OUT",IF(G2860="IN","IN","OUT")))</f>
        <v>OUT</v>
      </c>
      <c r="H2861" s="14" t="n">
        <f aca="false">H2860+IF(F2861="",0,F2861)</f>
        <v>74.4562294982664</v>
      </c>
      <c r="I2861" s="14" t="n">
        <f aca="false">MAX(I2860,H2861)</f>
        <v>74.4562294982664</v>
      </c>
      <c r="J2861" s="14" t="n">
        <f aca="false">I2861-H2861</f>
        <v>0</v>
      </c>
    </row>
    <row r="2862" customFormat="false" ht="15" hidden="false" customHeight="false" outlineLevel="0" collapsed="false">
      <c r="A2862" s="12" t="n">
        <f aca="false">Data!A2862</f>
        <v>46161</v>
      </c>
      <c r="B2862" s="14" t="n">
        <f aca="false">Data!B2862</f>
        <v>107.77</v>
      </c>
      <c r="C2862" s="0" t="str">
        <f aca="false">IF(Data!D2862="","HOLD",IF(AND(G2861&lt;&gt;"IN",Data!E2862&lt;-5),"BUY",IF(AND(G2861="IN",Data!E2862&gt;0),"SELL","HOLD")))</f>
        <v>HOLD</v>
      </c>
      <c r="D2862" s="14" t="str">
        <f aca="false">IF(C2862="BUY",B2862,IF(G2861="IN",D2861,""))</f>
        <v/>
      </c>
      <c r="E2862" s="14" t="str">
        <f aca="false">IF(C2862="SELL",B2862,"")</f>
        <v/>
      </c>
      <c r="F2862" s="14" t="str">
        <f aca="false">IF(E2862="","",(E2862-D2862)/D2862*100)</f>
        <v/>
      </c>
      <c r="G2862" s="0" t="str">
        <f aca="false">IF(C2862="BUY","IN",IF(C2862="SELL","OUT",IF(G2861="IN","IN","OUT")))</f>
        <v>OUT</v>
      </c>
      <c r="H2862" s="14" t="n">
        <f aca="false">H2861+IF(F2862="",0,F2862)</f>
        <v>74.4562294982664</v>
      </c>
      <c r="I2862" s="14" t="n">
        <f aca="false">MAX(I2861,H2862)</f>
        <v>74.4562294982664</v>
      </c>
      <c r="J2862" s="14" t="n">
        <f aca="false">I2862-H2862</f>
        <v>0</v>
      </c>
    </row>
    <row r="2863" customFormat="false" ht="15" hidden="false" customHeight="false" outlineLevel="0" collapsed="false">
      <c r="A2863" s="12" t="n">
        <f aca="false">Data!A2863</f>
        <v>46162</v>
      </c>
      <c r="B2863" s="14" t="n">
        <f aca="false">Data!B2863</f>
        <v>98.26</v>
      </c>
      <c r="C2863" s="0" t="str">
        <f aca="false">IF(Data!D2863="","HOLD",IF(AND(G2862&lt;&gt;"IN",Data!E2863&lt;-5),"BUY",IF(AND(G2862="IN",Data!E2863&gt;0),"SELL","HOLD")))</f>
        <v>HOLD</v>
      </c>
      <c r="D2863" s="14" t="str">
        <f aca="false">IF(C2863="BUY",B2863,IF(G2862="IN",D2862,""))</f>
        <v/>
      </c>
      <c r="E2863" s="14" t="str">
        <f aca="false">IF(C2863="SELL",B2863,"")</f>
        <v/>
      </c>
      <c r="F2863" s="14" t="str">
        <f aca="false">IF(E2863="","",(E2863-D2863)/D2863*100)</f>
        <v/>
      </c>
      <c r="G2863" s="0" t="str">
        <f aca="false">IF(C2863="BUY","IN",IF(C2863="SELL","OUT",IF(G2862="IN","IN","OUT")))</f>
        <v>OUT</v>
      </c>
      <c r="H2863" s="14" t="n">
        <f aca="false">H2862+IF(F2863="",0,F2863)</f>
        <v>74.4562294982664</v>
      </c>
      <c r="I2863" s="14" t="n">
        <f aca="false">MAX(I2862,H2863)</f>
        <v>74.4562294982664</v>
      </c>
      <c r="J2863" s="14" t="n">
        <f aca="false">I2863-H2863</f>
        <v>0</v>
      </c>
    </row>
    <row r="2864" customFormat="false" ht="15" hidden="false" customHeight="false" outlineLevel="0" collapsed="false">
      <c r="A2864" s="12" t="n">
        <f aca="false">Data!A2864</f>
        <v>46163</v>
      </c>
      <c r="B2864" s="14" t="n">
        <f aca="false">Data!B2864</f>
        <v>96.35</v>
      </c>
      <c r="C2864" s="0" t="str">
        <f aca="false">IF(Data!D2864="","HOLD",IF(AND(G2863&lt;&gt;"IN",Data!E2864&lt;-5),"BUY",IF(AND(G2863="IN",Data!E2864&gt;0),"SELL","HOLD")))</f>
        <v>HOLD</v>
      </c>
      <c r="D2864" s="14" t="str">
        <f aca="false">IF(C2864="BUY",B2864,IF(G2863="IN",D2863,""))</f>
        <v/>
      </c>
      <c r="E2864" s="14" t="str">
        <f aca="false">IF(C2864="SELL",B2864,"")</f>
        <v/>
      </c>
      <c r="F2864" s="14" t="str">
        <f aca="false">IF(E2864="","",(E2864-D2864)/D2864*100)</f>
        <v/>
      </c>
      <c r="G2864" s="0" t="str">
        <f aca="false">IF(C2864="BUY","IN",IF(C2864="SELL","OUT",IF(G2863="IN","IN","OUT")))</f>
        <v>OUT</v>
      </c>
      <c r="H2864" s="14" t="n">
        <f aca="false">H2863+IF(F2864="",0,F2864)</f>
        <v>74.4562294982664</v>
      </c>
      <c r="I2864" s="14" t="n">
        <f aca="false">MAX(I2863,H2864)</f>
        <v>74.4562294982664</v>
      </c>
      <c r="J2864" s="14" t="n">
        <f aca="false">I2864-H2864</f>
        <v>0</v>
      </c>
    </row>
    <row r="2865" customFormat="false" ht="15" hidden="false" customHeight="false" outlineLevel="0" collapsed="false">
      <c r="A2865" s="12" t="n">
        <f aca="false">Data!A2865</f>
        <v>46164</v>
      </c>
      <c r="B2865" s="14" t="n">
        <f aca="false">Data!B2865</f>
        <v>96.6</v>
      </c>
      <c r="C2865" s="0" t="str">
        <f aca="false">IF(Data!D2865="","HOLD",IF(AND(G2864&lt;&gt;"IN",Data!E2865&lt;-5),"BUY",IF(AND(G2864="IN",Data!E2865&gt;0),"SELL","HOLD")))</f>
        <v>HOLD</v>
      </c>
      <c r="D2865" s="14" t="str">
        <f aca="false">IF(C2865="BUY",B2865,IF(G2864="IN",D2864,""))</f>
        <v/>
      </c>
      <c r="E2865" s="14" t="str">
        <f aca="false">IF(C2865="SELL",B2865,"")</f>
        <v/>
      </c>
      <c r="F2865" s="14" t="str">
        <f aca="false">IF(E2865="","",(E2865-D2865)/D2865*100)</f>
        <v/>
      </c>
      <c r="G2865" s="0" t="str">
        <f aca="false">IF(C2865="BUY","IN",IF(C2865="SELL","OUT",IF(G2864="IN","IN","OUT")))</f>
        <v>OUT</v>
      </c>
      <c r="H2865" s="14" t="n">
        <f aca="false">H2864+IF(F2865="",0,F2865)</f>
        <v>74.4562294982664</v>
      </c>
      <c r="I2865" s="14" t="n">
        <f aca="false">MAX(I2864,H2865)</f>
        <v>74.4562294982664</v>
      </c>
      <c r="J2865" s="14" t="n">
        <f aca="false">I2865-H2865</f>
        <v>0</v>
      </c>
    </row>
    <row r="2866" customFormat="false" ht="15" hidden="false" customHeight="false" outlineLevel="0" collapsed="false">
      <c r="A2866" s="12" t="n">
        <f aca="false">Data!A2866</f>
        <v>46168</v>
      </c>
      <c r="B2866" s="14" t="n">
        <f aca="false">Data!B2866</f>
        <v>93.89</v>
      </c>
      <c r="C2866" s="0" t="str">
        <f aca="false">IF(Data!D2866="","HOLD",IF(AND(G2865&lt;&gt;"IN",Data!E2866&lt;-5),"BUY",IF(AND(G2865="IN",Data!E2866&gt;0),"SELL","HOLD")))</f>
        <v>BUY</v>
      </c>
      <c r="D2866" s="14" t="n">
        <f aca="false">IF(C2866="BUY",B2866,IF(G2865="IN",D2865,""))</f>
        <v>93.89</v>
      </c>
      <c r="E2866" s="14" t="str">
        <f aca="false">IF(C2866="SELL",B2866,"")</f>
        <v/>
      </c>
      <c r="F2866" s="14" t="str">
        <f aca="false">IF(E2866="","",(E2866-D2866)/D2866*100)</f>
        <v/>
      </c>
      <c r="G2866" s="0" t="str">
        <f aca="false">IF(C2866="BUY","IN",IF(C2866="SELL","OUT",IF(G2865="IN","IN","OUT")))</f>
        <v>IN</v>
      </c>
      <c r="H2866" s="14" t="n">
        <f aca="false">H2865+IF(F2866="",0,F2866)</f>
        <v>74.4562294982664</v>
      </c>
      <c r="I2866" s="14" t="n">
        <f aca="false">MAX(I2865,H2866)</f>
        <v>74.4562294982664</v>
      </c>
      <c r="J2866" s="14" t="n">
        <f aca="false">I2866-H2866</f>
        <v>0</v>
      </c>
    </row>
    <row r="2867" customFormat="false" ht="15" hidden="false" customHeight="false" outlineLevel="0" collapsed="false">
      <c r="A2867" s="12" t="n">
        <f aca="false">Data!A2867</f>
        <v>46169</v>
      </c>
      <c r="B2867" s="14" t="n">
        <f aca="false">Data!B2867</f>
        <v>88.68</v>
      </c>
      <c r="C2867" s="0" t="str">
        <f aca="false">IF(Data!D2867="","HOLD",IF(AND(G2866&lt;&gt;"IN",Data!E2867&lt;-5),"BUY",IF(AND(G2866="IN",Data!E2867&gt;0),"SELL","HOLD")))</f>
        <v>HOLD</v>
      </c>
      <c r="D2867" s="14" t="n">
        <f aca="false">IF(C2867="BUY",B2867,IF(G2866="IN",D2866,""))</f>
        <v>93.89</v>
      </c>
      <c r="E2867" s="14" t="str">
        <f aca="false">IF(C2867="SELL",B2867,"")</f>
        <v/>
      </c>
      <c r="F2867" s="14" t="str">
        <f aca="false">IF(E2867="","",(E2867-D2867)/D2867*100)</f>
        <v/>
      </c>
      <c r="G2867" s="0" t="str">
        <f aca="false">IF(C2867="BUY","IN",IF(C2867="SELL","OUT",IF(G2866="IN","IN","OUT")))</f>
        <v>IN</v>
      </c>
      <c r="H2867" s="14" t="n">
        <f aca="false">H2866+IF(F2867="",0,F2867)</f>
        <v>74.4562294982664</v>
      </c>
      <c r="I2867" s="14" t="n">
        <f aca="false">MAX(I2866,H2867)</f>
        <v>74.4562294982664</v>
      </c>
      <c r="J2867" s="14" t="n">
        <f aca="false">I2867-H2867</f>
        <v>0</v>
      </c>
    </row>
    <row r="2868" customFormat="false" ht="15" hidden="false" customHeight="false" outlineLevel="0" collapsed="false">
      <c r="A2868" s="12" t="n">
        <f aca="false">Data!A2868</f>
        <v>46170</v>
      </c>
      <c r="B2868" s="14" t="n">
        <f aca="false">Data!B2868</f>
        <v>88.9</v>
      </c>
      <c r="C2868" s="0" t="str">
        <f aca="false">IF(Data!D2868="","HOLD",IF(AND(G2867&lt;&gt;"IN",Data!E2868&lt;-5),"BUY",IF(AND(G2867="IN",Data!E2868&gt;0),"SELL","HOLD")))</f>
        <v>HOLD</v>
      </c>
      <c r="D2868" s="14" t="n">
        <f aca="false">IF(C2868="BUY",B2868,IF(G2867="IN",D2867,""))</f>
        <v>93.89</v>
      </c>
      <c r="E2868" s="14" t="str">
        <f aca="false">IF(C2868="SELL",B2868,"")</f>
        <v/>
      </c>
      <c r="F2868" s="14" t="str">
        <f aca="false">IF(E2868="","",(E2868-D2868)/D2868*100)</f>
        <v/>
      </c>
      <c r="G2868" s="0" t="str">
        <f aca="false">IF(C2868="BUY","IN",IF(C2868="SELL","OUT",IF(G2867="IN","IN","OUT")))</f>
        <v>IN</v>
      </c>
      <c r="H2868" s="14" t="n">
        <f aca="false">H2867+IF(F2868="",0,F2868)</f>
        <v>74.4562294982664</v>
      </c>
      <c r="I2868" s="14" t="n">
        <f aca="false">MAX(I2867,H2868)</f>
        <v>74.4562294982664</v>
      </c>
      <c r="J2868" s="14" t="n">
        <f aca="false">I2868-H2868</f>
        <v>0</v>
      </c>
    </row>
    <row r="2869" customFormat="false" ht="15" hidden="false" customHeight="false" outlineLevel="0" collapsed="false">
      <c r="A2869" s="12" t="n">
        <f aca="false">Data!A2869</f>
        <v>46171</v>
      </c>
      <c r="B2869" s="14" t="n">
        <f aca="false">Data!B2869</f>
        <v>87.36</v>
      </c>
      <c r="C2869" s="0" t="str">
        <f aca="false">IF(Data!D2869="","HOLD",IF(AND(G2868&lt;&gt;"IN",Data!E2869&lt;-5),"BUY",IF(AND(G2868="IN",Data!E2869&gt;0),"SELL","HOLD")))</f>
        <v>HOLD</v>
      </c>
      <c r="D2869" s="14" t="n">
        <f aca="false">IF(C2869="BUY",B2869,IF(G2868="IN",D2868,""))</f>
        <v>93.89</v>
      </c>
      <c r="E2869" s="14" t="str">
        <f aca="false">IF(C2869="SELL",B2869,"")</f>
        <v/>
      </c>
      <c r="F2869" s="14" t="str">
        <f aca="false">IF(E2869="","",(E2869-D2869)/D2869*100)</f>
        <v/>
      </c>
      <c r="G2869" s="0" t="str">
        <f aca="false">IF(C2869="BUY","IN",IF(C2869="SELL","OUT",IF(G2868="IN","IN","OUT")))</f>
        <v>IN</v>
      </c>
      <c r="H2869" s="14" t="n">
        <f aca="false">H2868+IF(F2869="",0,F2869)</f>
        <v>74.4562294982664</v>
      </c>
      <c r="I2869" s="14" t="n">
        <f aca="false">MAX(I2868,H2869)</f>
        <v>74.4562294982664</v>
      </c>
      <c r="J2869" s="14" t="n">
        <f aca="false">I2869-H2869</f>
        <v>0</v>
      </c>
    </row>
    <row r="2870" customFormat="false" ht="15" hidden="false" customHeight="false" outlineLevel="0" collapsed="false">
      <c r="A2870" s="12" t="n">
        <f aca="false">Data!A2870</f>
        <v>46174</v>
      </c>
      <c r="B2870" s="14" t="n">
        <f aca="false">Data!B2870</f>
        <v>92.16</v>
      </c>
      <c r="C2870" s="0" t="str">
        <f aca="false">IF(Data!D2870="","HOLD",IF(AND(G2869&lt;&gt;"IN",Data!E2870&lt;-5),"BUY",IF(AND(G2869="IN",Data!E2870&gt;0),"SELL","HOLD")))</f>
        <v>HOLD</v>
      </c>
      <c r="D2870" s="14" t="n">
        <f aca="false">IF(C2870="BUY",B2870,IF(G2869="IN",D2869,""))</f>
        <v>93.89</v>
      </c>
      <c r="E2870" s="14" t="str">
        <f aca="false">IF(C2870="SELL",B2870,"")</f>
        <v/>
      </c>
      <c r="F2870" s="14" t="str">
        <f aca="false">IF(E2870="","",(E2870-D2870)/D2870*100)</f>
        <v/>
      </c>
      <c r="G2870" s="0" t="str">
        <f aca="false">IF(C2870="BUY","IN",IF(C2870="SELL","OUT",IF(G2869="IN","IN","OUT")))</f>
        <v>IN</v>
      </c>
      <c r="H2870" s="14" t="n">
        <f aca="false">H2869+IF(F2870="",0,F2870)</f>
        <v>74.4562294982664</v>
      </c>
      <c r="I2870" s="14" t="n">
        <f aca="false">MAX(I2869,H2870)</f>
        <v>74.4562294982664</v>
      </c>
      <c r="J2870" s="14" t="n">
        <f aca="false">I2870-H2870</f>
        <v>0</v>
      </c>
    </row>
    <row r="2871" customFormat="false" ht="15" hidden="false" customHeight="false" outlineLevel="0" collapsed="false">
      <c r="A2871" s="12" t="n">
        <f aca="false">Data!A2871</f>
        <v>46175</v>
      </c>
      <c r="B2871" s="14" t="n">
        <f aca="false">Data!B2871</f>
        <v>93.76</v>
      </c>
      <c r="C2871" s="0" t="str">
        <f aca="false">IF(Data!D2871="","HOLD",IF(AND(G2870&lt;&gt;"IN",Data!E2871&lt;-5),"BUY",IF(AND(G2870="IN",Data!E2871&gt;0),"SELL","HOLD")))</f>
        <v>HOLD</v>
      </c>
      <c r="D2871" s="14" t="n">
        <f aca="false">IF(C2871="BUY",B2871,IF(G2870="IN",D2870,""))</f>
        <v>93.89</v>
      </c>
      <c r="E2871" s="14" t="str">
        <f aca="false">IF(C2871="SELL",B2871,"")</f>
        <v/>
      </c>
      <c r="F2871" s="14" t="str">
        <f aca="false">IF(E2871="","",(E2871-D2871)/D2871*100)</f>
        <v/>
      </c>
      <c r="G2871" s="0" t="str">
        <f aca="false">IF(C2871="BUY","IN",IF(C2871="SELL","OUT",IF(G2870="IN","IN","OUT")))</f>
        <v>IN</v>
      </c>
      <c r="H2871" s="14" t="n">
        <f aca="false">H2870+IF(F2871="",0,F2871)</f>
        <v>74.4562294982664</v>
      </c>
      <c r="I2871" s="14" t="n">
        <f aca="false">MAX(I2870,H2871)</f>
        <v>74.4562294982664</v>
      </c>
      <c r="J2871" s="14" t="n">
        <f aca="false">I2871-H2871</f>
        <v>0</v>
      </c>
    </row>
    <row r="2872" customFormat="false" ht="15" hidden="false" customHeight="false" outlineLevel="0" collapsed="false">
      <c r="A2872" s="12" t="n">
        <f aca="false">Data!A2872</f>
        <v>46176</v>
      </c>
      <c r="B2872" s="14" t="n">
        <f aca="false">Data!B2872</f>
        <v>96.02</v>
      </c>
      <c r="C2872" s="0" t="str">
        <f aca="false">IF(Data!D2872="","HOLD",IF(AND(G2871&lt;&gt;"IN",Data!E2872&lt;-5),"BUY",IF(AND(G2871="IN",Data!E2872&gt;0),"SELL","HOLD")))</f>
        <v>HOLD</v>
      </c>
      <c r="D2872" s="14" t="n">
        <f aca="false">IF(C2872="BUY",B2872,IF(G2871="IN",D2871,""))</f>
        <v>93.89</v>
      </c>
      <c r="E2872" s="14" t="str">
        <f aca="false">IF(C2872="SELL",B2872,"")</f>
        <v/>
      </c>
      <c r="F2872" s="14" t="str">
        <f aca="false">IF(E2872="","",(E2872-D2872)/D2872*100)</f>
        <v/>
      </c>
      <c r="G2872" s="0" t="str">
        <f aca="false">IF(C2872="BUY","IN",IF(C2872="SELL","OUT",IF(G2871="IN","IN","OUT")))</f>
        <v>IN</v>
      </c>
      <c r="H2872" s="14" t="n">
        <f aca="false">H2871+IF(F2872="",0,F2872)</f>
        <v>74.4562294982664</v>
      </c>
      <c r="I2872" s="14" t="n">
        <f aca="false">MAX(I2871,H2872)</f>
        <v>74.4562294982664</v>
      </c>
      <c r="J2872" s="14" t="n">
        <f aca="false">I2872-H2872</f>
        <v>0</v>
      </c>
    </row>
    <row r="2873" customFormat="false" ht="15" hidden="false" customHeight="false" outlineLevel="0" collapsed="false">
      <c r="A2873" s="12" t="n">
        <f aca="false">Data!A2873</f>
        <v>46177</v>
      </c>
      <c r="B2873" s="14" t="n">
        <f aca="false">Data!B2873</f>
        <v>93.04</v>
      </c>
      <c r="C2873" s="0" t="str">
        <f aca="false">IF(Data!D2873="","HOLD",IF(AND(G2872&lt;&gt;"IN",Data!E2873&lt;-5),"BUY",IF(AND(G2872="IN",Data!E2873&gt;0),"SELL","HOLD")))</f>
        <v>HOLD</v>
      </c>
      <c r="D2873" s="14" t="n">
        <f aca="false">IF(C2873="BUY",B2873,IF(G2872="IN",D2872,""))</f>
        <v>93.89</v>
      </c>
      <c r="E2873" s="14" t="str">
        <f aca="false">IF(C2873="SELL",B2873,"")</f>
        <v/>
      </c>
      <c r="F2873" s="14" t="str">
        <f aca="false">IF(E2873="","",(E2873-D2873)/D2873*100)</f>
        <v/>
      </c>
      <c r="G2873" s="0" t="str">
        <f aca="false">IF(C2873="BUY","IN",IF(C2873="SELL","OUT",IF(G2872="IN","IN","OUT")))</f>
        <v>IN</v>
      </c>
      <c r="H2873" s="14" t="n">
        <f aca="false">H2872+IF(F2873="",0,F2873)</f>
        <v>74.4562294982664</v>
      </c>
      <c r="I2873" s="14" t="n">
        <f aca="false">MAX(I2872,H2873)</f>
        <v>74.4562294982664</v>
      </c>
      <c r="J2873" s="14" t="n">
        <f aca="false">I2873-H2873</f>
        <v>0</v>
      </c>
    </row>
    <row r="2874" customFormat="false" ht="15" hidden="false" customHeight="false" outlineLevel="0" collapsed="false">
      <c r="A2874" s="12" t="n">
        <f aca="false">Data!A2874</f>
        <v>46178</v>
      </c>
      <c r="B2874" s="14" t="n">
        <f aca="false">Data!B2874</f>
        <v>90.54</v>
      </c>
      <c r="C2874" s="0" t="str">
        <f aca="false">IF(Data!D2874="","HOLD",IF(AND(G2873&lt;&gt;"IN",Data!E2874&lt;-5),"BUY",IF(AND(G2873="IN",Data!E2874&gt;0),"SELL","HOLD")))</f>
        <v>HOLD</v>
      </c>
      <c r="D2874" s="14" t="n">
        <f aca="false">IF(C2874="BUY",B2874,IF(G2873="IN",D2873,""))</f>
        <v>93.89</v>
      </c>
      <c r="E2874" s="14" t="str">
        <f aca="false">IF(C2874="SELL",B2874,"")</f>
        <v/>
      </c>
      <c r="F2874" s="14" t="str">
        <f aca="false">IF(E2874="","",(E2874-D2874)/D2874*100)</f>
        <v/>
      </c>
      <c r="G2874" s="0" t="str">
        <f aca="false">IF(C2874="BUY","IN",IF(C2874="SELL","OUT",IF(G2873="IN","IN","OUT")))</f>
        <v>IN</v>
      </c>
      <c r="H2874" s="14" t="n">
        <f aca="false">H2873+IF(F2874="",0,F2874)</f>
        <v>74.4562294982664</v>
      </c>
      <c r="I2874" s="14" t="n">
        <f aca="false">MAX(I2873,H2874)</f>
        <v>74.4562294982664</v>
      </c>
      <c r="J2874" s="14" t="n">
        <f aca="false">I2874-H2874</f>
        <v>0</v>
      </c>
    </row>
    <row r="2875" customFormat="false" ht="15" hidden="false" customHeight="false" outlineLevel="0" collapsed="false">
      <c r="A2875" s="12" t="n">
        <f aca="false">Data!A2875</f>
        <v>46181</v>
      </c>
      <c r="B2875" s="14" t="n">
        <f aca="false">Data!B2875</f>
        <v>91.3</v>
      </c>
      <c r="C2875" s="0" t="str">
        <f aca="false">IF(Data!D2875="","HOLD",IF(AND(G2874&lt;&gt;"IN",Data!E2875&lt;-5),"BUY",IF(AND(G2874="IN",Data!E2875&gt;0),"SELL","HOLD")))</f>
        <v>HOLD</v>
      </c>
      <c r="D2875" s="14" t="n">
        <f aca="false">IF(C2875="BUY",B2875,IF(G2874="IN",D2874,""))</f>
        <v>93.89</v>
      </c>
      <c r="E2875" s="14" t="str">
        <f aca="false">IF(C2875="SELL",B2875,"")</f>
        <v/>
      </c>
      <c r="F2875" s="14" t="str">
        <f aca="false">IF(E2875="","",(E2875-D2875)/D2875*100)</f>
        <v/>
      </c>
      <c r="G2875" s="0" t="str">
        <f aca="false">IF(C2875="BUY","IN",IF(C2875="SELL","OUT",IF(G2874="IN","IN","OUT")))</f>
        <v>IN</v>
      </c>
      <c r="H2875" s="14" t="n">
        <f aca="false">H2874+IF(F2875="",0,F2875)</f>
        <v>74.4562294982664</v>
      </c>
      <c r="I2875" s="14" t="n">
        <f aca="false">MAX(I2874,H2875)</f>
        <v>74.4562294982664</v>
      </c>
      <c r="J2875" s="14" t="n">
        <f aca="false">I2875-H2875</f>
        <v>0</v>
      </c>
    </row>
    <row r="2876" customFormat="false" ht="15" hidden="false" customHeight="false" outlineLevel="0" collapsed="false">
      <c r="A2876" s="12" t="n">
        <f aca="false">Data!A2876</f>
        <v>46182</v>
      </c>
      <c r="B2876" s="14" t="n">
        <f aca="false">Data!B2876</f>
        <v>88.2</v>
      </c>
      <c r="C2876" s="0" t="str">
        <f aca="false">IF(Data!D2876="","HOLD",IF(AND(G2875&lt;&gt;"IN",Data!E2876&lt;-5),"BUY",IF(AND(G2875="IN",Data!E2876&gt;0),"SELL","HOLD")))</f>
        <v>HOLD</v>
      </c>
      <c r="D2876" s="14" t="n">
        <f aca="false">IF(C2876="BUY",B2876,IF(G2875="IN",D2875,""))</f>
        <v>93.89</v>
      </c>
      <c r="E2876" s="14" t="str">
        <f aca="false">IF(C2876="SELL",B2876,"")</f>
        <v/>
      </c>
      <c r="F2876" s="14" t="str">
        <f aca="false">IF(E2876="","",(E2876-D2876)/D2876*100)</f>
        <v/>
      </c>
      <c r="G2876" s="0" t="str">
        <f aca="false">IF(C2876="BUY","IN",IF(C2876="SELL","OUT",IF(G2875="IN","IN","OUT")))</f>
        <v>IN</v>
      </c>
      <c r="H2876" s="14" t="n">
        <f aca="false">H2875+IF(F2876="",0,F2876)</f>
        <v>74.4562294982664</v>
      </c>
      <c r="I2876" s="14" t="n">
        <f aca="false">MAX(I2875,H2876)</f>
        <v>74.4562294982664</v>
      </c>
      <c r="J2876" s="14" t="n">
        <f aca="false">I2876-H2876</f>
        <v>0</v>
      </c>
    </row>
    <row r="2877" customFormat="false" ht="15" hidden="false" customHeight="false" outlineLevel="0" collapsed="false">
      <c r="A2877" s="12" t="n">
        <f aca="false">Data!A2877</f>
        <v>46183</v>
      </c>
      <c r="B2877" s="14" t="n">
        <f aca="false">Data!B2877</f>
        <v>90.03</v>
      </c>
      <c r="C2877" s="0" t="str">
        <f aca="false">IF(Data!D2877="","HOLD",IF(AND(G2876&lt;&gt;"IN",Data!E2877&lt;-5),"BUY",IF(AND(G2876="IN",Data!E2877&gt;0),"SELL","HOLD")))</f>
        <v>HOLD</v>
      </c>
      <c r="D2877" s="14" t="n">
        <f aca="false">IF(C2877="BUY",B2877,IF(G2876="IN",D2876,""))</f>
        <v>93.89</v>
      </c>
      <c r="E2877" s="14" t="str">
        <f aca="false">IF(C2877="SELL",B2877,"")</f>
        <v/>
      </c>
      <c r="F2877" s="14" t="str">
        <f aca="false">IF(E2877="","",(E2877-D2877)/D2877*100)</f>
        <v/>
      </c>
      <c r="G2877" s="0" t="str">
        <f aca="false">IF(C2877="BUY","IN",IF(C2877="SELL","OUT",IF(G2876="IN","IN","OUT")))</f>
        <v>IN</v>
      </c>
      <c r="H2877" s="14" t="n">
        <f aca="false">H2876+IF(F2877="",0,F2877)</f>
        <v>74.4562294982664</v>
      </c>
      <c r="I2877" s="14" t="n">
        <f aca="false">MAX(I2876,H2877)</f>
        <v>74.4562294982664</v>
      </c>
      <c r="J2877" s="14" t="n">
        <f aca="false">I2877-H2877</f>
        <v>0</v>
      </c>
    </row>
    <row r="2878" customFormat="false" ht="15" hidden="false" customHeight="false" outlineLevel="0" collapsed="false">
      <c r="A2878" s="12" t="n">
        <f aca="false">Data!A2878</f>
        <v>46184</v>
      </c>
      <c r="B2878" s="14" t="n">
        <f aca="false">Data!B2878</f>
        <v>87.71</v>
      </c>
      <c r="C2878" s="0" t="str">
        <f aca="false">IF(Data!D2878="","HOLD",IF(AND(G2877&lt;&gt;"IN",Data!E2878&lt;-5),"BUY",IF(AND(G2877="IN",Data!E2878&gt;0),"SELL","HOLD")))</f>
        <v>HOLD</v>
      </c>
      <c r="D2878" s="14" t="n">
        <f aca="false">IF(C2878="BUY",B2878,IF(G2877="IN",D2877,""))</f>
        <v>93.89</v>
      </c>
      <c r="E2878" s="14" t="str">
        <f aca="false">IF(C2878="SELL",B2878,"")</f>
        <v/>
      </c>
      <c r="F2878" s="14" t="str">
        <f aca="false">IF(E2878="","",(E2878-D2878)/D2878*100)</f>
        <v/>
      </c>
      <c r="G2878" s="0" t="str">
        <f aca="false">IF(C2878="BUY","IN",IF(C2878="SELL","OUT",IF(G2877="IN","IN","OUT")))</f>
        <v>IN</v>
      </c>
      <c r="H2878" s="14" t="n">
        <f aca="false">H2877+IF(F2878="",0,F2878)</f>
        <v>74.4562294982664</v>
      </c>
      <c r="I2878" s="14" t="n">
        <f aca="false">MAX(I2877,H2878)</f>
        <v>74.4562294982664</v>
      </c>
      <c r="J2878" s="14" t="n">
        <f aca="false">I2878-H2878</f>
        <v>0</v>
      </c>
    </row>
    <row r="2879" customFormat="false" ht="15" hidden="false" customHeight="false" outlineLevel="0" collapsed="false">
      <c r="A2879" s="12" t="n">
        <f aca="false">Data!A2879</f>
        <v>46185</v>
      </c>
      <c r="B2879" s="14" t="n">
        <f aca="false">Data!B2879</f>
        <v>84.88</v>
      </c>
      <c r="C2879" s="0" t="str">
        <f aca="false">IF(Data!D2879="","HOLD",IF(AND(G2878&lt;&gt;"IN",Data!E2879&lt;-5),"BUY",IF(AND(G2878="IN",Data!E2879&gt;0),"SELL","HOLD")))</f>
        <v>HOLD</v>
      </c>
      <c r="D2879" s="14" t="n">
        <f aca="false">IF(C2879="BUY",B2879,IF(G2878="IN",D2878,""))</f>
        <v>93.89</v>
      </c>
      <c r="E2879" s="14" t="str">
        <f aca="false">IF(C2879="SELL",B2879,"")</f>
        <v/>
      </c>
      <c r="F2879" s="14" t="str">
        <f aca="false">IF(E2879="","",(E2879-D2879)/D2879*100)</f>
        <v/>
      </c>
      <c r="G2879" s="0" t="str">
        <f aca="false">IF(C2879="BUY","IN",IF(C2879="SELL","OUT",IF(G2878="IN","IN","OUT")))</f>
        <v>IN</v>
      </c>
      <c r="H2879" s="14" t="n">
        <f aca="false">H2878+IF(F2879="",0,F2879)</f>
        <v>74.4562294982664</v>
      </c>
      <c r="I2879" s="14" t="n">
        <f aca="false">MAX(I2878,H2879)</f>
        <v>74.4562294982664</v>
      </c>
      <c r="J2879" s="14" t="n">
        <f aca="false">I2879-H2879</f>
        <v>0</v>
      </c>
    </row>
    <row r="2880" customFormat="false" ht="15" hidden="false" customHeight="false" outlineLevel="0" collapsed="false">
      <c r="A2880" s="12" t="n">
        <f aca="false">Data!A2880</f>
        <v>46188</v>
      </c>
      <c r="B2880" s="14" t="n">
        <f aca="false">Data!B2880</f>
        <v>80.75</v>
      </c>
      <c r="C2880" s="0" t="str">
        <f aca="false">IF(Data!D2880="","HOLD",IF(AND(G2879&lt;&gt;"IN",Data!E2880&lt;-5),"BUY",IF(AND(G2879="IN",Data!E2880&gt;0),"SELL","HOLD")))</f>
        <v>HOLD</v>
      </c>
      <c r="D2880" s="14" t="n">
        <f aca="false">IF(C2880="BUY",B2880,IF(G2879="IN",D2879,""))</f>
        <v>93.89</v>
      </c>
      <c r="E2880" s="14" t="str">
        <f aca="false">IF(C2880="SELL",B2880,"")</f>
        <v/>
      </c>
      <c r="F2880" s="14" t="str">
        <f aca="false">IF(E2880="","",(E2880-D2880)/D2880*100)</f>
        <v/>
      </c>
      <c r="G2880" s="0" t="str">
        <f aca="false">IF(C2880="BUY","IN",IF(C2880="SELL","OUT",IF(G2879="IN","IN","OUT")))</f>
        <v>IN</v>
      </c>
      <c r="H2880" s="14" t="n">
        <f aca="false">H2879+IF(F2880="",0,F2880)</f>
        <v>74.4562294982664</v>
      </c>
      <c r="I2880" s="14" t="n">
        <f aca="false">MAX(I2879,H2880)</f>
        <v>74.4562294982664</v>
      </c>
      <c r="J2880" s="14" t="n">
        <f aca="false">I2880-H2880</f>
        <v>0</v>
      </c>
    </row>
    <row r="2881" customFormat="false" ht="15" hidden="false" customHeight="false" outlineLevel="0" collapsed="false">
      <c r="A2881" s="12" t="n">
        <f aca="false">Data!A2881</f>
        <v>46189</v>
      </c>
      <c r="B2881" s="14" t="n">
        <f aca="false">Data!B2881</f>
        <v>76.05</v>
      </c>
      <c r="C2881" s="0" t="str">
        <f aca="false">IF(Data!D2881="","HOLD",IF(AND(G2880&lt;&gt;"IN",Data!E2881&lt;-5),"BUY",IF(AND(G2880="IN",Data!E2881&gt;0),"SELL","HOLD")))</f>
        <v>HOLD</v>
      </c>
      <c r="D2881" s="14" t="n">
        <f aca="false">IF(C2881="BUY",B2881,IF(G2880="IN",D2880,""))</f>
        <v>93.89</v>
      </c>
      <c r="E2881" s="14" t="str">
        <f aca="false">IF(C2881="SELL",B2881,"")</f>
        <v/>
      </c>
      <c r="F2881" s="14" t="str">
        <f aca="false">IF(E2881="","",(E2881-D2881)/D2881*100)</f>
        <v/>
      </c>
      <c r="G2881" s="0" t="str">
        <f aca="false">IF(C2881="BUY","IN",IF(C2881="SELL","OUT",IF(G2880="IN","IN","OUT")))</f>
        <v>IN</v>
      </c>
      <c r="H2881" s="14" t="n">
        <f aca="false">H2880+IF(F2881="",0,F2881)</f>
        <v>74.4562294982664</v>
      </c>
      <c r="I2881" s="14" t="n">
        <f aca="false">MAX(I2880,H2881)</f>
        <v>74.4562294982664</v>
      </c>
      <c r="J2881" s="14" t="n">
        <f aca="false">I2881-H2881</f>
        <v>0</v>
      </c>
    </row>
    <row r="2882" customFormat="false" ht="15" hidden="false" customHeight="false" outlineLevel="0" collapsed="false">
      <c r="A2882" s="12" t="n">
        <f aca="false">Data!A2882</f>
        <v>46190</v>
      </c>
      <c r="B2882" s="14" t="n">
        <f aca="false">Data!B2882</f>
        <v>76.79</v>
      </c>
      <c r="C2882" s="0" t="str">
        <f aca="false">IF(Data!D2882="","HOLD",IF(AND(G2881&lt;&gt;"IN",Data!E2882&lt;-5),"BUY",IF(AND(G2881="IN",Data!E2882&gt;0),"SELL","HOLD")))</f>
        <v>HOLD</v>
      </c>
      <c r="D2882" s="14" t="n">
        <f aca="false">IF(C2882="BUY",B2882,IF(G2881="IN",D2881,""))</f>
        <v>93.89</v>
      </c>
      <c r="E2882" s="14" t="str">
        <f aca="false">IF(C2882="SELL",B2882,"")</f>
        <v/>
      </c>
      <c r="F2882" s="14" t="str">
        <f aca="false">IF(E2882="","",(E2882-D2882)/D2882*100)</f>
        <v/>
      </c>
      <c r="G2882" s="0" t="str">
        <f aca="false">IF(C2882="BUY","IN",IF(C2882="SELL","OUT",IF(G2881="IN","IN","OUT")))</f>
        <v>IN</v>
      </c>
      <c r="H2882" s="14" t="n">
        <f aca="false">H2881+IF(F2882="",0,F2882)</f>
        <v>74.4562294982664</v>
      </c>
      <c r="I2882" s="14" t="n">
        <f aca="false">MAX(I2881,H2882)</f>
        <v>74.4562294982664</v>
      </c>
      <c r="J2882" s="14" t="n">
        <f aca="false">I2882-H2882</f>
        <v>0</v>
      </c>
    </row>
    <row r="2883" customFormat="false" ht="15" hidden="false" customHeight="false" outlineLevel="0" collapsed="false">
      <c r="A2883" s="12" t="n">
        <f aca="false">Data!A2883</f>
        <v>46191</v>
      </c>
      <c r="B2883" s="14" t="n">
        <f aca="false">Data!B2883</f>
        <v>76.6</v>
      </c>
      <c r="C2883" s="0" t="str">
        <f aca="false">IF(Data!D2883="","HOLD",IF(AND(G2882&lt;&gt;"IN",Data!E2883&lt;-5),"BUY",IF(AND(G2882="IN",Data!E2883&gt;0),"SELL","HOLD")))</f>
        <v>HOLD</v>
      </c>
      <c r="D2883" s="14" t="n">
        <f aca="false">IF(C2883="BUY",B2883,IF(G2882="IN",D2882,""))</f>
        <v>93.89</v>
      </c>
      <c r="E2883" s="14" t="str">
        <f aca="false">IF(C2883="SELL",B2883,"")</f>
        <v/>
      </c>
      <c r="F2883" s="14" t="str">
        <f aca="false">IF(E2883="","",(E2883-D2883)/D2883*100)</f>
        <v/>
      </c>
      <c r="G2883" s="0" t="str">
        <f aca="false">IF(C2883="BUY","IN",IF(C2883="SELL","OUT",IF(G2882="IN","IN","OUT")))</f>
        <v>IN</v>
      </c>
      <c r="H2883" s="14" t="n">
        <f aca="false">H2882+IF(F2883="",0,F2883)</f>
        <v>74.4562294982664</v>
      </c>
      <c r="I2883" s="14" t="n">
        <f aca="false">MAX(I2882,H2883)</f>
        <v>74.4562294982664</v>
      </c>
      <c r="J2883" s="14" t="n">
        <f aca="false">I2883-H2883</f>
        <v>0</v>
      </c>
    </row>
    <row r="2884" customFormat="false" ht="15" hidden="false" customHeight="false" outlineLevel="0" collapsed="false">
      <c r="A2884" s="12" t="n">
        <f aca="false">Data!A2884</f>
        <v>46195</v>
      </c>
      <c r="B2884" s="14" t="n">
        <f aca="false">Data!B2884</f>
        <v>74.82</v>
      </c>
      <c r="C2884" s="0" t="str">
        <f aca="false">IF(Data!D2884="","HOLD",IF(AND(G2883&lt;&gt;"IN",Data!E2884&lt;-5),"BUY",IF(AND(G2883="IN",Data!E2884&gt;0),"SELL","HOLD")))</f>
        <v>HOLD</v>
      </c>
      <c r="D2884" s="14" t="n">
        <f aca="false">IF(C2884="BUY",B2884,IF(G2883="IN",D2883,""))</f>
        <v>93.89</v>
      </c>
      <c r="E2884" s="14" t="str">
        <f aca="false">IF(C2884="SELL",B2884,"")</f>
        <v/>
      </c>
      <c r="F2884" s="14" t="str">
        <f aca="false">IF(E2884="","",(E2884-D2884)/D2884*100)</f>
        <v/>
      </c>
      <c r="G2884" s="0" t="str">
        <f aca="false">IF(C2884="BUY","IN",IF(C2884="SELL","OUT",IF(G2883="IN","IN","OUT")))</f>
        <v>IN</v>
      </c>
      <c r="H2884" s="14" t="n">
        <f aca="false">H2883+IF(F2884="",0,F2884)</f>
        <v>74.4562294982664</v>
      </c>
      <c r="I2884" s="14" t="n">
        <f aca="false">MAX(I2883,H2884)</f>
        <v>74.4562294982664</v>
      </c>
      <c r="J2884" s="14" t="n">
        <f aca="false">I2884-H2884</f>
        <v>0</v>
      </c>
    </row>
    <row r="2885" customFormat="false" ht="15" hidden="false" customHeight="false" outlineLevel="0" collapsed="false">
      <c r="A2885" s="12" t="n">
        <f aca="false">Data!A2885</f>
        <v>46196</v>
      </c>
      <c r="B2885" s="14" t="n">
        <f aca="false">Data!B2885</f>
        <v>73.21</v>
      </c>
      <c r="C2885" s="0" t="str">
        <f aca="false">IF(Data!D2885="","HOLD",IF(AND(G2884&lt;&gt;"IN",Data!E2885&lt;-5),"BUY",IF(AND(G2884="IN",Data!E2885&gt;0),"SELL","HOLD")))</f>
        <v>HOLD</v>
      </c>
      <c r="D2885" s="14" t="n">
        <f aca="false">IF(C2885="BUY",B2885,IF(G2884="IN",D2884,""))</f>
        <v>93.89</v>
      </c>
      <c r="E2885" s="14" t="str">
        <f aca="false">IF(C2885="SELL",B2885,"")</f>
        <v/>
      </c>
      <c r="F2885" s="14" t="str">
        <f aca="false">IF(E2885="","",(E2885-D2885)/D2885*100)</f>
        <v/>
      </c>
      <c r="G2885" s="0" t="str">
        <f aca="false">IF(C2885="BUY","IN",IF(C2885="SELL","OUT",IF(G2884="IN","IN","OUT")))</f>
        <v>IN</v>
      </c>
      <c r="H2885" s="14" t="n">
        <f aca="false">H2884+IF(F2885="",0,F2885)</f>
        <v>74.4562294982664</v>
      </c>
      <c r="I2885" s="14" t="n">
        <f aca="false">MAX(I2884,H2885)</f>
        <v>74.4562294982664</v>
      </c>
      <c r="J2885" s="14" t="n">
        <f aca="false">I2885-H2885</f>
        <v>0</v>
      </c>
    </row>
    <row r="2886" customFormat="false" ht="15" hidden="false" customHeight="false" outlineLevel="0" collapsed="false">
      <c r="A2886" s="12" t="n">
        <f aca="false">Data!A2886</f>
        <v>46197</v>
      </c>
      <c r="B2886" s="14" t="n">
        <f aca="false">Data!B2886</f>
        <v>70.34</v>
      </c>
      <c r="C2886" s="0" t="str">
        <f aca="false">IF(Data!D2886="","HOLD",IF(AND(G2885&lt;&gt;"IN",Data!E2886&lt;-5),"BUY",IF(AND(G2885="IN",Data!E2886&gt;0),"SELL","HOLD")))</f>
        <v>HOLD</v>
      </c>
      <c r="D2886" s="14" t="n">
        <f aca="false">IF(C2886="BUY",B2886,IF(G2885="IN",D2885,""))</f>
        <v>93.89</v>
      </c>
      <c r="E2886" s="14" t="str">
        <f aca="false">IF(C2886="SELL",B2886,"")</f>
        <v/>
      </c>
      <c r="F2886" s="14" t="str">
        <f aca="false">IF(E2886="","",(E2886-D2886)/D2886*100)</f>
        <v/>
      </c>
      <c r="G2886" s="0" t="str">
        <f aca="false">IF(C2886="BUY","IN",IF(C2886="SELL","OUT",IF(G2885="IN","IN","OUT")))</f>
        <v>IN</v>
      </c>
      <c r="H2886" s="14" t="n">
        <f aca="false">H2885+IF(F2886="",0,F2886)</f>
        <v>74.4562294982664</v>
      </c>
      <c r="I2886" s="14" t="n">
        <f aca="false">MAX(I2885,H2886)</f>
        <v>74.4562294982664</v>
      </c>
      <c r="J2886" s="14" t="n">
        <f aca="false">I2886-H2886</f>
        <v>0</v>
      </c>
    </row>
    <row r="2887" customFormat="false" ht="15" hidden="false" customHeight="false" outlineLevel="0" collapsed="false">
      <c r="A2887" s="12" t="n">
        <f aca="false">Data!A2887</f>
        <v>46198</v>
      </c>
      <c r="B2887" s="14" t="n">
        <f aca="false">Data!B2887</f>
        <v>71.92</v>
      </c>
      <c r="C2887" s="0" t="str">
        <f aca="false">IF(Data!D2887="","HOLD",IF(AND(G2886&lt;&gt;"IN",Data!E2887&lt;-5),"BUY",IF(AND(G2886="IN",Data!E2887&gt;0),"SELL","HOLD")))</f>
        <v>HOLD</v>
      </c>
      <c r="D2887" s="14" t="n">
        <f aca="false">IF(C2887="BUY",B2887,IF(G2886="IN",D2886,""))</f>
        <v>93.89</v>
      </c>
      <c r="E2887" s="14" t="str">
        <f aca="false">IF(C2887="SELL",B2887,"")</f>
        <v/>
      </c>
      <c r="F2887" s="14" t="str">
        <f aca="false">IF(E2887="","",(E2887-D2887)/D2887*100)</f>
        <v/>
      </c>
      <c r="G2887" s="0" t="str">
        <f aca="false">IF(C2887="BUY","IN",IF(C2887="SELL","OUT",IF(G2886="IN","IN","OUT")))</f>
        <v>IN</v>
      </c>
      <c r="H2887" s="14" t="n">
        <f aca="false">H2886+IF(F2887="",0,F2887)</f>
        <v>74.4562294982664</v>
      </c>
      <c r="I2887" s="14" t="n">
        <f aca="false">MAX(I2886,H2887)</f>
        <v>74.4562294982664</v>
      </c>
      <c r="J2887" s="14" t="n">
        <f aca="false">I2887-H2887</f>
        <v>0</v>
      </c>
    </row>
    <row r="2888" customFormat="false" ht="15" hidden="false" customHeight="false" outlineLevel="0" collapsed="false">
      <c r="A2888" s="12" t="n">
        <f aca="false">Data!A2888</f>
        <v>46199</v>
      </c>
      <c r="B2888" s="14" t="n">
        <f aca="false">Data!B2888</f>
        <v>69.23</v>
      </c>
      <c r="C2888" s="0" t="str">
        <f aca="false">IF(Data!D2888="","HOLD",IF(AND(G2887&lt;&gt;"IN",Data!E2888&lt;-5),"BUY",IF(AND(G2887="IN",Data!E2888&gt;0),"SELL","HOLD")))</f>
        <v>HOLD</v>
      </c>
      <c r="D2888" s="14" t="n">
        <f aca="false">IF(C2888="BUY",B2888,IF(G2887="IN",D2887,""))</f>
        <v>93.89</v>
      </c>
      <c r="E2888" s="14" t="str">
        <f aca="false">IF(C2888="SELL",B2888,"")</f>
        <v/>
      </c>
      <c r="F2888" s="14" t="str">
        <f aca="false">IF(E2888="","",(E2888-D2888)/D2888*100)</f>
        <v/>
      </c>
      <c r="G2888" s="0" t="str">
        <f aca="false">IF(C2888="BUY","IN",IF(C2888="SELL","OUT",IF(G2887="IN","IN","OUT")))</f>
        <v>IN</v>
      </c>
      <c r="H2888" s="14" t="n">
        <f aca="false">H2887+IF(F2888="",0,F2888)</f>
        <v>74.4562294982664</v>
      </c>
      <c r="I2888" s="14" t="n">
        <f aca="false">MAX(I2887,H2888)</f>
        <v>74.4562294982664</v>
      </c>
      <c r="J2888" s="14" t="n">
        <f aca="false">I2888-H2888</f>
        <v>0</v>
      </c>
    </row>
    <row r="2889" customFormat="false" ht="15" hidden="false" customHeight="false" outlineLevel="0" collapsed="false">
      <c r="A2889" s="12" t="n">
        <f aca="false">Data!A2889</f>
        <v>46202</v>
      </c>
      <c r="B2889" s="14" t="n">
        <f aca="false">Data!B2889</f>
        <v>70.75</v>
      </c>
      <c r="C2889" s="0" t="str">
        <f aca="false">IF(Data!D2889="","HOLD",IF(AND(G2888&lt;&gt;"IN",Data!E2889&lt;-5),"BUY",IF(AND(G2888="IN",Data!E2889&gt;0),"SELL","HOLD")))</f>
        <v>HOLD</v>
      </c>
      <c r="D2889" s="14" t="n">
        <f aca="false">IF(C2889="BUY",B2889,IF(G2888="IN",D2888,""))</f>
        <v>93.89</v>
      </c>
      <c r="E2889" s="14" t="str">
        <f aca="false">IF(C2889="SELL",B2889,"")</f>
        <v/>
      </c>
      <c r="F2889" s="14" t="str">
        <f aca="false">IF(E2889="","",(E2889-D2889)/D2889*100)</f>
        <v/>
      </c>
      <c r="G2889" s="0" t="str">
        <f aca="false">IF(C2889="BUY","IN",IF(C2889="SELL","OUT",IF(G2888="IN","IN","OUT")))</f>
        <v>IN</v>
      </c>
      <c r="H2889" s="14" t="n">
        <f aca="false">H2888+IF(F2889="",0,F2889)</f>
        <v>74.4562294982664</v>
      </c>
      <c r="I2889" s="14" t="n">
        <f aca="false">MAX(I2888,H2889)</f>
        <v>74.4562294982664</v>
      </c>
      <c r="J2889" s="14" t="n">
        <f aca="false">I2889-H2889</f>
        <v>0</v>
      </c>
    </row>
    <row r="2890" customFormat="false" ht="15" hidden="false" customHeight="false" outlineLevel="0" collapsed="false">
      <c r="A2890" s="12" t="n">
        <f aca="false">Data!A2890</f>
        <v>46203</v>
      </c>
      <c r="B2890" s="14" t="n">
        <f aca="false">Data!B2890</f>
        <v>69.5</v>
      </c>
      <c r="C2890" s="0" t="str">
        <f aca="false">IF(Data!D2890="","HOLD",IF(AND(G2889&lt;&gt;"IN",Data!E2890&lt;-5),"BUY",IF(AND(G2889="IN",Data!E2890&gt;0),"SELL","HOLD")))</f>
        <v>HOLD</v>
      </c>
      <c r="D2890" s="14" t="n">
        <f aca="false">IF(C2890="BUY",B2890,IF(G2889="IN",D2889,""))</f>
        <v>93.89</v>
      </c>
      <c r="E2890" s="14" t="str">
        <f aca="false">IF(C2890="SELL",B2890,"")</f>
        <v/>
      </c>
      <c r="F2890" s="14" t="str">
        <f aca="false">IF(E2890="","",(E2890-D2890)/D2890*100)</f>
        <v/>
      </c>
      <c r="G2890" s="0" t="str">
        <f aca="false">IF(C2890="BUY","IN",IF(C2890="SELL","OUT",IF(G2889="IN","IN","OUT")))</f>
        <v>IN</v>
      </c>
      <c r="H2890" s="14" t="n">
        <f aca="false">H2889+IF(F2890="",0,F2890)</f>
        <v>74.4562294982664</v>
      </c>
      <c r="I2890" s="14" t="n">
        <f aca="false">MAX(I2889,H2890)</f>
        <v>74.4562294982664</v>
      </c>
      <c r="J2890" s="14" t="n">
        <f aca="false">I2890-H2890</f>
        <v>0</v>
      </c>
    </row>
    <row r="2891" customFormat="false" ht="15" hidden="false" customHeight="false" outlineLevel="0" collapsed="false">
      <c r="A2891" s="12" t="n">
        <f aca="false">Data!A2891</f>
        <v>46204</v>
      </c>
      <c r="B2891" s="14" t="n">
        <f aca="false">Data!B2891</f>
        <v>68.58</v>
      </c>
      <c r="C2891" s="0" t="str">
        <f aca="false">IF(Data!D2891="","HOLD",IF(AND(G2890&lt;&gt;"IN",Data!E2891&lt;-5),"BUY",IF(AND(G2890="IN",Data!E2891&gt;0),"SELL","HOLD")))</f>
        <v>HOLD</v>
      </c>
      <c r="D2891" s="14" t="n">
        <f aca="false">IF(C2891="BUY",B2891,IF(G2890="IN",D2890,""))</f>
        <v>93.89</v>
      </c>
      <c r="E2891" s="14" t="str">
        <f aca="false">IF(C2891="SELL",B2891,"")</f>
        <v/>
      </c>
      <c r="F2891" s="14" t="str">
        <f aca="false">IF(E2891="","",(E2891-D2891)/D2891*100)</f>
        <v/>
      </c>
      <c r="G2891" s="0" t="str">
        <f aca="false">IF(C2891="BUY","IN",IF(C2891="SELL","OUT",IF(G2890="IN","IN","OUT")))</f>
        <v>IN</v>
      </c>
      <c r="H2891" s="14" t="n">
        <f aca="false">H2890+IF(F2891="",0,F2891)</f>
        <v>74.4562294982664</v>
      </c>
      <c r="I2891" s="14" t="n">
        <f aca="false">MAX(I2890,H2891)</f>
        <v>74.4562294982664</v>
      </c>
      <c r="J2891" s="14" t="n">
        <f aca="false">I2891-H2891</f>
        <v>0</v>
      </c>
    </row>
    <row r="2892" customFormat="false" ht="15" hidden="false" customHeight="false" outlineLevel="0" collapsed="false">
      <c r="A2892" s="12" t="n">
        <f aca="false">Data!A2892</f>
        <v>46205</v>
      </c>
      <c r="B2892" s="14" t="n">
        <f aca="false">Data!B2892</f>
        <v>68.69</v>
      </c>
      <c r="C2892" s="0" t="str">
        <f aca="false">IF(Data!D2892="","HOLD",IF(AND(G2891&lt;&gt;"IN",Data!E2892&lt;-5),"BUY",IF(AND(G2891="IN",Data!E2892&gt;0),"SELL","HOLD")))</f>
        <v>HOLD</v>
      </c>
      <c r="D2892" s="14" t="n">
        <f aca="false">IF(C2892="BUY",B2892,IF(G2891="IN",D2891,""))</f>
        <v>93.89</v>
      </c>
      <c r="E2892" s="14" t="str">
        <f aca="false">IF(C2892="SELL",B2892,"")</f>
        <v/>
      </c>
      <c r="F2892" s="14" t="str">
        <f aca="false">IF(E2892="","",(E2892-D2892)/D2892*100)</f>
        <v/>
      </c>
      <c r="G2892" s="0" t="str">
        <f aca="false">IF(C2892="BUY","IN",IF(C2892="SELL","OUT",IF(G2891="IN","IN","OUT")))</f>
        <v>IN</v>
      </c>
      <c r="H2892" s="14" t="n">
        <f aca="false">H2891+IF(F2892="",0,F2892)</f>
        <v>74.4562294982664</v>
      </c>
      <c r="I2892" s="14" t="n">
        <f aca="false">MAX(I2891,H2892)</f>
        <v>74.4562294982664</v>
      </c>
      <c r="J2892" s="14" t="n">
        <f aca="false">I2892-H2892</f>
        <v>0</v>
      </c>
    </row>
    <row r="2893" customFormat="false" ht="15" hidden="false" customHeight="false" outlineLevel="0" collapsed="false">
      <c r="A2893" s="12" t="n">
        <f aca="false">Data!A2893</f>
        <v>46209</v>
      </c>
      <c r="B2893" s="14" t="n">
        <f aca="false">Data!B2893</f>
        <v>68.55</v>
      </c>
      <c r="C2893" s="0" t="str">
        <f aca="false">IF(Data!D2893="","HOLD",IF(AND(G2892&lt;&gt;"IN",Data!E2893&lt;-5),"BUY",IF(AND(G2892="IN",Data!E2893&gt;0),"SELL","HOLD")))</f>
        <v>HOLD</v>
      </c>
      <c r="D2893" s="14" t="n">
        <f aca="false">IF(C2893="BUY",B2893,IF(G2892="IN",D2892,""))</f>
        <v>93.89</v>
      </c>
      <c r="E2893" s="14" t="str">
        <f aca="false">IF(C2893="SELL",B2893,"")</f>
        <v/>
      </c>
      <c r="F2893" s="14" t="str">
        <f aca="false">IF(E2893="","",(E2893-D2893)/D2893*100)</f>
        <v/>
      </c>
      <c r="G2893" s="0" t="str">
        <f aca="false">IF(C2893="BUY","IN",IF(C2893="SELL","OUT",IF(G2892="IN","IN","OUT")))</f>
        <v>IN</v>
      </c>
      <c r="H2893" s="14" t="n">
        <f aca="false">H2892+IF(F2893="",0,F2893)</f>
        <v>74.4562294982664</v>
      </c>
      <c r="I2893" s="14" t="n">
        <f aca="false">MAX(I2892,H2893)</f>
        <v>74.4562294982664</v>
      </c>
      <c r="J2893" s="14" t="n">
        <f aca="false">I2893-H2893</f>
        <v>0</v>
      </c>
    </row>
    <row r="2894" customFormat="false" ht="15" hidden="false" customHeight="false" outlineLevel="0" collapsed="false">
      <c r="A2894" s="12" t="n">
        <f aca="false">Data!A2894</f>
        <v>46210</v>
      </c>
      <c r="B2894" s="14" t="n">
        <f aca="false">Data!B2894</f>
        <v>70.44</v>
      </c>
      <c r="C2894" s="0" t="str">
        <f aca="false">IF(Data!D2894="","HOLD",IF(AND(G2893&lt;&gt;"IN",Data!E2894&lt;-5),"BUY",IF(AND(G2893="IN",Data!E2894&gt;0),"SELL","HOLD")))</f>
        <v>HOLD</v>
      </c>
      <c r="D2894" s="14" t="n">
        <f aca="false">IF(C2894="BUY",B2894,IF(G2893="IN",D2893,""))</f>
        <v>93.89</v>
      </c>
      <c r="E2894" s="14" t="str">
        <f aca="false">IF(C2894="SELL",B2894,"")</f>
        <v/>
      </c>
      <c r="F2894" s="14" t="str">
        <f aca="false">IF(E2894="","",(E2894-D2894)/D2894*100)</f>
        <v/>
      </c>
      <c r="G2894" s="0" t="str">
        <f aca="false">IF(C2894="BUY","IN",IF(C2894="SELL","OUT",IF(G2893="IN","IN","OUT")))</f>
        <v>IN</v>
      </c>
      <c r="H2894" s="14" t="n">
        <f aca="false">H2893+IF(F2894="",0,F2894)</f>
        <v>74.4562294982664</v>
      </c>
      <c r="I2894" s="14" t="n">
        <f aca="false">MAX(I2893,H2894)</f>
        <v>74.4562294982664</v>
      </c>
      <c r="J2894" s="14" t="n">
        <f aca="false">I2894-H2894</f>
        <v>0</v>
      </c>
    </row>
    <row r="2895" customFormat="false" ht="15" hidden="false" customHeight="false" outlineLevel="0" collapsed="false">
      <c r="A2895" s="12" t="n">
        <f aca="false">Data!A2895</f>
        <v>46211</v>
      </c>
      <c r="B2895" s="14" t="n">
        <f aca="false">Data!B2895</f>
        <v>73.52</v>
      </c>
      <c r="C2895" s="0" t="str">
        <f aca="false">IF(Data!D2895="","HOLD",IF(AND(G2894&lt;&gt;"IN",Data!E2895&lt;-5),"BUY",IF(AND(G2894="IN",Data!E2895&gt;0),"SELL","HOLD")))</f>
        <v>HOLD</v>
      </c>
      <c r="D2895" s="14" t="n">
        <f aca="false">IF(C2895="BUY",B2895,IF(G2894="IN",D2894,""))</f>
        <v>93.89</v>
      </c>
      <c r="E2895" s="14" t="str">
        <f aca="false">IF(C2895="SELL",B2895,"")</f>
        <v/>
      </c>
      <c r="F2895" s="14" t="str">
        <f aca="false">IF(E2895="","",(E2895-D2895)/D2895*100)</f>
        <v/>
      </c>
      <c r="G2895" s="0" t="str">
        <f aca="false">IF(C2895="BUY","IN",IF(C2895="SELL","OUT",IF(G2894="IN","IN","OUT")))</f>
        <v>IN</v>
      </c>
      <c r="H2895" s="14" t="n">
        <f aca="false">H2894+IF(F2895="",0,F2895)</f>
        <v>74.4562294982664</v>
      </c>
      <c r="I2895" s="14" t="n">
        <f aca="false">MAX(I2894,H2895)</f>
        <v>74.4562294982664</v>
      </c>
      <c r="J2895" s="14" t="n">
        <f aca="false">I2895-H2895</f>
        <v>0</v>
      </c>
    </row>
    <row r="2896" customFormat="false" ht="15" hidden="false" customHeight="false" outlineLevel="0" collapsed="false">
      <c r="A2896" s="12" t="n">
        <f aca="false">Data!A2896</f>
        <v>46212</v>
      </c>
      <c r="B2896" s="14" t="n">
        <f aca="false">Data!B2896</f>
        <v>72.08</v>
      </c>
      <c r="C2896" s="0" t="str">
        <f aca="false">IF(Data!D2896="","HOLD",IF(AND(G2895&lt;&gt;"IN",Data!E2896&lt;-5),"BUY",IF(AND(G2895="IN",Data!E2896&gt;0),"SELL","HOLD")))</f>
        <v>HOLD</v>
      </c>
      <c r="D2896" s="14" t="n">
        <f aca="false">IF(C2896="BUY",B2896,IF(G2895="IN",D2895,""))</f>
        <v>93.89</v>
      </c>
      <c r="E2896" s="14" t="str">
        <f aca="false">IF(C2896="SELL",B2896,"")</f>
        <v/>
      </c>
      <c r="F2896" s="14" t="str">
        <f aca="false">IF(E2896="","",(E2896-D2896)/D2896*100)</f>
        <v/>
      </c>
      <c r="G2896" s="0" t="str">
        <f aca="false">IF(C2896="BUY","IN",IF(C2896="SELL","OUT",IF(G2895="IN","IN","OUT")))</f>
        <v>IN</v>
      </c>
      <c r="H2896" s="14" t="n">
        <f aca="false">H2895+IF(F2896="",0,F2896)</f>
        <v>74.4562294982664</v>
      </c>
      <c r="I2896" s="14" t="n">
        <f aca="false">MAX(I2895,H2896)</f>
        <v>74.4562294982664</v>
      </c>
      <c r="J2896" s="14" t="n">
        <f aca="false">I2896-H2896</f>
        <v>0</v>
      </c>
    </row>
    <row r="2897" customFormat="false" ht="15" hidden="false" customHeight="false" outlineLevel="0" collapsed="false">
      <c r="A2897" s="12" t="n">
        <f aca="false">Data!A2897</f>
        <v>46213</v>
      </c>
      <c r="B2897" s="14" t="n">
        <f aca="false">Data!B2897</f>
        <v>71.41</v>
      </c>
      <c r="C2897" s="0" t="str">
        <f aca="false">IF(Data!D2897="","HOLD",IF(AND(G2896&lt;&gt;"IN",Data!E2897&lt;-5),"BUY",IF(AND(G2896="IN",Data!E2897&gt;0),"SELL","HOLD")))</f>
        <v>HOLD</v>
      </c>
      <c r="D2897" s="14" t="n">
        <f aca="false">IF(C2897="BUY",B2897,IF(G2896="IN",D2896,""))</f>
        <v>93.89</v>
      </c>
      <c r="E2897" s="14" t="str">
        <f aca="false">IF(C2897="SELL",B2897,"")</f>
        <v/>
      </c>
      <c r="F2897" s="14" t="str">
        <f aca="false">IF(E2897="","",(E2897-D2897)/D2897*100)</f>
        <v/>
      </c>
      <c r="G2897" s="0" t="str">
        <f aca="false">IF(C2897="BUY","IN",IF(C2897="SELL","OUT",IF(G2896="IN","IN","OUT")))</f>
        <v>IN</v>
      </c>
      <c r="H2897" s="14" t="n">
        <f aca="false">H2896+IF(F2897="",0,F2897)</f>
        <v>74.4562294982664</v>
      </c>
      <c r="I2897" s="14" t="n">
        <f aca="false">MAX(I2896,H2897)</f>
        <v>74.4562294982664</v>
      </c>
      <c r="J2897" s="14" t="n">
        <f aca="false">I2897-H2897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8"/>
    <col collapsed="false" customWidth="true" hidden="false" outlineLevel="0" max="2" min="2" style="0" width="14"/>
  </cols>
  <sheetData>
    <row r="1" customFormat="false" ht="17.35" hidden="false" customHeight="false" outlineLevel="0" collapsed="false">
      <c r="A1" s="1" t="s">
        <v>26</v>
      </c>
    </row>
    <row r="2" customFormat="false" ht="15" hidden="false" customHeight="false" outlineLevel="0" collapsed="false">
      <c r="A2" s="2" t="s">
        <v>27</v>
      </c>
    </row>
    <row r="3" customFormat="false" ht="15" hidden="false" customHeight="false" outlineLevel="0" collapsed="false">
      <c r="A3" s="2" t="s">
        <v>28</v>
      </c>
    </row>
    <row r="5" customFormat="false" ht="15" hidden="false" customHeight="false" outlineLevel="0" collapsed="false">
      <c r="A5" s="16" t="s">
        <v>29</v>
      </c>
      <c r="B5" s="17"/>
    </row>
    <row r="6" customFormat="false" ht="15" hidden="false" customHeight="false" outlineLevel="0" collapsed="false">
      <c r="A6" s="18" t="s">
        <v>30</v>
      </c>
      <c r="B6" s="19" t="n">
        <f aca="false">COUNT(Strategy!F2:F2897)</f>
        <v>59</v>
      </c>
    </row>
    <row r="7" customFormat="false" ht="15" hidden="false" customHeight="false" outlineLevel="0" collapsed="false">
      <c r="A7" s="18" t="s">
        <v>31</v>
      </c>
      <c r="B7" s="19" t="n">
        <f aca="false">COUNTIF(Strategy!F2:F2897,"&gt;0")</f>
        <v>42</v>
      </c>
    </row>
    <row r="8" customFormat="false" ht="15" hidden="false" customHeight="false" outlineLevel="0" collapsed="false">
      <c r="A8" s="18" t="s">
        <v>32</v>
      </c>
      <c r="B8" s="19" t="n">
        <f aca="false">COUNTIF(Strategy!F2:F2897,"&lt;0")</f>
        <v>17</v>
      </c>
    </row>
    <row r="9" customFormat="false" ht="15" hidden="false" customHeight="false" outlineLevel="0" collapsed="false">
      <c r="A9" s="18" t="s">
        <v>33</v>
      </c>
      <c r="B9" s="20" t="n">
        <f aca="false">IF(B6=0,0,B7/B6*100)</f>
        <v>71.1864406779661</v>
      </c>
    </row>
    <row r="10" customFormat="false" ht="15" hidden="false" customHeight="false" outlineLevel="0" collapsed="false">
      <c r="A10" s="18" t="s">
        <v>34</v>
      </c>
      <c r="B10" s="21" t="n">
        <f aca="false">IFERROR(AVERAGEIF(Strategy!F2:F2897,"&gt;0"),0)</f>
        <v>5.31795638697115</v>
      </c>
    </row>
    <row r="11" customFormat="false" ht="15" hidden="false" customHeight="false" outlineLevel="0" collapsed="false">
      <c r="A11" s="18" t="s">
        <v>35</v>
      </c>
      <c r="B11" s="21" t="n">
        <f aca="false">IFERROR(AVERAGEIF(Strategy!F2:F2897,"&lt;0"),0)</f>
        <v>-8.75870227967775</v>
      </c>
    </row>
    <row r="12" customFormat="false" ht="15" hidden="false" customHeight="false" outlineLevel="0" collapsed="false">
      <c r="A12" s="18" t="s">
        <v>36</v>
      </c>
      <c r="B12" s="21" t="n">
        <f aca="false">IFERROR(SUMIF(Strategy!F2:F2897,"&gt;0")/ABS(SUMIF(Strategy!F2:F2897,"&lt;0")),0)</f>
        <v>1.50004875904305</v>
      </c>
    </row>
    <row r="13" customFormat="false" ht="15" hidden="false" customHeight="false" outlineLevel="0" collapsed="false">
      <c r="A13" s="18" t="s">
        <v>37</v>
      </c>
      <c r="B13" s="20" t="n">
        <f aca="false">SUM(Strategy!F2:F2897)</f>
        <v>74.4562294982664</v>
      </c>
    </row>
    <row r="14" customFormat="false" ht="15" hidden="false" customHeight="false" outlineLevel="0" collapsed="false">
      <c r="A14" s="18" t="s">
        <v>38</v>
      </c>
      <c r="B14" s="20" t="n">
        <f aca="false">MAX(Strategy!J2:J2897)</f>
        <v>82.4356003048771</v>
      </c>
    </row>
    <row r="16" customFormat="false" ht="15" hidden="false" customHeight="false" outlineLevel="0" collapsed="false">
      <c r="A16" s="16" t="s">
        <v>39</v>
      </c>
      <c r="B16" s="17"/>
    </row>
    <row r="17" customFormat="false" ht="15" hidden="false" customHeight="false" outlineLevel="0" collapsed="false">
      <c r="A17" s="18" t="s">
        <v>40</v>
      </c>
      <c r="B17" s="20" t="n">
        <f aca="false">(Data!B2897-Data!B2)/Data!B2*100</f>
        <v>35.5285632947428</v>
      </c>
    </row>
    <row r="18" customFormat="false" ht="15" hidden="false" customHeight="false" outlineLevel="0" collapsed="false">
      <c r="A18" s="18" t="s">
        <v>41</v>
      </c>
      <c r="B18" s="20" t="n">
        <f aca="false">B13</f>
        <v>74.4562294982664</v>
      </c>
    </row>
    <row r="19" customFormat="false" ht="15" hidden="false" customHeight="false" outlineLevel="0" collapsed="false">
      <c r="A19" s="18" t="s">
        <v>42</v>
      </c>
      <c r="B19" s="20" t="n">
        <f aca="false">B18-B17</f>
        <v>38.9276662035236</v>
      </c>
    </row>
    <row r="21" customFormat="false" ht="15" hidden="false" customHeight="false" outlineLevel="0" collapsed="false">
      <c r="A21" s="22"/>
    </row>
    <row r="22" customFormat="false" ht="15" hidden="false" customHeight="false" outlineLevel="0" collapsed="false">
      <c r="A22" s="2" t="s">
        <v>43</v>
      </c>
    </row>
    <row r="23" customFormat="false" ht="15" hidden="false" customHeight="false" outlineLevel="0" collapsed="false">
      <c r="A23" s="22" t="s">
        <v>44</v>
      </c>
    </row>
    <row r="24" customFormat="false" ht="15" hidden="false" customHeight="false" outlineLevel="0" collapsed="false">
      <c r="A24" s="22" t="s">
        <v>45</v>
      </c>
    </row>
    <row r="25" customFormat="false" ht="15" hidden="false" customHeight="false" outlineLevel="0" collapsed="false">
      <c r="A25" s="22" t="s">
        <v>46</v>
      </c>
    </row>
    <row r="26" customFormat="false" ht="15" hidden="false" customHeight="false" outlineLevel="0" collapsed="false">
      <c r="A26" s="22" t="s">
        <v>47</v>
      </c>
    </row>
    <row r="27" customFormat="false" ht="15" hidden="false" customHeight="false" outlineLevel="0" collapsed="false">
      <c r="A27" s="22" t="s">
        <v>48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2026-07-11T15:15:14Z</dcterms:created>
  <dc:creator>openpyxl</dc:creator>
  <dc:description/>
  <dc:language>en-US</dc:language>
  <cp:lastModifiedBy/>
  <dcterms:modified xsi:type="dcterms:W3CDTF">2026-07-11T15:15:26Z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